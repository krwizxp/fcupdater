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<sst xmlns="http://schemas.openxmlformats.org/spreadsheetml/2006/main" count="4818" uniqueCount="1767">
  <si>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</si>
  <si>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</si>
  <si>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</si>
  <si>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</si>
  <si>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</si>
  <si>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</si>
  <si>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</si>
  <si>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</si>
  <si>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</si>
  <si>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</si>
  <si>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</si>
  <si>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</si>
  <si>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</si>
  <si>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</si>
  <si>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</si>
  <si>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</si>
  <si>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</si>
  <si>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</si>
  <si>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</si>
  <si>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</si>
  <si>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</si>
  <si>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</si>
  <si>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</si>
  <si>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</si>
  <si>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</si>
  <si>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</si>
  <si>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</si>
  <si>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</si>
  <si>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</si>
  <si>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</si>
  <si>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</si>
  <si>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</si>
  <si>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</si>
  <si>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</si>
  <si>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</si>
  <si>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</si>
  <si>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</si>
  <si>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</si>
  <si>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</si>
  <si>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</si>
  <si>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</si>
  <si>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</si>
  <si>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</si>
  <si>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</si>
  <si>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</si>
  <si>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</si>
  <si>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</si>
  <si>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</si>
  <si>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</si>
  <si>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</si>
  <si>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</si>
  <si>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</si>
  <si>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</si>
  <si>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</si>
  <si>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</si>
  <si>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</si>
  <si>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</si>
  <si>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</si>
  <si>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</si>
  <si>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</si>
  <si>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</si>
  <si>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</si>
  <si>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</si>
  <si>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</si>
  <si>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</si>
  <si>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</si>
  <si>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</si>
  <si>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</si>
  <si>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</si>
  <si>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</si>
  <si>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</si>
  <si>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</si>
  <si>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</si>
  <si>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</si>
  <si>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</si>
  <si>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</si>
  <si>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</si>
  <si>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</si>
  <si>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</si>
  <si>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</si>
  <si>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</si>
  <si>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</si>
  <si>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</si>
  <si>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</si>
  <si>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</si>
  <si>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</si>
  <si>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</si>
  <si>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</si>
  <si>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</si>
  <si>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</si>
  <si>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</si>
  <si>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</si>
  <si>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</si>
  <si>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</si>
  <si>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</si>
  <si>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</si>
  <si>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</si>
  <si>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</si>
  <si>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</si>
  <si>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</si>
  <si>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</si>
  <si>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</si>
  <si>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</si>
  <si>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</si>
  <si>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</si>
  <si>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</si>
  <si>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</si>
  <si>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</si>
  <si>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</si>
  <si>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</si>
  <si>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</si>
  <si>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</si>
  <si>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</si>
  <si>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</si>
  <si>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</si>
  <si>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</si>
  <si>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</si>
  <si>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</si>
  <si>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</si>
  <si>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</si>
  <si>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</si>
  <si>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</si>
  <si>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</si>
  <si>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</si>
  <si>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</si>
  <si>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</si>
  <si>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</si>
  <si>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</si>
  <si>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</si>
  <si>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</si>
  <si>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</si>
  <si>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</si>
  <si>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</si>
  <si>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</si>
  <si>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</si>
  <si>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</si>
  <si>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</si>
  <si>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</si>
  <si>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</si>
  <si>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</si>
  <si>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</si>
  <si>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</si>
  <si>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</si>
  <si>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</si>
  <si>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</si>
  <si>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</si>
  <si>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</si>
  <si>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</si>
  <si>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</si>
  <si>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</si>
  <si>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</si>
  <si>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</si>
  <si>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</si>
  <si>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</si>
  <si>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</si>
  <si>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</si>
  <si>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</si>
  <si>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</si>
  <si>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</si>
  <si>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</si>
  <si>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</si>
  <si>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</si>
  <si>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</si>
  <si>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</si>
  <si>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</si>
  <si>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</si>
  <si>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</si>
  <si>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</si>
  <si>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</si>
  <si>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</si>
  <si>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</si>
  <si>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</si>
  <si>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</si>
  <si>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</si>
  <si>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</si>
  <si>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</si>
  <si>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</si>
  <si>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</si>
  <si>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</si>
  <si>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</si>
  <si>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</si>
  <si>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</si>
  <si>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</si>
  <si>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</si>
  <si>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</si>
  <si>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</si>
  <si>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</si>
  <si>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</si>
  <si>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</si>
  <si>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</si>
  <si>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</si>
  <si>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</si>
  <si>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</si>
  <si>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</si>
  <si>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</si>
  <si>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</si>
  <si>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</si>
  <si>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</si>
  <si>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</si>
  <si>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</si>
  <si>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</si>
  <si>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</si>
  <si>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</si>
  <si>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</si>
  <si>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</si>
  <si>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</si>
  <si>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</si>
  <si>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</si>
  <si>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</si>
  <si>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</si>
  <si>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</si>
  <si>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</si>
  <si>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</si>
  <si>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</si>
  <si>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</si>
  <si>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</si>
  <si>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</si>
  <si>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</si>
  <si>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</si>
  <si>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</si>
  <si>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</si>
  <si>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</si>
  <si>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</si>
  <si>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</si>
  <si>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</si>
  <si>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</si>
  <si>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</si>
  <si>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</si>
  <si>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</si>
  <si>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</si>
  <si>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</si>
  <si>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</si>
  <si>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</si>
  <si>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</si>
  <si>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</si>
  <si>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</si>
  <si>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</si>
  <si>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</si>
  <si>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</si>
  <si>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</si>
  <si>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</si>
  <si>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</si>
  <si>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</si>
  <si>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</si>
  <si>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</si>
  <si>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</si>
  <si>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</si>
  <si>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</si>
  <si>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</si>
  <si>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</si>
  <si>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</si>
  <si>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</si>
  <si>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</si>
  <si>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</si>
  <si>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</si>
  <si>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</si>
  <si>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</si>
  <si>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</si>
  <si>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</si>
  <si>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</si>
  <si>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</si>
  <si>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</si>
  <si>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</si>
  <si>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</si>
  <si>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</si>
  <si>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</si>
  <si>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</si>
  <si>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</si>
  <si>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</si>
  <si>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</si>
  <si>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</si>
  <si>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</si>
  <si>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</si>
  <si>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</si>
  <si>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</si>
  <si>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</si>
  <si>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</si>
  <si>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</si>
  <si>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</si>
  <si>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</si>
  <si>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</si>
  <si>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</si>
  <si>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</si>
  <si>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</si>
  <si>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</si>
  <si>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</si>
  <si>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</si>
  <si>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</si>
  <si>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</si>
  <si>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</si>
  <si>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</si>
  <si>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</si>
  <si>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</si>
  <si>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</si>
  <si>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</si>
  <si>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</si>
  <si>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</si>
  <si>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</si>
  <si>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</si>
  <si>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</si>
  <si>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</si>
  <si>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</si>
  <si>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</si>
  <si>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</si>
  <si>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</si>
  <si>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</si>
  <si>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</si>
  <si>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</si>
  <si>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</si>
  <si>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</si>
  <si>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</si>
  <si>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</si>
  <si>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</si>
  <si>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</si>
  <si>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</si>
  <si>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</si>
  <si>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</si>
  <si>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</si>
  <si>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</si>
  <si>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</si>
  <si>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</si>
  <si>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</si>
  <si>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</si>
  <si>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</si>
  <si>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</si>
  <si>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</si>
  <si>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</si>
  <si>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</si>
  <si>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</si>
  <si>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</si>
  <si>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</si>
  <si>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</si>
  <si>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</si>
  <si>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</si>
  <si>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</si>
  <si>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</si>
  <si>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</si>
  <si>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</si>
  <si>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</si>
  <si>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</si>
  <si>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</si>
  <si>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</si>
  <si>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</si>
  <si>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</si>
  <si>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</si>
  <si>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</si>
  <si>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</si>
  <si>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</si>
  <si>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</si>
  <si>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</si>
  <si>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</si>
  <si>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</si>
  <si>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</si>
  <si>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</si>
  <si>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</si>
  <si>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</si>
  <si>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</si>
  <si>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</si>
  <si>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</si>
  <si>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</si>
  <si>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</si>
  <si>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</si>
  <si>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</si>
  <si>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</si>
  <si>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</si>
  <si>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</si>
  <si>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</si>
  <si>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</si>
  <si>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</si>
  <si>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</si>
  <si>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</si>
  <si>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</si>
  <si>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</si>
  <si>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</si>
  <si>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</si>
  <si>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</si>
  <si>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</si>
  <si>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</si>
  <si>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</si>
  <si>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</si>
  <si>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</si>
  <si>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</si>
  <si>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</si>
  <si>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</si>
  <si>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</si>
  <si>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</si>
  <si>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</si>
  <si>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</si>
  <si>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</si>
  <si>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</si>
  <si>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</si>
  <si>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</si>
  <si>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</si>
  <si>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</si>
  <si>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</si>
  <si>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</si>
  <si>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</si>
  <si>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</si>
  <si>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</si>
  <si>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</si>
  <si>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</si>
  <si>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</si>
  <si>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</si>
  <si>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</si>
  <si>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</si>
  <si>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</si>
  <si>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</si>
  <si>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</si>
  <si>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</si>
  <si>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</si>
  <si>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</si>
  <si>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</si>
  <si>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</si>
  <si>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</si>
  <si>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</si>
  <si>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</si>
  <si>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</si>
  <si>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</si>
  <si>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</si>
  <si>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</si>
  <si>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</si>
  <si>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</si>
  <si>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</si>
  <si>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</si>
  <si>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</si>
  <si>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</si>
  <si>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</si>
  <si>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</si>
  <si>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</si>
  <si>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</si>
  <si>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</si>
  <si>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</si>
  <si>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</si>
  <si>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</si>
  <si>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</si>
  <si>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</si>
  <si>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</si>
  <si>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</si>
  <si>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</si>
  <si>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</si>
  <si>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</si>
  <si>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</si>
  <si>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</si>
  <si>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</si>
  <si>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</si>
  <si>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</si>
  <si>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</si>
  <si>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</si>
  <si>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</si>
  <si>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</si>
  <si>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</si>
  <si>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</si>
  <si>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</si>
  <si>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</si>
  <si>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</si>
  <si>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</si>
  <si>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</si>
  <si>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</si>
  <si>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</si>
  <si>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</si>
  <si>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</si>
  <si>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</si>
  <si>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</si>
  <si>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</si>
  <si>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</si>
  <si>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</si>
  <si>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</si>
  <si>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</si>
  <si>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</si>
  <si>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</si>
  <si>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</si>
  <si>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</si>
  <si>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</si>
  <si>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</si>
  <si>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</si>
  <si>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</si>
  <si>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</si>
  <si>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</si>
  <si>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</si>
  <si>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</si>
  <si>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</si>
  <si>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</si>
  <si>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</si>
  <si>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</si>
  <si>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</si>
  <si>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</si>
  <si>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</si>
  <si>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</si>
  <si>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</si>
  <si>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</si>
  <si>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</si>
  <si>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</si>
  <si>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</si>
  <si>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</si>
  <si>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</si>
  <si>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</si>
  <si>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</si>
  <si>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</si>
  <si>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</si>
  <si>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</si>
  <si>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</si>
  <si>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</si>
  <si>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</si>
  <si>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</si>
  <si>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</si>
  <si>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</si>
  <si>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</si>
  <si>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</si>
  <si>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</si>
  <si>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</si>
  <si>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</si>
  <si>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</si>
  <si>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</si>
  <si>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</si>
  <si>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</si>
  <si>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</si>
  <si>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</si>
  <si>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</si>
  <si>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</si>
  <si>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</si>
  <si>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</si>
  <si>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</si>
  <si>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</si>
  <si>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</si>
  <si>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</si>
  <si>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</si>
  <si>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</si>
  <si>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</si>
  <si>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</si>
  <si>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</si>
  <si>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</si>
  <si>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</si>
  <si>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</si>
  <si>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</si>
  <si>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</si>
  <si>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</si>
  <si>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</si>
  <si>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</si>
  <si>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</si>
  <si>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</si>
  <si>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</si>
  <si>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</si>
  <si>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</si>
  <si>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</si>
  <si>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</si>
  <si>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</si>
  <si>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</si>
  <si>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</si>
  <si>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</si>
  <si>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</si>
  <si>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</si>
  <si>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</si>
  <si>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</si>
  <si>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</si>
  <si>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</si>
  <si>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</si>
  <si>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</si>
  <si>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</si>
  <si>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</si>
  <si>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</si>
  <si>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</si>
  <si>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</si>
  <si>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</si>
  <si>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</si>
  <si>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</si>
  <si>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</si>
  <si>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</si>
  <si>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</si>
  <si>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</si>
  <si>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</si>
  <si>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</si>
  <si>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</si>
  <si>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</si>
  <si>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</si>
  <si>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</si>
  <si>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</si>
  <si>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</si>
  <si>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</si>
  <si>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</si>
  <si>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</si>
  <si>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</si>
  <si>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</si>
  <si>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</si>
  <si>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</si>
  <si>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</si>
  <si>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</si>
  <si>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</si>
  <si>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</si>
  <si>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</si>
  <si>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</si>
  <si>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</si>
  <si>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</si>
  <si>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</si>
  <si>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</si>
  <si>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</si>
  <si>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</si>
  <si>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</si>
  <si>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</si>
  <si>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</si>
  <si>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</si>
  <si>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</si>
  <si>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</si>
  <si>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</si>
  <si>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</si>
  <si>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</si>
  <si>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</si>
  <si>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</si>
  <si>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</si>
  <si>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</si>
  <si>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</si>
  <si>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</si>
  <si>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</si>
  <si>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</si>
  <si>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</si>
  <si>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</si>
  <si>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</si>
  <si>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</si>
  <si>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</si>
  <si>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</si>
  <si>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</si>
  <si>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</si>
  <si>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</si>
  <si>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</si>
  <si>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</si>
  <si>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</si>
  <si>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</si>
  <si>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</si>
  <si>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</si>
  <si>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</si>
  <si>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</si>
  <si>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</si>
  <si>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</si>
  <si>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</si>
  <si>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</si>
  <si>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</si>
  <si>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</si>
  <si>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</si>
  <si>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</si>
  <si>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</si>
  <si>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</si>
  <si>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</si>
  <si>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</si>
  <si>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</si>
  <si>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</si>
  <si>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</si>
  <si>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</si>
  <si>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</si>
  <si>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</si>
  <si>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</si>
  <si>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</si>
  <si>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</si>
  <si>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</si>
  <si>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</si>
  <si>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</si>
  <si>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</si>
  <si>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</si>
  <si>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</si>
  <si>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</si>
  <si>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</si>
  <si>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</si>
  <si>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</si>
  <si>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</si>
  <si>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</si>
  <si>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</si>
  <si>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</si>
  <si>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</si>
  <si>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</si>
  <si>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</si>
  <si>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</si>
  <si>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</si>
  <si>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</si>
  <si>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</si>
  <si>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</si>
  <si>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</si>
  <si>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</si>
  <si>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</si>
  <si>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</si>
  <si>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</si>
  <si>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</si>
  <si>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</si>
  <si>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</si>
  <si>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</si>
  <si>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</si>
  <si>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</si>
  <si>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</si>
  <si>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</si>
  <si>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</si>
  <si>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</si>
  <si>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</si>
  <si>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</si>
  <si>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</si>
  <si>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</si>
  <si>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</si>
  <si>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</si>
  <si>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</si>
  <si>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</si>
  <si>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</si>
  <si>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</si>
  <si>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</si>
  <si>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</si>
  <si>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</si>
  <si>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</si>
  <si>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</si>
  <si>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</si>
  <si>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</si>
  <si>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</si>
  <si>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</si>
  <si>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</si>
  <si>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</si>
  <si>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</si>
  <si>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</si>
  <si>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</si>
  <si>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</si>
  <si>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</si>
  <si>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</si>
  <si>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</si>
  <si>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</si>
  <si>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</si>
  <si>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</si>
  <si>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</si>
  <si>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</si>
  <si>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</si>
  <si>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</si>
  <si>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</si>
  <si>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</si>
  <si>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</si>
  <si>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</si>
  <si>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</si>
  <si>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</si>
  <si>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</si>
  <si>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</si>
  <si>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</si>
  <si>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</si>
  <si>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</si>
  <si>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</si>
  <si>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</si>
  <si>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</si>
  <si>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</si>
  <si>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</si>
  <si>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</si>
  <si>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</si>
  <si>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</si>
  <si>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</si>
  <si>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</si>
  <si>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</si>
  <si>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</si>
  <si>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</si>
  <si>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</si>
  <si>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</si>
  <si>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</si>
  <si>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</si>
  <si>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</si>
  <si>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</si>
  <si>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</si>
  <si>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</si>
  <si>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</si>
  <si>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</si>
  <si>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</si>
  <si>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</si>
  <si>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</si>
  <si>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</si>
  <si>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</si>
  <si>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</si>
  <si>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</si>
  <si>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</si>
  <si>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</si>
  <si>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</si>
  <si>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</si>
  <si>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</si>
  <si>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</si>
  <si>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</si>
  <si>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</si>
  <si>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</si>
  <si>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</si>
  <si>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</si>
  <si>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</si>
  <si>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</si>
  <si>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</si>
  <si>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</si>
  <si>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</si>
  <si>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</si>
  <si>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</si>
  <si>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</si>
  <si>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</si>
  <si>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</si>
  <si>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</si>
  <si>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</si>
  <si>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</si>
  <si>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</si>
  <si>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</si>
  <si>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</si>
  <si>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</si>
  <si>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</si>
  <si>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</si>
  <si>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</si>
  <si>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</si>
  <si>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</si>
  <si>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</si>
  <si>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</si>
  <si>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</si>
  <si>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</si>
  <si>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</si>
  <si>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</si>
  <si>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</si>
  <si>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</si>
  <si>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</si>
  <si>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</si>
  <si>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</si>
  <si>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</si>
  <si>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</si>
  <si>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</si>
  <si>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</si>
  <si>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</si>
  <si>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</si>
  <si>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</si>
  <si>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</si>
  <si>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</si>
  <si>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</si>
  <si>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</si>
  <si>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</si>
  <si>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</si>
  <si>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</si>
  <si>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</si>
  <si>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</si>
  <si>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</si>
  <si>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</si>
  <si>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</si>
  <si>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</si>
  <si>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</si>
  <si>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</si>
  <si>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</si>
  <si>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</si>
  <si>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</si>
  <si>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</si>
  <si>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</si>
  <si>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</si>
  <si>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</si>
  <si>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</si>
  <si>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</si>
  <si>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</si>
  <si>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</si>
  <si>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</si>
  <si>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</si>
  <si>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</si>
  <si>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</si>
  <si>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</si>
  <si>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</si>
  <si>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</si>
  <si>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</si>
  <si>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</si>
  <si>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</si>
  <si>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</si>
  <si>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</si>
  <si>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</si>
  <si>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</si>
  <si>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</si>
  <si>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</si>
  <si>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</si>
  <si>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</si>
  <si>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</si>
  <si>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</si>
  <si>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</si>
  <si>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</si>
  <si>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</si>
  <si>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</si>
  <si>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</si>
  <si>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</si>
  <si>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</si>
  <si>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</si>
  <si>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</si>
  <si>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</si>
  <si>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</si>
  <si>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</si>
  <si>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</si>
  <si>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</si>
  <si>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</si>
  <si>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</si>
  <si>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</si>
  <si>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</si>
  <si>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</si>
  <si>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</si>
  <si>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</si>
  <si>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</si>
  <si>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</si>
  <si>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</si>
  <si>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</si>
  <si>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</si>
  <si>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</si>
  <si>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</si>
  <si>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</si>
  <si>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</si>
  <si>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</si>
  <si>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</si>
  <si>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</si>
  <si>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</si>
  <si>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</si>
  <si>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</si>
  <si>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</si>
  <si>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</si>
  <si>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</si>
  <si>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</si>
  <si>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</si>
  <si>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</si>
  <si>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</si>
  <si>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</si>
  <si>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</si>
  <si>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</si>
  <si>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</si>
  <si>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</si>
  <si>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</si>
  <si>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</si>
  <si>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</si>
  <si>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</si>
  <si>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</si>
  <si>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</si>
  <si>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</si>
  <si>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</si>
  <si>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</si>
  <si>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</si>
  <si>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</si>
  <si>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</si>
  <si>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</si>
  <si>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</si>
  <si>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</si>
  <si>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</si>
  <si>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</si>
  <si>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</si>
  <si>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</si>
  <si>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</si>
  <si>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</si>
  <si>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</si>
  <si>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</si>
  <si>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</si>
  <si>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</si>
  <si>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</si>
  <si>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</si>
  <si>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</si>
  <si>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</si>
  <si>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</si>
  <si>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</si>
  <si>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</si>
  <si>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</si>
  <si>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</si>
  <si>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</si>
  <si>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</si>
  <si>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</si>
  <si>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</si>
  <si>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</si>
  <si>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</si>
  <si>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</si>
  <si>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</si>
  <si>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</si>
  <si>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</si>
  <si>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</si>
  <si>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</si>
  <si>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</si>
  <si>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</si>
  <si>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</si>
  <si>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</si>
  <si>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</si>
  <si>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</si>
  <si>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</si>
  <si>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</si>
  <si>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</si>
  <si>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</si>
  <si>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</si>
  <si>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</si>
  <si>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</si>
  <si>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</si>
  <si>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</si>
  <si>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</si>
  <si>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</si>
  <si>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</si>
  <si>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</si>
  <si>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</si>
  <si>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</si>
  <si>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</si>
  <si>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</si>
  <si>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</si>
  <si>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</si>
  <si>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</si>
  <si>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</si>
  <si>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</si>
  <si>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</si>
  <si>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</si>
  <si>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</si>
  <si>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</si>
  <si>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</si>
  <si>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</si>
  <si>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</si>
  <si>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</si>
  <si>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</si>
  <si>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</si>
  <si>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</si>
  <si>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</si>
  <si>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</si>
  <si>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</si>
  <si>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</si>
  <si>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</si>
  <si>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</si>
  <si>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</si>
  <si>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</si>
  <si>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</si>
  <si>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</si>
  <si>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</si>
  <si>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</si>
  <si>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</si>
  <si>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</si>
  <si>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</si>
  <si>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</si>
  <si>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</si>
  <si>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</si>
  <si>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</si>
  <si>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</si>
  <si>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</si>
  <si>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</si>
  <si>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</si>
  <si>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</si>
  <si>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</si>
  <si>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</si>
  <si>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</si>
  <si>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</si>
  <si>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</si>
  <si>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</si>
  <si>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</si>
  <si>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</si>
  <si>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</si>
  <si>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</si>
  <si>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</si>
  <si>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</si>
  <si>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</si>
  <si>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</si>
  <si>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</si>
  <si>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</si>
  <si>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</si>
  <si>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</si>
  <si>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</si>
  <si>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</si>
  <si>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</si>
  <si>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</si>
  <si>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</si>
  <si>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</si>
  <si>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</si>
  <si>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</si>
  <si>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</si>
  <si>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</si>
  <si>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</si>
  <si>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</si>
  <si>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</si>
  <si>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</si>
  <si>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</si>
  <si>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</si>
  <si>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</si>
  <si>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</si>
  <si>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</si>
  <si>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</si>
  <si>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</si>
  <si>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</si>
  <si>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</si>
  <si>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</si>
  <si>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</si>
  <si>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</si>
  <si>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</si>
  <si>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</si>
  <si>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</si>
  <si>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</si>
  <si>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</si>
  <si>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</si>
  <si>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</si>
  <si>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</si>
  <si>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</si>
  <si>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</si>
  <si>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</si>
  <si>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</si>
  <si>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</si>
  <si>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</si>
  <si>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</si>
  <si>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</si>
  <si>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</si>
  <si>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</si>
  <si>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</si>
  <si>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</si>
  <si>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</si>
  <si>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</si>
  <si>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</si>
  <si>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</si>
  <si>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</si>
  <si>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</si>
  <si>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</si>
  <si>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</si>
  <si>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</si>
  <si>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</si>
  <si>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</si>
  <si>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</si>
  <si>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</si>
  <si>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</si>
  <si>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</si>
  <si>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</si>
  <si>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</si>
  <si>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</si>
  <si>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</si>
  <si>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</si>
  <si>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</si>
  <si>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</si>
  <si>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</si>
  <si>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</si>
  <si>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</si>
  <si>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</si>
  <si>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</si>
  <si>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</si>
  <si>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</si>
  <si>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</si>
  <si>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</si>
  <si>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</si>
  <si>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</si>
  <si>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</si>
  <si>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</si>
  <si>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</si>
  <si>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</si>
  <si>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</si>
  <si>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</si>
  <si>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</si>
  <si>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</si>
  <si>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</si>
  <si>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</si>
  <si>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</si>
  <si>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</si>
  <si>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</si>
  <si>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</si>
  <si>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</si>
  <si>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</si>
  <si>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</si>
  <si>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</si>
  <si>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</si>
  <si>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</si>
  <si>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</si>
  <si>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</si>
  <si>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</si>
  <si>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</si>
  <si>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</si>
  <si>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</si>
  <si>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</si>
  <si>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</si>
  <si>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</si>
  <si>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</si>
  <si>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</si>
  <si>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</si>
  <si>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</si>
  <si>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</si>
  <si>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</si>
  <si>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</si>
  <si>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</si>
  <si>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</si>
  <si>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</si>
  <si>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</si>
  <si>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</si>
  <si>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</si>
  <si>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</si>
  <si>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</si>
  <si>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</si>
  <si>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</si>
  <si>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</si>
  <si>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</si>
  <si>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</si>
  <si>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</si>
  <si>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</si>
  <si>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</si>
  <si>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</si>
  <si>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</si>
  <si>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</si>
  <si>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</si>
  <si>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</si>
  <si>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</si>
  <si>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</si>
  <si>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</si>
  <si>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</si>
  <si>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</si>
  <si>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</si>
  <si>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</si>
  <si>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</si>
  <si>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</si>
  <si>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</si>
  <si>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</si>
  <si>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</si>
  <si>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</si>
  <si>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</si>
  <si>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</si>
  <si>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</si>
  <si>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</si>
  <si>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</si>
  <si>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</si>
  <si>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</si>
  <si>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</si>
  <si>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</si>
  <si>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</si>
  <si>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</si>
  <si>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</si>
  <si>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</si>
  <si>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</si>
  <si>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</si>
  <si>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</si>
  <si>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</si>
  <si>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</si>
  <si>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</si>
  <si>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</si>
  <si>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</si>
  <si>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</si>
  <si>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</si>
  <si>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</si>
  <si>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</si>
  <si>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</si>
  <si>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</si>
  <si>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</si>
  <si>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</si>
  <si>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</si>
  <si>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</si>
  <si>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</si>
  <si>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</si>
  <si>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</si>
  <si>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</si>
  <si>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</si>
  <si>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</si>
  <si>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</si>
  <si>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</si>
  <si>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</si>
  <si>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</si>
  <si>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</si>
  <si>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</si>
  <si>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</si>
  <si>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</si>
  <si>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</si>
  <si>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</si>
  <si>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</si>
  <si>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</si>
  <si>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</si>
  <si>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</si>
  <si>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</si>
  <si>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</si>
  <si>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</si>
  <si>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</si>
  <si>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</si>
  <si>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</si>
  <si>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</si>
  <si>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</si>
  <si>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</si>
  <si>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</si>
  <si>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</si>
  <si>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</si>
  <si>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</si>
  <si>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</si>
  <si>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</si>
  <si>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</si>
  <si>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</si>
  <si>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</si>
  <si>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</si>
  <si>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</si>
  <si>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</si>
  <si>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</si>
  <si>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</si>
  <si>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</si>
  <si>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</si>
  <si>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</si>
  <si>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</si>
  <si>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</si>
  <si>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</si>
  <si>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</si>
  <si>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</si>
  <si>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</si>
  <si>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</si>
  <si>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</si>
  <si>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</si>
  <si>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</si>
  <si>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</si>
  <si>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</si>
  <si>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</si>
  <si>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</si>
  <si>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</si>
  <si>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</si>
  <si>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</si>
  <si>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</si>
  <si>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</si>
  <si>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</si>
  <si>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</si>
  <si>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</si>
  <si>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</si>
  <si>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</si>
  <si>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</si>
  <si>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</si>
  <si>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</si>
  <si>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</si>
  <si>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</si>
  <si>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</si>
  <si>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</si>
  <si>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</si>
  <si>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</si>
  <si>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</si>
  <si>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</si>
  <si>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</si>
  <si>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</si>
  <si>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</si>
  <si>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</si>
  <si>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</si>
  <si>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</si>
  <si>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</si>
  <si>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</si>
  <si>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</si>
  <si>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</si>
  <si>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</si>
  <si>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</si>
  <si>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</si>
  <si>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</si>
  <si>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</si>
  <si>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</si>
  <si>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</si>
  <si>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</si>
  <si>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</si>
  <si>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</si>
  <si>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</si>
  <si>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</si>
  <si>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</si>
  <si>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</si>
  <si>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</si>
  <si>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</si>
  <si>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</si>
  <si>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</si>
  <si>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</si>
  <si>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</si>
  <si>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</si>
  <si>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</si>
  <si>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</si>
  <si>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</si>
  <si>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</si>
  <si>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</si>
  <si>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</si>
  <si>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</si>
  <si>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</si>
  <si>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</si>
  <si>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</si>
  <si>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</si>
  <si>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</si>
  <si>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</si>
  <si>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</si>
  <si>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</si>
  <si>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</si>
  <si>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</si>
  <si>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</si>
  <si>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</si>
  <si>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</si>
  <si>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</si>
  <si>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</si>
  <si>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</si>
  <si>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</si>
  <si>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</si>
  <si>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</si>
  <si>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</si>
  <si>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</si>
  <si>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</si>
  <si>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</si>
  <si>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</si>
  <si>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</si>
  <si>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</si>
  <si>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</si>
  <si>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</si>
  <si>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</si>
  <si>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</si>
  <si>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</si>
  <si>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</si>
  <si>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</si>
  <si>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</si>
  <si>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</si>
  <si>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</si>
  <si>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</si>
  <si>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</si>
  <si>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</si>
  <si>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</si>
  <si>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</si>
  <si>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</si>
  <si>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</si>
  <si>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</si>
  <si>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</si>
  <si>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</si>
  <si>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</si>
  <si>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</si>
  <si>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</si>
  <si>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</si>
  <si>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</si>
  <si>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</si>
  <si>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</si>
  <si>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</si>
  <si>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</si>
  <si>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</si>
  <si>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</si>
  <si>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</si>
  <si>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</si>
  <si>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</si>
  <si>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</si>
  <si>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</si>
  <si>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</si>
  <si>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</si>
  <si>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</si>
  <si>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</si>
  <si>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</si>
  <si>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</si>
  <si>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</si>
  <si>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</si>
  <si>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</si>
  <si>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</si>
  <si>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</si>
  <si>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</si>
  <si>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</si>
  <si>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</si>
  <si>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</si>
  <si>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</si>
  <si>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</si>
  <si>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</si>
  <si>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</si>
  <si>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</si>
  <si>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</si>
  <si>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</si>
  <si>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</si>
  <si>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</si>
  <si>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</si>
  <si>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</si>
  <si>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</si>
  <si>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</si>
  <si>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</si>
  <si>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</si>
  <si>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</si>
  <si>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</si>
  <si>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</si>
  <si>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</si>
  <si>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</si>
  <si>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</si>
  <si>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</si>
  <si>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</si>
  <si>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</si>
  <si>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</si>
  <si>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</si>
  <si>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</si>
  <si>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</si>
  <si>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</si>
  <si>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</si>
  <si>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</si>
  <si>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</si>
  <si>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</si>
  <si>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</si>
  <si>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</si>
  <si>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</si>
  <si>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</si>
  <si>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</si>
  <si>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</si>
  <si>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</si>
  <si>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</si>
  <si>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</si>
  <si>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</si>
  <si>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</si>
  <si>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</si>
  <si>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</si>
  <si>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</si>
  <si>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</si>
  <si>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</si>
  <si>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</si>
  <si>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</si>
  <si>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</si>
  <si>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</si>
  <si>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</si>
  <si>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</si>
  <si>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</si>
  <si>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</si>
  <si>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</si>
  <si>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</si>
  <si>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</si>
  <si>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</si>
  <si>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</si>
  <si>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</si>
  <si>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</si>
  <si>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</si>
  <si>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</si>
  <si>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</si>
  <si>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</si>
  <si>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</si>
  <si>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</si>
  <si>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</si>
  <si>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</si>
  <si>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</si>
  <si>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</si>
  <si>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</si>
  <si>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</si>
  <si>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</si>
  <si>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</si>
  <si>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</si>
  <si>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</si>
  <si>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</si>
  <si>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</si>
  <si>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</si>
  <si>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</si>
  <si>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</si>
  <si>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</si>
  <si>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</si>
  <si>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</si>
  <si>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</si>
  <si>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</si>
  <si>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</si>
  <si>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</si>
  <si>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</si>
  <si>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</si>
  <si>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</si>
  <si>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</si>
  <si>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</si>
  <si>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</si>
  <si>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</si>
  <si>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</si>
  <si>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</si>
  <si>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</si>
  <si>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</si>
  <si>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</si>
  <si>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</si>
  <si>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</si>
  <si>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</si>
  <si>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</si>
  <si>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</si>
  <si>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</si>
  <si>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</si>
  <si>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</si>
  <si>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</si>
  <si>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</si>
  <si>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</si>
  <si>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</si>
  <si>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</si>
  <si>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</si>
  <si>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</si>
  <si>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</si>
  <si>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</si>
  <si>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</si>
  <si>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</si>
  <si>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</si>
  <si>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</si>
  <si>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</si>
  <si>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</si>
  <si>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</si>
  <si>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</si>
  <si>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</si>
  <si>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</si>
  <si>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</si>
  <si>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</si>
  <si>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</si>
  <si>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</si>
  <si>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</si>
  <si>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</si>
  <si>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</si>
  <si>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</si>
  <si>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</si>
  <si>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</si>
  <si>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</si>
  <si>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</si>
  <si>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</si>
  <si>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</si>
  <si>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</si>
  <si>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</si>
  <si>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</si>
  <si>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</si>
  <si>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</si>
  <si>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</si>
  <si>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</si>
  <si>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</si>
  <si>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</si>
  <si>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</si>
  <si>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</si>
  <si>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</si>
  <si>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</si>
  <si>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</si>
  <si>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</si>
  <si>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</si>
  <si>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</si>
  <si>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</si>
  <si>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</si>
  <si>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</si>
  <si>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</si>
  <si>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</si>
  <si>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</si>
  <si>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</si>
  <si>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</si>
  <si>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</si>
  <si>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</si>
  <si>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</si>
  <si>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</si>
  <si>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</si>
  <si>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</si>
  <si>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</si>
  <si>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</si>
  <si>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</si>
  <si>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</si>
  <si>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</si>
  <si>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</si>
  <si>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</si>
  <si>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</si>
  <si>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</si>
  <si>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</si>
  <si>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</si>
  <si>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</si>
  <si>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</si>
  <si>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</si>
  <si>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</si>
  <si>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</si>
  <si>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</si>
  <si>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</si>
  <si>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</si>
  <si>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</si>
  <si>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</si>
  <si>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</si>
  <si>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</si>
  <si>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</si>
  <si>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</si>
  <si>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</si>
  <si>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</si>
  <si>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</si>
  <si>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</si>
  <si>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</si>
  <si>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</si>
  <si>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</si>
  <si>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</si>
  <si>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</si>
  <si>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</si>
  <si>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</si>
  <si>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</si>
  <si>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</si>
  <si>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</si>
  <si>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</si>
  <si>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</si>
  <si>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</si>
  <si>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</si>
  <si>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</si>
  <si>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</si>
  <si>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</si>
  <si>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</si>
  <si>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</si>
  <si>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</si>
  <si>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</si>
  <si>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</si>
  <si>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</si>
  <si>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</si>
  <si>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</si>
  <si>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</si>
  <si>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</si>
  <si>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</si>
  <si>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</si>
  <si>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</si>
  <si>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</si>
  <si>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</si>
  <si>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</si>
  <si>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</si>
  <si>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</si>
  <si>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</si>
  <si>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</si>
  <si>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</si>
  <si>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</si>
  <si>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</si>
  <si>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</si>
  <si>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</si>
  <si>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</si>
  <si>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</si>
  <si>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</si>
  <si>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</si>
  <si>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</si>
  <si>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</si>
  <si>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</si>
  <si>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</si>
  <si>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</si>
  <si>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</si>
  <si>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</si>
  <si>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</si>
  <si>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</si>
  <si>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</si>
  <si>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</si>
  <si>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</si>
  <si>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</si>
  <si>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</si>
  <si>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</si>
  <si>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</si>
  <si>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</si>
  <si>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</si>
  <si>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</si>
  <si>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</si>
  <si>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</si>
  <si>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</si>
  <si>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</si>
  <si>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</si>
  <si>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</si>
  <si>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</si>
  <si>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</si>
  <si>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</si>
  <si>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</si>
  <si>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</si>
  <si>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</si>
  <si>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</si>
  <si>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</si>
  <si>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</si>
  <si>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</si>
  <si>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</si>
  <si>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</si>
  <si>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</si>
  <si>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</si>
  <si>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</si>
  <si>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</si>
  <si>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</si>
  <si>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</si>
  <si>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</si>
  <si>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</si>
  <si>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</si>
  <si>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</si>
  <si>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</si>
  <si>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</si>
  <si>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</si>
  <si>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</si>
  <si>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</si>
  <si>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</si>
  <si>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</si>
  <si>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</si>
  <si>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</si>
  <si>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</si>
  <si>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</si>
  <si>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</si>
  <si>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</si>
  <si>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</si>
  <si>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</si>
  <si>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</si>
  <si>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</si>
  <si>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</si>
  <si>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</si>
  <si>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</si>
  <si>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</si>
  <si>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</si>
  <si>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</si>
  <si>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</si>
  <si>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</si>
  <si>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</si>
  <si>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</si>
  <si>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</si>
  <si>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</si>
  <si>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</si>
  <si>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</si>
  <si>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</si>
  <si>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</si>
  <si>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</si>
  <si>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</si>
  <si>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</si>
  <si>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</si>
  <si>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</si>
  <si>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</si>
  <si>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</si>
  <si>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</si>
  <si>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</si>
  <si>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</si>
  <si>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</si>
  <si>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</si>
  <si>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</si>
  <si>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</si>
  <si>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</si>
  <si>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</si>
  <si>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</si>
  <si>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</si>
  <si>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</si>
  <si>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</si>
  <si>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현행화 일자: 2026-09-03</t>
  </si>
  <si>
    <t>가격변동</t>
  </si>
  <si>
    <t>세종시 부강면 시목부강로 423</t>
  </si>
  <si>
    <t>신규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</si>
</sst>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1802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1802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1869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1869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8</v>
      </c>
      <c r="C29" s="11" t="s">
        <v>354</v>
      </c>
      <c r="D29" s="15" t="s">
        <v>80</v>
      </c>
      <c r="E29" s="11" t="s">
        <v>26</v>
      </c>
      <c r="F29" s="11" t="s">
        <v>355</v>
      </c>
      <c r="G29" s="12">
        <v>1822</v>
      </c>
      <c r="H29" s="12">
        <v>2299</v>
      </c>
      <c r="I29" s="12"/>
      <c r="J29" s="12">
        <v>1802</v>
      </c>
      <c r="K29" s="12">
        <f t="shared" si="1"/>
        <v>0</v>
      </c>
      <c r="L29" s="12">
        <f t="shared" si="2"/>
        <v>1822</v>
      </c>
      <c r="M29" s="12">
        <f t="shared" si="3"/>
        <v>2299</v>
      </c>
      <c r="N29" s="12">
        <f t="shared" si="4"/>
        <v>1802</v>
      </c>
      <c r="O29" s="12" t="str">
        <f t="shared" si="5"/>
        <v>휘발유 45,550원 / 고급유 45,980원</v>
      </c>
      <c r="P29" s="12">
        <f t="shared" si="6"/>
        <v>91530</v>
      </c>
      <c r="Q29" s="12" t="s">
        <v>63</v>
      </c>
      <c r="R29" s="13">
        <f t="shared" si="7"/>
        <v>0.1</v>
      </c>
      <c r="S29" s="12">
        <f t="shared" si="8"/>
        <v>9153</v>
      </c>
      <c r="T29" s="12">
        <f t="shared" si="9"/>
        <v>82377</v>
      </c>
      <c r="U29" s="12">
        <f t="shared" si="10"/>
        <v>1830.6</v>
      </c>
      <c r="V29" s="12">
        <f t="shared" si="11"/>
        <v>2034</v>
      </c>
      <c r="W29" s="14">
        <f t="shared" si="12"/>
        <v>82377</v>
      </c>
    </row>
    <row r="30" spans="1:23" s="16" customFormat="1" ht="28.5" customHeight="1">
      <c r="A30" s="11">
        <f t="shared" si="0"/>
        <v>16</v>
      </c>
      <c r="B30" s="11" t="s">
        <v>10</v>
      </c>
      <c r="C30" s="11" t="s">
        <v>1676</v>
      </c>
      <c r="D30" s="15" t="s">
        <v>60</v>
      </c>
      <c r="E30" s="11" t="s">
        <v>26</v>
      </c>
      <c r="F30" s="11" t="s">
        <v>1677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63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725</v>
      </c>
      <c r="D31" s="15" t="s">
        <v>80</v>
      </c>
      <c r="E31" s="11" t="s">
        <v>26</v>
      </c>
      <c r="F31" s="11" t="s">
        <v>726</v>
      </c>
      <c r="G31" s="12">
        <v>1833</v>
      </c>
      <c r="H31" s="12">
        <v>2294</v>
      </c>
      <c r="I31" s="12"/>
      <c r="J31" s="12">
        <v>1813</v>
      </c>
      <c r="K31" s="12">
        <f t="shared" si="1"/>
        <v>0</v>
      </c>
      <c r="L31" s="12">
        <f t="shared" si="2"/>
        <v>1833</v>
      </c>
      <c r="M31" s="12">
        <f t="shared" si="3"/>
        <v>2294</v>
      </c>
      <c r="N31" s="12">
        <f t="shared" si="4"/>
        <v>1813</v>
      </c>
      <c r="O31" s="12" t="str">
        <f t="shared" si="5"/>
        <v>휘발유 45,825원 / 고급유 45,880원</v>
      </c>
      <c r="P31" s="12">
        <f t="shared" si="6"/>
        <v>91705</v>
      </c>
      <c r="Q31" s="12" t="s">
        <v>63</v>
      </c>
      <c r="R31" s="13">
        <f t="shared" si="7"/>
        <v>0.1</v>
      </c>
      <c r="S31" s="12">
        <f t="shared" si="8"/>
        <v>9170</v>
      </c>
      <c r="T31" s="12">
        <f t="shared" si="9"/>
        <v>82535</v>
      </c>
      <c r="U31" s="12">
        <f t="shared" si="10"/>
        <v>1834.1111111111111</v>
      </c>
      <c r="V31" s="12">
        <f t="shared" si="11"/>
        <v>2037.8888888888889</v>
      </c>
      <c r="W31" s="14">
        <f t="shared" si="12"/>
        <v>82535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16" customFormat="1" ht="28.5" customHeight="1">
      <c r="A35" s="11">
        <f t="shared" si="0"/>
        <v>21</v>
      </c>
      <c r="B35" s="11" t="s">
        <v>18</v>
      </c>
      <c r="C35" s="11" t="s">
        <v>1021</v>
      </c>
      <c r="D35" s="15" t="s">
        <v>60</v>
      </c>
      <c r="E35" s="11" t="s">
        <v>26</v>
      </c>
      <c r="F35" s="11" t="s">
        <v>1022</v>
      </c>
      <c r="G35" s="12">
        <v>1895</v>
      </c>
      <c r="H35" s="12">
        <v>2355</v>
      </c>
      <c r="I35" s="12"/>
      <c r="J35" s="12">
        <v>1885</v>
      </c>
      <c r="K35" s="12">
        <f t="shared" si="1"/>
        <v>0</v>
      </c>
      <c r="L35" s="12">
        <f t="shared" si="2"/>
        <v>1895</v>
      </c>
      <c r="M35" s="12">
        <f t="shared" si="3"/>
        <v>2355</v>
      </c>
      <c r="N35" s="12">
        <f t="shared" si="4"/>
        <v>1885</v>
      </c>
      <c r="O35" s="12" t="str">
        <f t="shared" si="5"/>
        <v>휘발유 47,375원 / 고급유 47,100원</v>
      </c>
      <c r="P35" s="12">
        <f t="shared" si="6"/>
        <v>94475</v>
      </c>
      <c r="Q35" s="12" t="s">
        <v>63</v>
      </c>
      <c r="R35" s="13">
        <f t="shared" si="7"/>
        <v>0.12</v>
      </c>
      <c r="S35" s="12">
        <f t="shared" si="8"/>
        <v>11337</v>
      </c>
      <c r="T35" s="12">
        <f t="shared" si="9"/>
        <v>83138</v>
      </c>
      <c r="U35" s="12">
        <f t="shared" si="10"/>
        <v>1847.5111111111112</v>
      </c>
      <c r="V35" s="12">
        <f t="shared" si="11"/>
        <v>2099.4444444444443</v>
      </c>
      <c r="W35" s="14">
        <f t="shared" si="12"/>
        <v>83138</v>
      </c>
    </row>
    <row r="36" spans="1:23" s="2" customFormat="1" ht="28.5" customHeight="1">
      <c r="A36" s="11">
        <f t="shared" si="0"/>
        <v>22</v>
      </c>
      <c r="B36" s="11" t="s">
        <v>14</v>
      </c>
      <c r="C36" s="11" t="s">
        <v>767</v>
      </c>
      <c r="D36" s="15" t="s">
        <v>45</v>
      </c>
      <c r="E36" s="11" t="s">
        <v>26</v>
      </c>
      <c r="F36" s="11" t="s">
        <v>768</v>
      </c>
      <c r="G36" s="12">
        <v>1823</v>
      </c>
      <c r="H36" s="12">
        <v>2345</v>
      </c>
      <c r="I36" s="12"/>
      <c r="J36" s="12">
        <v>1798</v>
      </c>
      <c r="K36" s="12">
        <f t="shared" si="1"/>
        <v>0</v>
      </c>
      <c r="L36" s="12">
        <f t="shared" si="2"/>
        <v>1823</v>
      </c>
      <c r="M36" s="12">
        <f t="shared" si="3"/>
        <v>2345</v>
      </c>
      <c r="N36" s="12">
        <f t="shared" si="4"/>
        <v>1798</v>
      </c>
      <c r="O36" s="12" t="str">
        <f t="shared" si="5"/>
        <v>휘발유 45,575원 / 고급유 46,900원</v>
      </c>
      <c r="P36" s="12">
        <f t="shared" si="6"/>
        <v>92475</v>
      </c>
      <c r="Q36" s="12" t="s">
        <v>63</v>
      </c>
      <c r="R36" s="13">
        <f t="shared" si="7"/>
        <v>0.1</v>
      </c>
      <c r="S36" s="12">
        <f t="shared" si="8"/>
        <v>9247</v>
      </c>
      <c r="T36" s="12">
        <f t="shared" si="9"/>
        <v>83228</v>
      </c>
      <c r="U36" s="12">
        <f t="shared" si="10"/>
        <v>1849.5111111111112</v>
      </c>
      <c r="V36" s="12">
        <f t="shared" si="11"/>
        <v>2055</v>
      </c>
      <c r="W36" s="14">
        <f t="shared" si="12"/>
        <v>83228</v>
      </c>
    </row>
    <row r="37" spans="1:23" s="16" customFormat="1" ht="28.5" customHeight="1">
      <c r="A37" s="11">
        <f t="shared" si="0"/>
        <v>23</v>
      </c>
      <c r="B37" s="11" t="s">
        <v>12</v>
      </c>
      <c r="C37" s="11" t="s">
        <v>1338</v>
      </c>
      <c r="D37" s="15" t="s">
        <v>80</v>
      </c>
      <c r="E37" s="11" t="s">
        <v>26</v>
      </c>
      <c r="F37" s="11" t="s">
        <v>1339</v>
      </c>
      <c r="G37" s="12">
        <v>1865</v>
      </c>
      <c r="H37" s="12">
        <v>2295</v>
      </c>
      <c r="I37" s="12"/>
      <c r="J37" s="12">
        <v>1849</v>
      </c>
      <c r="K37" s="12">
        <f t="shared" si="1"/>
        <v>0</v>
      </c>
      <c r="L37" s="12">
        <f t="shared" si="2"/>
        <v>1865</v>
      </c>
      <c r="M37" s="12">
        <f t="shared" si="3"/>
        <v>2295</v>
      </c>
      <c r="N37" s="12">
        <f t="shared" si="4"/>
        <v>1849</v>
      </c>
      <c r="O37" s="12" t="str">
        <f t="shared" si="5"/>
        <v>휘발유 46,625원 / 고급유 45,900원</v>
      </c>
      <c r="P37" s="12">
        <f t="shared" si="6"/>
        <v>92525</v>
      </c>
      <c r="Q37" s="12" t="s">
        <v>63</v>
      </c>
      <c r="R37" s="13">
        <f t="shared" si="7"/>
        <v>0.1</v>
      </c>
      <c r="S37" s="12">
        <f t="shared" si="8"/>
        <v>9252</v>
      </c>
      <c r="T37" s="12">
        <f t="shared" si="9"/>
        <v>83273</v>
      </c>
      <c r="U37" s="12">
        <f t="shared" si="10"/>
        <v>1850.5111111111112</v>
      </c>
      <c r="V37" s="12">
        <f t="shared" si="11"/>
        <v>2056.1111111111113</v>
      </c>
      <c r="W37" s="14">
        <f t="shared" si="12"/>
        <v>83273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1668</v>
      </c>
      <c r="D38" s="15" t="s">
        <v>80</v>
      </c>
      <c r="E38" s="11" t="s">
        <v>26</v>
      </c>
      <c r="F38" s="11" t="s">
        <v>1669</v>
      </c>
      <c r="G38" s="12">
        <v>1849</v>
      </c>
      <c r="H38" s="12">
        <v>2319</v>
      </c>
      <c r="I38" s="12"/>
      <c r="J38" s="12">
        <v>1819</v>
      </c>
      <c r="K38" s="12">
        <f t="shared" si="1"/>
        <v>0</v>
      </c>
      <c r="L38" s="12">
        <f t="shared" si="2"/>
        <v>1849</v>
      </c>
      <c r="M38" s="12">
        <f t="shared" si="3"/>
        <v>2319</v>
      </c>
      <c r="N38" s="12">
        <f t="shared" si="4"/>
        <v>1819</v>
      </c>
      <c r="O38" s="12" t="str">
        <f t="shared" si="5"/>
        <v>휘발유 46,225원 / 고급유 46,380원</v>
      </c>
      <c r="P38" s="12">
        <f t="shared" si="6"/>
        <v>92605</v>
      </c>
      <c r="Q38" s="12" t="s">
        <v>63</v>
      </c>
      <c r="R38" s="13">
        <f t="shared" si="7"/>
        <v>0.1</v>
      </c>
      <c r="S38" s="12">
        <f t="shared" si="8"/>
        <v>9260</v>
      </c>
      <c r="T38" s="12">
        <f t="shared" si="9"/>
        <v>83345</v>
      </c>
      <c r="U38" s="12">
        <f t="shared" si="10"/>
        <v>1852.1111111111111</v>
      </c>
      <c r="V38" s="12">
        <f t="shared" si="11"/>
        <v>2057.8888888888887</v>
      </c>
      <c r="W38" s="14">
        <f t="shared" si="12"/>
        <v>83345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1015</v>
      </c>
      <c r="D39" s="15" t="s">
        <v>80</v>
      </c>
      <c r="E39" s="11" t="s">
        <v>26</v>
      </c>
      <c r="F39" s="11" t="s">
        <v>1016</v>
      </c>
      <c r="G39" s="12">
        <v>1849</v>
      </c>
      <c r="H39" s="12">
        <v>2328</v>
      </c>
      <c r="I39" s="12"/>
      <c r="J39" s="12">
        <v>1839</v>
      </c>
      <c r="K39" s="12">
        <f t="shared" si="1"/>
        <v>0</v>
      </c>
      <c r="L39" s="12">
        <f t="shared" si="2"/>
        <v>1849</v>
      </c>
      <c r="M39" s="12">
        <f t="shared" si="3"/>
        <v>2328</v>
      </c>
      <c r="N39" s="12">
        <f t="shared" si="4"/>
        <v>1839</v>
      </c>
      <c r="O39" s="12" t="str">
        <f t="shared" si="5"/>
        <v>휘발유 46,225원 / 고급유 46,560원</v>
      </c>
      <c r="P39" s="12">
        <f t="shared" si="6"/>
        <v>92785</v>
      </c>
      <c r="Q39" s="12" t="s">
        <v>63</v>
      </c>
      <c r="R39" s="13">
        <f t="shared" si="7"/>
        <v>0.1</v>
      </c>
      <c r="S39" s="12">
        <f t="shared" si="8"/>
        <v>9278</v>
      </c>
      <c r="T39" s="12">
        <f t="shared" si="9"/>
        <v>83507</v>
      </c>
      <c r="U39" s="12">
        <f t="shared" si="10"/>
        <v>1855.7111111111112</v>
      </c>
      <c r="V39" s="12">
        <f t="shared" si="11"/>
        <v>2061.8888888888887</v>
      </c>
      <c r="W39" s="14">
        <f t="shared" si="12"/>
        <v>83507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1752</v>
      </c>
      <c r="D52" s="11" t="s">
        <v>45</v>
      </c>
      <c r="E52" s="11" t="s">
        <v>26</v>
      </c>
      <c r="F52" s="11" t="s">
        <v>1753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2" customFormat="1" ht="28.5" customHeight="1">
      <c r="A54" s="11">
        <f t="shared" si="0"/>
        <v>39</v>
      </c>
      <c r="B54" s="11" t="s">
        <v>10</v>
      </c>
      <c r="C54" s="11" t="s">
        <v>1491</v>
      </c>
      <c r="D54" s="11" t="s">
        <v>48</v>
      </c>
      <c r="E54" s="11" t="s">
        <v>26</v>
      </c>
      <c r="F54" s="11" t="s">
        <v>1492</v>
      </c>
      <c r="G54" s="12">
        <v>1814</v>
      </c>
      <c r="H54" s="12">
        <v>2229</v>
      </c>
      <c r="I54" s="12"/>
      <c r="J54" s="12">
        <v>1798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1798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586</v>
      </c>
      <c r="D55" s="15" t="s">
        <v>80</v>
      </c>
      <c r="E55" s="11" t="s">
        <v>26</v>
      </c>
      <c r="F55" s="11" t="s">
        <v>587</v>
      </c>
      <c r="G55" s="12">
        <v>1810</v>
      </c>
      <c r="H55" s="12">
        <v>2235</v>
      </c>
      <c r="I55" s="12"/>
      <c r="J55" s="12">
        <v>1809</v>
      </c>
      <c r="K55" s="12">
        <f t="shared" si="1"/>
        <v>0</v>
      </c>
      <c r="L55" s="12">
        <f t="shared" si="2"/>
        <v>1810</v>
      </c>
      <c r="M55" s="12">
        <f t="shared" si="3"/>
        <v>2235</v>
      </c>
      <c r="N55" s="12">
        <f t="shared" si="4"/>
        <v>1809</v>
      </c>
      <c r="O55" s="12" t="str">
        <f t="shared" si="5"/>
        <v>휘발유 45,250원 / 고급유 44,700원</v>
      </c>
      <c r="P55" s="12">
        <f t="shared" si="6"/>
        <v>89950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89950</v>
      </c>
      <c r="U55" s="12">
        <f t="shared" si="10"/>
        <v>1998.8888888888889</v>
      </c>
      <c r="V55" s="12">
        <f t="shared" si="11"/>
        <v>1998.8888888888889</v>
      </c>
      <c r="W55" s="14">
        <f t="shared" si="12"/>
        <v>89950</v>
      </c>
    </row>
    <row r="56" spans="1:23" s="7" customFormat="1" ht="28.5" customHeight="1">
      <c r="A56" s="11">
        <f t="shared" si="0"/>
        <v>42</v>
      </c>
      <c r="B56" s="11" t="s">
        <v>6</v>
      </c>
      <c r="C56" s="11" t="s">
        <v>338</v>
      </c>
      <c r="D56" s="15" t="s">
        <v>60</v>
      </c>
      <c r="E56" s="11" t="s">
        <v>26</v>
      </c>
      <c r="F56" s="11" t="s">
        <v>339</v>
      </c>
      <c r="G56" s="12">
        <v>1815</v>
      </c>
      <c r="H56" s="12">
        <v>2235</v>
      </c>
      <c r="I56" s="12"/>
      <c r="J56" s="12">
        <v>1805</v>
      </c>
      <c r="K56" s="12">
        <f t="shared" si="1"/>
        <v>0</v>
      </c>
      <c r="L56" s="12">
        <f t="shared" si="2"/>
        <v>1815</v>
      </c>
      <c r="M56" s="12">
        <f t="shared" si="3"/>
        <v>2235</v>
      </c>
      <c r="N56" s="12">
        <f t="shared" si="4"/>
        <v>1805</v>
      </c>
      <c r="O56" s="12" t="str">
        <f t="shared" si="5"/>
        <v>휘발유 45,375원 / 고급유 44,700원</v>
      </c>
      <c r="P56" s="12">
        <f t="shared" si="6"/>
        <v>90075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90075</v>
      </c>
      <c r="U56" s="12">
        <f t="shared" si="10"/>
        <v>2001.6666666666667</v>
      </c>
      <c r="V56" s="12">
        <f t="shared" si="11"/>
        <v>2001.6666666666667</v>
      </c>
      <c r="W56" s="14">
        <f t="shared" si="12"/>
        <v>90075</v>
      </c>
    </row>
    <row r="57" spans="1:23" s="7" customFormat="1" ht="28.5" customHeight="1">
      <c r="A57" s="11">
        <f t="shared" si="0"/>
        <v>43</v>
      </c>
      <c r="B57" s="11" t="s">
        <v>10</v>
      </c>
      <c r="C57" s="11" t="s">
        <v>810</v>
      </c>
      <c r="D57" s="15" t="s">
        <v>60</v>
      </c>
      <c r="E57" s="11" t="s">
        <v>26</v>
      </c>
      <c r="F57" s="11" t="s">
        <v>811</v>
      </c>
      <c r="G57" s="12">
        <v>1828</v>
      </c>
      <c r="H57" s="12">
        <v>2220</v>
      </c>
      <c r="I57" s="12"/>
      <c r="J57" s="12">
        <v>1795</v>
      </c>
      <c r="K57" s="12">
        <f t="shared" si="1"/>
        <v>0</v>
      </c>
      <c r="L57" s="12">
        <f t="shared" si="2"/>
        <v>1828</v>
      </c>
      <c r="M57" s="12">
        <f t="shared" si="3"/>
        <v>2220</v>
      </c>
      <c r="N57" s="12">
        <f t="shared" si="4"/>
        <v>1795</v>
      </c>
      <c r="O57" s="12" t="str">
        <f t="shared" si="5"/>
        <v>휘발유 45,700원 / 고급유 44,400원</v>
      </c>
      <c r="P57" s="12">
        <f t="shared" si="6"/>
        <v>90100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90100</v>
      </c>
      <c r="U57" s="12">
        <f t="shared" si="10"/>
        <v>2002.2222222222222</v>
      </c>
      <c r="V57" s="12">
        <f t="shared" si="11"/>
        <v>2002.2222222222222</v>
      </c>
      <c r="W57" s="14">
        <f t="shared" si="12"/>
        <v>90100</v>
      </c>
    </row>
    <row r="58" spans="1:23" s="16" customFormat="1" ht="28.5" customHeight="1">
      <c r="A58" s="11">
        <f t="shared" si="0"/>
        <v>44</v>
      </c>
      <c r="B58" s="11" t="s">
        <v>6</v>
      </c>
      <c r="C58" s="11" t="s">
        <v>1712</v>
      </c>
      <c r="D58" s="15" t="s">
        <v>45</v>
      </c>
      <c r="E58" s="11" t="s">
        <v>26</v>
      </c>
      <c r="F58" s="11" t="s">
        <v>1713</v>
      </c>
      <c r="G58" s="12">
        <v>1825</v>
      </c>
      <c r="H58" s="12">
        <v>2225</v>
      </c>
      <c r="I58" s="12"/>
      <c r="J58" s="12">
        <v>1810</v>
      </c>
      <c r="K58" s="12">
        <f t="shared" si="1"/>
        <v>0</v>
      </c>
      <c r="L58" s="12">
        <f t="shared" si="2"/>
        <v>1825</v>
      </c>
      <c r="M58" s="12">
        <f t="shared" si="3"/>
        <v>2225</v>
      </c>
      <c r="N58" s="12">
        <f t="shared" si="4"/>
        <v>1810</v>
      </c>
      <c r="O58" s="12" t="str">
        <f t="shared" si="5"/>
        <v>휘발유 45,625원 / 고급유 44,500원</v>
      </c>
      <c r="P58" s="12">
        <f t="shared" si="6"/>
        <v>90125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90125</v>
      </c>
      <c r="U58" s="12">
        <f t="shared" si="10"/>
        <v>2002.7777777777778</v>
      </c>
      <c r="V58" s="12">
        <f t="shared" si="11"/>
        <v>2002.7777777777778</v>
      </c>
      <c r="W58" s="14">
        <f t="shared" si="12"/>
        <v>90125</v>
      </c>
    </row>
    <row r="59" spans="1:23" s="2" customFormat="1" ht="28.5" customHeight="1">
      <c r="A59" s="11">
        <f t="shared" si="0"/>
        <v>45</v>
      </c>
      <c r="B59" s="11" t="s">
        <v>6</v>
      </c>
      <c r="C59" s="11" t="s">
        <v>320</v>
      </c>
      <c r="D59" s="15" t="s">
        <v>45</v>
      </c>
      <c r="E59" s="11" t="s">
        <v>26</v>
      </c>
      <c r="F59" s="11" t="s">
        <v>321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7" customFormat="1" ht="28.5" customHeight="1">
      <c r="A60" s="11">
        <f t="shared" si="0"/>
        <v>45</v>
      </c>
      <c r="B60" s="11" t="s">
        <v>6</v>
      </c>
      <c r="C60" s="11" t="s">
        <v>1336</v>
      </c>
      <c r="D60" s="15" t="s">
        <v>45</v>
      </c>
      <c r="E60" s="11" t="s">
        <v>26</v>
      </c>
      <c r="F60" s="11" t="s">
        <v>1337</v>
      </c>
      <c r="G60" s="12">
        <v>1814</v>
      </c>
      <c r="H60" s="12">
        <v>2239</v>
      </c>
      <c r="I60" s="12"/>
      <c r="J60" s="12">
        <v>1814</v>
      </c>
      <c r="K60" s="12">
        <f t="shared" si="1"/>
        <v>0</v>
      </c>
      <c r="L60" s="12">
        <f t="shared" si="2"/>
        <v>1814</v>
      </c>
      <c r="M60" s="12">
        <f t="shared" si="3"/>
        <v>2239</v>
      </c>
      <c r="N60" s="12">
        <f t="shared" si="4"/>
        <v>1814</v>
      </c>
      <c r="O60" s="12" t="str">
        <f t="shared" si="5"/>
        <v>휘발유 45,350원 / 고급유 44,780원</v>
      </c>
      <c r="P60" s="12">
        <f t="shared" si="6"/>
        <v>90130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90130</v>
      </c>
      <c r="U60" s="12">
        <f t="shared" si="10"/>
        <v>2002.8888888888889</v>
      </c>
      <c r="V60" s="12">
        <f t="shared" si="11"/>
        <v>2002.8888888888889</v>
      </c>
      <c r="W60" s="14">
        <f t="shared" si="12"/>
        <v>90130</v>
      </c>
    </row>
    <row r="61" spans="1:23" s="2" customFormat="1" ht="28.5" customHeight="1">
      <c r="A61" s="11">
        <f t="shared" si="0"/>
        <v>45</v>
      </c>
      <c r="B61" s="11" t="s">
        <v>6</v>
      </c>
      <c r="C61" s="11" t="s">
        <v>1517</v>
      </c>
      <c r="D61" s="15" t="s">
        <v>45</v>
      </c>
      <c r="E61" s="11" t="s">
        <v>26</v>
      </c>
      <c r="F61" s="11" t="s">
        <v>1518</v>
      </c>
      <c r="G61" s="12">
        <v>1814</v>
      </c>
      <c r="H61" s="12">
        <v>2239</v>
      </c>
      <c r="I61" s="12"/>
      <c r="J61" s="12">
        <v>1814</v>
      </c>
      <c r="K61" s="12">
        <f t="shared" si="1"/>
        <v>0</v>
      </c>
      <c r="L61" s="12">
        <f t="shared" si="2"/>
        <v>1814</v>
      </c>
      <c r="M61" s="12">
        <f t="shared" si="3"/>
        <v>2239</v>
      </c>
      <c r="N61" s="12">
        <f t="shared" si="4"/>
        <v>1814</v>
      </c>
      <c r="O61" s="12" t="str">
        <f t="shared" si="5"/>
        <v>휘발유 45,350원 / 고급유 44,780원</v>
      </c>
      <c r="P61" s="12">
        <f t="shared" si="6"/>
        <v>90130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90130</v>
      </c>
      <c r="U61" s="12">
        <f t="shared" si="10"/>
        <v>2002.8888888888889</v>
      </c>
      <c r="V61" s="12">
        <f t="shared" si="11"/>
        <v>2002.8888888888889</v>
      </c>
      <c r="W61" s="14">
        <f t="shared" si="12"/>
        <v>90130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888</v>
      </c>
      <c r="D62" s="15" t="s">
        <v>45</v>
      </c>
      <c r="E62" s="11" t="s">
        <v>26</v>
      </c>
      <c r="F62" s="11" t="s">
        <v>889</v>
      </c>
      <c r="G62" s="12">
        <v>1818</v>
      </c>
      <c r="H62" s="12">
        <v>2239</v>
      </c>
      <c r="I62" s="12"/>
      <c r="J62" s="12">
        <v>1799</v>
      </c>
      <c r="K62" s="12">
        <f t="shared" si="1"/>
        <v>0</v>
      </c>
      <c r="L62" s="12">
        <f t="shared" si="2"/>
        <v>1818</v>
      </c>
      <c r="M62" s="12">
        <f t="shared" si="3"/>
        <v>2239</v>
      </c>
      <c r="N62" s="12">
        <f t="shared" si="4"/>
        <v>1799</v>
      </c>
      <c r="O62" s="12" t="str">
        <f t="shared" si="5"/>
        <v>휘발유 45,450원 / 고급유 44,780원</v>
      </c>
      <c r="P62" s="12">
        <f t="shared" si="6"/>
        <v>90230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90230</v>
      </c>
      <c r="U62" s="12">
        <f t="shared" si="10"/>
        <v>2005.1111111111111</v>
      </c>
      <c r="V62" s="12">
        <f t="shared" si="11"/>
        <v>2005.1111111111111</v>
      </c>
      <c r="W62" s="14">
        <f t="shared" si="12"/>
        <v>90230</v>
      </c>
    </row>
    <row r="63" spans="1:23" s="16" customFormat="1" ht="28.5" customHeight="1">
      <c r="A63" s="11">
        <f t="shared" si="0"/>
        <v>49</v>
      </c>
      <c r="B63" s="11" t="s">
        <v>16</v>
      </c>
      <c r="C63" s="11" t="s">
        <v>651</v>
      </c>
      <c r="D63" s="11" t="s">
        <v>57</v>
      </c>
      <c r="E63" s="11" t="s">
        <v>26</v>
      </c>
      <c r="F63" s="11" t="s">
        <v>652</v>
      </c>
      <c r="G63" s="12">
        <v>1859</v>
      </c>
      <c r="H63" s="12">
        <v>2190</v>
      </c>
      <c r="I63" s="12"/>
      <c r="J63" s="12">
        <v>1819</v>
      </c>
      <c r="K63" s="12">
        <f t="shared" si="1"/>
        <v>0</v>
      </c>
      <c r="L63" s="12">
        <f t="shared" si="2"/>
        <v>1859</v>
      </c>
      <c r="M63" s="12">
        <f t="shared" si="3"/>
        <v>2190</v>
      </c>
      <c r="N63" s="12">
        <f t="shared" si="4"/>
        <v>1819</v>
      </c>
      <c r="O63" s="12" t="str">
        <f t="shared" si="5"/>
        <v>휘발유 46,475원 / 고급유 43,800원</v>
      </c>
      <c r="P63" s="12">
        <f t="shared" si="6"/>
        <v>90275</v>
      </c>
      <c r="Q63" s="12"/>
      <c r="R63" s="13">
        <f t="shared" si="7"/>
        <v>0</v>
      </c>
      <c r="S63" s="12">
        <f t="shared" si="8"/>
        <v>0</v>
      </c>
      <c r="T63" s="12">
        <f t="shared" si="9"/>
        <v>90275</v>
      </c>
      <c r="U63" s="12">
        <f t="shared" si="10"/>
        <v>2006.1111111111111</v>
      </c>
      <c r="V63" s="12">
        <f t="shared" si="11"/>
        <v>2006.1111111111111</v>
      </c>
      <c r="W63" s="14">
        <f t="shared" si="12"/>
        <v>90275</v>
      </c>
    </row>
    <row r="64" spans="1:23" s="2" customFormat="1" ht="28.5" customHeight="1">
      <c r="A64" s="11">
        <f t="shared" si="0"/>
        <v>50</v>
      </c>
      <c r="B64" s="11" t="s">
        <v>6</v>
      </c>
      <c r="C64" s="11" t="s">
        <v>52</v>
      </c>
      <c r="D64" s="15" t="s">
        <v>45</v>
      </c>
      <c r="E64" s="11" t="s">
        <v>26</v>
      </c>
      <c r="F64" s="11" t="s">
        <v>53</v>
      </c>
      <c r="G64" s="12">
        <v>1807</v>
      </c>
      <c r="H64" s="12">
        <v>2256</v>
      </c>
      <c r="I64" s="12"/>
      <c r="J64" s="12">
        <v>1787</v>
      </c>
      <c r="K64" s="12">
        <f t="shared" si="1"/>
        <v>0</v>
      </c>
      <c r="L64" s="12">
        <f t="shared" si="2"/>
        <v>1807</v>
      </c>
      <c r="M64" s="12">
        <f t="shared" si="3"/>
        <v>2256</v>
      </c>
      <c r="N64" s="12">
        <f t="shared" si="4"/>
        <v>1787</v>
      </c>
      <c r="O64" s="12" t="str">
        <f t="shared" si="5"/>
        <v>휘발유 45,175원 / 고급유 45,120원</v>
      </c>
      <c r="P64" s="12">
        <f t="shared" si="6"/>
        <v>90295</v>
      </c>
      <c r="Q64" s="12"/>
      <c r="R64" s="13">
        <f t="shared" si="7"/>
        <v>0</v>
      </c>
      <c r="S64" s="12">
        <f t="shared" si="8"/>
        <v>0</v>
      </c>
      <c r="T64" s="12">
        <f t="shared" si="9"/>
        <v>90295</v>
      </c>
      <c r="U64" s="12">
        <f t="shared" si="10"/>
        <v>2006.5555555555557</v>
      </c>
      <c r="V64" s="12">
        <f t="shared" si="11"/>
        <v>2006.5555555555557</v>
      </c>
      <c r="W64" s="14">
        <f t="shared" si="12"/>
        <v>90295</v>
      </c>
    </row>
    <row r="65" spans="1:23" s="16" customFormat="1" ht="28.5" customHeight="1">
      <c r="A65" s="11">
        <f t="shared" si="0"/>
        <v>51</v>
      </c>
      <c r="B65" s="11" t="s">
        <v>10</v>
      </c>
      <c r="C65" s="11" t="s">
        <v>563</v>
      </c>
      <c r="D65" s="15" t="s">
        <v>45</v>
      </c>
      <c r="E65" s="11" t="s">
        <v>26</v>
      </c>
      <c r="F65" s="11" t="s">
        <v>564</v>
      </c>
      <c r="G65" s="12">
        <v>1824</v>
      </c>
      <c r="H65" s="12">
        <v>2235</v>
      </c>
      <c r="I65" s="12"/>
      <c r="J65" s="12">
        <v>1814</v>
      </c>
      <c r="K65" s="12">
        <f t="shared" si="1"/>
        <v>0</v>
      </c>
      <c r="L65" s="12">
        <f t="shared" si="2"/>
        <v>1824</v>
      </c>
      <c r="M65" s="12">
        <f t="shared" si="3"/>
        <v>2235</v>
      </c>
      <c r="N65" s="12">
        <f t="shared" si="4"/>
        <v>1814</v>
      </c>
      <c r="O65" s="12" t="str">
        <f t="shared" si="5"/>
        <v>휘발유 45,600원 / 고급유 44,700원</v>
      </c>
      <c r="P65" s="12">
        <f t="shared" si="6"/>
        <v>90300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90300</v>
      </c>
      <c r="U65" s="12">
        <f t="shared" si="10"/>
        <v>2006.6666666666667</v>
      </c>
      <c r="V65" s="12">
        <f t="shared" si="11"/>
        <v>2006.6666666666667</v>
      </c>
      <c r="W65" s="14">
        <f t="shared" si="12"/>
        <v>90300</v>
      </c>
    </row>
    <row r="66" spans="1:23" s="2" customFormat="1" ht="28.5" customHeight="1">
      <c r="A66" s="11">
        <f t="shared" si="0"/>
        <v>51</v>
      </c>
      <c r="B66" s="11" t="s">
        <v>16</v>
      </c>
      <c r="C66" s="11" t="s">
        <v>1175</v>
      </c>
      <c r="D66" s="15" t="s">
        <v>60</v>
      </c>
      <c r="E66" s="11" t="s">
        <v>26</v>
      </c>
      <c r="F66" s="11" t="s">
        <v>1176</v>
      </c>
      <c r="G66" s="12">
        <v>1860</v>
      </c>
      <c r="H66" s="12">
        <v>2190</v>
      </c>
      <c r="I66" s="12"/>
      <c r="J66" s="12">
        <v>1819</v>
      </c>
      <c r="K66" s="12">
        <f t="shared" si="1"/>
        <v>0</v>
      </c>
      <c r="L66" s="12">
        <f t="shared" si="2"/>
        <v>1860</v>
      </c>
      <c r="M66" s="12">
        <f t="shared" si="3"/>
        <v>2190</v>
      </c>
      <c r="N66" s="12">
        <f t="shared" si="4"/>
        <v>1819</v>
      </c>
      <c r="O66" s="12" t="str">
        <f t="shared" si="5"/>
        <v>휘발유 46,500원 / 고급유 43,800원</v>
      </c>
      <c r="P66" s="12">
        <f t="shared" si="6"/>
        <v>90300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90300</v>
      </c>
      <c r="U66" s="12">
        <f t="shared" si="10"/>
        <v>2006.6666666666667</v>
      </c>
      <c r="V66" s="12">
        <f t="shared" si="11"/>
        <v>2006.6666666666667</v>
      </c>
      <c r="W66" s="14">
        <f t="shared" si="12"/>
        <v>90300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1041</v>
      </c>
      <c r="D67" s="11" t="s">
        <v>57</v>
      </c>
      <c r="E67" s="11" t="s">
        <v>26</v>
      </c>
      <c r="F67" s="11" t="s">
        <v>1042</v>
      </c>
      <c r="G67" s="12">
        <v>1814</v>
      </c>
      <c r="H67" s="12">
        <v>2248</v>
      </c>
      <c r="I67" s="12"/>
      <c r="J67" s="12">
        <v>1814</v>
      </c>
      <c r="K67" s="12">
        <f t="shared" si="1"/>
        <v>0</v>
      </c>
      <c r="L67" s="12">
        <f t="shared" si="2"/>
        <v>1814</v>
      </c>
      <c r="M67" s="12">
        <f t="shared" si="3"/>
        <v>2248</v>
      </c>
      <c r="N67" s="12">
        <f t="shared" si="4"/>
        <v>1814</v>
      </c>
      <c r="O67" s="12" t="str">
        <f t="shared" si="5"/>
        <v>휘발유 45,350원 / 고급유 44,960원</v>
      </c>
      <c r="P67" s="12">
        <f t="shared" si="6"/>
        <v>90310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90310</v>
      </c>
      <c r="U67" s="12">
        <f t="shared" si="10"/>
        <v>2006.8888888888889</v>
      </c>
      <c r="V67" s="12">
        <f t="shared" si="11"/>
        <v>2006.8888888888889</v>
      </c>
      <c r="W67" s="14">
        <f t="shared" si="12"/>
        <v>90310</v>
      </c>
    </row>
    <row r="68" spans="1:23" s="7" customFormat="1" ht="28.5" customHeight="1">
      <c r="A68" s="11">
        <f t="shared" si="0"/>
        <v>54</v>
      </c>
      <c r="B68" s="11" t="s">
        <v>6</v>
      </c>
      <c r="C68" s="11" t="s">
        <v>1137</v>
      </c>
      <c r="D68" s="15" t="s">
        <v>45</v>
      </c>
      <c r="E68" s="11" t="s">
        <v>26</v>
      </c>
      <c r="F68" s="11" t="s">
        <v>1138</v>
      </c>
      <c r="G68" s="12">
        <v>1805</v>
      </c>
      <c r="H68" s="12">
        <v>2260</v>
      </c>
      <c r="I68" s="12"/>
      <c r="J68" s="12">
        <v>1793</v>
      </c>
      <c r="K68" s="12">
        <f t="shared" si="1"/>
        <v>0</v>
      </c>
      <c r="L68" s="12">
        <f t="shared" si="2"/>
        <v>1805</v>
      </c>
      <c r="M68" s="12">
        <f t="shared" si="3"/>
        <v>2260</v>
      </c>
      <c r="N68" s="12">
        <f t="shared" si="4"/>
        <v>1793</v>
      </c>
      <c r="O68" s="12" t="str">
        <f t="shared" si="5"/>
        <v>휘발유 45,125원 / 고급유 45,200원</v>
      </c>
      <c r="P68" s="12">
        <f t="shared" si="6"/>
        <v>90325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90325</v>
      </c>
      <c r="U68" s="12">
        <f t="shared" si="10"/>
        <v>2007.2222222222222</v>
      </c>
      <c r="V68" s="12">
        <f t="shared" si="11"/>
        <v>2007.2222222222222</v>
      </c>
      <c r="W68" s="14">
        <f t="shared" si="12"/>
        <v>90325</v>
      </c>
    </row>
    <row r="69" spans="1:23" s="2" customFormat="1" ht="28.5" customHeight="1">
      <c r="A69" s="11">
        <f t="shared" si="0"/>
        <v>54</v>
      </c>
      <c r="B69" s="11" t="s">
        <v>8</v>
      </c>
      <c r="C69" s="11" t="s">
        <v>816</v>
      </c>
      <c r="D69" s="15" t="s">
        <v>80</v>
      </c>
      <c r="E69" s="11" t="s">
        <v>26</v>
      </c>
      <c r="F69" s="11" t="s">
        <v>817</v>
      </c>
      <c r="G69" s="12">
        <v>1829</v>
      </c>
      <c r="H69" s="12">
        <v>2230</v>
      </c>
      <c r="I69" s="12"/>
      <c r="J69" s="12">
        <v>1809</v>
      </c>
      <c r="K69" s="12">
        <f t="shared" si="1"/>
        <v>0</v>
      </c>
      <c r="L69" s="12">
        <f t="shared" si="2"/>
        <v>1829</v>
      </c>
      <c r="M69" s="12">
        <f t="shared" si="3"/>
        <v>2230</v>
      </c>
      <c r="N69" s="12">
        <f t="shared" si="4"/>
        <v>1809</v>
      </c>
      <c r="O69" s="12" t="str">
        <f t="shared" si="5"/>
        <v>휘발유 45,725원 / 고급유 44,600원</v>
      </c>
      <c r="P69" s="12">
        <f t="shared" si="6"/>
        <v>90325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90325</v>
      </c>
      <c r="U69" s="12">
        <f t="shared" si="10"/>
        <v>2007.2222222222222</v>
      </c>
      <c r="V69" s="12">
        <f t="shared" si="11"/>
        <v>2007.2222222222222</v>
      </c>
      <c r="W69" s="14">
        <f t="shared" si="12"/>
        <v>90325</v>
      </c>
    </row>
    <row r="70" spans="1:23" s="2" customFormat="1" ht="28.5" customHeight="1">
      <c r="A70" s="11">
        <f t="shared" si="0"/>
        <v>56</v>
      </c>
      <c r="B70" s="11" t="s">
        <v>12</v>
      </c>
      <c r="C70" s="11" t="s">
        <v>1636</v>
      </c>
      <c r="D70" s="15" t="s">
        <v>60</v>
      </c>
      <c r="E70" s="11" t="s">
        <v>26</v>
      </c>
      <c r="F70" s="11" t="s">
        <v>1637</v>
      </c>
      <c r="G70" s="12">
        <v>1819</v>
      </c>
      <c r="H70" s="12">
        <v>2245</v>
      </c>
      <c r="I70" s="12"/>
      <c r="J70" s="12">
        <v>1799</v>
      </c>
      <c r="K70" s="12">
        <f t="shared" si="1"/>
        <v>0</v>
      </c>
      <c r="L70" s="12">
        <f t="shared" si="2"/>
        <v>1819</v>
      </c>
      <c r="M70" s="12">
        <f t="shared" si="3"/>
        <v>2245</v>
      </c>
      <c r="N70" s="12">
        <f t="shared" si="4"/>
        <v>1799</v>
      </c>
      <c r="O70" s="12" t="str">
        <f t="shared" si="5"/>
        <v>휘발유 45,475원 / 고급유 44,900원</v>
      </c>
      <c r="P70" s="12">
        <f t="shared" si="6"/>
        <v>90375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90375</v>
      </c>
      <c r="U70" s="12">
        <f t="shared" si="10"/>
        <v>2008.3333333333333</v>
      </c>
      <c r="V70" s="12">
        <f t="shared" si="11"/>
        <v>2008.3333333333333</v>
      </c>
      <c r="W70" s="14">
        <f t="shared" si="12"/>
        <v>90375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1383</v>
      </c>
      <c r="D71" s="15" t="s">
        <v>80</v>
      </c>
      <c r="E71" s="11" t="s">
        <v>26</v>
      </c>
      <c r="F71" s="11" t="s">
        <v>1384</v>
      </c>
      <c r="G71" s="12">
        <v>1818</v>
      </c>
      <c r="H71" s="12">
        <v>2248</v>
      </c>
      <c r="I71" s="12"/>
      <c r="J71" s="12">
        <v>1798</v>
      </c>
      <c r="K71" s="12">
        <f t="shared" si="1"/>
        <v>0</v>
      </c>
      <c r="L71" s="12">
        <f t="shared" si="2"/>
        <v>1818</v>
      </c>
      <c r="M71" s="12">
        <f t="shared" si="3"/>
        <v>2248</v>
      </c>
      <c r="N71" s="12">
        <f t="shared" si="4"/>
        <v>1798</v>
      </c>
      <c r="O71" s="12" t="str">
        <f t="shared" si="5"/>
        <v>휘발유 45,450원 / 고급유 44,960원</v>
      </c>
      <c r="P71" s="12">
        <f t="shared" si="6"/>
        <v>90410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90410</v>
      </c>
      <c r="U71" s="12">
        <f t="shared" si="10"/>
        <v>2009.1111111111111</v>
      </c>
      <c r="V71" s="12">
        <f t="shared" si="11"/>
        <v>2009.1111111111111</v>
      </c>
      <c r="W71" s="14">
        <f t="shared" si="12"/>
        <v>90410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246</v>
      </c>
      <c r="D72" s="15" t="s">
        <v>45</v>
      </c>
      <c r="E72" s="11" t="s">
        <v>26</v>
      </c>
      <c r="F72" s="11" t="s">
        <v>247</v>
      </c>
      <c r="G72" s="12">
        <v>1806</v>
      </c>
      <c r="H72" s="12">
        <v>2264</v>
      </c>
      <c r="I72" s="12"/>
      <c r="J72" s="12">
        <v>1792</v>
      </c>
      <c r="K72" s="12">
        <f t="shared" si="1"/>
        <v>0</v>
      </c>
      <c r="L72" s="12">
        <f t="shared" si="2"/>
        <v>1806</v>
      </c>
      <c r="M72" s="12">
        <f t="shared" si="3"/>
        <v>2264</v>
      </c>
      <c r="N72" s="12">
        <f t="shared" si="4"/>
        <v>1792</v>
      </c>
      <c r="O72" s="12" t="str">
        <f t="shared" si="5"/>
        <v>휘발유 45,150원 / 고급유 45,280원</v>
      </c>
      <c r="P72" s="12">
        <f t="shared" si="6"/>
        <v>90430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90430</v>
      </c>
      <c r="U72" s="12">
        <f t="shared" si="10"/>
        <v>2009.5555555555557</v>
      </c>
      <c r="V72" s="12">
        <f t="shared" si="11"/>
        <v>2009.5555555555557</v>
      </c>
      <c r="W72" s="14">
        <f t="shared" si="12"/>
        <v>90430</v>
      </c>
    </row>
    <row r="73" spans="1:23" s="7" customFormat="1" ht="28.5" customHeight="1">
      <c r="A73" s="11">
        <f t="shared" si="0"/>
        <v>59</v>
      </c>
      <c r="B73" s="11" t="s">
        <v>6</v>
      </c>
      <c r="C73" s="11" t="s">
        <v>108</v>
      </c>
      <c r="D73" s="11" t="s">
        <v>57</v>
      </c>
      <c r="E73" s="11" t="s">
        <v>26</v>
      </c>
      <c r="F73" s="11" t="s">
        <v>109</v>
      </c>
      <c r="G73" s="12">
        <v>1819</v>
      </c>
      <c r="H73" s="12">
        <v>2248</v>
      </c>
      <c r="I73" s="12"/>
      <c r="J73" s="12">
        <v>1799</v>
      </c>
      <c r="K73" s="12">
        <f t="shared" si="1"/>
        <v>0</v>
      </c>
      <c r="L73" s="12">
        <f t="shared" si="2"/>
        <v>1819</v>
      </c>
      <c r="M73" s="12">
        <f t="shared" si="3"/>
        <v>2248</v>
      </c>
      <c r="N73" s="12">
        <f t="shared" si="4"/>
        <v>1799</v>
      </c>
      <c r="O73" s="12" t="str">
        <f t="shared" si="5"/>
        <v>휘발유 45,475원 / 고급유 44,960원</v>
      </c>
      <c r="P73" s="12">
        <f t="shared" si="6"/>
        <v>90435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90435</v>
      </c>
      <c r="U73" s="12">
        <f t="shared" si="10"/>
        <v>2009.6666666666667</v>
      </c>
      <c r="V73" s="12">
        <f t="shared" si="11"/>
        <v>2009.6666666666667</v>
      </c>
      <c r="W73" s="14">
        <f t="shared" si="12"/>
        <v>90435</v>
      </c>
    </row>
    <row r="74" spans="1:23" s="2" customFormat="1" ht="28.5" customHeight="1">
      <c r="A74" s="11">
        <f t="shared" si="0"/>
        <v>60</v>
      </c>
      <c r="B74" s="11" t="s">
        <v>10</v>
      </c>
      <c r="C74" s="11" t="s">
        <v>244</v>
      </c>
      <c r="D74" s="15" t="s">
        <v>80</v>
      </c>
      <c r="E74" s="11" t="s">
        <v>26</v>
      </c>
      <c r="F74" s="11" t="s">
        <v>245</v>
      </c>
      <c r="G74" s="12">
        <v>1815</v>
      </c>
      <c r="H74" s="12">
        <v>2255</v>
      </c>
      <c r="I74" s="12"/>
      <c r="J74" s="12">
        <v>1825</v>
      </c>
      <c r="K74" s="12">
        <f t="shared" si="1"/>
        <v>0</v>
      </c>
      <c r="L74" s="12">
        <f t="shared" si="2"/>
        <v>1815</v>
      </c>
      <c r="M74" s="12">
        <f t="shared" si="3"/>
        <v>2255</v>
      </c>
      <c r="N74" s="12">
        <f t="shared" si="4"/>
        <v>1825</v>
      </c>
      <c r="O74" s="12" t="str">
        <f t="shared" si="5"/>
        <v>휘발유 45,375원 / 고급유 45,100원</v>
      </c>
      <c r="P74" s="12">
        <f t="shared" si="6"/>
        <v>90475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90475</v>
      </c>
      <c r="U74" s="12">
        <f t="shared" si="10"/>
        <v>2010.5555555555557</v>
      </c>
      <c r="V74" s="12">
        <f t="shared" si="11"/>
        <v>2010.5555555555557</v>
      </c>
      <c r="W74" s="14">
        <f t="shared" si="12"/>
        <v>90475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1045</v>
      </c>
      <c r="D75" s="15" t="s">
        <v>45</v>
      </c>
      <c r="E75" s="11" t="s">
        <v>26</v>
      </c>
      <c r="F75" s="11" t="s">
        <v>1046</v>
      </c>
      <c r="G75" s="12">
        <v>1828</v>
      </c>
      <c r="H75" s="12">
        <v>2239</v>
      </c>
      <c r="I75" s="12"/>
      <c r="J75" s="12">
        <v>1814</v>
      </c>
      <c r="K75" s="12">
        <f t="shared" si="1"/>
        <v>0</v>
      </c>
      <c r="L75" s="12">
        <f t="shared" si="2"/>
        <v>1828</v>
      </c>
      <c r="M75" s="12">
        <f t="shared" si="3"/>
        <v>2239</v>
      </c>
      <c r="N75" s="12">
        <f t="shared" si="4"/>
        <v>1814</v>
      </c>
      <c r="O75" s="12" t="str">
        <f t="shared" si="5"/>
        <v>휘발유 45,700원 / 고급유 44,780원</v>
      </c>
      <c r="P75" s="12">
        <f t="shared" si="6"/>
        <v>90480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90480</v>
      </c>
      <c r="U75" s="12">
        <f t="shared" si="10"/>
        <v>2010.6666666666667</v>
      </c>
      <c r="V75" s="12">
        <f t="shared" si="11"/>
        <v>2010.6666666666667</v>
      </c>
      <c r="W75" s="14">
        <f t="shared" si="12"/>
        <v>90480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584</v>
      </c>
      <c r="D76" s="15" t="s">
        <v>80</v>
      </c>
      <c r="E76" s="11" t="s">
        <v>61</v>
      </c>
      <c r="F76" s="11" t="s">
        <v>585</v>
      </c>
      <c r="G76" s="12">
        <v>1823</v>
      </c>
      <c r="H76" s="12">
        <v>2248</v>
      </c>
      <c r="I76" s="12"/>
      <c r="J76" s="12">
        <v>1829</v>
      </c>
      <c r="K76" s="12">
        <f t="shared" si="1"/>
        <v>0</v>
      </c>
      <c r="L76" s="12">
        <f t="shared" si="2"/>
        <v>1823</v>
      </c>
      <c r="M76" s="12">
        <f t="shared" si="3"/>
        <v>2248</v>
      </c>
      <c r="N76" s="12">
        <f t="shared" si="4"/>
        <v>1829</v>
      </c>
      <c r="O76" s="12" t="str">
        <f t="shared" si="5"/>
        <v>휘발유 45,575원 / 고급유 44,960원</v>
      </c>
      <c r="P76" s="12">
        <f t="shared" si="6"/>
        <v>90535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90535</v>
      </c>
      <c r="U76" s="12">
        <f t="shared" si="10"/>
        <v>2011.8888888888889</v>
      </c>
      <c r="V76" s="12">
        <f t="shared" si="11"/>
        <v>2011.8888888888889</v>
      </c>
      <c r="W76" s="14">
        <f t="shared" si="12"/>
        <v>90535</v>
      </c>
    </row>
    <row r="77" spans="1:23" s="2" customFormat="1" ht="28.5" customHeight="1">
      <c r="A77" s="11">
        <f t="shared" si="0"/>
        <v>63</v>
      </c>
      <c r="B77" s="11" t="s">
        <v>12</v>
      </c>
      <c r="C77" s="11" t="s">
        <v>82</v>
      </c>
      <c r="D77" s="15" t="s">
        <v>60</v>
      </c>
      <c r="E77" s="11" t="s">
        <v>26</v>
      </c>
      <c r="F77" s="11" t="s">
        <v>83</v>
      </c>
      <c r="G77" s="12">
        <v>1788</v>
      </c>
      <c r="H77" s="12">
        <v>2295</v>
      </c>
      <c r="I77" s="12"/>
      <c r="J77" s="12">
        <v>1795</v>
      </c>
      <c r="K77" s="12">
        <f t="shared" si="1"/>
        <v>0</v>
      </c>
      <c r="L77" s="12">
        <f t="shared" si="2"/>
        <v>1788</v>
      </c>
      <c r="M77" s="12">
        <f t="shared" si="3"/>
        <v>2295</v>
      </c>
      <c r="N77" s="12">
        <f t="shared" si="4"/>
        <v>1795</v>
      </c>
      <c r="O77" s="12" t="str">
        <f t="shared" si="5"/>
        <v>휘발유 44,700원 / 고급유 45,900원</v>
      </c>
      <c r="P77" s="12">
        <f t="shared" si="6"/>
        <v>90600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90600</v>
      </c>
      <c r="U77" s="12">
        <f t="shared" si="10"/>
        <v>2013.3333333333333</v>
      </c>
      <c r="V77" s="12">
        <f t="shared" si="11"/>
        <v>2013.3333333333333</v>
      </c>
      <c r="W77" s="14">
        <f t="shared" si="12"/>
        <v>90600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1607</v>
      </c>
      <c r="D78" s="15" t="s">
        <v>80</v>
      </c>
      <c r="E78" s="11" t="s">
        <v>26</v>
      </c>
      <c r="F78" s="11" t="s">
        <v>1608</v>
      </c>
      <c r="G78" s="12">
        <v>1820</v>
      </c>
      <c r="H78" s="12">
        <v>2260</v>
      </c>
      <c r="I78" s="12"/>
      <c r="J78" s="12">
        <v>1810</v>
      </c>
      <c r="K78" s="12">
        <f t="shared" si="1"/>
        <v>0</v>
      </c>
      <c r="L78" s="12">
        <f t="shared" si="2"/>
        <v>1820</v>
      </c>
      <c r="M78" s="12">
        <f t="shared" si="3"/>
        <v>2260</v>
      </c>
      <c r="N78" s="12">
        <f t="shared" si="4"/>
        <v>1810</v>
      </c>
      <c r="O78" s="12" t="str">
        <f t="shared" si="5"/>
        <v>휘발유 45,500원 / 고급유 45,200원</v>
      </c>
      <c r="P78" s="12">
        <f t="shared" si="6"/>
        <v>90700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90700</v>
      </c>
      <c r="U78" s="12">
        <f t="shared" si="10"/>
        <v>2015.5555555555557</v>
      </c>
      <c r="V78" s="12">
        <f t="shared" si="11"/>
        <v>2015.5555555555557</v>
      </c>
      <c r="W78" s="14">
        <f t="shared" si="12"/>
        <v>90700</v>
      </c>
    </row>
    <row r="79" spans="1:23" s="16" customFormat="1" ht="28.5" customHeight="1">
      <c r="A79" s="11">
        <f t="shared" ref="A79:A142" si="13">IF($T79="","",1+COUNTIF($W$15:$W$883,"&lt;"&amp;W79))</f>
        <v>65</v>
      </c>
      <c r="B79" s="11" t="s">
        <v>10</v>
      </c>
      <c r="C79" s="11" t="s">
        <v>1340</v>
      </c>
      <c r="D79" s="11" t="s">
        <v>48</v>
      </c>
      <c r="E79" s="11" t="s">
        <v>26</v>
      </c>
      <c r="F79" s="11" t="s">
        <v>1341</v>
      </c>
      <c r="G79" s="12">
        <v>1829</v>
      </c>
      <c r="H79" s="12">
        <v>2249</v>
      </c>
      <c r="I79" s="12"/>
      <c r="J79" s="12">
        <v>1797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1829</v>
      </c>
      <c r="M79" s="12">
        <f t="shared" ref="M79:M142" si="16">IF($H79="","",$H79+$K79)</f>
        <v>2249</v>
      </c>
      <c r="N79" s="12">
        <f t="shared" ref="N79:N142" si="17">IF($J79="","",$J79+$K79)</f>
        <v>1797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45,725원 / 고급유 44,980원</v>
      </c>
      <c r="P79" s="12">
        <f t="shared" ref="P79:P142" si="19">IF($B$10=0,"",IFERROR(IF($B$4&gt;0,IF($L79="",1/0,$L79*$B$4),0)+IF($B$5&gt;0,IF($M79="",1/0,$M79*$B$5),0)+IF($B$6&gt;0,IF($N79="",1/0,$N79*$B$6),0),""))</f>
        <v>90705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90705</v>
      </c>
      <c r="U79" s="12">
        <f t="shared" ref="U79:U142" si="23">IF($T79="","",IF($B$10=0,"",$T79/$B$10))</f>
        <v>2015.6666666666667</v>
      </c>
      <c r="V79" s="12">
        <f t="shared" ref="V79:V142" si="24">IF($P79="","",IF($B$10=0,"",$P79/$B$10))</f>
        <v>2015.6666666666667</v>
      </c>
      <c r="W79" s="14">
        <f t="shared" ref="W79:W142" si="25">IF($T79="",1000000000000000,$T79)</f>
        <v>90705</v>
      </c>
    </row>
    <row r="80" spans="1:23" s="16" customFormat="1" ht="28.5" customHeight="1">
      <c r="A80" s="11">
        <f t="shared" si="13"/>
        <v>66</v>
      </c>
      <c r="B80" s="11" t="s">
        <v>6</v>
      </c>
      <c r="C80" s="11" t="s">
        <v>712</v>
      </c>
      <c r="D80" s="15" t="s">
        <v>45</v>
      </c>
      <c r="E80" s="11" t="s">
        <v>26</v>
      </c>
      <c r="F80" s="11" t="s">
        <v>713</v>
      </c>
      <c r="G80" s="12">
        <v>1815</v>
      </c>
      <c r="H80" s="12">
        <v>2269</v>
      </c>
      <c r="I80" s="12"/>
      <c r="J80" s="12">
        <v>1795</v>
      </c>
      <c r="K80" s="12">
        <f t="shared" si="14"/>
        <v>0</v>
      </c>
      <c r="L80" s="12">
        <f t="shared" si="15"/>
        <v>1815</v>
      </c>
      <c r="M80" s="12">
        <f t="shared" si="16"/>
        <v>2269</v>
      </c>
      <c r="N80" s="12">
        <f t="shared" si="17"/>
        <v>1795</v>
      </c>
      <c r="O80" s="12" t="str">
        <f t="shared" si="18"/>
        <v>휘발유 45,375원 / 고급유 45,380원</v>
      </c>
      <c r="P80" s="12">
        <f t="shared" si="19"/>
        <v>90755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90755</v>
      </c>
      <c r="U80" s="12">
        <f t="shared" si="23"/>
        <v>2016.7777777777778</v>
      </c>
      <c r="V80" s="12">
        <f t="shared" si="24"/>
        <v>2016.7777777777778</v>
      </c>
      <c r="W80" s="14">
        <f t="shared" si="25"/>
        <v>90755</v>
      </c>
    </row>
    <row r="81" spans="1:23" s="7" customFormat="1" ht="28.5" customHeight="1">
      <c r="A81" s="11">
        <f t="shared" si="13"/>
        <v>67</v>
      </c>
      <c r="B81" s="11" t="s">
        <v>12</v>
      </c>
      <c r="C81" s="11" t="s">
        <v>894</v>
      </c>
      <c r="D81" s="15" t="s">
        <v>45</v>
      </c>
      <c r="E81" s="11" t="s">
        <v>26</v>
      </c>
      <c r="F81" s="11" t="s">
        <v>895</v>
      </c>
      <c r="G81" s="12">
        <v>1819</v>
      </c>
      <c r="H81" s="12">
        <v>2265</v>
      </c>
      <c r="I81" s="12"/>
      <c r="J81" s="12">
        <v>1799</v>
      </c>
      <c r="K81" s="12">
        <f t="shared" si="14"/>
        <v>0</v>
      </c>
      <c r="L81" s="12">
        <f t="shared" si="15"/>
        <v>1819</v>
      </c>
      <c r="M81" s="12">
        <f t="shared" si="16"/>
        <v>2265</v>
      </c>
      <c r="N81" s="12">
        <f t="shared" si="17"/>
        <v>1799</v>
      </c>
      <c r="O81" s="12" t="str">
        <f t="shared" si="18"/>
        <v>휘발유 45,475원 / 고급유 45,300원</v>
      </c>
      <c r="P81" s="12">
        <f t="shared" si="19"/>
        <v>90775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90775</v>
      </c>
      <c r="U81" s="12">
        <f t="shared" si="23"/>
        <v>2017.2222222222222</v>
      </c>
      <c r="V81" s="12">
        <f t="shared" si="24"/>
        <v>2017.2222222222222</v>
      </c>
      <c r="W81" s="14">
        <f t="shared" si="25"/>
        <v>90775</v>
      </c>
    </row>
    <row r="82" spans="1:23" s="7" customFormat="1" ht="28.5" customHeight="1">
      <c r="A82" s="11">
        <f t="shared" si="13"/>
        <v>68</v>
      </c>
      <c r="B82" s="11" t="s">
        <v>10</v>
      </c>
      <c r="C82" s="11" t="s">
        <v>332</v>
      </c>
      <c r="D82" s="15" t="s">
        <v>80</v>
      </c>
      <c r="E82" s="11" t="s">
        <v>26</v>
      </c>
      <c r="F82" s="11" t="s">
        <v>333</v>
      </c>
      <c r="G82" s="12">
        <v>1824</v>
      </c>
      <c r="H82" s="12">
        <v>2259</v>
      </c>
      <c r="I82" s="12"/>
      <c r="J82" s="12">
        <v>1798</v>
      </c>
      <c r="K82" s="12">
        <f t="shared" si="14"/>
        <v>0</v>
      </c>
      <c r="L82" s="12">
        <f t="shared" si="15"/>
        <v>1824</v>
      </c>
      <c r="M82" s="12">
        <f t="shared" si="16"/>
        <v>2259</v>
      </c>
      <c r="N82" s="12">
        <f t="shared" si="17"/>
        <v>1798</v>
      </c>
      <c r="O82" s="12" t="str">
        <f t="shared" si="18"/>
        <v>휘발유 45,600원 / 고급유 45,180원</v>
      </c>
      <c r="P82" s="12">
        <f t="shared" si="19"/>
        <v>90780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90780</v>
      </c>
      <c r="U82" s="12">
        <f t="shared" si="23"/>
        <v>2017.3333333333333</v>
      </c>
      <c r="V82" s="12">
        <f t="shared" si="24"/>
        <v>2017.3333333333333</v>
      </c>
      <c r="W82" s="14">
        <f t="shared" si="25"/>
        <v>90780</v>
      </c>
    </row>
    <row r="83" spans="1:23" s="2" customFormat="1" ht="28.5" customHeight="1">
      <c r="A83" s="11">
        <f t="shared" si="13"/>
        <v>68</v>
      </c>
      <c r="B83" s="11" t="s">
        <v>18</v>
      </c>
      <c r="C83" s="11" t="s">
        <v>392</v>
      </c>
      <c r="D83" s="15" t="s">
        <v>60</v>
      </c>
      <c r="E83" s="11" t="s">
        <v>26</v>
      </c>
      <c r="F83" s="11" t="s">
        <v>393</v>
      </c>
      <c r="G83" s="12">
        <v>1832</v>
      </c>
      <c r="H83" s="12">
        <v>2249</v>
      </c>
      <c r="I83" s="12"/>
      <c r="J83" s="12">
        <v>1812</v>
      </c>
      <c r="K83" s="12">
        <f t="shared" si="14"/>
        <v>0</v>
      </c>
      <c r="L83" s="12">
        <f t="shared" si="15"/>
        <v>1832</v>
      </c>
      <c r="M83" s="12">
        <f t="shared" si="16"/>
        <v>2249</v>
      </c>
      <c r="N83" s="12">
        <f t="shared" si="17"/>
        <v>1812</v>
      </c>
      <c r="O83" s="12" t="str">
        <f t="shared" si="18"/>
        <v>휘발유 45,800원 / 고급유 44,980원</v>
      </c>
      <c r="P83" s="12">
        <f t="shared" si="19"/>
        <v>90780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90780</v>
      </c>
      <c r="U83" s="12">
        <f t="shared" si="23"/>
        <v>2017.3333333333333</v>
      </c>
      <c r="V83" s="12">
        <f t="shared" si="24"/>
        <v>2017.3333333333333</v>
      </c>
      <c r="W83" s="14">
        <f t="shared" si="25"/>
        <v>90780</v>
      </c>
    </row>
    <row r="84" spans="1:23" s="16" customFormat="1" ht="28.5" customHeight="1">
      <c r="A84" s="11">
        <f t="shared" si="13"/>
        <v>70</v>
      </c>
      <c r="B84" s="11" t="s">
        <v>12</v>
      </c>
      <c r="C84" s="11" t="s">
        <v>310</v>
      </c>
      <c r="D84" s="15" t="s">
        <v>60</v>
      </c>
      <c r="E84" s="11" t="s">
        <v>26</v>
      </c>
      <c r="F84" s="11" t="s">
        <v>311</v>
      </c>
      <c r="G84" s="12">
        <v>1809</v>
      </c>
      <c r="H84" s="12">
        <v>2280</v>
      </c>
      <c r="I84" s="12"/>
      <c r="J84" s="12">
        <v>1814</v>
      </c>
      <c r="K84" s="12">
        <f t="shared" si="14"/>
        <v>0</v>
      </c>
      <c r="L84" s="12">
        <f t="shared" si="15"/>
        <v>1809</v>
      </c>
      <c r="M84" s="12">
        <f t="shared" si="16"/>
        <v>2280</v>
      </c>
      <c r="N84" s="12">
        <f t="shared" si="17"/>
        <v>1814</v>
      </c>
      <c r="O84" s="12" t="str">
        <f t="shared" si="18"/>
        <v>휘발유 45,225원 / 고급유 45,600원</v>
      </c>
      <c r="P84" s="12">
        <f t="shared" si="19"/>
        <v>90825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90825</v>
      </c>
      <c r="U84" s="12">
        <f t="shared" si="23"/>
        <v>2018.3333333333333</v>
      </c>
      <c r="V84" s="12">
        <f t="shared" si="24"/>
        <v>2018.3333333333333</v>
      </c>
      <c r="W84" s="14">
        <f t="shared" si="25"/>
        <v>90825</v>
      </c>
    </row>
    <row r="85" spans="1:23" s="7" customFormat="1" ht="28.5" customHeight="1">
      <c r="A85" s="11">
        <f t="shared" si="13"/>
        <v>71</v>
      </c>
      <c r="B85" s="11" t="s">
        <v>10</v>
      </c>
      <c r="C85" s="11" t="s">
        <v>1543</v>
      </c>
      <c r="D85" s="11" t="s">
        <v>71</v>
      </c>
      <c r="E85" s="11" t="s">
        <v>26</v>
      </c>
      <c r="F85" s="11" t="s">
        <v>1544</v>
      </c>
      <c r="G85" s="12">
        <v>1819</v>
      </c>
      <c r="H85" s="12">
        <v>2268</v>
      </c>
      <c r="I85" s="12"/>
      <c r="J85" s="12">
        <v>1799</v>
      </c>
      <c r="K85" s="12">
        <f t="shared" si="14"/>
        <v>0</v>
      </c>
      <c r="L85" s="12">
        <f t="shared" si="15"/>
        <v>1819</v>
      </c>
      <c r="M85" s="12">
        <f t="shared" si="16"/>
        <v>2268</v>
      </c>
      <c r="N85" s="12">
        <f t="shared" si="17"/>
        <v>1799</v>
      </c>
      <c r="O85" s="12" t="str">
        <f t="shared" si="18"/>
        <v>휘발유 45,475원 / 고급유 45,360원</v>
      </c>
      <c r="P85" s="12">
        <f t="shared" si="19"/>
        <v>90835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90835</v>
      </c>
      <c r="U85" s="12">
        <f t="shared" si="23"/>
        <v>2018.5555555555557</v>
      </c>
      <c r="V85" s="12">
        <f t="shared" si="24"/>
        <v>2018.5555555555557</v>
      </c>
      <c r="W85" s="14">
        <f t="shared" si="25"/>
        <v>90835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747</v>
      </c>
      <c r="D86" s="11" t="s">
        <v>57</v>
      </c>
      <c r="E86" s="11" t="s">
        <v>26</v>
      </c>
      <c r="F86" s="11" t="s">
        <v>748</v>
      </c>
      <c r="G86" s="12">
        <v>1829</v>
      </c>
      <c r="H86" s="12">
        <v>2259</v>
      </c>
      <c r="I86" s="12"/>
      <c r="J86" s="12">
        <v>1809</v>
      </c>
      <c r="K86" s="12">
        <f t="shared" si="14"/>
        <v>0</v>
      </c>
      <c r="L86" s="12">
        <f t="shared" si="15"/>
        <v>1829</v>
      </c>
      <c r="M86" s="12">
        <f t="shared" si="16"/>
        <v>2259</v>
      </c>
      <c r="N86" s="12">
        <f t="shared" si="17"/>
        <v>1809</v>
      </c>
      <c r="O86" s="12" t="str">
        <f t="shared" si="18"/>
        <v>휘발유 45,725원 / 고급유 45,180원</v>
      </c>
      <c r="P86" s="12">
        <f t="shared" si="19"/>
        <v>90905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90905</v>
      </c>
      <c r="U86" s="12">
        <f t="shared" si="23"/>
        <v>2020.1111111111111</v>
      </c>
      <c r="V86" s="12">
        <f t="shared" si="24"/>
        <v>2020.1111111111111</v>
      </c>
      <c r="W86" s="14">
        <f t="shared" si="25"/>
        <v>90905</v>
      </c>
    </row>
    <row r="87" spans="1:23" s="2" customFormat="1" ht="28.5" customHeight="1">
      <c r="A87" s="11">
        <f t="shared" si="13"/>
        <v>73</v>
      </c>
      <c r="B87" s="11" t="s">
        <v>6</v>
      </c>
      <c r="C87" s="11" t="s">
        <v>449</v>
      </c>
      <c r="D87" s="11" t="s">
        <v>57</v>
      </c>
      <c r="E87" s="11" t="s">
        <v>26</v>
      </c>
      <c r="F87" s="11" t="s">
        <v>450</v>
      </c>
      <c r="G87" s="12">
        <v>1847</v>
      </c>
      <c r="H87" s="12">
        <v>2237</v>
      </c>
      <c r="I87" s="12"/>
      <c r="J87" s="12">
        <v>1827</v>
      </c>
      <c r="K87" s="12">
        <f t="shared" si="14"/>
        <v>0</v>
      </c>
      <c r="L87" s="12">
        <f t="shared" si="15"/>
        <v>1847</v>
      </c>
      <c r="M87" s="12">
        <f t="shared" si="16"/>
        <v>2237</v>
      </c>
      <c r="N87" s="12">
        <f t="shared" si="17"/>
        <v>1827</v>
      </c>
      <c r="O87" s="12" t="str">
        <f t="shared" si="18"/>
        <v>휘발유 46,175원 / 고급유 44,740원</v>
      </c>
      <c r="P87" s="12">
        <f t="shared" si="19"/>
        <v>90915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90915</v>
      </c>
      <c r="U87" s="12">
        <f t="shared" si="23"/>
        <v>2020.3333333333333</v>
      </c>
      <c r="V87" s="12">
        <f t="shared" si="24"/>
        <v>2020.3333333333333</v>
      </c>
      <c r="W87" s="14">
        <f t="shared" si="25"/>
        <v>90915</v>
      </c>
    </row>
    <row r="88" spans="1:23" s="7" customFormat="1" ht="28.5" customHeight="1">
      <c r="A88" s="11">
        <f t="shared" si="13"/>
        <v>74</v>
      </c>
      <c r="B88" s="11" t="s">
        <v>6</v>
      </c>
      <c r="C88" s="11" t="s">
        <v>565</v>
      </c>
      <c r="D88" s="15" t="s">
        <v>45</v>
      </c>
      <c r="E88" s="11" t="s">
        <v>26</v>
      </c>
      <c r="F88" s="11" t="s">
        <v>566</v>
      </c>
      <c r="G88" s="12">
        <v>1819</v>
      </c>
      <c r="H88" s="12">
        <v>2275</v>
      </c>
      <c r="I88" s="12"/>
      <c r="J88" s="12">
        <v>1798</v>
      </c>
      <c r="K88" s="12">
        <f t="shared" si="14"/>
        <v>0</v>
      </c>
      <c r="L88" s="12">
        <f t="shared" si="15"/>
        <v>1819</v>
      </c>
      <c r="M88" s="12">
        <f t="shared" si="16"/>
        <v>2275</v>
      </c>
      <c r="N88" s="12">
        <f t="shared" si="17"/>
        <v>1798</v>
      </c>
      <c r="O88" s="12" t="str">
        <f t="shared" si="18"/>
        <v>휘발유 45,475원 / 고급유 45,500원</v>
      </c>
      <c r="P88" s="12">
        <f t="shared" si="19"/>
        <v>90975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90975</v>
      </c>
      <c r="U88" s="12">
        <f t="shared" si="23"/>
        <v>2021.6666666666667</v>
      </c>
      <c r="V88" s="12">
        <f t="shared" si="24"/>
        <v>2021.6666666666667</v>
      </c>
      <c r="W88" s="14">
        <f t="shared" si="25"/>
        <v>90975</v>
      </c>
    </row>
    <row r="89" spans="1:23" s="2" customFormat="1" ht="28.5" customHeight="1">
      <c r="A89" s="11">
        <f t="shared" si="13"/>
        <v>75</v>
      </c>
      <c r="B89" s="11" t="s">
        <v>6</v>
      </c>
      <c r="C89" s="11" t="s">
        <v>1409</v>
      </c>
      <c r="D89" s="15" t="s">
        <v>60</v>
      </c>
      <c r="E89" s="11" t="s">
        <v>61</v>
      </c>
      <c r="F89" s="11" t="s">
        <v>1410</v>
      </c>
      <c r="G89" s="12">
        <v>1828</v>
      </c>
      <c r="H89" s="12">
        <v>2265</v>
      </c>
      <c r="I89" s="12"/>
      <c r="J89" s="12">
        <v>1799</v>
      </c>
      <c r="K89" s="12">
        <f t="shared" si="14"/>
        <v>0</v>
      </c>
      <c r="L89" s="12">
        <f t="shared" si="15"/>
        <v>1828</v>
      </c>
      <c r="M89" s="12">
        <f t="shared" si="16"/>
        <v>2265</v>
      </c>
      <c r="N89" s="12">
        <f t="shared" si="17"/>
        <v>1799</v>
      </c>
      <c r="O89" s="12" t="str">
        <f t="shared" si="18"/>
        <v>휘발유 45,700원 / 고급유 45,300원</v>
      </c>
      <c r="P89" s="12">
        <f t="shared" si="19"/>
        <v>91000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91000</v>
      </c>
      <c r="U89" s="12">
        <f t="shared" si="23"/>
        <v>2022.2222222222222</v>
      </c>
      <c r="V89" s="12">
        <f t="shared" si="24"/>
        <v>2022.2222222222222</v>
      </c>
      <c r="W89" s="14">
        <f t="shared" si="25"/>
        <v>91000</v>
      </c>
    </row>
    <row r="90" spans="1:23" s="2" customFormat="1" ht="28.5" customHeight="1">
      <c r="A90" s="11">
        <f t="shared" si="13"/>
        <v>76</v>
      </c>
      <c r="B90" s="11" t="s">
        <v>6</v>
      </c>
      <c r="C90" s="11" t="s">
        <v>264</v>
      </c>
      <c r="D90" s="15" t="s">
        <v>80</v>
      </c>
      <c r="E90" s="11" t="s">
        <v>26</v>
      </c>
      <c r="F90" s="11" t="s">
        <v>265</v>
      </c>
      <c r="G90" s="12">
        <v>1858</v>
      </c>
      <c r="H90" s="12">
        <v>2229</v>
      </c>
      <c r="I90" s="12"/>
      <c r="J90" s="12">
        <v>1808</v>
      </c>
      <c r="K90" s="12">
        <f t="shared" si="14"/>
        <v>0</v>
      </c>
      <c r="L90" s="12">
        <f t="shared" si="15"/>
        <v>1858</v>
      </c>
      <c r="M90" s="12">
        <f t="shared" si="16"/>
        <v>2229</v>
      </c>
      <c r="N90" s="12">
        <f t="shared" si="17"/>
        <v>1808</v>
      </c>
      <c r="O90" s="12" t="str">
        <f t="shared" si="18"/>
        <v>휘발유 46,450원 / 고급유 44,580원</v>
      </c>
      <c r="P90" s="12">
        <f t="shared" si="19"/>
        <v>91030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91030</v>
      </c>
      <c r="U90" s="12">
        <f t="shared" si="23"/>
        <v>2022.8888888888889</v>
      </c>
      <c r="V90" s="12">
        <f t="shared" si="24"/>
        <v>2022.8888888888889</v>
      </c>
      <c r="W90" s="14">
        <f t="shared" si="25"/>
        <v>91030</v>
      </c>
    </row>
    <row r="91" spans="1:23" s="7" customFormat="1" ht="28.5" customHeight="1">
      <c r="A91" s="11">
        <f t="shared" si="13"/>
        <v>76</v>
      </c>
      <c r="B91" s="11" t="s">
        <v>12</v>
      </c>
      <c r="C91" s="11" t="s">
        <v>252</v>
      </c>
      <c r="D91" s="15" t="s">
        <v>80</v>
      </c>
      <c r="E91" s="11" t="s">
        <v>26</v>
      </c>
      <c r="F91" s="11" t="s">
        <v>253</v>
      </c>
      <c r="G91" s="12">
        <v>1858</v>
      </c>
      <c r="H91" s="12">
        <v>2229</v>
      </c>
      <c r="I91" s="12"/>
      <c r="J91" s="12">
        <v>1809</v>
      </c>
      <c r="K91" s="12">
        <f t="shared" si="14"/>
        <v>0</v>
      </c>
      <c r="L91" s="12">
        <f t="shared" si="15"/>
        <v>1858</v>
      </c>
      <c r="M91" s="12">
        <f t="shared" si="16"/>
        <v>2229</v>
      </c>
      <c r="N91" s="12">
        <f t="shared" si="17"/>
        <v>1809</v>
      </c>
      <c r="O91" s="12" t="str">
        <f t="shared" si="18"/>
        <v>휘발유 46,450원 / 고급유 44,580원</v>
      </c>
      <c r="P91" s="12">
        <f t="shared" si="19"/>
        <v>91030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91030</v>
      </c>
      <c r="U91" s="12">
        <f t="shared" si="23"/>
        <v>2022.8888888888889</v>
      </c>
      <c r="V91" s="12">
        <f t="shared" si="24"/>
        <v>2022.8888888888889</v>
      </c>
      <c r="W91" s="14">
        <f t="shared" si="25"/>
        <v>91030</v>
      </c>
    </row>
    <row r="92" spans="1:23" s="7" customFormat="1" ht="28.5" customHeight="1">
      <c r="A92" s="11">
        <f t="shared" si="13"/>
        <v>78</v>
      </c>
      <c r="B92" s="11" t="s">
        <v>6</v>
      </c>
      <c r="C92" s="11" t="s">
        <v>1237</v>
      </c>
      <c r="D92" s="15" t="s">
        <v>45</v>
      </c>
      <c r="E92" s="11" t="s">
        <v>26</v>
      </c>
      <c r="F92" s="11" t="s">
        <v>1238</v>
      </c>
      <c r="G92" s="12">
        <v>1805</v>
      </c>
      <c r="H92" s="12">
        <v>2298</v>
      </c>
      <c r="I92" s="12"/>
      <c r="J92" s="12">
        <v>1793</v>
      </c>
      <c r="K92" s="12">
        <f t="shared" si="14"/>
        <v>0</v>
      </c>
      <c r="L92" s="12">
        <f t="shared" si="15"/>
        <v>1805</v>
      </c>
      <c r="M92" s="12">
        <f t="shared" si="16"/>
        <v>2298</v>
      </c>
      <c r="N92" s="12">
        <f t="shared" si="17"/>
        <v>1793</v>
      </c>
      <c r="O92" s="12" t="str">
        <f t="shared" si="18"/>
        <v>휘발유 45,125원 / 고급유 45,960원</v>
      </c>
      <c r="P92" s="12">
        <f t="shared" si="19"/>
        <v>91085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91085</v>
      </c>
      <c r="U92" s="12">
        <f t="shared" si="23"/>
        <v>2024.1111111111111</v>
      </c>
      <c r="V92" s="12">
        <f t="shared" si="24"/>
        <v>2024.1111111111111</v>
      </c>
      <c r="W92" s="14">
        <f t="shared" si="25"/>
        <v>91085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1436</v>
      </c>
      <c r="D93" s="15" t="s">
        <v>60</v>
      </c>
      <c r="E93" s="11" t="s">
        <v>26</v>
      </c>
      <c r="F93" s="11" t="s">
        <v>1437</v>
      </c>
      <c r="G93" s="12">
        <v>1845</v>
      </c>
      <c r="H93" s="12">
        <v>2249</v>
      </c>
      <c r="I93" s="12"/>
      <c r="J93" s="12">
        <v>1849</v>
      </c>
      <c r="K93" s="12">
        <f t="shared" si="14"/>
        <v>0</v>
      </c>
      <c r="L93" s="12">
        <f t="shared" si="15"/>
        <v>1845</v>
      </c>
      <c r="M93" s="12">
        <f t="shared" si="16"/>
        <v>2249</v>
      </c>
      <c r="N93" s="12">
        <f t="shared" si="17"/>
        <v>1849</v>
      </c>
      <c r="O93" s="12" t="str">
        <f t="shared" si="18"/>
        <v>휘발유 46,125원 / 고급유 44,980원</v>
      </c>
      <c r="P93" s="12">
        <f t="shared" si="19"/>
        <v>91105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91105</v>
      </c>
      <c r="U93" s="12">
        <f t="shared" si="23"/>
        <v>2024.5555555555557</v>
      </c>
      <c r="V93" s="12">
        <f t="shared" si="24"/>
        <v>2024.5555555555557</v>
      </c>
      <c r="W93" s="14">
        <f t="shared" si="25"/>
        <v>91105</v>
      </c>
    </row>
    <row r="94" spans="1:23" s="2" customFormat="1" ht="28.5" customHeight="1">
      <c r="A94" s="11">
        <f t="shared" si="13"/>
        <v>79</v>
      </c>
      <c r="B94" s="11" t="s">
        <v>6</v>
      </c>
      <c r="C94" s="11" t="s">
        <v>1440</v>
      </c>
      <c r="D94" s="15" t="s">
        <v>60</v>
      </c>
      <c r="E94" s="11" t="s">
        <v>26</v>
      </c>
      <c r="F94" s="11" t="s">
        <v>1441</v>
      </c>
      <c r="G94" s="12">
        <v>1845</v>
      </c>
      <c r="H94" s="12">
        <v>2249</v>
      </c>
      <c r="I94" s="12"/>
      <c r="J94" s="12">
        <v>1849</v>
      </c>
      <c r="K94" s="12">
        <f t="shared" si="14"/>
        <v>0</v>
      </c>
      <c r="L94" s="12">
        <f t="shared" si="15"/>
        <v>1845</v>
      </c>
      <c r="M94" s="12">
        <f t="shared" si="16"/>
        <v>2249</v>
      </c>
      <c r="N94" s="12">
        <f t="shared" si="17"/>
        <v>1849</v>
      </c>
      <c r="O94" s="12" t="str">
        <f t="shared" si="18"/>
        <v>휘발유 46,125원 / 고급유 44,980원</v>
      </c>
      <c r="P94" s="12">
        <f t="shared" si="19"/>
        <v>91105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91105</v>
      </c>
      <c r="U94" s="12">
        <f t="shared" si="23"/>
        <v>2024.5555555555557</v>
      </c>
      <c r="V94" s="12">
        <f t="shared" si="24"/>
        <v>2024.5555555555557</v>
      </c>
      <c r="W94" s="14">
        <f t="shared" si="25"/>
        <v>91105</v>
      </c>
    </row>
    <row r="95" spans="1:23" s="16" customFormat="1" ht="28.5" customHeight="1">
      <c r="A95" s="11">
        <f t="shared" si="13"/>
        <v>79</v>
      </c>
      <c r="B95" s="11" t="s">
        <v>6</v>
      </c>
      <c r="C95" s="11" t="s">
        <v>1456</v>
      </c>
      <c r="D95" s="15" t="s">
        <v>60</v>
      </c>
      <c r="E95" s="11" t="s">
        <v>26</v>
      </c>
      <c r="F95" s="11" t="s">
        <v>1457</v>
      </c>
      <c r="G95" s="12">
        <v>1845</v>
      </c>
      <c r="H95" s="12">
        <v>2249</v>
      </c>
      <c r="I95" s="12"/>
      <c r="J95" s="12">
        <v>1849</v>
      </c>
      <c r="K95" s="12">
        <f t="shared" si="14"/>
        <v>0</v>
      </c>
      <c r="L95" s="12">
        <f t="shared" si="15"/>
        <v>1845</v>
      </c>
      <c r="M95" s="12">
        <f t="shared" si="16"/>
        <v>2249</v>
      </c>
      <c r="N95" s="12">
        <f t="shared" si="17"/>
        <v>1849</v>
      </c>
      <c r="O95" s="12" t="str">
        <f t="shared" si="18"/>
        <v>휘발유 46,125원 / 고급유 44,980원</v>
      </c>
      <c r="P95" s="12">
        <f t="shared" si="19"/>
        <v>91105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91105</v>
      </c>
      <c r="U95" s="12">
        <f t="shared" si="23"/>
        <v>2024.5555555555557</v>
      </c>
      <c r="V95" s="12">
        <f t="shared" si="24"/>
        <v>2024.5555555555557</v>
      </c>
      <c r="W95" s="14">
        <f t="shared" si="25"/>
        <v>91105</v>
      </c>
    </row>
    <row r="96" spans="1:23" s="2" customFormat="1" ht="28.5" customHeight="1">
      <c r="A96" s="11">
        <f t="shared" si="13"/>
        <v>82</v>
      </c>
      <c r="B96" s="11" t="s">
        <v>6</v>
      </c>
      <c r="C96" s="11" t="s">
        <v>324</v>
      </c>
      <c r="D96" s="15" t="s">
        <v>60</v>
      </c>
      <c r="E96" s="11" t="s">
        <v>26</v>
      </c>
      <c r="F96" s="11" t="s">
        <v>325</v>
      </c>
      <c r="G96" s="12">
        <v>1825</v>
      </c>
      <c r="H96" s="12">
        <v>2278</v>
      </c>
      <c r="I96" s="12"/>
      <c r="J96" s="12">
        <v>1809</v>
      </c>
      <c r="K96" s="12">
        <f t="shared" si="14"/>
        <v>0</v>
      </c>
      <c r="L96" s="12">
        <f t="shared" si="15"/>
        <v>1825</v>
      </c>
      <c r="M96" s="12">
        <f t="shared" si="16"/>
        <v>2278</v>
      </c>
      <c r="N96" s="12">
        <f t="shared" si="17"/>
        <v>1809</v>
      </c>
      <c r="O96" s="12" t="str">
        <f t="shared" si="18"/>
        <v>휘발유 45,625원 / 고급유 45,560원</v>
      </c>
      <c r="P96" s="12">
        <f t="shared" si="19"/>
        <v>91185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91185</v>
      </c>
      <c r="U96" s="12">
        <f t="shared" si="23"/>
        <v>2026.3333333333333</v>
      </c>
      <c r="V96" s="12">
        <f t="shared" si="24"/>
        <v>2026.3333333333333</v>
      </c>
      <c r="W96" s="14">
        <f t="shared" si="25"/>
        <v>91185</v>
      </c>
    </row>
    <row r="97" spans="1:23" s="2" customFormat="1" ht="28.5" customHeight="1">
      <c r="A97" s="11">
        <f t="shared" si="13"/>
        <v>83</v>
      </c>
      <c r="B97" s="11" t="s">
        <v>16</v>
      </c>
      <c r="C97" s="11" t="s">
        <v>248</v>
      </c>
      <c r="D97" s="15" t="s">
        <v>60</v>
      </c>
      <c r="E97" s="11" t="s">
        <v>26</v>
      </c>
      <c r="F97" s="11" t="s">
        <v>249</v>
      </c>
      <c r="G97" s="12">
        <v>1880</v>
      </c>
      <c r="H97" s="12">
        <v>2210</v>
      </c>
      <c r="I97" s="12"/>
      <c r="J97" s="12">
        <v>1865</v>
      </c>
      <c r="K97" s="12">
        <f t="shared" si="14"/>
        <v>0</v>
      </c>
      <c r="L97" s="12">
        <f t="shared" si="15"/>
        <v>1880</v>
      </c>
      <c r="M97" s="12">
        <f t="shared" si="16"/>
        <v>2210</v>
      </c>
      <c r="N97" s="12">
        <f t="shared" si="17"/>
        <v>1865</v>
      </c>
      <c r="O97" s="12" t="str">
        <f t="shared" si="18"/>
        <v>휘발유 47,000원 / 고급유 44,200원</v>
      </c>
      <c r="P97" s="12">
        <f t="shared" si="19"/>
        <v>91200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91200</v>
      </c>
      <c r="U97" s="12">
        <f t="shared" si="23"/>
        <v>2026.6666666666667</v>
      </c>
      <c r="V97" s="12">
        <f t="shared" si="24"/>
        <v>2026.6666666666667</v>
      </c>
      <c r="W97" s="14">
        <f t="shared" si="25"/>
        <v>91200</v>
      </c>
    </row>
    <row r="98" spans="1:23" s="2" customFormat="1" ht="28.5" customHeight="1">
      <c r="A98" s="11">
        <f t="shared" si="13"/>
        <v>84</v>
      </c>
      <c r="B98" s="11" t="s">
        <v>6</v>
      </c>
      <c r="C98" s="11" t="s">
        <v>1640</v>
      </c>
      <c r="D98" s="15" t="s">
        <v>80</v>
      </c>
      <c r="E98" s="11" t="s">
        <v>26</v>
      </c>
      <c r="F98" s="11" t="s">
        <v>1641</v>
      </c>
      <c r="G98" s="12">
        <v>1815</v>
      </c>
      <c r="H98" s="12">
        <v>2295</v>
      </c>
      <c r="I98" s="12"/>
      <c r="J98" s="12">
        <v>1799</v>
      </c>
      <c r="K98" s="12">
        <f t="shared" si="14"/>
        <v>0</v>
      </c>
      <c r="L98" s="12">
        <f t="shared" si="15"/>
        <v>1815</v>
      </c>
      <c r="M98" s="12">
        <f t="shared" si="16"/>
        <v>2295</v>
      </c>
      <c r="N98" s="12">
        <f t="shared" si="17"/>
        <v>1799</v>
      </c>
      <c r="O98" s="12" t="str">
        <f t="shared" si="18"/>
        <v>휘발유 45,375원 / 고급유 45,900원</v>
      </c>
      <c r="P98" s="12">
        <f t="shared" si="19"/>
        <v>91275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91275</v>
      </c>
      <c r="U98" s="12">
        <f t="shared" si="23"/>
        <v>2028.3333333333333</v>
      </c>
      <c r="V98" s="12">
        <f t="shared" si="24"/>
        <v>2028.3333333333333</v>
      </c>
      <c r="W98" s="14">
        <f t="shared" si="25"/>
        <v>91275</v>
      </c>
    </row>
    <row r="99" spans="1:23" s="16" customFormat="1" ht="28.5" customHeight="1">
      <c r="A99" s="11">
        <f t="shared" si="13"/>
        <v>85</v>
      </c>
      <c r="B99" s="11" t="s">
        <v>12</v>
      </c>
      <c r="C99" s="11" t="s">
        <v>268</v>
      </c>
      <c r="D99" s="15" t="s">
        <v>80</v>
      </c>
      <c r="E99" s="11" t="s">
        <v>26</v>
      </c>
      <c r="F99" s="11" t="s">
        <v>269</v>
      </c>
      <c r="G99" s="12">
        <v>1868</v>
      </c>
      <c r="H99" s="12">
        <v>2229</v>
      </c>
      <c r="I99" s="12"/>
      <c r="J99" s="12">
        <v>1809</v>
      </c>
      <c r="K99" s="12">
        <f t="shared" si="14"/>
        <v>0</v>
      </c>
      <c r="L99" s="12">
        <f t="shared" si="15"/>
        <v>1868</v>
      </c>
      <c r="M99" s="12">
        <f t="shared" si="16"/>
        <v>2229</v>
      </c>
      <c r="N99" s="12">
        <f t="shared" si="17"/>
        <v>1809</v>
      </c>
      <c r="O99" s="12" t="str">
        <f t="shared" si="18"/>
        <v>휘발유 46,700원 / 고급유 44,580원</v>
      </c>
      <c r="P99" s="12">
        <f t="shared" si="19"/>
        <v>91280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91280</v>
      </c>
      <c r="U99" s="12">
        <f t="shared" si="23"/>
        <v>2028.4444444444443</v>
      </c>
      <c r="V99" s="12">
        <f t="shared" si="24"/>
        <v>2028.4444444444443</v>
      </c>
      <c r="W99" s="14">
        <f t="shared" si="25"/>
        <v>91280</v>
      </c>
    </row>
    <row r="100" spans="1:23" s="2" customFormat="1" ht="28.5" customHeight="1">
      <c r="A100" s="11">
        <f t="shared" si="13"/>
        <v>86</v>
      </c>
      <c r="B100" s="11" t="s">
        <v>6</v>
      </c>
      <c r="C100" s="11" t="s">
        <v>413</v>
      </c>
      <c r="D100" s="11" t="s">
        <v>57</v>
      </c>
      <c r="E100" s="11" t="s">
        <v>61</v>
      </c>
      <c r="F100" s="11" t="s">
        <v>414</v>
      </c>
      <c r="G100" s="12">
        <v>1979</v>
      </c>
      <c r="H100" s="12">
        <v>2598</v>
      </c>
      <c r="I100" s="12"/>
      <c r="J100" s="12">
        <v>1979</v>
      </c>
      <c r="K100" s="12">
        <f t="shared" si="14"/>
        <v>0</v>
      </c>
      <c r="L100" s="12">
        <f t="shared" si="15"/>
        <v>1979</v>
      </c>
      <c r="M100" s="12">
        <f t="shared" si="16"/>
        <v>2598</v>
      </c>
      <c r="N100" s="12">
        <f t="shared" si="17"/>
        <v>1979</v>
      </c>
      <c r="O100" s="12" t="str">
        <f t="shared" si="18"/>
        <v>휘발유 49,475원 / 고급유 51,960원</v>
      </c>
      <c r="P100" s="12">
        <f t="shared" si="19"/>
        <v>101435</v>
      </c>
      <c r="Q100" s="12" t="s">
        <v>63</v>
      </c>
      <c r="R100" s="13">
        <f t="shared" si="20"/>
        <v>0.1</v>
      </c>
      <c r="S100" s="12">
        <f t="shared" si="21"/>
        <v>10143</v>
      </c>
      <c r="T100" s="12">
        <f t="shared" si="22"/>
        <v>91292</v>
      </c>
      <c r="U100" s="12">
        <f t="shared" si="23"/>
        <v>2028.7111111111112</v>
      </c>
      <c r="V100" s="12">
        <f t="shared" si="24"/>
        <v>2254.1111111111113</v>
      </c>
      <c r="W100" s="14">
        <f t="shared" si="25"/>
        <v>91292</v>
      </c>
    </row>
    <row r="101" spans="1:23" s="16" customFormat="1" ht="28.5" customHeight="1">
      <c r="A101" s="11">
        <f t="shared" si="13"/>
        <v>87</v>
      </c>
      <c r="B101" s="11" t="s">
        <v>10</v>
      </c>
      <c r="C101" s="11" t="s">
        <v>1438</v>
      </c>
      <c r="D101" s="15" t="s">
        <v>60</v>
      </c>
      <c r="E101" s="11" t="s">
        <v>26</v>
      </c>
      <c r="F101" s="11" t="s">
        <v>1439</v>
      </c>
      <c r="G101" s="12">
        <v>1845</v>
      </c>
      <c r="H101" s="12">
        <v>2259</v>
      </c>
      <c r="I101" s="12"/>
      <c r="J101" s="12">
        <v>1849</v>
      </c>
      <c r="K101" s="12">
        <f t="shared" si="14"/>
        <v>0</v>
      </c>
      <c r="L101" s="12">
        <f t="shared" si="15"/>
        <v>1845</v>
      </c>
      <c r="M101" s="12">
        <f t="shared" si="16"/>
        <v>2259</v>
      </c>
      <c r="N101" s="12">
        <f t="shared" si="17"/>
        <v>1849</v>
      </c>
      <c r="O101" s="12" t="str">
        <f t="shared" si="18"/>
        <v>휘발유 46,125원 / 고급유 45,180원</v>
      </c>
      <c r="P101" s="12">
        <f t="shared" si="19"/>
        <v>91305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91305</v>
      </c>
      <c r="U101" s="12">
        <f t="shared" si="23"/>
        <v>2029</v>
      </c>
      <c r="V101" s="12">
        <f t="shared" si="24"/>
        <v>2029</v>
      </c>
      <c r="W101" s="14">
        <f t="shared" si="25"/>
        <v>91305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1575</v>
      </c>
      <c r="D102" s="11" t="s">
        <v>57</v>
      </c>
      <c r="E102" s="11" t="s">
        <v>26</v>
      </c>
      <c r="F102" s="11" t="s">
        <v>1576</v>
      </c>
      <c r="G102" s="12">
        <v>1829</v>
      </c>
      <c r="H102" s="12">
        <v>2280</v>
      </c>
      <c r="I102" s="12"/>
      <c r="J102" s="12">
        <v>1829</v>
      </c>
      <c r="K102" s="12">
        <f t="shared" si="14"/>
        <v>0</v>
      </c>
      <c r="L102" s="12">
        <f t="shared" si="15"/>
        <v>1829</v>
      </c>
      <c r="M102" s="12">
        <f t="shared" si="16"/>
        <v>2280</v>
      </c>
      <c r="N102" s="12">
        <f t="shared" si="17"/>
        <v>1829</v>
      </c>
      <c r="O102" s="12" t="str">
        <f t="shared" si="18"/>
        <v>휘발유 45,725원 / 고급유 45,600원</v>
      </c>
      <c r="P102" s="12">
        <f t="shared" si="19"/>
        <v>91325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91325</v>
      </c>
      <c r="U102" s="12">
        <f t="shared" si="23"/>
        <v>2029.4444444444443</v>
      </c>
      <c r="V102" s="12">
        <f t="shared" si="24"/>
        <v>2029.4444444444443</v>
      </c>
      <c r="W102" s="14">
        <f t="shared" si="25"/>
        <v>91325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1720</v>
      </c>
      <c r="D103" s="15" t="s">
        <v>45</v>
      </c>
      <c r="E103" s="11" t="s">
        <v>26</v>
      </c>
      <c r="F103" s="11" t="s">
        <v>1721</v>
      </c>
      <c r="G103" s="12">
        <v>1822</v>
      </c>
      <c r="H103" s="12">
        <v>2290</v>
      </c>
      <c r="I103" s="12"/>
      <c r="J103" s="12">
        <v>1812</v>
      </c>
      <c r="K103" s="12">
        <f t="shared" si="14"/>
        <v>0</v>
      </c>
      <c r="L103" s="12">
        <f t="shared" si="15"/>
        <v>1822</v>
      </c>
      <c r="M103" s="12">
        <f t="shared" si="16"/>
        <v>2290</v>
      </c>
      <c r="N103" s="12">
        <f t="shared" si="17"/>
        <v>1812</v>
      </c>
      <c r="O103" s="12" t="str">
        <f t="shared" si="18"/>
        <v>휘발유 45,550원 / 고급유 45,800원</v>
      </c>
      <c r="P103" s="12">
        <f t="shared" si="19"/>
        <v>91350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91350</v>
      </c>
      <c r="U103" s="12">
        <f t="shared" si="23"/>
        <v>2030</v>
      </c>
      <c r="V103" s="12">
        <f t="shared" si="24"/>
        <v>2030</v>
      </c>
      <c r="W103" s="14">
        <f t="shared" si="25"/>
        <v>91350</v>
      </c>
    </row>
    <row r="104" spans="1:23" s="7" customFormat="1" ht="28.5" customHeight="1">
      <c r="A104" s="11">
        <f t="shared" si="13"/>
        <v>90</v>
      </c>
      <c r="B104" s="11" t="s">
        <v>14</v>
      </c>
      <c r="C104" s="11" t="s">
        <v>464</v>
      </c>
      <c r="D104" s="11" t="s">
        <v>57</v>
      </c>
      <c r="E104" s="11" t="s">
        <v>26</v>
      </c>
      <c r="F104" s="11" t="s">
        <v>465</v>
      </c>
      <c r="G104" s="12">
        <v>1835</v>
      </c>
      <c r="H104" s="12">
        <v>2275</v>
      </c>
      <c r="I104" s="12"/>
      <c r="J104" s="12">
        <v>1832</v>
      </c>
      <c r="K104" s="12">
        <f t="shared" si="14"/>
        <v>0</v>
      </c>
      <c r="L104" s="12">
        <f t="shared" si="15"/>
        <v>1835</v>
      </c>
      <c r="M104" s="12">
        <f t="shared" si="16"/>
        <v>2275</v>
      </c>
      <c r="N104" s="12">
        <f t="shared" si="17"/>
        <v>1832</v>
      </c>
      <c r="O104" s="12" t="str">
        <f t="shared" si="18"/>
        <v>휘발유 45,875원 / 고급유 45,500원</v>
      </c>
      <c r="P104" s="12">
        <f t="shared" si="19"/>
        <v>91375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91375</v>
      </c>
      <c r="U104" s="12">
        <f t="shared" si="23"/>
        <v>2030.5555555555557</v>
      </c>
      <c r="V104" s="12">
        <f t="shared" si="24"/>
        <v>2030.5555555555557</v>
      </c>
      <c r="W104" s="14">
        <f t="shared" si="25"/>
        <v>91375</v>
      </c>
    </row>
    <row r="105" spans="1:23" s="16" customFormat="1" ht="28.5" customHeight="1">
      <c r="A105" s="11">
        <f t="shared" si="13"/>
        <v>91</v>
      </c>
      <c r="B105" s="11" t="s">
        <v>8</v>
      </c>
      <c r="C105" s="11" t="s">
        <v>574</v>
      </c>
      <c r="D105" s="15" t="s">
        <v>80</v>
      </c>
      <c r="E105" s="11" t="s">
        <v>26</v>
      </c>
      <c r="F105" s="11" t="s">
        <v>575</v>
      </c>
      <c r="G105" s="12">
        <v>1839</v>
      </c>
      <c r="H105" s="12">
        <v>2271</v>
      </c>
      <c r="I105" s="12"/>
      <c r="J105" s="12">
        <v>1839</v>
      </c>
      <c r="K105" s="12">
        <f t="shared" si="14"/>
        <v>0</v>
      </c>
      <c r="L105" s="12">
        <f t="shared" si="15"/>
        <v>1839</v>
      </c>
      <c r="M105" s="12">
        <f t="shared" si="16"/>
        <v>2271</v>
      </c>
      <c r="N105" s="12">
        <f t="shared" si="17"/>
        <v>1839</v>
      </c>
      <c r="O105" s="12" t="str">
        <f t="shared" si="18"/>
        <v>휘발유 45,975원 / 고급유 45,420원</v>
      </c>
      <c r="P105" s="12">
        <f t="shared" si="19"/>
        <v>91395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91395</v>
      </c>
      <c r="U105" s="12">
        <f t="shared" si="23"/>
        <v>2031</v>
      </c>
      <c r="V105" s="12">
        <f t="shared" si="24"/>
        <v>2031</v>
      </c>
      <c r="W105" s="14">
        <f t="shared" si="25"/>
        <v>91395</v>
      </c>
    </row>
    <row r="106" spans="1:23" s="7" customFormat="1" ht="28.5" customHeight="1">
      <c r="A106" s="11">
        <f t="shared" si="13"/>
        <v>92</v>
      </c>
      <c r="B106" s="11" t="s">
        <v>14</v>
      </c>
      <c r="C106" s="11" t="s">
        <v>1415</v>
      </c>
      <c r="D106" s="15" t="s">
        <v>60</v>
      </c>
      <c r="E106" s="11" t="s">
        <v>26</v>
      </c>
      <c r="F106" s="11" t="s">
        <v>1416</v>
      </c>
      <c r="G106" s="12">
        <v>1839</v>
      </c>
      <c r="H106" s="12">
        <v>2275</v>
      </c>
      <c r="I106" s="12"/>
      <c r="J106" s="12">
        <v>1829</v>
      </c>
      <c r="K106" s="12">
        <f t="shared" si="14"/>
        <v>0</v>
      </c>
      <c r="L106" s="12">
        <f t="shared" si="15"/>
        <v>1839</v>
      </c>
      <c r="M106" s="12">
        <f t="shared" si="16"/>
        <v>2275</v>
      </c>
      <c r="N106" s="12">
        <f t="shared" si="17"/>
        <v>1829</v>
      </c>
      <c r="O106" s="12" t="str">
        <f t="shared" si="18"/>
        <v>휘발유 45,975원 / 고급유 45,500원</v>
      </c>
      <c r="P106" s="12">
        <f t="shared" si="19"/>
        <v>91475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91475</v>
      </c>
      <c r="U106" s="12">
        <f t="shared" si="23"/>
        <v>2032.7777777777778</v>
      </c>
      <c r="V106" s="12">
        <f t="shared" si="24"/>
        <v>2032.7777777777778</v>
      </c>
      <c r="W106" s="14">
        <f t="shared" si="25"/>
        <v>91475</v>
      </c>
    </row>
    <row r="107" spans="1:23" s="16" customFormat="1" ht="28.5" customHeight="1">
      <c r="A107" s="11">
        <f t="shared" si="13"/>
        <v>93</v>
      </c>
      <c r="B107" s="11" t="s">
        <v>18</v>
      </c>
      <c r="C107" s="11" t="s">
        <v>1342</v>
      </c>
      <c r="D107" s="15" t="s">
        <v>80</v>
      </c>
      <c r="E107" s="11" t="s">
        <v>26</v>
      </c>
      <c r="F107" s="11" t="s">
        <v>1343</v>
      </c>
      <c r="G107" s="12">
        <v>1822</v>
      </c>
      <c r="H107" s="12">
        <v>2299</v>
      </c>
      <c r="I107" s="12"/>
      <c r="J107" s="12">
        <v>1812</v>
      </c>
      <c r="K107" s="12">
        <f t="shared" si="14"/>
        <v>0</v>
      </c>
      <c r="L107" s="12">
        <f t="shared" si="15"/>
        <v>1822</v>
      </c>
      <c r="M107" s="12">
        <f t="shared" si="16"/>
        <v>2299</v>
      </c>
      <c r="N107" s="12">
        <f t="shared" si="17"/>
        <v>1812</v>
      </c>
      <c r="O107" s="12" t="str">
        <f t="shared" si="18"/>
        <v>휘발유 45,550원 / 고급유 45,980원</v>
      </c>
      <c r="P107" s="12">
        <f t="shared" si="19"/>
        <v>91530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91530</v>
      </c>
      <c r="U107" s="12">
        <f t="shared" si="23"/>
        <v>2034</v>
      </c>
      <c r="V107" s="12">
        <f t="shared" si="24"/>
        <v>2034</v>
      </c>
      <c r="W107" s="14">
        <f t="shared" si="25"/>
        <v>91530</v>
      </c>
    </row>
    <row r="108" spans="1:23" s="2" customFormat="1" ht="28.5" customHeight="1">
      <c r="A108" s="11">
        <f t="shared" si="13"/>
        <v>94</v>
      </c>
      <c r="B108" s="11" t="s">
        <v>14</v>
      </c>
      <c r="C108" s="11" t="s">
        <v>172</v>
      </c>
      <c r="D108" s="11" t="s">
        <v>57</v>
      </c>
      <c r="E108" s="11" t="s">
        <v>26</v>
      </c>
      <c r="F108" s="11" t="s">
        <v>173</v>
      </c>
      <c r="G108" s="12">
        <v>1839</v>
      </c>
      <c r="H108" s="12">
        <v>2279</v>
      </c>
      <c r="I108" s="12"/>
      <c r="J108" s="12">
        <v>1819</v>
      </c>
      <c r="K108" s="12">
        <f t="shared" si="14"/>
        <v>0</v>
      </c>
      <c r="L108" s="12">
        <f t="shared" si="15"/>
        <v>1839</v>
      </c>
      <c r="M108" s="12">
        <f t="shared" si="16"/>
        <v>2279</v>
      </c>
      <c r="N108" s="12">
        <f t="shared" si="17"/>
        <v>1819</v>
      </c>
      <c r="O108" s="12" t="str">
        <f t="shared" si="18"/>
        <v>휘발유 45,975원 / 고급유 45,580원</v>
      </c>
      <c r="P108" s="12">
        <f t="shared" si="19"/>
        <v>91555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91555</v>
      </c>
      <c r="U108" s="12">
        <f t="shared" si="23"/>
        <v>2034.5555555555557</v>
      </c>
      <c r="V108" s="12">
        <f t="shared" si="24"/>
        <v>2034.5555555555557</v>
      </c>
      <c r="W108" s="14">
        <f t="shared" si="25"/>
        <v>91555</v>
      </c>
    </row>
    <row r="109" spans="1:23" s="2" customFormat="1" ht="28.5" customHeight="1">
      <c r="A109" s="11">
        <f t="shared" si="13"/>
        <v>94</v>
      </c>
      <c r="B109" s="11" t="s">
        <v>14</v>
      </c>
      <c r="C109" s="11" t="s">
        <v>1585</v>
      </c>
      <c r="D109" s="15" t="s">
        <v>80</v>
      </c>
      <c r="E109" s="11" t="s">
        <v>26</v>
      </c>
      <c r="F109" s="11" t="s">
        <v>1586</v>
      </c>
      <c r="G109" s="12">
        <v>1839</v>
      </c>
      <c r="H109" s="12">
        <v>2279</v>
      </c>
      <c r="I109" s="12"/>
      <c r="J109" s="12">
        <v>1819</v>
      </c>
      <c r="K109" s="12">
        <f t="shared" si="14"/>
        <v>0</v>
      </c>
      <c r="L109" s="12">
        <f t="shared" si="15"/>
        <v>1839</v>
      </c>
      <c r="M109" s="12">
        <f t="shared" si="16"/>
        <v>2279</v>
      </c>
      <c r="N109" s="12">
        <f t="shared" si="17"/>
        <v>1819</v>
      </c>
      <c r="O109" s="12" t="str">
        <f t="shared" si="18"/>
        <v>휘발유 45,975원 / 고급유 45,580원</v>
      </c>
      <c r="P109" s="12">
        <f t="shared" si="19"/>
        <v>91555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91555</v>
      </c>
      <c r="U109" s="12">
        <f t="shared" si="23"/>
        <v>2034.5555555555557</v>
      </c>
      <c r="V109" s="12">
        <f t="shared" si="24"/>
        <v>2034.5555555555557</v>
      </c>
      <c r="W109" s="14">
        <f t="shared" si="25"/>
        <v>91555</v>
      </c>
    </row>
    <row r="110" spans="1:23" s="2" customFormat="1" ht="28.5" customHeight="1">
      <c r="A110" s="11">
        <f t="shared" si="13"/>
        <v>96</v>
      </c>
      <c r="B110" s="11" t="s">
        <v>12</v>
      </c>
      <c r="C110" s="11" t="s">
        <v>657</v>
      </c>
      <c r="D110" s="15" t="s">
        <v>57</v>
      </c>
      <c r="E110" s="11" t="s">
        <v>26</v>
      </c>
      <c r="F110" s="11" t="s">
        <v>658</v>
      </c>
      <c r="G110" s="12">
        <v>1829</v>
      </c>
      <c r="H110" s="12">
        <v>2295</v>
      </c>
      <c r="I110" s="12"/>
      <c r="J110" s="12">
        <v>1789</v>
      </c>
      <c r="K110" s="12">
        <f t="shared" si="14"/>
        <v>0</v>
      </c>
      <c r="L110" s="12">
        <f t="shared" si="15"/>
        <v>1829</v>
      </c>
      <c r="M110" s="12">
        <f t="shared" si="16"/>
        <v>2295</v>
      </c>
      <c r="N110" s="12">
        <f t="shared" si="17"/>
        <v>1789</v>
      </c>
      <c r="O110" s="12" t="str">
        <f t="shared" si="18"/>
        <v>휘발유 45,725원 / 고급유 45,900원</v>
      </c>
      <c r="P110" s="12">
        <f t="shared" si="19"/>
        <v>91625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91625</v>
      </c>
      <c r="U110" s="12">
        <f t="shared" si="23"/>
        <v>2036.1111111111111</v>
      </c>
      <c r="V110" s="12">
        <f t="shared" si="24"/>
        <v>2036.1111111111111</v>
      </c>
      <c r="W110" s="14">
        <f t="shared" si="25"/>
        <v>91625</v>
      </c>
    </row>
    <row r="111" spans="1:23" s="2" customFormat="1" ht="28.5" customHeight="1">
      <c r="A111" s="11">
        <f t="shared" si="13"/>
        <v>96</v>
      </c>
      <c r="B111" s="11" t="s">
        <v>16</v>
      </c>
      <c r="C111" s="11" t="s">
        <v>614</v>
      </c>
      <c r="D111" s="15" t="s">
        <v>45</v>
      </c>
      <c r="E111" s="11" t="s">
        <v>26</v>
      </c>
      <c r="F111" s="11" t="s">
        <v>615</v>
      </c>
      <c r="G111" s="12">
        <v>1885</v>
      </c>
      <c r="H111" s="12">
        <v>2225</v>
      </c>
      <c r="I111" s="12"/>
      <c r="J111" s="12">
        <v>1875</v>
      </c>
      <c r="K111" s="12">
        <f t="shared" si="14"/>
        <v>0</v>
      </c>
      <c r="L111" s="12">
        <f t="shared" si="15"/>
        <v>1885</v>
      </c>
      <c r="M111" s="12">
        <f t="shared" si="16"/>
        <v>2225</v>
      </c>
      <c r="N111" s="12">
        <f t="shared" si="17"/>
        <v>1875</v>
      </c>
      <c r="O111" s="12" t="str">
        <f t="shared" si="18"/>
        <v>휘발유 47,125원 / 고급유 44,500원</v>
      </c>
      <c r="P111" s="12">
        <f t="shared" si="19"/>
        <v>91625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91625</v>
      </c>
      <c r="U111" s="12">
        <f t="shared" si="23"/>
        <v>2036.1111111111111</v>
      </c>
      <c r="V111" s="12">
        <f t="shared" si="24"/>
        <v>2036.1111111111111</v>
      </c>
      <c r="W111" s="14">
        <f t="shared" si="25"/>
        <v>91625</v>
      </c>
    </row>
    <row r="112" spans="1:23" s="2" customFormat="1" ht="28.5" customHeight="1">
      <c r="A112" s="11">
        <f t="shared" si="13"/>
        <v>98</v>
      </c>
      <c r="B112" s="11" t="s">
        <v>10</v>
      </c>
      <c r="C112" s="11" t="s">
        <v>47</v>
      </c>
      <c r="D112" s="11" t="s">
        <v>48</v>
      </c>
      <c r="E112" s="11" t="s">
        <v>26</v>
      </c>
      <c r="F112" s="11" t="s">
        <v>49</v>
      </c>
      <c r="G112" s="12">
        <v>1836</v>
      </c>
      <c r="H112" s="12">
        <v>2287</v>
      </c>
      <c r="I112" s="12"/>
      <c r="J112" s="12">
        <v>1799</v>
      </c>
      <c r="K112" s="12">
        <f t="shared" si="14"/>
        <v>0</v>
      </c>
      <c r="L112" s="12">
        <f t="shared" si="15"/>
        <v>1836</v>
      </c>
      <c r="M112" s="12">
        <f t="shared" si="16"/>
        <v>2287</v>
      </c>
      <c r="N112" s="12">
        <f t="shared" si="17"/>
        <v>1799</v>
      </c>
      <c r="O112" s="12" t="str">
        <f t="shared" si="18"/>
        <v>휘발유 45,900원 / 고급유 45,740원</v>
      </c>
      <c r="P112" s="12">
        <f t="shared" si="19"/>
        <v>91640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91640</v>
      </c>
      <c r="U112" s="12">
        <f t="shared" si="23"/>
        <v>2036.4444444444443</v>
      </c>
      <c r="V112" s="12">
        <f t="shared" si="24"/>
        <v>2036.4444444444443</v>
      </c>
      <c r="W112" s="14">
        <f t="shared" si="25"/>
        <v>91640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600</v>
      </c>
      <c r="D113" s="15" t="s">
        <v>80</v>
      </c>
      <c r="E113" s="11" t="s">
        <v>26</v>
      </c>
      <c r="F113" s="11" t="s">
        <v>601</v>
      </c>
      <c r="G113" s="12">
        <v>1828</v>
      </c>
      <c r="H113" s="12">
        <v>2298</v>
      </c>
      <c r="I113" s="12"/>
      <c r="J113" s="12">
        <v>1811</v>
      </c>
      <c r="K113" s="12">
        <f t="shared" si="14"/>
        <v>0</v>
      </c>
      <c r="L113" s="12">
        <f t="shared" si="15"/>
        <v>1828</v>
      </c>
      <c r="M113" s="12">
        <f t="shared" si="16"/>
        <v>2298</v>
      </c>
      <c r="N113" s="12">
        <f t="shared" si="17"/>
        <v>1811</v>
      </c>
      <c r="O113" s="12" t="str">
        <f t="shared" si="18"/>
        <v>휘발유 45,700원 / 고급유 45,960원</v>
      </c>
      <c r="P113" s="12">
        <f t="shared" si="19"/>
        <v>91660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91660</v>
      </c>
      <c r="U113" s="12">
        <f t="shared" si="23"/>
        <v>2036.8888888888889</v>
      </c>
      <c r="V113" s="12">
        <f t="shared" si="24"/>
        <v>2036.8888888888889</v>
      </c>
      <c r="W113" s="14">
        <f t="shared" si="25"/>
        <v>91660</v>
      </c>
    </row>
    <row r="114" spans="1:23" s="16" customFormat="1" ht="28.5" customHeight="1">
      <c r="A114" s="11">
        <f t="shared" si="13"/>
        <v>100</v>
      </c>
      <c r="B114" s="11" t="s">
        <v>6</v>
      </c>
      <c r="C114" s="11" t="s">
        <v>262</v>
      </c>
      <c r="D114" s="15" t="s">
        <v>80</v>
      </c>
      <c r="E114" s="11" t="s">
        <v>26</v>
      </c>
      <c r="F114" s="11" t="s">
        <v>263</v>
      </c>
      <c r="G114" s="12">
        <v>1878</v>
      </c>
      <c r="H114" s="12">
        <v>2239</v>
      </c>
      <c r="I114" s="12"/>
      <c r="J114" s="12">
        <v>1819</v>
      </c>
      <c r="K114" s="12">
        <f t="shared" si="14"/>
        <v>0</v>
      </c>
      <c r="L114" s="12">
        <f t="shared" si="15"/>
        <v>1878</v>
      </c>
      <c r="M114" s="12">
        <f t="shared" si="16"/>
        <v>2239</v>
      </c>
      <c r="N114" s="12">
        <f t="shared" si="17"/>
        <v>1819</v>
      </c>
      <c r="O114" s="12" t="str">
        <f t="shared" si="18"/>
        <v>휘발유 46,950원 / 고급유 44,780원</v>
      </c>
      <c r="P114" s="12">
        <f t="shared" si="19"/>
        <v>91730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91730</v>
      </c>
      <c r="U114" s="12">
        <f t="shared" si="23"/>
        <v>2038.4444444444443</v>
      </c>
      <c r="V114" s="12">
        <f t="shared" si="24"/>
        <v>2038.4444444444443</v>
      </c>
      <c r="W114" s="14">
        <f t="shared" si="25"/>
        <v>91730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590</v>
      </c>
      <c r="D115" s="15" t="s">
        <v>45</v>
      </c>
      <c r="E115" s="11" t="s">
        <v>26</v>
      </c>
      <c r="F115" s="11" t="s">
        <v>591</v>
      </c>
      <c r="G115" s="12">
        <v>1845</v>
      </c>
      <c r="H115" s="12">
        <v>2285</v>
      </c>
      <c r="I115" s="12"/>
      <c r="J115" s="12">
        <v>1835</v>
      </c>
      <c r="K115" s="12">
        <f t="shared" si="14"/>
        <v>0</v>
      </c>
      <c r="L115" s="12">
        <f t="shared" si="15"/>
        <v>1845</v>
      </c>
      <c r="M115" s="12">
        <f t="shared" si="16"/>
        <v>2285</v>
      </c>
      <c r="N115" s="12">
        <f t="shared" si="17"/>
        <v>1835</v>
      </c>
      <c r="O115" s="12" t="str">
        <f t="shared" si="18"/>
        <v>휘발유 46,125원 / 고급유 45,700원</v>
      </c>
      <c r="P115" s="12">
        <f t="shared" si="19"/>
        <v>91825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91825</v>
      </c>
      <c r="U115" s="12">
        <f t="shared" si="23"/>
        <v>2040.5555555555557</v>
      </c>
      <c r="V115" s="12">
        <f t="shared" si="24"/>
        <v>2040.5555555555557</v>
      </c>
      <c r="W115" s="14">
        <f t="shared" si="25"/>
        <v>91825</v>
      </c>
    </row>
    <row r="116" spans="1:23" s="2" customFormat="1" ht="28.5" customHeight="1">
      <c r="A116" s="11">
        <f t="shared" si="13"/>
        <v>102</v>
      </c>
      <c r="B116" s="11" t="s">
        <v>10</v>
      </c>
      <c r="C116" s="11" t="s">
        <v>124</v>
      </c>
      <c r="D116" s="11" t="s">
        <v>48</v>
      </c>
      <c r="E116" s="11" t="s">
        <v>26</v>
      </c>
      <c r="F116" s="11" t="s">
        <v>125</v>
      </c>
      <c r="G116" s="12">
        <v>1834</v>
      </c>
      <c r="H116" s="12">
        <v>2299</v>
      </c>
      <c r="I116" s="12"/>
      <c r="J116" s="12">
        <v>1822</v>
      </c>
      <c r="K116" s="12">
        <f t="shared" si="14"/>
        <v>0</v>
      </c>
      <c r="L116" s="12">
        <f t="shared" si="15"/>
        <v>1834</v>
      </c>
      <c r="M116" s="12">
        <f t="shared" si="16"/>
        <v>2299</v>
      </c>
      <c r="N116" s="12">
        <f t="shared" si="17"/>
        <v>1822</v>
      </c>
      <c r="O116" s="12" t="str">
        <f t="shared" si="18"/>
        <v>휘발유 45,850원 / 고급유 45,980원</v>
      </c>
      <c r="P116" s="12">
        <f t="shared" si="19"/>
        <v>91830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91830</v>
      </c>
      <c r="U116" s="12">
        <f t="shared" si="23"/>
        <v>2040.6666666666667</v>
      </c>
      <c r="V116" s="12">
        <f t="shared" si="24"/>
        <v>2040.6666666666667</v>
      </c>
      <c r="W116" s="14">
        <f t="shared" si="25"/>
        <v>91830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1468</v>
      </c>
      <c r="D117" s="15" t="s">
        <v>60</v>
      </c>
      <c r="E117" s="11" t="s">
        <v>26</v>
      </c>
      <c r="F117" s="11" t="s">
        <v>1469</v>
      </c>
      <c r="G117" s="12">
        <v>1845</v>
      </c>
      <c r="H117" s="12">
        <v>2287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2287</v>
      </c>
      <c r="N117" s="12">
        <f t="shared" si="17"/>
        <v>1849</v>
      </c>
      <c r="O117" s="12" t="str">
        <f t="shared" si="18"/>
        <v>휘발유 46,125원 / 고급유 45,740원</v>
      </c>
      <c r="P117" s="12">
        <f t="shared" si="19"/>
        <v>91865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91865</v>
      </c>
      <c r="U117" s="12">
        <f t="shared" si="23"/>
        <v>2041.4444444444443</v>
      </c>
      <c r="V117" s="12">
        <f t="shared" si="24"/>
        <v>2041.4444444444443</v>
      </c>
      <c r="W117" s="14">
        <f t="shared" si="25"/>
        <v>91865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258</v>
      </c>
      <c r="D118" s="15" t="s">
        <v>80</v>
      </c>
      <c r="E118" s="11" t="s">
        <v>26</v>
      </c>
      <c r="F118" s="11" t="s">
        <v>259</v>
      </c>
      <c r="G118" s="12">
        <v>1855</v>
      </c>
      <c r="H118" s="12">
        <v>2278</v>
      </c>
      <c r="I118" s="12"/>
      <c r="J118" s="12">
        <v>1815</v>
      </c>
      <c r="K118" s="12">
        <f t="shared" si="14"/>
        <v>0</v>
      </c>
      <c r="L118" s="12">
        <f t="shared" si="15"/>
        <v>1855</v>
      </c>
      <c r="M118" s="12">
        <f t="shared" si="16"/>
        <v>2278</v>
      </c>
      <c r="N118" s="12">
        <f t="shared" si="17"/>
        <v>1815</v>
      </c>
      <c r="O118" s="12" t="str">
        <f t="shared" si="18"/>
        <v>휘발유 46,375원 / 고급유 45,560원</v>
      </c>
      <c r="P118" s="12">
        <f t="shared" si="19"/>
        <v>91935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91935</v>
      </c>
      <c r="U118" s="12">
        <f t="shared" si="23"/>
        <v>2043</v>
      </c>
      <c r="V118" s="12">
        <f t="shared" si="24"/>
        <v>2043</v>
      </c>
      <c r="W118" s="14">
        <f t="shared" si="25"/>
        <v>91935</v>
      </c>
    </row>
    <row r="119" spans="1:23" s="7" customFormat="1" ht="28.5" customHeight="1">
      <c r="A119" s="11">
        <f t="shared" si="13"/>
        <v>105</v>
      </c>
      <c r="B119" s="11" t="s">
        <v>8</v>
      </c>
      <c r="C119" s="11" t="s">
        <v>419</v>
      </c>
      <c r="D119" s="15" t="s">
        <v>80</v>
      </c>
      <c r="E119" s="11" t="s">
        <v>26</v>
      </c>
      <c r="F119" s="11" t="s">
        <v>420</v>
      </c>
      <c r="G119" s="12">
        <v>1839</v>
      </c>
      <c r="H119" s="12">
        <v>2299</v>
      </c>
      <c r="I119" s="12"/>
      <c r="J119" s="12">
        <v>1839</v>
      </c>
      <c r="K119" s="12">
        <f t="shared" si="14"/>
        <v>0</v>
      </c>
      <c r="L119" s="12">
        <f t="shared" si="15"/>
        <v>1839</v>
      </c>
      <c r="M119" s="12">
        <f t="shared" si="16"/>
        <v>2299</v>
      </c>
      <c r="N119" s="12">
        <f t="shared" si="17"/>
        <v>1839</v>
      </c>
      <c r="O119" s="12" t="str">
        <f t="shared" si="18"/>
        <v>휘발유 45,975원 / 고급유 45,980원</v>
      </c>
      <c r="P119" s="12">
        <f t="shared" si="19"/>
        <v>91955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91955</v>
      </c>
      <c r="U119" s="12">
        <f t="shared" si="23"/>
        <v>2043.4444444444443</v>
      </c>
      <c r="V119" s="12">
        <f t="shared" si="24"/>
        <v>2043.4444444444443</v>
      </c>
      <c r="W119" s="14">
        <f t="shared" si="25"/>
        <v>91955</v>
      </c>
    </row>
    <row r="120" spans="1:23" s="16" customFormat="1" ht="28.5" customHeight="1">
      <c r="A120" s="11">
        <f t="shared" si="13"/>
        <v>105</v>
      </c>
      <c r="B120" s="11" t="s">
        <v>12</v>
      </c>
      <c r="C120" s="11" t="s">
        <v>266</v>
      </c>
      <c r="D120" s="15" t="s">
        <v>80</v>
      </c>
      <c r="E120" s="11" t="s">
        <v>61</v>
      </c>
      <c r="F120" s="11" t="s">
        <v>267</v>
      </c>
      <c r="G120" s="12">
        <v>1887</v>
      </c>
      <c r="H120" s="12">
        <v>2239</v>
      </c>
      <c r="I120" s="12"/>
      <c r="J120" s="12">
        <v>1823</v>
      </c>
      <c r="K120" s="12">
        <f t="shared" si="14"/>
        <v>0</v>
      </c>
      <c r="L120" s="12">
        <f t="shared" si="15"/>
        <v>1887</v>
      </c>
      <c r="M120" s="12">
        <f t="shared" si="16"/>
        <v>2239</v>
      </c>
      <c r="N120" s="12">
        <f t="shared" si="17"/>
        <v>1823</v>
      </c>
      <c r="O120" s="12" t="str">
        <f t="shared" si="18"/>
        <v>휘발유 47,175원 / 고급유 44,780원</v>
      </c>
      <c r="P120" s="12">
        <f t="shared" si="19"/>
        <v>91955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91955</v>
      </c>
      <c r="U120" s="12">
        <f t="shared" si="23"/>
        <v>2043.4444444444443</v>
      </c>
      <c r="V120" s="12">
        <f t="shared" si="24"/>
        <v>2043.4444444444443</v>
      </c>
      <c r="W120" s="14">
        <f t="shared" si="25"/>
        <v>91955</v>
      </c>
    </row>
    <row r="121" spans="1:23" s="2" customFormat="1" ht="28.5" customHeight="1">
      <c r="A121" s="11">
        <f t="shared" si="13"/>
        <v>107</v>
      </c>
      <c r="B121" s="11" t="s">
        <v>10</v>
      </c>
      <c r="C121" s="11" t="s">
        <v>1678</v>
      </c>
      <c r="D121" s="15" t="s">
        <v>80</v>
      </c>
      <c r="E121" s="11" t="s">
        <v>26</v>
      </c>
      <c r="F121" s="11" t="s">
        <v>1679</v>
      </c>
      <c r="G121" s="12">
        <v>1848</v>
      </c>
      <c r="H121" s="12">
        <v>2289</v>
      </c>
      <c r="I121" s="12"/>
      <c r="J121" s="12">
        <v>1819</v>
      </c>
      <c r="K121" s="12">
        <f t="shared" si="14"/>
        <v>0</v>
      </c>
      <c r="L121" s="12">
        <f t="shared" si="15"/>
        <v>1848</v>
      </c>
      <c r="M121" s="12">
        <f t="shared" si="16"/>
        <v>2289</v>
      </c>
      <c r="N121" s="12">
        <f t="shared" si="17"/>
        <v>1819</v>
      </c>
      <c r="O121" s="12" t="str">
        <f t="shared" si="18"/>
        <v>휘발유 46,200원 / 고급유 45,780원</v>
      </c>
      <c r="P121" s="12">
        <f t="shared" si="19"/>
        <v>91980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91980</v>
      </c>
      <c r="U121" s="12">
        <f t="shared" si="23"/>
        <v>2044</v>
      </c>
      <c r="V121" s="12">
        <f t="shared" si="24"/>
        <v>2044</v>
      </c>
      <c r="W121" s="14">
        <f t="shared" si="25"/>
        <v>91980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1559</v>
      </c>
      <c r="D122" s="15" t="s">
        <v>80</v>
      </c>
      <c r="E122" s="11" t="s">
        <v>26</v>
      </c>
      <c r="F122" s="11" t="s">
        <v>1560</v>
      </c>
      <c r="G122" s="12">
        <v>1828</v>
      </c>
      <c r="H122" s="12">
        <v>2315</v>
      </c>
      <c r="I122" s="12"/>
      <c r="J122" s="12">
        <v>1799</v>
      </c>
      <c r="K122" s="12">
        <f t="shared" si="14"/>
        <v>0</v>
      </c>
      <c r="L122" s="12">
        <f t="shared" si="15"/>
        <v>1828</v>
      </c>
      <c r="M122" s="12">
        <f t="shared" si="16"/>
        <v>2315</v>
      </c>
      <c r="N122" s="12">
        <f t="shared" si="17"/>
        <v>1799</v>
      </c>
      <c r="O122" s="12" t="str">
        <f t="shared" si="18"/>
        <v>휘발유 45,700원 / 고급유 46,300원</v>
      </c>
      <c r="P122" s="12">
        <f t="shared" si="19"/>
        <v>92000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92000</v>
      </c>
      <c r="U122" s="12">
        <f t="shared" si="23"/>
        <v>2044.4444444444443</v>
      </c>
      <c r="V122" s="12">
        <f t="shared" si="24"/>
        <v>2044.4444444444443</v>
      </c>
      <c r="W122" s="14">
        <f t="shared" si="25"/>
        <v>92000</v>
      </c>
    </row>
    <row r="123" spans="1:23" s="7" customFormat="1" ht="28.5" customHeight="1">
      <c r="A123" s="11">
        <f t="shared" si="13"/>
        <v>109</v>
      </c>
      <c r="B123" s="11" t="s">
        <v>10</v>
      </c>
      <c r="C123" s="11" t="s">
        <v>402</v>
      </c>
      <c r="D123" s="15" t="s">
        <v>80</v>
      </c>
      <c r="E123" s="11" t="s">
        <v>26</v>
      </c>
      <c r="F123" s="11" t="s">
        <v>403</v>
      </c>
      <c r="G123" s="12">
        <v>1849</v>
      </c>
      <c r="H123" s="12">
        <v>2289</v>
      </c>
      <c r="I123" s="12"/>
      <c r="J123" s="12">
        <v>1819</v>
      </c>
      <c r="K123" s="12">
        <f t="shared" si="14"/>
        <v>0</v>
      </c>
      <c r="L123" s="12">
        <f t="shared" si="15"/>
        <v>1849</v>
      </c>
      <c r="M123" s="12">
        <f t="shared" si="16"/>
        <v>2289</v>
      </c>
      <c r="N123" s="12">
        <f t="shared" si="17"/>
        <v>1819</v>
      </c>
      <c r="O123" s="12" t="str">
        <f t="shared" si="18"/>
        <v>휘발유 46,225원 / 고급유 45,780원</v>
      </c>
      <c r="P123" s="12">
        <f t="shared" si="19"/>
        <v>92005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92005</v>
      </c>
      <c r="U123" s="12">
        <f t="shared" si="23"/>
        <v>2044.5555555555557</v>
      </c>
      <c r="V123" s="12">
        <f t="shared" si="24"/>
        <v>2044.5555555555557</v>
      </c>
      <c r="W123" s="14">
        <f t="shared" si="25"/>
        <v>92005</v>
      </c>
    </row>
    <row r="124" spans="1:23" s="16" customFormat="1" ht="28.5" customHeight="1">
      <c r="A124" s="11">
        <f t="shared" si="13"/>
        <v>110</v>
      </c>
      <c r="B124" s="11" t="s">
        <v>8</v>
      </c>
      <c r="C124" s="11" t="s">
        <v>256</v>
      </c>
      <c r="D124" s="15" t="s">
        <v>80</v>
      </c>
      <c r="E124" s="11" t="s">
        <v>26</v>
      </c>
      <c r="F124" s="11" t="s">
        <v>257</v>
      </c>
      <c r="G124" s="12">
        <v>1858</v>
      </c>
      <c r="H124" s="12">
        <v>2278</v>
      </c>
      <c r="I124" s="12"/>
      <c r="J124" s="12">
        <v>1809</v>
      </c>
      <c r="K124" s="12">
        <f t="shared" si="14"/>
        <v>0</v>
      </c>
      <c r="L124" s="12">
        <f t="shared" si="15"/>
        <v>1858</v>
      </c>
      <c r="M124" s="12">
        <f t="shared" si="16"/>
        <v>2278</v>
      </c>
      <c r="N124" s="12">
        <f t="shared" si="17"/>
        <v>1809</v>
      </c>
      <c r="O124" s="12" t="str">
        <f t="shared" si="18"/>
        <v>휘발유 46,450원 / 고급유 45,560원</v>
      </c>
      <c r="P124" s="12">
        <f t="shared" si="19"/>
        <v>92010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92010</v>
      </c>
      <c r="U124" s="12">
        <f t="shared" si="23"/>
        <v>2044.6666666666667</v>
      </c>
      <c r="V124" s="12">
        <f t="shared" si="24"/>
        <v>2044.6666666666667</v>
      </c>
      <c r="W124" s="14">
        <f t="shared" si="25"/>
        <v>92010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1413</v>
      </c>
      <c r="D125" s="15" t="s">
        <v>60</v>
      </c>
      <c r="E125" s="11" t="s">
        <v>26</v>
      </c>
      <c r="F125" s="11" t="s">
        <v>1414</v>
      </c>
      <c r="G125" s="12">
        <v>1825</v>
      </c>
      <c r="H125" s="12">
        <v>2320</v>
      </c>
      <c r="I125" s="12"/>
      <c r="J125" s="12">
        <v>1815</v>
      </c>
      <c r="K125" s="12">
        <f t="shared" si="14"/>
        <v>0</v>
      </c>
      <c r="L125" s="12">
        <f t="shared" si="15"/>
        <v>1825</v>
      </c>
      <c r="M125" s="12">
        <f t="shared" si="16"/>
        <v>2320</v>
      </c>
      <c r="N125" s="12">
        <f t="shared" si="17"/>
        <v>1815</v>
      </c>
      <c r="O125" s="12" t="str">
        <f t="shared" si="18"/>
        <v>휘발유 45,625원 / 고급유 46,400원</v>
      </c>
      <c r="P125" s="12">
        <f t="shared" si="19"/>
        <v>92025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92025</v>
      </c>
      <c r="U125" s="12">
        <f t="shared" si="23"/>
        <v>2045</v>
      </c>
      <c r="V125" s="12">
        <f t="shared" si="24"/>
        <v>2045</v>
      </c>
      <c r="W125" s="14">
        <f t="shared" si="25"/>
        <v>92025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1446</v>
      </c>
      <c r="D126" s="15" t="s">
        <v>60</v>
      </c>
      <c r="E126" s="11" t="s">
        <v>26</v>
      </c>
      <c r="F126" s="11" t="s">
        <v>1447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2" customFormat="1" ht="28.5" customHeight="1">
      <c r="A127" s="11">
        <f t="shared" si="13"/>
        <v>112</v>
      </c>
      <c r="B127" s="11" t="s">
        <v>6</v>
      </c>
      <c r="C127" s="11" t="s">
        <v>1460</v>
      </c>
      <c r="D127" s="15" t="s">
        <v>60</v>
      </c>
      <c r="E127" s="11" t="s">
        <v>26</v>
      </c>
      <c r="F127" s="11" t="s">
        <v>1461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2" customFormat="1" ht="28.5" customHeight="1">
      <c r="A128" s="11">
        <f t="shared" si="13"/>
        <v>112</v>
      </c>
      <c r="B128" s="11" t="s">
        <v>10</v>
      </c>
      <c r="C128" s="11" t="s">
        <v>1458</v>
      </c>
      <c r="D128" s="15" t="s">
        <v>60</v>
      </c>
      <c r="E128" s="11" t="s">
        <v>61</v>
      </c>
      <c r="F128" s="11" t="s">
        <v>1459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7" customFormat="1" ht="28.5" customHeight="1">
      <c r="A129" s="11">
        <f t="shared" si="13"/>
        <v>115</v>
      </c>
      <c r="B129" s="11" t="s">
        <v>6</v>
      </c>
      <c r="C129" s="11" t="s">
        <v>290</v>
      </c>
      <c r="D129" s="15" t="s">
        <v>45</v>
      </c>
      <c r="E129" s="11" t="s">
        <v>26</v>
      </c>
      <c r="F129" s="11" t="s">
        <v>291</v>
      </c>
      <c r="G129" s="12">
        <v>1808</v>
      </c>
      <c r="H129" s="12">
        <v>2346</v>
      </c>
      <c r="I129" s="12"/>
      <c r="J129" s="12">
        <v>1797</v>
      </c>
      <c r="K129" s="12">
        <f t="shared" si="14"/>
        <v>0</v>
      </c>
      <c r="L129" s="12">
        <f t="shared" si="15"/>
        <v>1808</v>
      </c>
      <c r="M129" s="12">
        <f t="shared" si="16"/>
        <v>2346</v>
      </c>
      <c r="N129" s="12">
        <f t="shared" si="17"/>
        <v>1797</v>
      </c>
      <c r="O129" s="12" t="str">
        <f t="shared" si="18"/>
        <v>휘발유 45,200원 / 고급유 46,920원</v>
      </c>
      <c r="P129" s="12">
        <f t="shared" si="19"/>
        <v>92120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92120</v>
      </c>
      <c r="U129" s="12">
        <f t="shared" si="23"/>
        <v>2047.1111111111111</v>
      </c>
      <c r="V129" s="12">
        <f t="shared" si="24"/>
        <v>2047.1111111111111</v>
      </c>
      <c r="W129" s="14">
        <f t="shared" si="25"/>
        <v>92120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1197</v>
      </c>
      <c r="D130" s="15" t="s">
        <v>45</v>
      </c>
      <c r="E130" s="11" t="s">
        <v>26</v>
      </c>
      <c r="F130" s="11" t="s">
        <v>1198</v>
      </c>
      <c r="G130" s="12">
        <v>1809</v>
      </c>
      <c r="H130" s="12">
        <v>2346</v>
      </c>
      <c r="I130" s="12"/>
      <c r="J130" s="12">
        <v>1798</v>
      </c>
      <c r="K130" s="12">
        <f t="shared" si="14"/>
        <v>0</v>
      </c>
      <c r="L130" s="12">
        <f t="shared" si="15"/>
        <v>1809</v>
      </c>
      <c r="M130" s="12">
        <f t="shared" si="16"/>
        <v>2346</v>
      </c>
      <c r="N130" s="12">
        <f t="shared" si="17"/>
        <v>1798</v>
      </c>
      <c r="O130" s="12" t="str">
        <f t="shared" si="18"/>
        <v>휘발유 45,225원 / 고급유 46,920원</v>
      </c>
      <c r="P130" s="12">
        <f t="shared" si="19"/>
        <v>92145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92145</v>
      </c>
      <c r="U130" s="12">
        <f t="shared" si="23"/>
        <v>2047.6666666666667</v>
      </c>
      <c r="V130" s="12">
        <f t="shared" si="24"/>
        <v>2047.6666666666667</v>
      </c>
      <c r="W130" s="14">
        <f t="shared" si="25"/>
        <v>92145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1403</v>
      </c>
      <c r="D131" s="15" t="s">
        <v>60</v>
      </c>
      <c r="E131" s="11" t="s">
        <v>26</v>
      </c>
      <c r="F131" s="11" t="s">
        <v>1404</v>
      </c>
      <c r="G131" s="12">
        <v>1830</v>
      </c>
      <c r="H131" s="12">
        <v>2320</v>
      </c>
      <c r="I131" s="12"/>
      <c r="J131" s="12">
        <v>1819</v>
      </c>
      <c r="K131" s="12">
        <f t="shared" si="14"/>
        <v>0</v>
      </c>
      <c r="L131" s="12">
        <f t="shared" si="15"/>
        <v>1830</v>
      </c>
      <c r="M131" s="12">
        <f t="shared" si="16"/>
        <v>2320</v>
      </c>
      <c r="N131" s="12">
        <f t="shared" si="17"/>
        <v>1819</v>
      </c>
      <c r="O131" s="12" t="str">
        <f t="shared" si="18"/>
        <v>휘발유 45,750원 / 고급유 46,400원</v>
      </c>
      <c r="P131" s="12">
        <f t="shared" si="19"/>
        <v>92150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92150</v>
      </c>
      <c r="U131" s="12">
        <f t="shared" si="23"/>
        <v>2047.7777777777778</v>
      </c>
      <c r="V131" s="12">
        <f t="shared" si="24"/>
        <v>2047.7777777777778</v>
      </c>
      <c r="W131" s="14">
        <f t="shared" si="25"/>
        <v>92150</v>
      </c>
    </row>
    <row r="132" spans="1:23" s="16" customFormat="1" ht="28.5" customHeight="1">
      <c r="A132" s="11">
        <f t="shared" si="13"/>
        <v>118</v>
      </c>
      <c r="B132" s="11" t="s">
        <v>10</v>
      </c>
      <c r="C132" s="11" t="s">
        <v>1417</v>
      </c>
      <c r="D132" s="15" t="s">
        <v>60</v>
      </c>
      <c r="E132" s="11" t="s">
        <v>26</v>
      </c>
      <c r="F132" s="11" t="s">
        <v>1418</v>
      </c>
      <c r="G132" s="12">
        <v>1835</v>
      </c>
      <c r="H132" s="12">
        <v>2315</v>
      </c>
      <c r="I132" s="12"/>
      <c r="J132" s="12">
        <v>1815</v>
      </c>
      <c r="K132" s="12">
        <f t="shared" si="14"/>
        <v>0</v>
      </c>
      <c r="L132" s="12">
        <f t="shared" si="15"/>
        <v>1835</v>
      </c>
      <c r="M132" s="12">
        <f t="shared" si="16"/>
        <v>2315</v>
      </c>
      <c r="N132" s="12">
        <f t="shared" si="17"/>
        <v>1815</v>
      </c>
      <c r="O132" s="12" t="str">
        <f t="shared" si="18"/>
        <v>휘발유 45,875원 / 고급유 46,300원</v>
      </c>
      <c r="P132" s="12">
        <f t="shared" si="19"/>
        <v>92175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92175</v>
      </c>
      <c r="U132" s="12">
        <f t="shared" si="23"/>
        <v>2048.3333333333335</v>
      </c>
      <c r="V132" s="12">
        <f t="shared" si="24"/>
        <v>2048.3333333333335</v>
      </c>
      <c r="W132" s="14">
        <f t="shared" si="25"/>
        <v>92175</v>
      </c>
    </row>
    <row r="133" spans="1:23" s="16" customFormat="1" ht="28.5" customHeight="1">
      <c r="A133" s="11">
        <f t="shared" si="13"/>
        <v>119</v>
      </c>
      <c r="B133" s="11" t="s">
        <v>10</v>
      </c>
      <c r="C133" s="11" t="s">
        <v>936</v>
      </c>
      <c r="D133" s="11" t="s">
        <v>57</v>
      </c>
      <c r="E133" s="11" t="s">
        <v>26</v>
      </c>
      <c r="F133" s="11" t="s">
        <v>937</v>
      </c>
      <c r="G133" s="12">
        <v>1859</v>
      </c>
      <c r="H133" s="12">
        <v>2288</v>
      </c>
      <c r="I133" s="12"/>
      <c r="J133" s="12">
        <v>1839</v>
      </c>
      <c r="K133" s="12">
        <f t="shared" si="14"/>
        <v>0</v>
      </c>
      <c r="L133" s="12">
        <f t="shared" si="15"/>
        <v>1859</v>
      </c>
      <c r="M133" s="12">
        <f t="shared" si="16"/>
        <v>2288</v>
      </c>
      <c r="N133" s="12">
        <f t="shared" si="17"/>
        <v>1839</v>
      </c>
      <c r="O133" s="12" t="str">
        <f t="shared" si="18"/>
        <v>휘발유 46,475원 / 고급유 45,760원</v>
      </c>
      <c r="P133" s="12">
        <f t="shared" si="19"/>
        <v>92235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92235</v>
      </c>
      <c r="U133" s="12">
        <f t="shared" si="23"/>
        <v>2049.6666666666665</v>
      </c>
      <c r="V133" s="12">
        <f t="shared" si="24"/>
        <v>2049.6666666666665</v>
      </c>
      <c r="W133" s="14">
        <f t="shared" si="25"/>
        <v>92235</v>
      </c>
    </row>
    <row r="134" spans="1:23" s="2" customFormat="1" ht="28.5" customHeight="1">
      <c r="A134" s="11">
        <f t="shared" si="13"/>
        <v>120</v>
      </c>
      <c r="B134" s="11" t="s">
        <v>8</v>
      </c>
      <c r="C134" s="11" t="s">
        <v>218</v>
      </c>
      <c r="D134" s="15" t="s">
        <v>45</v>
      </c>
      <c r="E134" s="11" t="s">
        <v>26</v>
      </c>
      <c r="F134" s="11" t="s">
        <v>219</v>
      </c>
      <c r="G134" s="12">
        <v>1854</v>
      </c>
      <c r="H134" s="12">
        <v>2319</v>
      </c>
      <c r="I134" s="12"/>
      <c r="J134" s="12">
        <v>1842</v>
      </c>
      <c r="K134" s="12">
        <f t="shared" si="14"/>
        <v>-10</v>
      </c>
      <c r="L134" s="12">
        <f t="shared" si="15"/>
        <v>1844</v>
      </c>
      <c r="M134" s="12">
        <f t="shared" si="16"/>
        <v>2309</v>
      </c>
      <c r="N134" s="12">
        <f t="shared" si="17"/>
        <v>1832</v>
      </c>
      <c r="O134" s="12" t="str">
        <f t="shared" si="18"/>
        <v>휘발유 46,100원 / 고급유 46,180원</v>
      </c>
      <c r="P134" s="12">
        <f t="shared" si="19"/>
        <v>92280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92280</v>
      </c>
      <c r="U134" s="12">
        <f t="shared" si="23"/>
        <v>2050.6666666666665</v>
      </c>
      <c r="V134" s="12">
        <f t="shared" si="24"/>
        <v>2050.6666666666665</v>
      </c>
      <c r="W134" s="14">
        <f t="shared" si="25"/>
        <v>92280</v>
      </c>
    </row>
    <row r="135" spans="1:23" s="16" customFormat="1" ht="28.5" customHeight="1">
      <c r="A135" s="11">
        <f t="shared" si="13"/>
        <v>120</v>
      </c>
      <c r="B135" s="11" t="s">
        <v>10</v>
      </c>
      <c r="C135" s="11" t="s">
        <v>210</v>
      </c>
      <c r="D135" s="15" t="s">
        <v>45</v>
      </c>
      <c r="E135" s="11" t="s">
        <v>26</v>
      </c>
      <c r="F135" s="11" t="s">
        <v>211</v>
      </c>
      <c r="G135" s="12">
        <v>1854</v>
      </c>
      <c r="H135" s="12">
        <v>2319</v>
      </c>
      <c r="I135" s="12"/>
      <c r="J135" s="12">
        <v>1844</v>
      </c>
      <c r="K135" s="12">
        <f t="shared" si="14"/>
        <v>-10</v>
      </c>
      <c r="L135" s="12">
        <f t="shared" si="15"/>
        <v>1844</v>
      </c>
      <c r="M135" s="12">
        <f t="shared" si="16"/>
        <v>2309</v>
      </c>
      <c r="N135" s="12">
        <f t="shared" si="17"/>
        <v>1834</v>
      </c>
      <c r="O135" s="12" t="str">
        <f t="shared" si="18"/>
        <v>휘발유 46,100원 / 고급유 46,180원</v>
      </c>
      <c r="P135" s="12">
        <f t="shared" si="19"/>
        <v>92280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92280</v>
      </c>
      <c r="U135" s="12">
        <f t="shared" si="23"/>
        <v>2050.6666666666665</v>
      </c>
      <c r="V135" s="12">
        <f t="shared" si="24"/>
        <v>2050.6666666666665</v>
      </c>
      <c r="W135" s="14">
        <f t="shared" si="25"/>
        <v>92280</v>
      </c>
    </row>
    <row r="136" spans="1:23" s="16" customFormat="1" ht="28.5" customHeight="1">
      <c r="A136" s="11">
        <f t="shared" si="13"/>
        <v>122</v>
      </c>
      <c r="B136" s="11" t="s">
        <v>8</v>
      </c>
      <c r="C136" s="11" t="s">
        <v>366</v>
      </c>
      <c r="D136" s="11" t="s">
        <v>57</v>
      </c>
      <c r="E136" s="11" t="s">
        <v>26</v>
      </c>
      <c r="F136" s="11" t="s">
        <v>367</v>
      </c>
      <c r="G136" s="12">
        <v>1855</v>
      </c>
      <c r="H136" s="12">
        <v>2299</v>
      </c>
      <c r="I136" s="12"/>
      <c r="J136" s="12">
        <v>1839</v>
      </c>
      <c r="K136" s="12">
        <f t="shared" si="14"/>
        <v>0</v>
      </c>
      <c r="L136" s="12">
        <f t="shared" si="15"/>
        <v>1855</v>
      </c>
      <c r="M136" s="12">
        <f t="shared" si="16"/>
        <v>2299</v>
      </c>
      <c r="N136" s="12">
        <f t="shared" si="17"/>
        <v>1839</v>
      </c>
      <c r="O136" s="12" t="str">
        <f t="shared" si="18"/>
        <v>휘발유 46,375원 / 고급유 45,980원</v>
      </c>
      <c r="P136" s="12">
        <f t="shared" si="19"/>
        <v>92355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92355</v>
      </c>
      <c r="U136" s="12">
        <f t="shared" si="23"/>
        <v>2052.3333333333335</v>
      </c>
      <c r="V136" s="12">
        <f t="shared" si="24"/>
        <v>2052.3333333333335</v>
      </c>
      <c r="W136" s="14">
        <f t="shared" si="25"/>
        <v>92355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150</v>
      </c>
      <c r="D137" s="15" t="s">
        <v>80</v>
      </c>
      <c r="E137" s="11" t="s">
        <v>26</v>
      </c>
      <c r="F137" s="11" t="s">
        <v>151</v>
      </c>
      <c r="G137" s="12">
        <v>1855</v>
      </c>
      <c r="H137" s="12">
        <v>2300</v>
      </c>
      <c r="I137" s="12"/>
      <c r="J137" s="12">
        <v>1855</v>
      </c>
      <c r="K137" s="12">
        <f t="shared" si="14"/>
        <v>0</v>
      </c>
      <c r="L137" s="12">
        <f t="shared" si="15"/>
        <v>1855</v>
      </c>
      <c r="M137" s="12">
        <f t="shared" si="16"/>
        <v>2300</v>
      </c>
      <c r="N137" s="12">
        <f t="shared" si="17"/>
        <v>1855</v>
      </c>
      <c r="O137" s="12" t="str">
        <f t="shared" si="18"/>
        <v>휘발유 46,375원 / 고급유 46,000원</v>
      </c>
      <c r="P137" s="12">
        <f t="shared" si="19"/>
        <v>92375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92375</v>
      </c>
      <c r="U137" s="12">
        <f t="shared" si="23"/>
        <v>2052.7777777777778</v>
      </c>
      <c r="V137" s="12">
        <f t="shared" si="24"/>
        <v>2052.7777777777778</v>
      </c>
      <c r="W137" s="14">
        <f t="shared" si="25"/>
        <v>92375</v>
      </c>
    </row>
    <row r="138" spans="1:23" s="7" customFormat="1" ht="28.5" customHeight="1">
      <c r="A138" s="11">
        <f t="shared" si="13"/>
        <v>124</v>
      </c>
      <c r="B138" s="11" t="s">
        <v>6</v>
      </c>
      <c r="C138" s="11" t="s">
        <v>204</v>
      </c>
      <c r="D138" s="15" t="s">
        <v>45</v>
      </c>
      <c r="E138" s="11" t="s">
        <v>26</v>
      </c>
      <c r="F138" s="11" t="s">
        <v>205</v>
      </c>
      <c r="G138" s="12">
        <v>1848</v>
      </c>
      <c r="H138" s="12">
        <v>2332</v>
      </c>
      <c r="I138" s="12" t="s">
        <v>63</v>
      </c>
      <c r="J138" s="12">
        <v>1848</v>
      </c>
      <c r="K138" s="12">
        <f t="shared" si="14"/>
        <v>-10</v>
      </c>
      <c r="L138" s="12">
        <f t="shared" si="15"/>
        <v>1838</v>
      </c>
      <c r="M138" s="12">
        <f t="shared" si="16"/>
        <v>2322</v>
      </c>
      <c r="N138" s="12">
        <f t="shared" si="17"/>
        <v>1838</v>
      </c>
      <c r="O138" s="12" t="str">
        <f t="shared" si="18"/>
        <v>휘발유 45,950원 / 고급유 46,440원</v>
      </c>
      <c r="P138" s="12">
        <f t="shared" si="19"/>
        <v>92390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92390</v>
      </c>
      <c r="U138" s="12">
        <f t="shared" si="23"/>
        <v>2053.1111111111113</v>
      </c>
      <c r="V138" s="12">
        <f t="shared" si="24"/>
        <v>2053.1111111111113</v>
      </c>
      <c r="W138" s="14">
        <f t="shared" si="25"/>
        <v>92390</v>
      </c>
    </row>
    <row r="139" spans="1:23" s="7" customFormat="1" ht="28.5" customHeight="1">
      <c r="A139" s="11">
        <f t="shared" si="13"/>
        <v>124</v>
      </c>
      <c r="B139" s="11" t="s">
        <v>6</v>
      </c>
      <c r="C139" s="11" t="s">
        <v>208</v>
      </c>
      <c r="D139" s="15" t="s">
        <v>45</v>
      </c>
      <c r="E139" s="11" t="s">
        <v>26</v>
      </c>
      <c r="F139" s="11" t="s">
        <v>209</v>
      </c>
      <c r="G139" s="12">
        <v>1848</v>
      </c>
      <c r="H139" s="12">
        <v>2332</v>
      </c>
      <c r="I139" s="12" t="s">
        <v>63</v>
      </c>
      <c r="J139" s="12">
        <v>1848</v>
      </c>
      <c r="K139" s="12">
        <f t="shared" si="14"/>
        <v>-10</v>
      </c>
      <c r="L139" s="12">
        <f t="shared" si="15"/>
        <v>1838</v>
      </c>
      <c r="M139" s="12">
        <f t="shared" si="16"/>
        <v>2322</v>
      </c>
      <c r="N139" s="12">
        <f t="shared" si="17"/>
        <v>1838</v>
      </c>
      <c r="O139" s="12" t="str">
        <f t="shared" si="18"/>
        <v>휘발유 45,950원 / 고급유 46,440원</v>
      </c>
      <c r="P139" s="12">
        <f t="shared" si="19"/>
        <v>92390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92390</v>
      </c>
      <c r="U139" s="12">
        <f t="shared" si="23"/>
        <v>2053.1111111111113</v>
      </c>
      <c r="V139" s="12">
        <f t="shared" si="24"/>
        <v>2053.1111111111113</v>
      </c>
      <c r="W139" s="14">
        <f t="shared" si="25"/>
        <v>92390</v>
      </c>
    </row>
    <row r="140" spans="1:23" s="2" customFormat="1" ht="28.5" customHeight="1">
      <c r="A140" s="11">
        <f t="shared" si="13"/>
        <v>126</v>
      </c>
      <c r="B140" s="11" t="s">
        <v>10</v>
      </c>
      <c r="C140" s="11" t="s">
        <v>641</v>
      </c>
      <c r="D140" s="15" t="s">
        <v>60</v>
      </c>
      <c r="E140" s="11" t="s">
        <v>26</v>
      </c>
      <c r="F140" s="11" t="s">
        <v>642</v>
      </c>
      <c r="G140" s="12">
        <v>1857</v>
      </c>
      <c r="H140" s="12">
        <v>2299</v>
      </c>
      <c r="I140" s="12"/>
      <c r="J140" s="12">
        <v>1844</v>
      </c>
      <c r="K140" s="12">
        <f t="shared" si="14"/>
        <v>0</v>
      </c>
      <c r="L140" s="12">
        <f t="shared" si="15"/>
        <v>1857</v>
      </c>
      <c r="M140" s="12">
        <f t="shared" si="16"/>
        <v>2299</v>
      </c>
      <c r="N140" s="12">
        <f t="shared" si="17"/>
        <v>1844</v>
      </c>
      <c r="O140" s="12" t="str">
        <f t="shared" si="18"/>
        <v>휘발유 46,425원 / 고급유 45,980원</v>
      </c>
      <c r="P140" s="12">
        <f t="shared" si="19"/>
        <v>92405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92405</v>
      </c>
      <c r="U140" s="12">
        <f t="shared" si="23"/>
        <v>2053.4444444444443</v>
      </c>
      <c r="V140" s="12">
        <f t="shared" si="24"/>
        <v>2053.4444444444443</v>
      </c>
      <c r="W140" s="14">
        <f t="shared" si="25"/>
        <v>92405</v>
      </c>
    </row>
    <row r="141" spans="1:23" s="16" customFormat="1" ht="28.5" customHeight="1">
      <c r="A141" s="11">
        <f t="shared" si="13"/>
        <v>127</v>
      </c>
      <c r="B141" s="11" t="s">
        <v>10</v>
      </c>
      <c r="C141" s="11" t="s">
        <v>1149</v>
      </c>
      <c r="D141" s="15" t="s">
        <v>80</v>
      </c>
      <c r="E141" s="11" t="s">
        <v>26</v>
      </c>
      <c r="F141" s="11" t="s">
        <v>1150</v>
      </c>
      <c r="G141" s="12">
        <v>1858</v>
      </c>
      <c r="H141" s="12">
        <v>2298</v>
      </c>
      <c r="I141" s="12"/>
      <c r="J141" s="12">
        <v>1848</v>
      </c>
      <c r="K141" s="12">
        <f t="shared" si="14"/>
        <v>0</v>
      </c>
      <c r="L141" s="12">
        <f t="shared" si="15"/>
        <v>1858</v>
      </c>
      <c r="M141" s="12">
        <f t="shared" si="16"/>
        <v>2298</v>
      </c>
      <c r="N141" s="12">
        <f t="shared" si="17"/>
        <v>1848</v>
      </c>
      <c r="O141" s="12" t="str">
        <f t="shared" si="18"/>
        <v>휘발유 46,450원 / 고급유 45,960원</v>
      </c>
      <c r="P141" s="12">
        <f t="shared" si="19"/>
        <v>92410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92410</v>
      </c>
      <c r="U141" s="12">
        <f t="shared" si="23"/>
        <v>2053.5555555555557</v>
      </c>
      <c r="V141" s="12">
        <f t="shared" si="24"/>
        <v>2053.5555555555557</v>
      </c>
      <c r="W141" s="14">
        <f t="shared" si="25"/>
        <v>92410</v>
      </c>
    </row>
    <row r="142" spans="1:23" s="16" customFormat="1" ht="28.5" customHeight="1">
      <c r="A142" s="11">
        <f t="shared" si="13"/>
        <v>128</v>
      </c>
      <c r="B142" s="11" t="s">
        <v>14</v>
      </c>
      <c r="C142" s="11" t="s">
        <v>1450</v>
      </c>
      <c r="D142" s="15" t="s">
        <v>60</v>
      </c>
      <c r="E142" s="11" t="s">
        <v>26</v>
      </c>
      <c r="F142" s="11" t="s">
        <v>1451</v>
      </c>
      <c r="G142" s="12">
        <v>1845</v>
      </c>
      <c r="H142" s="12">
        <v>2315</v>
      </c>
      <c r="I142" s="12"/>
      <c r="J142" s="12">
        <v>1849</v>
      </c>
      <c r="K142" s="12">
        <f t="shared" si="14"/>
        <v>0</v>
      </c>
      <c r="L142" s="12">
        <f t="shared" si="15"/>
        <v>1845</v>
      </c>
      <c r="M142" s="12">
        <f t="shared" si="16"/>
        <v>2315</v>
      </c>
      <c r="N142" s="12">
        <f t="shared" si="17"/>
        <v>1849</v>
      </c>
      <c r="O142" s="12" t="str">
        <f t="shared" si="18"/>
        <v>휘발유 46,125원 / 고급유 46,300원</v>
      </c>
      <c r="P142" s="12">
        <f t="shared" si="19"/>
        <v>92425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92425</v>
      </c>
      <c r="U142" s="12">
        <f t="shared" si="23"/>
        <v>2053.8888888888887</v>
      </c>
      <c r="V142" s="12">
        <f t="shared" si="24"/>
        <v>2053.8888888888887</v>
      </c>
      <c r="W142" s="14">
        <f t="shared" si="25"/>
        <v>92425</v>
      </c>
    </row>
    <row r="143" spans="1:23" s="2" customFormat="1" ht="28.5" customHeight="1">
      <c r="A143" s="11">
        <f t="shared" ref="A143:A206" si="26">IF($T143="","",1+COUNTIF($W$15:$W$883,"&lt;"&amp;W143))</f>
        <v>129</v>
      </c>
      <c r="B143" s="11" t="s">
        <v>10</v>
      </c>
      <c r="C143" s="11" t="s">
        <v>126</v>
      </c>
      <c r="D143" s="15" t="s">
        <v>60</v>
      </c>
      <c r="E143" s="11" t="s">
        <v>61</v>
      </c>
      <c r="F143" s="11" t="s">
        <v>127</v>
      </c>
      <c r="G143" s="12">
        <v>1858</v>
      </c>
      <c r="H143" s="12">
        <v>2299</v>
      </c>
      <c r="I143" s="12"/>
      <c r="J143" s="12">
        <v>1838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1858</v>
      </c>
      <c r="M143" s="12">
        <f t="shared" ref="M143:M206" si="29">IF($H143="","",$H143+$K143)</f>
        <v>2299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46,450원 / 고급유 45,980원</v>
      </c>
      <c r="P143" s="12">
        <f t="shared" ref="P143:P206" si="32">IF($B$10=0,"",IFERROR(IF($B$4&gt;0,IF($L143="",1/0,$L143*$B$4),0)+IF($B$5&gt;0,IF($M143="",1/0,$M143*$B$5),0)+IF($B$6&gt;0,IF($N143="",1/0,$N143*$B$6),0),""))</f>
        <v>92430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92430</v>
      </c>
      <c r="U143" s="12">
        <f t="shared" ref="U143:U206" si="36">IF($T143="","",IF($B$10=0,"",$T143/$B$10))</f>
        <v>2054</v>
      </c>
      <c r="V143" s="12">
        <f t="shared" ref="V143:V206" si="37">IF($P143="","",IF($B$10=0,"",$P143/$B$10))</f>
        <v>2054</v>
      </c>
      <c r="W143" s="14">
        <f t="shared" ref="W143:W206" si="38">IF($T143="",1000000000000000,$T143)</f>
        <v>92430</v>
      </c>
    </row>
    <row r="144" spans="1:23" s="2" customFormat="1" ht="28.5" customHeight="1">
      <c r="A144" s="11">
        <f t="shared" si="26"/>
        <v>130</v>
      </c>
      <c r="B144" s="11" t="s">
        <v>6</v>
      </c>
      <c r="C144" s="11" t="s">
        <v>198</v>
      </c>
      <c r="D144" s="15" t="s">
        <v>45</v>
      </c>
      <c r="E144" s="11" t="s">
        <v>61</v>
      </c>
      <c r="F144" s="11" t="s">
        <v>199</v>
      </c>
      <c r="G144" s="12">
        <v>1860</v>
      </c>
      <c r="H144" s="12">
        <v>2320</v>
      </c>
      <c r="I144" s="12"/>
      <c r="J144" s="12">
        <v>1855</v>
      </c>
      <c r="K144" s="12">
        <f t="shared" si="27"/>
        <v>-10</v>
      </c>
      <c r="L144" s="12">
        <f t="shared" si="28"/>
        <v>1850</v>
      </c>
      <c r="M144" s="12">
        <f t="shared" si="29"/>
        <v>2310</v>
      </c>
      <c r="N144" s="12">
        <f t="shared" si="30"/>
        <v>1845</v>
      </c>
      <c r="O144" s="12" t="str">
        <f t="shared" si="31"/>
        <v>휘발유 46,250원 / 고급유 46,200원</v>
      </c>
      <c r="P144" s="12">
        <f t="shared" si="32"/>
        <v>92450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92450</v>
      </c>
      <c r="U144" s="12">
        <f t="shared" si="36"/>
        <v>2054.4444444444443</v>
      </c>
      <c r="V144" s="12">
        <f t="shared" si="37"/>
        <v>2054.4444444444443</v>
      </c>
      <c r="W144" s="14">
        <f t="shared" si="38"/>
        <v>92450</v>
      </c>
    </row>
    <row r="145" spans="1:23" s="7" customFormat="1" ht="28.5" customHeight="1">
      <c r="A145" s="11">
        <f t="shared" si="26"/>
        <v>131</v>
      </c>
      <c r="B145" s="11" t="s">
        <v>18</v>
      </c>
      <c r="C145" s="11" t="s">
        <v>700</v>
      </c>
      <c r="D145" s="11" t="s">
        <v>57</v>
      </c>
      <c r="E145" s="11" t="s">
        <v>26</v>
      </c>
      <c r="F145" s="11" t="s">
        <v>701</v>
      </c>
      <c r="G145" s="12">
        <v>1859</v>
      </c>
      <c r="H145" s="12">
        <v>2299</v>
      </c>
      <c r="I145" s="12"/>
      <c r="J145" s="12">
        <v>1829</v>
      </c>
      <c r="K145" s="12">
        <f t="shared" si="27"/>
        <v>0</v>
      </c>
      <c r="L145" s="12">
        <f t="shared" si="28"/>
        <v>1859</v>
      </c>
      <c r="M145" s="12">
        <f t="shared" si="29"/>
        <v>2299</v>
      </c>
      <c r="N145" s="12">
        <f t="shared" si="30"/>
        <v>1829</v>
      </c>
      <c r="O145" s="12" t="str">
        <f t="shared" si="31"/>
        <v>휘발유 46,475원 / 고급유 45,980원</v>
      </c>
      <c r="P145" s="12">
        <f t="shared" si="32"/>
        <v>92455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92455</v>
      </c>
      <c r="U145" s="12">
        <f t="shared" si="36"/>
        <v>2054.5555555555557</v>
      </c>
      <c r="V145" s="12">
        <f t="shared" si="37"/>
        <v>2054.5555555555557</v>
      </c>
      <c r="W145" s="14">
        <f t="shared" si="38"/>
        <v>92455</v>
      </c>
    </row>
    <row r="146" spans="1:23" s="2" customFormat="1" ht="28.5" customHeight="1">
      <c r="A146" s="11">
        <f t="shared" si="26"/>
        <v>132</v>
      </c>
      <c r="B146" s="11" t="s">
        <v>12</v>
      </c>
      <c r="C146" s="11" t="s">
        <v>1444</v>
      </c>
      <c r="D146" s="15" t="s">
        <v>60</v>
      </c>
      <c r="E146" s="11" t="s">
        <v>26</v>
      </c>
      <c r="F146" s="11" t="s">
        <v>1445</v>
      </c>
      <c r="G146" s="12">
        <v>1865</v>
      </c>
      <c r="H146" s="12">
        <v>2292</v>
      </c>
      <c r="I146" s="12"/>
      <c r="J146" s="12">
        <v>1849</v>
      </c>
      <c r="K146" s="12">
        <f t="shared" si="27"/>
        <v>0</v>
      </c>
      <c r="L146" s="12">
        <f t="shared" si="28"/>
        <v>1865</v>
      </c>
      <c r="M146" s="12">
        <f t="shared" si="29"/>
        <v>2292</v>
      </c>
      <c r="N146" s="12">
        <f t="shared" si="30"/>
        <v>1849</v>
      </c>
      <c r="O146" s="12" t="str">
        <f t="shared" si="31"/>
        <v>휘발유 46,625원 / 고급유 45,840원</v>
      </c>
      <c r="P146" s="12">
        <f t="shared" si="32"/>
        <v>92465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92465</v>
      </c>
      <c r="U146" s="12">
        <f t="shared" si="36"/>
        <v>2054.7777777777778</v>
      </c>
      <c r="V146" s="12">
        <f t="shared" si="37"/>
        <v>2054.7777777777778</v>
      </c>
      <c r="W146" s="14">
        <f t="shared" si="38"/>
        <v>92465</v>
      </c>
    </row>
    <row r="147" spans="1:23" s="2" customFormat="1" ht="28.5" customHeight="1">
      <c r="A147" s="11">
        <f t="shared" si="26"/>
        <v>133</v>
      </c>
      <c r="B147" s="11" t="s">
        <v>10</v>
      </c>
      <c r="C147" s="11" t="s">
        <v>1442</v>
      </c>
      <c r="D147" s="15" t="s">
        <v>60</v>
      </c>
      <c r="E147" s="11" t="s">
        <v>26</v>
      </c>
      <c r="F147" s="11" t="s">
        <v>1443</v>
      </c>
      <c r="G147" s="12">
        <v>1845</v>
      </c>
      <c r="H147" s="12">
        <v>2320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2320</v>
      </c>
      <c r="N147" s="12">
        <f t="shared" si="30"/>
        <v>1849</v>
      </c>
      <c r="O147" s="12" t="str">
        <f t="shared" si="31"/>
        <v>휘발유 46,125원 / 고급유 46,400원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133</v>
      </c>
      <c r="B148" s="11" t="s">
        <v>10</v>
      </c>
      <c r="C148" s="11" t="s">
        <v>1452</v>
      </c>
      <c r="D148" s="15" t="s">
        <v>60</v>
      </c>
      <c r="E148" s="11" t="s">
        <v>26</v>
      </c>
      <c r="F148" s="11" t="s">
        <v>1453</v>
      </c>
      <c r="G148" s="12">
        <v>1845</v>
      </c>
      <c r="H148" s="12">
        <v>2320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2320</v>
      </c>
      <c r="N148" s="12">
        <f t="shared" si="30"/>
        <v>1849</v>
      </c>
      <c r="O148" s="12" t="str">
        <f t="shared" si="31"/>
        <v>휘발유 46,125원 / 고급유 46,400원</v>
      </c>
      <c r="P148" s="12">
        <f t="shared" si="32"/>
        <v>92525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92525</v>
      </c>
      <c r="U148" s="12">
        <f t="shared" si="36"/>
        <v>2056.1111111111113</v>
      </c>
      <c r="V148" s="12">
        <f t="shared" si="37"/>
        <v>2056.1111111111113</v>
      </c>
      <c r="W148" s="14">
        <f t="shared" si="38"/>
        <v>92525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1697</v>
      </c>
      <c r="D149" s="15" t="s">
        <v>45</v>
      </c>
      <c r="E149" s="11" t="s">
        <v>61</v>
      </c>
      <c r="F149" s="11" t="s">
        <v>1698</v>
      </c>
      <c r="G149" s="12">
        <v>1866</v>
      </c>
      <c r="H149" s="12">
        <v>2319</v>
      </c>
      <c r="I149" s="12"/>
      <c r="J149" s="12">
        <v>1850</v>
      </c>
      <c r="K149" s="12">
        <f t="shared" si="27"/>
        <v>-10</v>
      </c>
      <c r="L149" s="12">
        <f t="shared" si="28"/>
        <v>1856</v>
      </c>
      <c r="M149" s="12">
        <f t="shared" si="29"/>
        <v>2309</v>
      </c>
      <c r="N149" s="12">
        <f t="shared" si="30"/>
        <v>1840</v>
      </c>
      <c r="O149" s="12" t="str">
        <f t="shared" si="31"/>
        <v>휘발유 46,400원 / 고급유 46,180원</v>
      </c>
      <c r="P149" s="12">
        <f t="shared" si="32"/>
        <v>92580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92580</v>
      </c>
      <c r="U149" s="12">
        <f t="shared" si="36"/>
        <v>2057.3333333333335</v>
      </c>
      <c r="V149" s="12">
        <f t="shared" si="37"/>
        <v>2057.3333333333335</v>
      </c>
      <c r="W149" s="14">
        <f t="shared" si="38"/>
        <v>92580</v>
      </c>
    </row>
    <row r="150" spans="1:23" s="7" customFormat="1" ht="28.5" customHeight="1">
      <c r="A150" s="11">
        <f t="shared" si="26"/>
        <v>136</v>
      </c>
      <c r="B150" s="11" t="s">
        <v>6</v>
      </c>
      <c r="C150" s="11" t="s">
        <v>555</v>
      </c>
      <c r="D150" s="15" t="s">
        <v>45</v>
      </c>
      <c r="E150" s="11" t="s">
        <v>26</v>
      </c>
      <c r="F150" s="11" t="s">
        <v>556</v>
      </c>
      <c r="G150" s="12">
        <v>1828</v>
      </c>
      <c r="H150" s="12">
        <v>2349</v>
      </c>
      <c r="I150" s="12"/>
      <c r="J150" s="12">
        <v>1813</v>
      </c>
      <c r="K150" s="12">
        <f t="shared" si="27"/>
        <v>0</v>
      </c>
      <c r="L150" s="12">
        <f t="shared" si="28"/>
        <v>1828</v>
      </c>
      <c r="M150" s="12">
        <f t="shared" si="29"/>
        <v>2349</v>
      </c>
      <c r="N150" s="12">
        <f t="shared" si="30"/>
        <v>1813</v>
      </c>
      <c r="O150" s="12" t="str">
        <f t="shared" si="31"/>
        <v>휘발유 45,700원 / 고급유 46,980원</v>
      </c>
      <c r="P150" s="12">
        <f t="shared" si="32"/>
        <v>92680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92680</v>
      </c>
      <c r="U150" s="12">
        <f t="shared" si="36"/>
        <v>2059.5555555555557</v>
      </c>
      <c r="V150" s="12">
        <f t="shared" si="37"/>
        <v>2059.5555555555557</v>
      </c>
      <c r="W150" s="14">
        <f t="shared" si="38"/>
        <v>92680</v>
      </c>
    </row>
    <row r="151" spans="1:23" s="7" customFormat="1" ht="28.5" customHeight="1">
      <c r="A151" s="11">
        <f t="shared" si="26"/>
        <v>137</v>
      </c>
      <c r="B151" s="11" t="s">
        <v>12</v>
      </c>
      <c r="C151" s="11" t="s">
        <v>1511</v>
      </c>
      <c r="D151" s="11" t="s">
        <v>104</v>
      </c>
      <c r="E151" s="11" t="s">
        <v>26</v>
      </c>
      <c r="F151" s="11" t="s">
        <v>1512</v>
      </c>
      <c r="G151" s="12">
        <v>1814</v>
      </c>
      <c r="H151" s="12">
        <v>2368</v>
      </c>
      <c r="I151" s="12"/>
      <c r="J151" s="12">
        <v>1825</v>
      </c>
      <c r="K151" s="12">
        <f t="shared" si="27"/>
        <v>0</v>
      </c>
      <c r="L151" s="12">
        <f t="shared" si="28"/>
        <v>1814</v>
      </c>
      <c r="M151" s="12">
        <f t="shared" si="29"/>
        <v>2368</v>
      </c>
      <c r="N151" s="12">
        <f t="shared" si="30"/>
        <v>1825</v>
      </c>
      <c r="O151" s="12" t="str">
        <f t="shared" si="31"/>
        <v>휘발유 45,350원 / 고급유 47,360원</v>
      </c>
      <c r="P151" s="12">
        <f t="shared" si="32"/>
        <v>92710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92710</v>
      </c>
      <c r="U151" s="12">
        <f t="shared" si="36"/>
        <v>2060.2222222222222</v>
      </c>
      <c r="V151" s="12">
        <f t="shared" si="37"/>
        <v>2060.2222222222222</v>
      </c>
      <c r="W151" s="14">
        <f t="shared" si="38"/>
        <v>92710</v>
      </c>
    </row>
    <row r="152" spans="1:23" s="2" customFormat="1" ht="28.5" customHeight="1">
      <c r="A152" s="11">
        <f t="shared" si="26"/>
        <v>138</v>
      </c>
      <c r="B152" s="11" t="s">
        <v>8</v>
      </c>
      <c r="C152" s="11" t="s">
        <v>194</v>
      </c>
      <c r="D152" s="15" t="s">
        <v>45</v>
      </c>
      <c r="E152" s="11" t="s">
        <v>26</v>
      </c>
      <c r="F152" s="11" t="s">
        <v>195</v>
      </c>
      <c r="G152" s="12">
        <v>1864</v>
      </c>
      <c r="H152" s="12">
        <v>2329</v>
      </c>
      <c r="I152" s="12"/>
      <c r="J152" s="12">
        <v>1852</v>
      </c>
      <c r="K152" s="12">
        <f t="shared" si="27"/>
        <v>-10</v>
      </c>
      <c r="L152" s="12">
        <f t="shared" si="28"/>
        <v>1854</v>
      </c>
      <c r="M152" s="12">
        <f t="shared" si="29"/>
        <v>2319</v>
      </c>
      <c r="N152" s="12">
        <f t="shared" si="30"/>
        <v>1842</v>
      </c>
      <c r="O152" s="12" t="str">
        <f t="shared" si="31"/>
        <v>휘발유 46,350원 / 고급유 46,380원</v>
      </c>
      <c r="P152" s="12">
        <f t="shared" si="32"/>
        <v>92730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92730</v>
      </c>
      <c r="U152" s="12">
        <f t="shared" si="36"/>
        <v>2060.6666666666665</v>
      </c>
      <c r="V152" s="12">
        <f t="shared" si="37"/>
        <v>2060.6666666666665</v>
      </c>
      <c r="W152" s="14">
        <f t="shared" si="38"/>
        <v>92730</v>
      </c>
    </row>
    <row r="153" spans="1:23" s="2" customFormat="1" ht="28.5" customHeight="1">
      <c r="A153" s="11">
        <f t="shared" si="26"/>
        <v>139</v>
      </c>
      <c r="B153" s="11" t="s">
        <v>14</v>
      </c>
      <c r="C153" s="11" t="s">
        <v>312</v>
      </c>
      <c r="D153" s="15" t="s">
        <v>45</v>
      </c>
      <c r="E153" s="11" t="s">
        <v>26</v>
      </c>
      <c r="F153" s="11" t="s">
        <v>313</v>
      </c>
      <c r="G153" s="12">
        <v>1815</v>
      </c>
      <c r="H153" s="12">
        <v>2369</v>
      </c>
      <c r="I153" s="12"/>
      <c r="J153" s="12">
        <v>1798</v>
      </c>
      <c r="K153" s="12">
        <f t="shared" si="27"/>
        <v>0</v>
      </c>
      <c r="L153" s="12">
        <f t="shared" si="28"/>
        <v>1815</v>
      </c>
      <c r="M153" s="12">
        <f t="shared" si="29"/>
        <v>2369</v>
      </c>
      <c r="N153" s="12">
        <f t="shared" si="30"/>
        <v>1798</v>
      </c>
      <c r="O153" s="12" t="str">
        <f t="shared" si="31"/>
        <v>휘발유 45,375원 / 고급유 47,380원</v>
      </c>
      <c r="P153" s="12">
        <f t="shared" si="32"/>
        <v>92755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92755</v>
      </c>
      <c r="U153" s="12">
        <f t="shared" si="36"/>
        <v>2061.2222222222222</v>
      </c>
      <c r="V153" s="12">
        <f t="shared" si="37"/>
        <v>2061.2222222222222</v>
      </c>
      <c r="W153" s="14">
        <f t="shared" si="38"/>
        <v>92755</v>
      </c>
    </row>
    <row r="154" spans="1:23" s="7" customFormat="1" ht="28.5" customHeight="1">
      <c r="A154" s="11">
        <f t="shared" si="26"/>
        <v>139</v>
      </c>
      <c r="B154" s="11" t="s">
        <v>14</v>
      </c>
      <c r="C154" s="11" t="s">
        <v>164</v>
      </c>
      <c r="D154" s="15" t="s">
        <v>60</v>
      </c>
      <c r="E154" s="11" t="s">
        <v>26</v>
      </c>
      <c r="F154" s="11" t="s">
        <v>165</v>
      </c>
      <c r="G154" s="12">
        <v>1815</v>
      </c>
      <c r="H154" s="12">
        <v>2369</v>
      </c>
      <c r="I154" s="12"/>
      <c r="J154" s="12">
        <v>1799</v>
      </c>
      <c r="K154" s="12">
        <f t="shared" si="27"/>
        <v>0</v>
      </c>
      <c r="L154" s="12">
        <f t="shared" si="28"/>
        <v>1815</v>
      </c>
      <c r="M154" s="12">
        <f t="shared" si="29"/>
        <v>2369</v>
      </c>
      <c r="N154" s="12">
        <f t="shared" si="30"/>
        <v>1799</v>
      </c>
      <c r="O154" s="12" t="str">
        <f t="shared" si="31"/>
        <v>휘발유 45,375원 / 고급유 47,380원</v>
      </c>
      <c r="P154" s="12">
        <f t="shared" si="32"/>
        <v>92755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92755</v>
      </c>
      <c r="U154" s="12">
        <f t="shared" si="36"/>
        <v>2061.2222222222222</v>
      </c>
      <c r="V154" s="12">
        <f t="shared" si="37"/>
        <v>2061.2222222222222</v>
      </c>
      <c r="W154" s="14">
        <f t="shared" si="38"/>
        <v>92755</v>
      </c>
    </row>
    <row r="155" spans="1:23" s="2" customFormat="1" ht="28.5" customHeight="1">
      <c r="A155" s="11">
        <f t="shared" si="26"/>
        <v>141</v>
      </c>
      <c r="B155" s="11" t="s">
        <v>12</v>
      </c>
      <c r="C155" s="11" t="s">
        <v>202</v>
      </c>
      <c r="D155" s="15" t="s">
        <v>45</v>
      </c>
      <c r="E155" s="11" t="s">
        <v>26</v>
      </c>
      <c r="F155" s="11" t="s">
        <v>203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7" customFormat="1" ht="28.5" customHeight="1">
      <c r="A156" s="11">
        <f t="shared" si="26"/>
        <v>141</v>
      </c>
      <c r="B156" s="11" t="s">
        <v>12</v>
      </c>
      <c r="C156" s="11" t="s">
        <v>216</v>
      </c>
      <c r="D156" s="15" t="s">
        <v>45</v>
      </c>
      <c r="E156" s="11" t="s">
        <v>26</v>
      </c>
      <c r="F156" s="11" t="s">
        <v>217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206</v>
      </c>
      <c r="D157" s="15" t="s">
        <v>45</v>
      </c>
      <c r="E157" s="11" t="s">
        <v>61</v>
      </c>
      <c r="F157" s="11" t="s">
        <v>207</v>
      </c>
      <c r="G157" s="12">
        <v>1862</v>
      </c>
      <c r="H157" s="12">
        <v>2337</v>
      </c>
      <c r="I157" s="12" t="s">
        <v>63</v>
      </c>
      <c r="J157" s="12">
        <v>1843</v>
      </c>
      <c r="K157" s="12">
        <f t="shared" si="27"/>
        <v>-10</v>
      </c>
      <c r="L157" s="12">
        <f t="shared" si="28"/>
        <v>1852</v>
      </c>
      <c r="M157" s="12">
        <f t="shared" si="29"/>
        <v>2327</v>
      </c>
      <c r="N157" s="12">
        <f t="shared" si="30"/>
        <v>1833</v>
      </c>
      <c r="O157" s="12" t="str">
        <f t="shared" si="31"/>
        <v>휘발유 46,300원 / 고급유 46,540원</v>
      </c>
      <c r="P157" s="12">
        <f t="shared" si="32"/>
        <v>92840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92840</v>
      </c>
      <c r="U157" s="12">
        <f t="shared" si="36"/>
        <v>2063.1111111111113</v>
      </c>
      <c r="V157" s="12">
        <f t="shared" si="37"/>
        <v>2063.1111111111113</v>
      </c>
      <c r="W157" s="14">
        <f t="shared" si="38"/>
        <v>92840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230</v>
      </c>
      <c r="D158" s="15" t="s">
        <v>80</v>
      </c>
      <c r="E158" s="11" t="s">
        <v>26</v>
      </c>
      <c r="F158" s="11" t="s">
        <v>231</v>
      </c>
      <c r="G158" s="12">
        <v>1845</v>
      </c>
      <c r="H158" s="12">
        <v>2340</v>
      </c>
      <c r="I158" s="12"/>
      <c r="J158" s="12">
        <v>1832</v>
      </c>
      <c r="K158" s="12">
        <f t="shared" si="27"/>
        <v>0</v>
      </c>
      <c r="L158" s="12">
        <f t="shared" si="28"/>
        <v>1845</v>
      </c>
      <c r="M158" s="12">
        <f t="shared" si="29"/>
        <v>2340</v>
      </c>
      <c r="N158" s="12">
        <f t="shared" si="30"/>
        <v>1832</v>
      </c>
      <c r="O158" s="12" t="str">
        <f t="shared" si="31"/>
        <v>휘발유 46,125원 / 고급유 46,800원</v>
      </c>
      <c r="P158" s="12">
        <f t="shared" si="32"/>
        <v>92925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92925</v>
      </c>
      <c r="U158" s="12">
        <f t="shared" si="36"/>
        <v>2065</v>
      </c>
      <c r="V158" s="12">
        <f t="shared" si="37"/>
        <v>2065</v>
      </c>
      <c r="W158" s="14">
        <f t="shared" si="38"/>
        <v>92925</v>
      </c>
    </row>
    <row r="159" spans="1:23" s="7" customFormat="1" ht="28.5" customHeight="1">
      <c r="A159" s="11">
        <f t="shared" si="26"/>
        <v>145</v>
      </c>
      <c r="B159" s="11" t="s">
        <v>10</v>
      </c>
      <c r="C159" s="11" t="s">
        <v>426</v>
      </c>
      <c r="D159" s="15" t="s">
        <v>45</v>
      </c>
      <c r="E159" s="11" t="s">
        <v>26</v>
      </c>
      <c r="F159" s="11" t="s">
        <v>427</v>
      </c>
      <c r="G159" s="12">
        <v>1859</v>
      </c>
      <c r="H159" s="12">
        <v>2323</v>
      </c>
      <c r="I159" s="12"/>
      <c r="J159" s="12">
        <v>1869</v>
      </c>
      <c r="K159" s="12">
        <f t="shared" si="27"/>
        <v>0</v>
      </c>
      <c r="L159" s="12">
        <f t="shared" si="28"/>
        <v>1859</v>
      </c>
      <c r="M159" s="12">
        <f t="shared" si="29"/>
        <v>2323</v>
      </c>
      <c r="N159" s="12">
        <f t="shared" si="30"/>
        <v>1869</v>
      </c>
      <c r="O159" s="12" t="str">
        <f t="shared" si="31"/>
        <v>휘발유 46,475원 / 고급유 46,460원</v>
      </c>
      <c r="P159" s="12">
        <f t="shared" si="32"/>
        <v>92935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92935</v>
      </c>
      <c r="U159" s="12">
        <f t="shared" si="36"/>
        <v>2065.2222222222222</v>
      </c>
      <c r="V159" s="12">
        <f t="shared" si="37"/>
        <v>2065.2222222222222</v>
      </c>
      <c r="W159" s="14">
        <f t="shared" si="38"/>
        <v>92935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224</v>
      </c>
      <c r="D160" s="15" t="s">
        <v>45</v>
      </c>
      <c r="E160" s="11" t="s">
        <v>61</v>
      </c>
      <c r="F160" s="11" t="s">
        <v>225</v>
      </c>
      <c r="G160" s="12">
        <v>1864</v>
      </c>
      <c r="H160" s="12">
        <v>2346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2336</v>
      </c>
      <c r="N160" s="12">
        <f t="shared" si="30"/>
        <v>1842</v>
      </c>
      <c r="O160" s="12" t="str">
        <f t="shared" si="31"/>
        <v>휘발유 46,350원 / 고급유 46,720원</v>
      </c>
      <c r="P160" s="12">
        <f t="shared" si="32"/>
        <v>93070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93070</v>
      </c>
      <c r="U160" s="12">
        <f t="shared" si="36"/>
        <v>2068.2222222222222</v>
      </c>
      <c r="V160" s="12">
        <f t="shared" si="37"/>
        <v>2068.2222222222222</v>
      </c>
      <c r="W160" s="14">
        <f t="shared" si="38"/>
        <v>93070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142</v>
      </c>
      <c r="D161" s="15" t="s">
        <v>45</v>
      </c>
      <c r="E161" s="11" t="s">
        <v>26</v>
      </c>
      <c r="F161" s="11" t="s">
        <v>143</v>
      </c>
      <c r="G161" s="12">
        <v>1886</v>
      </c>
      <c r="H161" s="12">
        <v>2300</v>
      </c>
      <c r="I161" s="12"/>
      <c r="J161" s="12">
        <v>1876</v>
      </c>
      <c r="K161" s="12">
        <f t="shared" si="27"/>
        <v>0</v>
      </c>
      <c r="L161" s="12">
        <f t="shared" si="28"/>
        <v>1886</v>
      </c>
      <c r="M161" s="12">
        <f t="shared" si="29"/>
        <v>2300</v>
      </c>
      <c r="N161" s="12">
        <f t="shared" si="30"/>
        <v>1876</v>
      </c>
      <c r="O161" s="12" t="str">
        <f t="shared" si="31"/>
        <v>휘발유 47,150원 / 고급유 46,000원</v>
      </c>
      <c r="P161" s="12">
        <f t="shared" si="32"/>
        <v>93150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93150</v>
      </c>
      <c r="U161" s="12">
        <f t="shared" si="36"/>
        <v>2070</v>
      </c>
      <c r="V161" s="12">
        <f t="shared" si="37"/>
        <v>2070</v>
      </c>
      <c r="W161" s="14">
        <f t="shared" si="38"/>
        <v>93150</v>
      </c>
    </row>
    <row r="162" spans="1:23" s="16" customFormat="1" ht="28.5" customHeight="1">
      <c r="A162" s="11">
        <f t="shared" si="26"/>
        <v>148</v>
      </c>
      <c r="B162" s="11" t="s">
        <v>12</v>
      </c>
      <c r="C162" s="11" t="s">
        <v>730</v>
      </c>
      <c r="D162" s="11" t="s">
        <v>104</v>
      </c>
      <c r="E162" s="11" t="s">
        <v>26</v>
      </c>
      <c r="F162" s="11" t="s">
        <v>731</v>
      </c>
      <c r="G162" s="12">
        <v>1832</v>
      </c>
      <c r="H162" s="12">
        <v>2368</v>
      </c>
      <c r="I162" s="12"/>
      <c r="J162" s="12">
        <v>1823</v>
      </c>
      <c r="K162" s="12">
        <f t="shared" si="27"/>
        <v>0</v>
      </c>
      <c r="L162" s="12">
        <f t="shared" si="28"/>
        <v>1832</v>
      </c>
      <c r="M162" s="12">
        <f t="shared" si="29"/>
        <v>2368</v>
      </c>
      <c r="N162" s="12">
        <f t="shared" si="30"/>
        <v>1823</v>
      </c>
      <c r="O162" s="12" t="str">
        <f t="shared" si="31"/>
        <v>휘발유 45,800원 / 고급유 47,360원</v>
      </c>
      <c r="P162" s="12">
        <f t="shared" si="32"/>
        <v>93160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93160</v>
      </c>
      <c r="U162" s="12">
        <f t="shared" si="36"/>
        <v>2070.2222222222222</v>
      </c>
      <c r="V162" s="12">
        <f t="shared" si="37"/>
        <v>2070.2222222222222</v>
      </c>
      <c r="W162" s="14">
        <f t="shared" si="38"/>
        <v>93160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1470</v>
      </c>
      <c r="D163" s="15" t="s">
        <v>60</v>
      </c>
      <c r="E163" s="11" t="s">
        <v>26</v>
      </c>
      <c r="F163" s="11" t="s">
        <v>1471</v>
      </c>
      <c r="G163" s="12">
        <v>1845</v>
      </c>
      <c r="H163" s="12">
        <v>2352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2352</v>
      </c>
      <c r="N163" s="12">
        <f t="shared" si="30"/>
        <v>1849</v>
      </c>
      <c r="O163" s="12" t="str">
        <f t="shared" si="31"/>
        <v>휘발유 46,125원 / 고급유 47,040원</v>
      </c>
      <c r="P163" s="12">
        <f t="shared" si="32"/>
        <v>93165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93165</v>
      </c>
      <c r="U163" s="12">
        <f t="shared" si="36"/>
        <v>2070.3333333333335</v>
      </c>
      <c r="V163" s="12">
        <f t="shared" si="37"/>
        <v>2070.3333333333335</v>
      </c>
      <c r="W163" s="14">
        <f t="shared" si="38"/>
        <v>93165</v>
      </c>
    </row>
    <row r="164" spans="1:23" s="2" customFormat="1" ht="28.5" customHeight="1">
      <c r="A164" s="11">
        <f t="shared" si="26"/>
        <v>150</v>
      </c>
      <c r="B164" s="11" t="s">
        <v>8</v>
      </c>
      <c r="C164" s="11" t="s">
        <v>302</v>
      </c>
      <c r="D164" s="11" t="s">
        <v>57</v>
      </c>
      <c r="E164" s="11" t="s">
        <v>26</v>
      </c>
      <c r="F164" s="11" t="s">
        <v>303</v>
      </c>
      <c r="G164" s="12">
        <v>1849</v>
      </c>
      <c r="H164" s="12">
        <v>2349</v>
      </c>
      <c r="I164" s="12"/>
      <c r="J164" s="12">
        <v>1849</v>
      </c>
      <c r="K164" s="12">
        <f t="shared" si="27"/>
        <v>0</v>
      </c>
      <c r="L164" s="12">
        <f t="shared" si="28"/>
        <v>1849</v>
      </c>
      <c r="M164" s="12">
        <f t="shared" si="29"/>
        <v>2349</v>
      </c>
      <c r="N164" s="12">
        <f t="shared" si="30"/>
        <v>1849</v>
      </c>
      <c r="O164" s="12" t="str">
        <f t="shared" si="31"/>
        <v>휘발유 46,225원 / 고급유 46,980원</v>
      </c>
      <c r="P164" s="12">
        <f t="shared" si="32"/>
        <v>93205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93205</v>
      </c>
      <c r="U164" s="12">
        <f t="shared" si="36"/>
        <v>2071.2222222222222</v>
      </c>
      <c r="V164" s="12">
        <f t="shared" si="37"/>
        <v>2071.2222222222222</v>
      </c>
      <c r="W164" s="14">
        <f t="shared" si="38"/>
        <v>93205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192</v>
      </c>
      <c r="D165" s="15" t="s">
        <v>45</v>
      </c>
      <c r="E165" s="11" t="s">
        <v>61</v>
      </c>
      <c r="F165" s="11" t="s">
        <v>193</v>
      </c>
      <c r="G165" s="12">
        <v>1869</v>
      </c>
      <c r="H165" s="12">
        <v>2347</v>
      </c>
      <c r="I165" s="12" t="s">
        <v>63</v>
      </c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2337</v>
      </c>
      <c r="N165" s="12">
        <f t="shared" si="30"/>
        <v>1844</v>
      </c>
      <c r="O165" s="12" t="str">
        <f t="shared" si="31"/>
        <v>휘발유 46,475원 / 고급유 46,740원</v>
      </c>
      <c r="P165" s="12">
        <f t="shared" si="32"/>
        <v>93215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93215</v>
      </c>
      <c r="U165" s="12">
        <f t="shared" si="36"/>
        <v>2071.4444444444443</v>
      </c>
      <c r="V165" s="12">
        <f t="shared" si="37"/>
        <v>2071.4444444444443</v>
      </c>
      <c r="W165" s="14">
        <f t="shared" si="38"/>
        <v>93215</v>
      </c>
    </row>
    <row r="166" spans="1:23" s="2" customFormat="1" ht="28.5" customHeight="1">
      <c r="A166" s="11">
        <f t="shared" si="26"/>
        <v>152</v>
      </c>
      <c r="B166" s="11" t="s">
        <v>14</v>
      </c>
      <c r="C166" s="11" t="s">
        <v>1710</v>
      </c>
      <c r="D166" s="15" t="s">
        <v>80</v>
      </c>
      <c r="E166" s="11" t="s">
        <v>26</v>
      </c>
      <c r="F166" s="11" t="s">
        <v>1711</v>
      </c>
      <c r="G166" s="12">
        <v>1859</v>
      </c>
      <c r="H166" s="12">
        <v>2340</v>
      </c>
      <c r="I166" s="12"/>
      <c r="J166" s="12">
        <v>1849</v>
      </c>
      <c r="K166" s="12">
        <f t="shared" si="27"/>
        <v>0</v>
      </c>
      <c r="L166" s="12">
        <f t="shared" si="28"/>
        <v>1859</v>
      </c>
      <c r="M166" s="12">
        <f t="shared" si="29"/>
        <v>2340</v>
      </c>
      <c r="N166" s="12">
        <f t="shared" si="30"/>
        <v>1849</v>
      </c>
      <c r="O166" s="12" t="str">
        <f t="shared" si="31"/>
        <v>휘발유 46,475원 / 고급유 46,800원</v>
      </c>
      <c r="P166" s="12">
        <f t="shared" si="32"/>
        <v>93275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93275</v>
      </c>
      <c r="U166" s="12">
        <f t="shared" si="36"/>
        <v>2072.7777777777778</v>
      </c>
      <c r="V166" s="12">
        <f t="shared" si="37"/>
        <v>2072.7777777777778</v>
      </c>
      <c r="W166" s="14">
        <f t="shared" si="38"/>
        <v>93275</v>
      </c>
    </row>
    <row r="167" spans="1:23" s="2" customFormat="1" ht="28.5" customHeight="1">
      <c r="A167" s="11">
        <f t="shared" si="26"/>
        <v>153</v>
      </c>
      <c r="B167" s="11" t="s">
        <v>10</v>
      </c>
      <c r="C167" s="11" t="s">
        <v>222</v>
      </c>
      <c r="D167" s="15" t="s">
        <v>45</v>
      </c>
      <c r="E167" s="11" t="s">
        <v>26</v>
      </c>
      <c r="F167" s="11" t="s">
        <v>223</v>
      </c>
      <c r="G167" s="12">
        <v>1869</v>
      </c>
      <c r="H167" s="12">
        <v>2351</v>
      </c>
      <c r="I167" s="12"/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2341</v>
      </c>
      <c r="N167" s="12">
        <f t="shared" si="30"/>
        <v>1844</v>
      </c>
      <c r="O167" s="12" t="str">
        <f t="shared" si="31"/>
        <v>휘발유 46,475원 / 고급유 46,820원</v>
      </c>
      <c r="P167" s="12">
        <f t="shared" si="32"/>
        <v>93295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93295</v>
      </c>
      <c r="U167" s="12">
        <f t="shared" si="36"/>
        <v>2073.2222222222222</v>
      </c>
      <c r="V167" s="12">
        <f t="shared" si="37"/>
        <v>2073.2222222222222</v>
      </c>
      <c r="W167" s="14">
        <f t="shared" si="38"/>
        <v>93295</v>
      </c>
    </row>
    <row r="168" spans="1:23" s="16" customFormat="1" ht="28.5" customHeight="1">
      <c r="A168" s="11">
        <f t="shared" si="26"/>
        <v>154</v>
      </c>
      <c r="B168" s="11" t="s">
        <v>10</v>
      </c>
      <c r="C168" s="11" t="s">
        <v>1551</v>
      </c>
      <c r="D168" s="15" t="s">
        <v>80</v>
      </c>
      <c r="E168" s="11" t="s">
        <v>26</v>
      </c>
      <c r="F168" s="11" t="s">
        <v>1552</v>
      </c>
      <c r="G168" s="12">
        <v>1815</v>
      </c>
      <c r="H168" s="12">
        <v>2399</v>
      </c>
      <c r="I168" s="12"/>
      <c r="J168" s="12">
        <v>1795</v>
      </c>
      <c r="K168" s="12">
        <f t="shared" si="27"/>
        <v>0</v>
      </c>
      <c r="L168" s="12">
        <f t="shared" si="28"/>
        <v>1815</v>
      </c>
      <c r="M168" s="12">
        <f t="shared" si="29"/>
        <v>2399</v>
      </c>
      <c r="N168" s="12">
        <f t="shared" si="30"/>
        <v>1795</v>
      </c>
      <c r="O168" s="12" t="str">
        <f t="shared" si="31"/>
        <v>휘발유 45,375원 / 고급유 47,980원</v>
      </c>
      <c r="P168" s="12">
        <f t="shared" si="32"/>
        <v>93355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93355</v>
      </c>
      <c r="U168" s="12">
        <f t="shared" si="36"/>
        <v>2074.5555555555557</v>
      </c>
      <c r="V168" s="12">
        <f t="shared" si="37"/>
        <v>2074.5555555555557</v>
      </c>
      <c r="W168" s="14">
        <f t="shared" si="38"/>
        <v>93355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845</v>
      </c>
      <c r="D169" s="15" t="s">
        <v>80</v>
      </c>
      <c r="E169" s="11" t="s">
        <v>26</v>
      </c>
      <c r="F169" s="11" t="s">
        <v>846</v>
      </c>
      <c r="G169" s="12">
        <v>1825</v>
      </c>
      <c r="H169" s="12">
        <v>2390</v>
      </c>
      <c r="I169" s="12"/>
      <c r="J169" s="12">
        <v>1813</v>
      </c>
      <c r="K169" s="12">
        <f t="shared" si="27"/>
        <v>0</v>
      </c>
      <c r="L169" s="12">
        <f t="shared" si="28"/>
        <v>1825</v>
      </c>
      <c r="M169" s="12">
        <f t="shared" si="29"/>
        <v>2390</v>
      </c>
      <c r="N169" s="12">
        <f t="shared" si="30"/>
        <v>1813</v>
      </c>
      <c r="O169" s="12" t="str">
        <f t="shared" si="31"/>
        <v>휘발유 45,625원 / 고급유 47,800원</v>
      </c>
      <c r="P169" s="12">
        <f t="shared" si="32"/>
        <v>93425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93425</v>
      </c>
      <c r="U169" s="12">
        <f t="shared" si="36"/>
        <v>2076.1111111111113</v>
      </c>
      <c r="V169" s="12">
        <f t="shared" si="37"/>
        <v>2076.1111111111113</v>
      </c>
      <c r="W169" s="14">
        <f t="shared" si="38"/>
        <v>93425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619</v>
      </c>
      <c r="D170" s="15" t="s">
        <v>45</v>
      </c>
      <c r="E170" s="11" t="s">
        <v>26</v>
      </c>
      <c r="F170" s="11" t="s">
        <v>620</v>
      </c>
      <c r="G170" s="12">
        <v>1819</v>
      </c>
      <c r="H170" s="12">
        <v>2399</v>
      </c>
      <c r="I170" s="12"/>
      <c r="J170" s="12">
        <v>1799</v>
      </c>
      <c r="K170" s="12">
        <f t="shared" si="27"/>
        <v>0</v>
      </c>
      <c r="L170" s="12">
        <f t="shared" si="28"/>
        <v>1819</v>
      </c>
      <c r="M170" s="12">
        <f t="shared" si="29"/>
        <v>2399</v>
      </c>
      <c r="N170" s="12">
        <f t="shared" si="30"/>
        <v>1799</v>
      </c>
      <c r="O170" s="12" t="str">
        <f t="shared" si="31"/>
        <v>휘발유 45,475원 / 고급유 47,980원</v>
      </c>
      <c r="P170" s="12">
        <f t="shared" si="32"/>
        <v>93455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93455</v>
      </c>
      <c r="U170" s="12">
        <f t="shared" si="36"/>
        <v>2076.7777777777778</v>
      </c>
      <c r="V170" s="12">
        <f t="shared" si="37"/>
        <v>2076.7777777777778</v>
      </c>
      <c r="W170" s="14">
        <f t="shared" si="38"/>
        <v>93455</v>
      </c>
    </row>
    <row r="171" spans="1:23" s="16" customFormat="1" ht="28.5" customHeight="1">
      <c r="A171" s="11">
        <f t="shared" si="26"/>
        <v>157</v>
      </c>
      <c r="B171" s="11" t="s">
        <v>6</v>
      </c>
      <c r="C171" s="11" t="s">
        <v>364</v>
      </c>
      <c r="D171" s="15" t="s">
        <v>45</v>
      </c>
      <c r="E171" s="11" t="s">
        <v>26</v>
      </c>
      <c r="F171" s="11" t="s">
        <v>365</v>
      </c>
      <c r="G171" s="12">
        <v>1835</v>
      </c>
      <c r="H171" s="12">
        <v>2385</v>
      </c>
      <c r="I171" s="12"/>
      <c r="J171" s="12">
        <v>1825</v>
      </c>
      <c r="K171" s="12">
        <f t="shared" si="27"/>
        <v>0</v>
      </c>
      <c r="L171" s="12">
        <f t="shared" si="28"/>
        <v>1835</v>
      </c>
      <c r="M171" s="12">
        <f t="shared" si="29"/>
        <v>2385</v>
      </c>
      <c r="N171" s="12">
        <f t="shared" si="30"/>
        <v>1825</v>
      </c>
      <c r="O171" s="12" t="str">
        <f t="shared" si="31"/>
        <v>휘발유 45,875원 / 고급유 47,700원</v>
      </c>
      <c r="P171" s="12">
        <f t="shared" si="32"/>
        <v>93575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93575</v>
      </c>
      <c r="U171" s="12">
        <f t="shared" si="36"/>
        <v>2079.4444444444443</v>
      </c>
      <c r="V171" s="12">
        <f t="shared" si="37"/>
        <v>2079.4444444444443</v>
      </c>
      <c r="W171" s="14">
        <f t="shared" si="38"/>
        <v>93575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847</v>
      </c>
      <c r="D172" s="15" t="s">
        <v>80</v>
      </c>
      <c r="E172" s="11" t="s">
        <v>26</v>
      </c>
      <c r="F172" s="11" t="s">
        <v>848</v>
      </c>
      <c r="G172" s="12">
        <v>1834</v>
      </c>
      <c r="H172" s="12">
        <v>2390</v>
      </c>
      <c r="I172" s="12"/>
      <c r="J172" s="12">
        <v>1829</v>
      </c>
      <c r="K172" s="12">
        <f t="shared" si="27"/>
        <v>0</v>
      </c>
      <c r="L172" s="12">
        <f t="shared" si="28"/>
        <v>1834</v>
      </c>
      <c r="M172" s="12">
        <f t="shared" si="29"/>
        <v>2390</v>
      </c>
      <c r="N172" s="12">
        <f t="shared" si="30"/>
        <v>1829</v>
      </c>
      <c r="O172" s="12" t="str">
        <f t="shared" si="31"/>
        <v>휘발유 45,850원 / 고급유 47,800원</v>
      </c>
      <c r="P172" s="12">
        <f t="shared" si="32"/>
        <v>93650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93650</v>
      </c>
      <c r="U172" s="12">
        <f t="shared" si="36"/>
        <v>2081.1111111111113</v>
      </c>
      <c r="V172" s="12">
        <f t="shared" si="37"/>
        <v>2081.1111111111113</v>
      </c>
      <c r="W172" s="14">
        <f t="shared" si="38"/>
        <v>93650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190</v>
      </c>
      <c r="D173" s="15" t="s">
        <v>45</v>
      </c>
      <c r="E173" s="11" t="s">
        <v>26</v>
      </c>
      <c r="F173" s="11" t="s">
        <v>191</v>
      </c>
      <c r="G173" s="12">
        <v>1864</v>
      </c>
      <c r="H173" s="12">
        <v>2389</v>
      </c>
      <c r="I173" s="12" t="s">
        <v>63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196</v>
      </c>
      <c r="D174" s="15" t="s">
        <v>45</v>
      </c>
      <c r="E174" s="11" t="s">
        <v>61</v>
      </c>
      <c r="F174" s="11" t="s">
        <v>197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1231</v>
      </c>
      <c r="D175" s="15" t="s">
        <v>60</v>
      </c>
      <c r="E175" s="11" t="s">
        <v>26</v>
      </c>
      <c r="F175" s="11" t="s">
        <v>1232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2" customFormat="1" ht="28.5" customHeight="1">
      <c r="A176" s="11">
        <f t="shared" si="26"/>
        <v>162</v>
      </c>
      <c r="B176" s="11" t="s">
        <v>12</v>
      </c>
      <c r="C176" s="11" t="s">
        <v>212</v>
      </c>
      <c r="D176" s="15" t="s">
        <v>45</v>
      </c>
      <c r="E176" s="11" t="s">
        <v>26</v>
      </c>
      <c r="F176" s="11" t="s">
        <v>213</v>
      </c>
      <c r="G176" s="12">
        <v>1867</v>
      </c>
      <c r="H176" s="12">
        <v>2429</v>
      </c>
      <c r="I176" s="12" t="s">
        <v>63</v>
      </c>
      <c r="J176" s="12">
        <v>1859</v>
      </c>
      <c r="K176" s="12">
        <f t="shared" si="27"/>
        <v>-10</v>
      </c>
      <c r="L176" s="12">
        <f t="shared" si="28"/>
        <v>1857</v>
      </c>
      <c r="M176" s="12">
        <f t="shared" si="29"/>
        <v>2419</v>
      </c>
      <c r="N176" s="12">
        <f t="shared" si="30"/>
        <v>1849</v>
      </c>
      <c r="O176" s="12" t="str">
        <f t="shared" si="31"/>
        <v>휘발유 46,425원 / 고급유 48,380원</v>
      </c>
      <c r="P176" s="12">
        <f t="shared" si="32"/>
        <v>94805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94805</v>
      </c>
      <c r="U176" s="12">
        <f t="shared" si="36"/>
        <v>2106.7777777777778</v>
      </c>
      <c r="V176" s="12">
        <f t="shared" si="37"/>
        <v>2106.7777777777778</v>
      </c>
      <c r="W176" s="14">
        <f t="shared" si="38"/>
        <v>94805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1247</v>
      </c>
      <c r="D177" s="11" t="s">
        <v>57</v>
      </c>
      <c r="E177" s="11" t="s">
        <v>26</v>
      </c>
      <c r="F177" s="11" t="s">
        <v>1248</v>
      </c>
      <c r="G177" s="12">
        <v>1875</v>
      </c>
      <c r="H177" s="12">
        <v>2419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2419</v>
      </c>
      <c r="N177" s="12">
        <f t="shared" si="30"/>
        <v>1865</v>
      </c>
      <c r="O177" s="12" t="str">
        <f t="shared" si="31"/>
        <v>휘발유 46,875원 / 고급유 48,380원</v>
      </c>
      <c r="P177" s="12">
        <f t="shared" si="32"/>
        <v>95255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95255</v>
      </c>
      <c r="U177" s="12">
        <f t="shared" si="36"/>
        <v>2116.7777777777778</v>
      </c>
      <c r="V177" s="12">
        <f t="shared" si="37"/>
        <v>2116.7777777777778</v>
      </c>
      <c r="W177" s="14">
        <f t="shared" si="38"/>
        <v>95255</v>
      </c>
    </row>
    <row r="178" spans="1:23" s="7" customFormat="1" ht="28.5" customHeight="1">
      <c r="A178" s="11">
        <f t="shared" si="26"/>
        <v>164</v>
      </c>
      <c r="B178" s="11" t="s">
        <v>12</v>
      </c>
      <c r="C178" s="11" t="s">
        <v>1023</v>
      </c>
      <c r="D178" s="15" t="s">
        <v>60</v>
      </c>
      <c r="E178" s="11" t="s">
        <v>26</v>
      </c>
      <c r="F178" s="11" t="s">
        <v>1024</v>
      </c>
      <c r="G178" s="12">
        <v>1835</v>
      </c>
      <c r="H178" s="12">
        <v>2495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2495</v>
      </c>
      <c r="N178" s="12">
        <f t="shared" si="30"/>
        <v>1825</v>
      </c>
      <c r="O178" s="12" t="str">
        <f t="shared" si="31"/>
        <v>휘발유 45,875원 / 고급유 49,900원</v>
      </c>
      <c r="P178" s="12">
        <f t="shared" si="32"/>
        <v>95775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95775</v>
      </c>
      <c r="U178" s="12">
        <f t="shared" si="36"/>
        <v>2128.3333333333335</v>
      </c>
      <c r="V178" s="12">
        <f t="shared" si="37"/>
        <v>2128.3333333333335</v>
      </c>
      <c r="W178" s="14">
        <f t="shared" si="38"/>
        <v>95775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86</v>
      </c>
      <c r="D179" s="11" t="s">
        <v>57</v>
      </c>
      <c r="E179" s="11" t="s">
        <v>26</v>
      </c>
      <c r="F179" s="11" t="s">
        <v>87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727</v>
      </c>
      <c r="D180" s="15" t="s">
        <v>80</v>
      </c>
      <c r="E180" s="11" t="s">
        <v>61</v>
      </c>
      <c r="F180" s="11" t="s">
        <v>728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178</v>
      </c>
      <c r="D181" s="15" t="s">
        <v>80</v>
      </c>
      <c r="E181" s="11" t="s">
        <v>26</v>
      </c>
      <c r="F181" s="11" t="s">
        <v>179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63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1159</v>
      </c>
      <c r="D182" s="15" t="s">
        <v>60</v>
      </c>
      <c r="E182" s="11" t="s">
        <v>26</v>
      </c>
      <c r="F182" s="11" t="s">
        <v>1160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1685</v>
      </c>
      <c r="D183" s="15" t="s">
        <v>45</v>
      </c>
      <c r="E183" s="11" t="s">
        <v>26</v>
      </c>
      <c r="F183" s="11" t="s">
        <v>1686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1484</v>
      </c>
      <c r="D184" s="15" t="s">
        <v>60</v>
      </c>
      <c r="E184" s="11" t="s">
        <v>26</v>
      </c>
      <c r="F184" s="11" t="s">
        <v>1485</v>
      </c>
      <c r="G184" s="12">
        <v>1799</v>
      </c>
      <c r="H184" s="12"/>
      <c r="I184" s="12"/>
      <c r="J184" s="12">
        <v>1794</v>
      </c>
      <c r="K184" s="12">
        <f t="shared" si="27"/>
        <v>0</v>
      </c>
      <c r="L184" s="12">
        <f t="shared" si="28"/>
        <v>1799</v>
      </c>
      <c r="M184" s="12" t="str">
        <f t="shared" si="29"/>
        <v/>
      </c>
      <c r="N184" s="12">
        <f t="shared" si="30"/>
        <v>1794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627</v>
      </c>
      <c r="D185" s="11" t="s">
        <v>57</v>
      </c>
      <c r="E185" s="11" t="s">
        <v>26</v>
      </c>
      <c r="F185" s="11" t="s">
        <v>628</v>
      </c>
      <c r="G185" s="12">
        <v>1844</v>
      </c>
      <c r="H185" s="12"/>
      <c r="I185" s="12"/>
      <c r="J185" s="12">
        <v>1794</v>
      </c>
      <c r="K185" s="12">
        <f t="shared" si="27"/>
        <v>0</v>
      </c>
      <c r="L185" s="12">
        <f t="shared" si="28"/>
        <v>1844</v>
      </c>
      <c r="M185" s="12" t="str">
        <f t="shared" si="29"/>
        <v/>
      </c>
      <c r="N185" s="12">
        <f t="shared" si="30"/>
        <v>1794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1245</v>
      </c>
      <c r="D186" s="11" t="s">
        <v>57</v>
      </c>
      <c r="E186" s="11" t="s">
        <v>26</v>
      </c>
      <c r="F186" s="11" t="s">
        <v>1246</v>
      </c>
      <c r="G186" s="12">
        <v>1805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16</v>
      </c>
      <c r="C187" s="11" t="s">
        <v>480</v>
      </c>
      <c r="D187" s="15" t="s">
        <v>45</v>
      </c>
      <c r="E187" s="11" t="s">
        <v>26</v>
      </c>
      <c r="F187" s="11" t="s">
        <v>481</v>
      </c>
      <c r="G187" s="12">
        <v>1847</v>
      </c>
      <c r="H187" s="12"/>
      <c r="I187" s="12"/>
      <c r="J187" s="12">
        <v>1817</v>
      </c>
      <c r="K187" s="12">
        <f t="shared" si="27"/>
        <v>0</v>
      </c>
      <c r="L187" s="12">
        <f t="shared" si="28"/>
        <v>1847</v>
      </c>
      <c r="M187" s="12" t="str">
        <f t="shared" si="29"/>
        <v/>
      </c>
      <c r="N187" s="12">
        <f t="shared" si="30"/>
        <v>1817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1638</v>
      </c>
      <c r="D188" s="15" t="s">
        <v>80</v>
      </c>
      <c r="E188" s="11" t="s">
        <v>26</v>
      </c>
      <c r="F188" s="11" t="s">
        <v>1639</v>
      </c>
      <c r="G188" s="12">
        <v>1807</v>
      </c>
      <c r="H188" s="12"/>
      <c r="I188" s="12"/>
      <c r="J188" s="12">
        <v>1793</v>
      </c>
      <c r="K188" s="12">
        <f t="shared" si="27"/>
        <v>0</v>
      </c>
      <c r="L188" s="12">
        <f t="shared" si="28"/>
        <v>1807</v>
      </c>
      <c r="M188" s="12" t="str">
        <f t="shared" si="29"/>
        <v/>
      </c>
      <c r="N188" s="12">
        <f t="shared" si="30"/>
        <v>1793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16</v>
      </c>
      <c r="C189" s="11" t="s">
        <v>723</v>
      </c>
      <c r="D189" s="11" t="s">
        <v>57</v>
      </c>
      <c r="E189" s="11" t="s">
        <v>26</v>
      </c>
      <c r="F189" s="11" t="s">
        <v>724</v>
      </c>
      <c r="G189" s="12">
        <v>1849</v>
      </c>
      <c r="H189" s="12"/>
      <c r="I189" s="12"/>
      <c r="J189" s="12">
        <v>1809</v>
      </c>
      <c r="K189" s="12">
        <f t="shared" si="27"/>
        <v>0</v>
      </c>
      <c r="L189" s="12">
        <f t="shared" si="28"/>
        <v>1849</v>
      </c>
      <c r="M189" s="12" t="str">
        <f t="shared" si="29"/>
        <v/>
      </c>
      <c r="N189" s="12">
        <f t="shared" si="30"/>
        <v>1809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18</v>
      </c>
      <c r="C190" s="11" t="s">
        <v>478</v>
      </c>
      <c r="D190" s="15" t="s">
        <v>45</v>
      </c>
      <c r="E190" s="11" t="s">
        <v>26</v>
      </c>
      <c r="F190" s="11" t="s">
        <v>479</v>
      </c>
      <c r="G190" s="12">
        <v>1849</v>
      </c>
      <c r="H190" s="12"/>
      <c r="I190" s="12"/>
      <c r="J190" s="12">
        <v>1835</v>
      </c>
      <c r="K190" s="12">
        <f t="shared" si="27"/>
        <v>0</v>
      </c>
      <c r="L190" s="12">
        <f t="shared" si="28"/>
        <v>1849</v>
      </c>
      <c r="M190" s="12" t="str">
        <f t="shared" si="29"/>
        <v/>
      </c>
      <c r="N190" s="12">
        <f t="shared" si="30"/>
        <v>1835</v>
      </c>
      <c r="O190" s="12" t="str">
        <f t="shared" si="31"/>
        <v/>
      </c>
      <c r="P190" s="12" t="str">
        <f t="shared" si="32"/>
        <v/>
      </c>
      <c r="Q190" s="11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18</v>
      </c>
      <c r="C191" s="11" t="s">
        <v>1049</v>
      </c>
      <c r="D191" s="15" t="s">
        <v>45</v>
      </c>
      <c r="E191" s="11" t="s">
        <v>61</v>
      </c>
      <c r="F191" s="11" t="s">
        <v>1050</v>
      </c>
      <c r="G191" s="12">
        <v>1849</v>
      </c>
      <c r="H191" s="12"/>
      <c r="I191" s="12"/>
      <c r="J191" s="12">
        <v>1839</v>
      </c>
      <c r="K191" s="12">
        <f t="shared" si="27"/>
        <v>0</v>
      </c>
      <c r="L191" s="12">
        <f t="shared" si="28"/>
        <v>1849</v>
      </c>
      <c r="M191" s="12" t="str">
        <f t="shared" si="29"/>
        <v/>
      </c>
      <c r="N191" s="12">
        <f t="shared" si="30"/>
        <v>1839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659</v>
      </c>
      <c r="D192" s="15" t="s">
        <v>45</v>
      </c>
      <c r="E192" s="11" t="s">
        <v>26</v>
      </c>
      <c r="F192" s="11" t="s">
        <v>660</v>
      </c>
      <c r="G192" s="12">
        <v>1808</v>
      </c>
      <c r="H192" s="12"/>
      <c r="I192" s="12"/>
      <c r="J192" s="12">
        <v>1798</v>
      </c>
      <c r="K192" s="12">
        <f t="shared" si="27"/>
        <v>0</v>
      </c>
      <c r="L192" s="12">
        <f t="shared" si="28"/>
        <v>1808</v>
      </c>
      <c r="M192" s="12" t="str">
        <f t="shared" si="29"/>
        <v/>
      </c>
      <c r="N192" s="12">
        <f t="shared" si="30"/>
        <v>1798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16</v>
      </c>
      <c r="C193" s="11" t="s">
        <v>671</v>
      </c>
      <c r="D193" s="15" t="s">
        <v>60</v>
      </c>
      <c r="E193" s="11" t="s">
        <v>26</v>
      </c>
      <c r="F193" s="11" t="s">
        <v>672</v>
      </c>
      <c r="G193" s="12">
        <v>1850</v>
      </c>
      <c r="H193" s="12"/>
      <c r="I193" s="12"/>
      <c r="J193" s="12">
        <v>1810</v>
      </c>
      <c r="K193" s="12">
        <f t="shared" si="27"/>
        <v>0</v>
      </c>
      <c r="L193" s="12">
        <f t="shared" si="28"/>
        <v>1850</v>
      </c>
      <c r="M193" s="12" t="str">
        <f t="shared" si="29"/>
        <v/>
      </c>
      <c r="N193" s="12">
        <f t="shared" si="30"/>
        <v>1810</v>
      </c>
      <c r="O193" s="12" t="str">
        <f t="shared" si="31"/>
        <v/>
      </c>
      <c r="P193" s="12" t="str">
        <f t="shared" si="32"/>
        <v/>
      </c>
      <c r="Q193" s="12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16</v>
      </c>
      <c r="C194" s="11" t="s">
        <v>1369</v>
      </c>
      <c r="D194" s="15" t="s">
        <v>45</v>
      </c>
      <c r="E194" s="11" t="s">
        <v>26</v>
      </c>
      <c r="F194" s="11" t="s">
        <v>1370</v>
      </c>
      <c r="G194" s="12">
        <v>1850</v>
      </c>
      <c r="H194" s="12"/>
      <c r="I194" s="12"/>
      <c r="J194" s="12">
        <v>1840</v>
      </c>
      <c r="K194" s="12">
        <f t="shared" si="27"/>
        <v>0</v>
      </c>
      <c r="L194" s="12">
        <f t="shared" si="28"/>
        <v>1850</v>
      </c>
      <c r="M194" s="12" t="str">
        <f t="shared" si="29"/>
        <v/>
      </c>
      <c r="N194" s="12">
        <f t="shared" si="30"/>
        <v>1840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12</v>
      </c>
      <c r="C195" s="11" t="s">
        <v>576</v>
      </c>
      <c r="D195" s="15" t="s">
        <v>80</v>
      </c>
      <c r="E195" s="11" t="s">
        <v>26</v>
      </c>
      <c r="F195" s="11" t="s">
        <v>577</v>
      </c>
      <c r="G195" s="12">
        <v>1809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1809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12</v>
      </c>
      <c r="C196" s="11" t="s">
        <v>588</v>
      </c>
      <c r="D196" s="15" t="s">
        <v>80</v>
      </c>
      <c r="E196" s="11" t="s">
        <v>26</v>
      </c>
      <c r="F196" s="11" t="s">
        <v>589</v>
      </c>
      <c r="G196" s="12">
        <v>1809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1809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18</v>
      </c>
      <c r="C197" s="11" t="s">
        <v>417</v>
      </c>
      <c r="D197" s="15" t="s">
        <v>60</v>
      </c>
      <c r="E197" s="11" t="s">
        <v>26</v>
      </c>
      <c r="F197" s="11" t="s">
        <v>418</v>
      </c>
      <c r="G197" s="12">
        <v>1852</v>
      </c>
      <c r="H197" s="12"/>
      <c r="I197" s="12"/>
      <c r="J197" s="12">
        <v>1812</v>
      </c>
      <c r="K197" s="12">
        <f t="shared" si="27"/>
        <v>0</v>
      </c>
      <c r="L197" s="12">
        <f t="shared" si="28"/>
        <v>1852</v>
      </c>
      <c r="M197" s="12" t="str">
        <f t="shared" si="29"/>
        <v/>
      </c>
      <c r="N197" s="12">
        <f t="shared" si="30"/>
        <v>1812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18</v>
      </c>
      <c r="C198" s="11" t="s">
        <v>986</v>
      </c>
      <c r="D198" s="11" t="s">
        <v>57</v>
      </c>
      <c r="E198" s="11" t="s">
        <v>26</v>
      </c>
      <c r="F198" s="11" t="s">
        <v>987</v>
      </c>
      <c r="G198" s="12">
        <v>1852</v>
      </c>
      <c r="H198" s="12"/>
      <c r="I198" s="12"/>
      <c r="J198" s="12">
        <v>1832</v>
      </c>
      <c r="K198" s="12">
        <f t="shared" si="27"/>
        <v>0</v>
      </c>
      <c r="L198" s="12">
        <f t="shared" si="28"/>
        <v>1852</v>
      </c>
      <c r="M198" s="12" t="str">
        <f t="shared" si="29"/>
        <v/>
      </c>
      <c r="N198" s="12">
        <f t="shared" si="30"/>
        <v>1832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6</v>
      </c>
      <c r="C199" s="11" t="s">
        <v>1346</v>
      </c>
      <c r="D199" s="15" t="s">
        <v>45</v>
      </c>
      <c r="E199" s="11" t="s">
        <v>26</v>
      </c>
      <c r="F199" s="11" t="s">
        <v>1347</v>
      </c>
      <c r="G199" s="12">
        <v>1811</v>
      </c>
      <c r="H199" s="12"/>
      <c r="I199" s="12"/>
      <c r="J199" s="12">
        <v>1811</v>
      </c>
      <c r="K199" s="12">
        <f t="shared" si="27"/>
        <v>0</v>
      </c>
      <c r="L199" s="12">
        <f t="shared" si="28"/>
        <v>1811</v>
      </c>
      <c r="M199" s="12" t="str">
        <f t="shared" si="29"/>
        <v/>
      </c>
      <c r="N199" s="12">
        <f t="shared" si="30"/>
        <v>1811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6</v>
      </c>
      <c r="C200" s="11" t="s">
        <v>1579</v>
      </c>
      <c r="D200" s="11" t="s">
        <v>48</v>
      </c>
      <c r="E200" s="11" t="s">
        <v>26</v>
      </c>
      <c r="F200" s="11" t="s">
        <v>1580</v>
      </c>
      <c r="G200" s="12">
        <v>1813</v>
      </c>
      <c r="H200" s="12"/>
      <c r="I200" s="12"/>
      <c r="J200" s="12">
        <v>1800</v>
      </c>
      <c r="K200" s="12">
        <f t="shared" si="27"/>
        <v>0</v>
      </c>
      <c r="L200" s="12">
        <f t="shared" si="28"/>
        <v>1813</v>
      </c>
      <c r="M200" s="12" t="str">
        <f t="shared" si="29"/>
        <v/>
      </c>
      <c r="N200" s="12">
        <f t="shared" si="30"/>
        <v>1800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16</v>
      </c>
      <c r="C201" s="11" t="s">
        <v>934</v>
      </c>
      <c r="D201" s="15" t="s">
        <v>80</v>
      </c>
      <c r="E201" s="11" t="s">
        <v>61</v>
      </c>
      <c r="F201" s="11" t="s">
        <v>935</v>
      </c>
      <c r="G201" s="12">
        <v>1855</v>
      </c>
      <c r="H201" s="12"/>
      <c r="I201" s="12"/>
      <c r="J201" s="12">
        <v>1830</v>
      </c>
      <c r="K201" s="12">
        <f t="shared" si="27"/>
        <v>0</v>
      </c>
      <c r="L201" s="12">
        <f t="shared" si="28"/>
        <v>1855</v>
      </c>
      <c r="M201" s="12" t="str">
        <f t="shared" si="29"/>
        <v/>
      </c>
      <c r="N201" s="12">
        <f t="shared" si="30"/>
        <v>1830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18</v>
      </c>
      <c r="C202" s="5" t="s">
        <v>786</v>
      </c>
      <c r="D202" s="15" t="s">
        <v>45</v>
      </c>
      <c r="E202" s="11" t="s">
        <v>61</v>
      </c>
      <c r="F202" s="11" t="s">
        <v>787</v>
      </c>
      <c r="G202" s="12">
        <v>1855</v>
      </c>
      <c r="H202" s="12"/>
      <c r="I202" s="12"/>
      <c r="J202" s="12">
        <v>1835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1835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18</v>
      </c>
      <c r="C203" s="11" t="s">
        <v>1486</v>
      </c>
      <c r="D203" s="15" t="s">
        <v>80</v>
      </c>
      <c r="E203" s="11" t="s">
        <v>61</v>
      </c>
      <c r="F203" s="11" t="s">
        <v>1487</v>
      </c>
      <c r="G203" s="12">
        <v>1855</v>
      </c>
      <c r="H203" s="12"/>
      <c r="I203" s="12"/>
      <c r="J203" s="12">
        <v>1835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1835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10</v>
      </c>
      <c r="C204" s="11" t="s">
        <v>286</v>
      </c>
      <c r="D204" s="11" t="s">
        <v>95</v>
      </c>
      <c r="E204" s="11" t="s">
        <v>26</v>
      </c>
      <c r="F204" s="11" t="s">
        <v>287</v>
      </c>
      <c r="G204" s="12">
        <v>1814</v>
      </c>
      <c r="H204" s="12"/>
      <c r="I204" s="12"/>
      <c r="J204" s="12">
        <v>1788</v>
      </c>
      <c r="K204" s="12">
        <f t="shared" si="27"/>
        <v>0</v>
      </c>
      <c r="L204" s="12">
        <f t="shared" si="28"/>
        <v>1814</v>
      </c>
      <c r="M204" s="12" t="str">
        <f t="shared" si="29"/>
        <v/>
      </c>
      <c r="N204" s="12">
        <f t="shared" si="30"/>
        <v>1788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543</v>
      </c>
      <c r="D205" s="15" t="s">
        <v>80</v>
      </c>
      <c r="E205" s="11" t="s">
        <v>61</v>
      </c>
      <c r="F205" s="11" t="s">
        <v>544</v>
      </c>
      <c r="G205" s="12">
        <v>1815</v>
      </c>
      <c r="H205" s="12"/>
      <c r="I205" s="12"/>
      <c r="J205" s="12">
        <v>1795</v>
      </c>
      <c r="K205" s="12">
        <f t="shared" si="27"/>
        <v>0</v>
      </c>
      <c r="L205" s="12">
        <f t="shared" si="28"/>
        <v>1815</v>
      </c>
      <c r="M205" s="12" t="str">
        <f t="shared" si="29"/>
        <v/>
      </c>
      <c r="N205" s="12">
        <f t="shared" si="30"/>
        <v>1795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14</v>
      </c>
      <c r="C206" s="11" t="s">
        <v>1002</v>
      </c>
      <c r="D206" s="15" t="s">
        <v>45</v>
      </c>
      <c r="E206" s="11" t="s">
        <v>26</v>
      </c>
      <c r="F206" s="11" t="s">
        <v>1003</v>
      </c>
      <c r="G206" s="12">
        <v>1815</v>
      </c>
      <c r="H206" s="12"/>
      <c r="I206" s="12"/>
      <c r="J206" s="12">
        <v>1818</v>
      </c>
      <c r="K206" s="12">
        <f t="shared" si="27"/>
        <v>0</v>
      </c>
      <c r="L206" s="12">
        <f t="shared" si="28"/>
        <v>1815</v>
      </c>
      <c r="M206" s="12" t="str">
        <f t="shared" si="29"/>
        <v/>
      </c>
      <c r="N206" s="12">
        <f t="shared" si="30"/>
        <v>1818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IF($T207="","",1+COUNTIF($W$15:$W$883,"&lt;"&amp;W207))</f>
        <v/>
      </c>
      <c r="B207" s="11" t="s">
        <v>18</v>
      </c>
      <c r="C207" s="11" t="s">
        <v>1081</v>
      </c>
      <c r="D207" s="15" t="s">
        <v>45</v>
      </c>
      <c r="E207" s="11" t="s">
        <v>61</v>
      </c>
      <c r="F207" s="11" t="s">
        <v>1082</v>
      </c>
      <c r="G207" s="12">
        <v>1857</v>
      </c>
      <c r="H207" s="12"/>
      <c r="I207" s="12"/>
      <c r="J207" s="12">
        <v>1837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1857</v>
      </c>
      <c r="M207" s="12" t="str">
        <f t="shared" ref="M207:M270" si="42">IF($H207="","",$H207+$K207)</f>
        <v/>
      </c>
      <c r="N207" s="12">
        <f t="shared" ref="N207:N270" si="43">IF($J207="","",$J207+$K207)</f>
        <v>1837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18</v>
      </c>
      <c r="C208" s="11" t="s">
        <v>1515</v>
      </c>
      <c r="D208" s="15" t="s">
        <v>60</v>
      </c>
      <c r="E208" s="11" t="s">
        <v>61</v>
      </c>
      <c r="F208" s="11" t="s">
        <v>1516</v>
      </c>
      <c r="G208" s="12">
        <v>1857</v>
      </c>
      <c r="H208" s="12"/>
      <c r="I208" s="12"/>
      <c r="J208" s="12">
        <v>1837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1837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18</v>
      </c>
      <c r="C209" s="11" t="s">
        <v>1326</v>
      </c>
      <c r="D209" s="15" t="s">
        <v>80</v>
      </c>
      <c r="E209" s="11" t="s">
        <v>61</v>
      </c>
      <c r="F209" s="11" t="s">
        <v>1327</v>
      </c>
      <c r="G209" s="12">
        <v>1857</v>
      </c>
      <c r="H209" s="12"/>
      <c r="I209" s="12"/>
      <c r="J209" s="12">
        <v>1847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1847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16</v>
      </c>
      <c r="C210" s="11" t="s">
        <v>902</v>
      </c>
      <c r="D210" s="15" t="s">
        <v>60</v>
      </c>
      <c r="E210" s="11" t="s">
        <v>61</v>
      </c>
      <c r="F210" s="11" t="s">
        <v>903</v>
      </c>
      <c r="G210" s="12">
        <v>1859</v>
      </c>
      <c r="H210" s="12"/>
      <c r="I210" s="12"/>
      <c r="J210" s="12">
        <v>1819</v>
      </c>
      <c r="K210" s="12">
        <f t="shared" si="40"/>
        <v>0</v>
      </c>
      <c r="L210" s="12">
        <f t="shared" si="41"/>
        <v>1859</v>
      </c>
      <c r="M210" s="12" t="str">
        <f t="shared" si="42"/>
        <v/>
      </c>
      <c r="N210" s="12">
        <f t="shared" si="43"/>
        <v>1819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1155</v>
      </c>
      <c r="D211" s="11" t="s">
        <v>57</v>
      </c>
      <c r="E211" s="11" t="s">
        <v>61</v>
      </c>
      <c r="F211" s="11" t="s">
        <v>1156</v>
      </c>
      <c r="G211" s="12">
        <v>1859</v>
      </c>
      <c r="H211" s="12"/>
      <c r="I211" s="12"/>
      <c r="J211" s="12">
        <v>1839</v>
      </c>
      <c r="K211" s="12">
        <f t="shared" si="40"/>
        <v>0</v>
      </c>
      <c r="L211" s="12">
        <f t="shared" si="41"/>
        <v>1859</v>
      </c>
      <c r="M211" s="12" t="str">
        <f t="shared" si="42"/>
        <v/>
      </c>
      <c r="N211" s="12">
        <f t="shared" si="43"/>
        <v>1839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7" customFormat="1" ht="28.5" customHeight="1">
      <c r="A212" s="11" t="str">
        <f t="shared" si="39"/>
        <v/>
      </c>
      <c r="B212" s="11" t="s">
        <v>18</v>
      </c>
      <c r="C212" s="11" t="s">
        <v>886</v>
      </c>
      <c r="D212" s="11" t="s">
        <v>57</v>
      </c>
      <c r="E212" s="11" t="s">
        <v>26</v>
      </c>
      <c r="F212" s="11" t="s">
        <v>887</v>
      </c>
      <c r="G212" s="12">
        <v>1859</v>
      </c>
      <c r="H212" s="12"/>
      <c r="I212" s="12"/>
      <c r="J212" s="12">
        <v>1849</v>
      </c>
      <c r="K212" s="12">
        <f t="shared" si="40"/>
        <v>0</v>
      </c>
      <c r="L212" s="12">
        <f t="shared" si="41"/>
        <v>1859</v>
      </c>
      <c r="M212" s="12" t="str">
        <f t="shared" si="42"/>
        <v/>
      </c>
      <c r="N212" s="12">
        <f t="shared" si="43"/>
        <v>1849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7" customFormat="1" ht="28.5" customHeight="1">
      <c r="A213" s="11" t="str">
        <f t="shared" si="39"/>
        <v/>
      </c>
      <c r="B213" s="11" t="s">
        <v>18</v>
      </c>
      <c r="C213" s="11" t="s">
        <v>1519</v>
      </c>
      <c r="D213" s="15" t="s">
        <v>60</v>
      </c>
      <c r="E213" s="11" t="s">
        <v>61</v>
      </c>
      <c r="F213" s="11" t="s">
        <v>1520</v>
      </c>
      <c r="G213" s="12">
        <v>1859</v>
      </c>
      <c r="H213" s="12"/>
      <c r="I213" s="12"/>
      <c r="J213" s="12">
        <v>1849</v>
      </c>
      <c r="K213" s="12">
        <f t="shared" si="40"/>
        <v>0</v>
      </c>
      <c r="L213" s="12">
        <f t="shared" si="41"/>
        <v>1859</v>
      </c>
      <c r="M213" s="12" t="str">
        <f t="shared" si="42"/>
        <v/>
      </c>
      <c r="N213" s="12">
        <f t="shared" si="43"/>
        <v>1849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14</v>
      </c>
      <c r="C214" s="11" t="s">
        <v>370</v>
      </c>
      <c r="D214" s="15" t="s">
        <v>45</v>
      </c>
      <c r="E214" s="11" t="s">
        <v>26</v>
      </c>
      <c r="F214" s="11" t="s">
        <v>371</v>
      </c>
      <c r="G214" s="12">
        <v>1818</v>
      </c>
      <c r="H214" s="12"/>
      <c r="I214" s="12"/>
      <c r="J214" s="12">
        <v>1788</v>
      </c>
      <c r="K214" s="12">
        <f t="shared" si="40"/>
        <v>0</v>
      </c>
      <c r="L214" s="12">
        <f t="shared" si="41"/>
        <v>1818</v>
      </c>
      <c r="M214" s="12" t="str">
        <f t="shared" si="42"/>
        <v/>
      </c>
      <c r="N214" s="12">
        <f t="shared" si="43"/>
        <v>1788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12</v>
      </c>
      <c r="C215" s="11" t="s">
        <v>1268</v>
      </c>
      <c r="D215" s="15" t="s">
        <v>45</v>
      </c>
      <c r="E215" s="11" t="s">
        <v>26</v>
      </c>
      <c r="F215" s="11" t="s">
        <v>1269</v>
      </c>
      <c r="G215" s="12">
        <v>1818</v>
      </c>
      <c r="H215" s="12"/>
      <c r="I215" s="12"/>
      <c r="J215" s="12">
        <v>1788</v>
      </c>
      <c r="K215" s="12">
        <f t="shared" si="40"/>
        <v>0</v>
      </c>
      <c r="L215" s="12">
        <f t="shared" si="41"/>
        <v>1818</v>
      </c>
      <c r="M215" s="12" t="str">
        <f t="shared" si="42"/>
        <v/>
      </c>
      <c r="N215" s="12">
        <f t="shared" si="43"/>
        <v>1788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16</v>
      </c>
      <c r="C216" s="11" t="s">
        <v>978</v>
      </c>
      <c r="D216" s="15" t="s">
        <v>80</v>
      </c>
      <c r="E216" s="11" t="s">
        <v>26</v>
      </c>
      <c r="F216" s="11" t="s">
        <v>979</v>
      </c>
      <c r="G216" s="12">
        <v>1860</v>
      </c>
      <c r="H216" s="12"/>
      <c r="I216" s="12"/>
      <c r="J216" s="12">
        <v>1825</v>
      </c>
      <c r="K216" s="12">
        <f t="shared" si="40"/>
        <v>0</v>
      </c>
      <c r="L216" s="12">
        <f t="shared" si="41"/>
        <v>1860</v>
      </c>
      <c r="M216" s="12" t="str">
        <f t="shared" si="42"/>
        <v/>
      </c>
      <c r="N216" s="12">
        <f t="shared" si="43"/>
        <v>1825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18</v>
      </c>
      <c r="C217" s="11" t="s">
        <v>388</v>
      </c>
      <c r="D217" s="11" t="s">
        <v>57</v>
      </c>
      <c r="E217" s="11" t="s">
        <v>26</v>
      </c>
      <c r="F217" s="11" t="s">
        <v>389</v>
      </c>
      <c r="G217" s="12">
        <v>1860</v>
      </c>
      <c r="H217" s="12"/>
      <c r="I217" s="12"/>
      <c r="J217" s="12">
        <v>1860</v>
      </c>
      <c r="K217" s="12">
        <f t="shared" si="40"/>
        <v>0</v>
      </c>
      <c r="L217" s="12">
        <f t="shared" si="41"/>
        <v>1860</v>
      </c>
      <c r="M217" s="12" t="str">
        <f t="shared" si="42"/>
        <v/>
      </c>
      <c r="N217" s="12">
        <f t="shared" si="43"/>
        <v>1860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362</v>
      </c>
      <c r="D218" s="15" t="s">
        <v>45</v>
      </c>
      <c r="E218" s="11" t="s">
        <v>26</v>
      </c>
      <c r="F218" s="11" t="s">
        <v>363</v>
      </c>
      <c r="G218" s="12">
        <v>1819</v>
      </c>
      <c r="H218" s="12"/>
      <c r="I218" s="12"/>
      <c r="J218" s="12">
        <v>1799</v>
      </c>
      <c r="K218" s="12">
        <f t="shared" si="40"/>
        <v>0</v>
      </c>
      <c r="L218" s="12">
        <f t="shared" si="41"/>
        <v>1819</v>
      </c>
      <c r="M218" s="12" t="str">
        <f t="shared" si="42"/>
        <v/>
      </c>
      <c r="N218" s="12">
        <f t="shared" si="43"/>
        <v>1799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6</v>
      </c>
      <c r="C219" s="11" t="s">
        <v>1316</v>
      </c>
      <c r="D219" s="15" t="s">
        <v>80</v>
      </c>
      <c r="E219" s="11" t="s">
        <v>61</v>
      </c>
      <c r="F219" s="11" t="s">
        <v>1317</v>
      </c>
      <c r="G219" s="12">
        <v>1819</v>
      </c>
      <c r="H219" s="12"/>
      <c r="I219" s="12"/>
      <c r="J219" s="12">
        <v>1809</v>
      </c>
      <c r="K219" s="12">
        <f t="shared" si="40"/>
        <v>0</v>
      </c>
      <c r="L219" s="12">
        <f t="shared" si="41"/>
        <v>1819</v>
      </c>
      <c r="M219" s="12" t="str">
        <f t="shared" si="42"/>
        <v/>
      </c>
      <c r="N219" s="12">
        <f t="shared" si="43"/>
        <v>1809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7" customFormat="1" ht="28.5" customHeight="1">
      <c r="A220" s="11" t="str">
        <f t="shared" si="39"/>
        <v/>
      </c>
      <c r="B220" s="11" t="s">
        <v>12</v>
      </c>
      <c r="C220" s="11" t="s">
        <v>1599</v>
      </c>
      <c r="D220" s="15" t="s">
        <v>57</v>
      </c>
      <c r="E220" s="11" t="s">
        <v>26</v>
      </c>
      <c r="F220" s="11" t="s">
        <v>1600</v>
      </c>
      <c r="G220" s="12">
        <v>1819</v>
      </c>
      <c r="H220" s="12"/>
      <c r="I220" s="12"/>
      <c r="J220" s="12">
        <v>1819</v>
      </c>
      <c r="K220" s="12">
        <f t="shared" si="40"/>
        <v>0</v>
      </c>
      <c r="L220" s="12">
        <f t="shared" si="41"/>
        <v>1819</v>
      </c>
      <c r="M220" s="12" t="str">
        <f t="shared" si="42"/>
        <v/>
      </c>
      <c r="N220" s="12">
        <f t="shared" si="43"/>
        <v>1819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11" t="s">
        <v>1373</v>
      </c>
      <c r="D221" s="11" t="s">
        <v>57</v>
      </c>
      <c r="E221" s="11" t="s">
        <v>26</v>
      </c>
      <c r="F221" s="11" t="s">
        <v>1374</v>
      </c>
      <c r="G221" s="12">
        <v>1862</v>
      </c>
      <c r="H221" s="12"/>
      <c r="I221" s="12"/>
      <c r="J221" s="12">
        <v>1832</v>
      </c>
      <c r="K221" s="12">
        <f t="shared" si="40"/>
        <v>0</v>
      </c>
      <c r="L221" s="12">
        <f t="shared" si="41"/>
        <v>1862</v>
      </c>
      <c r="M221" s="12" t="str">
        <f t="shared" si="42"/>
        <v/>
      </c>
      <c r="N221" s="12">
        <f t="shared" si="43"/>
        <v>1832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18</v>
      </c>
      <c r="C222" s="11" t="s">
        <v>1189</v>
      </c>
      <c r="D222" s="11" t="s">
        <v>57</v>
      </c>
      <c r="E222" s="11" t="s">
        <v>61</v>
      </c>
      <c r="F222" s="11" t="s">
        <v>1190</v>
      </c>
      <c r="G222" s="12">
        <v>1865</v>
      </c>
      <c r="H222" s="12"/>
      <c r="I222" s="12"/>
      <c r="J222" s="12">
        <v>1835</v>
      </c>
      <c r="K222" s="12">
        <f t="shared" si="40"/>
        <v>0</v>
      </c>
      <c r="L222" s="12">
        <f t="shared" si="41"/>
        <v>1865</v>
      </c>
      <c r="M222" s="12" t="str">
        <f t="shared" si="42"/>
        <v/>
      </c>
      <c r="N222" s="12">
        <f t="shared" si="43"/>
        <v>1835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  <v/>
      </c>
      <c r="B223" s="11" t="s">
        <v>16</v>
      </c>
      <c r="C223" s="11" t="s">
        <v>152</v>
      </c>
      <c r="D223" s="11" t="s">
        <v>48</v>
      </c>
      <c r="E223" s="11" t="s">
        <v>26</v>
      </c>
      <c r="F223" s="11" t="s">
        <v>153</v>
      </c>
      <c r="G223" s="12">
        <v>1865</v>
      </c>
      <c r="H223" s="12"/>
      <c r="I223" s="12"/>
      <c r="J223" s="12">
        <v>1835</v>
      </c>
      <c r="K223" s="12">
        <f t="shared" si="40"/>
        <v>0</v>
      </c>
      <c r="L223" s="12">
        <f t="shared" si="41"/>
        <v>1865</v>
      </c>
      <c r="M223" s="12" t="str">
        <f t="shared" si="42"/>
        <v/>
      </c>
      <c r="N223" s="12">
        <f t="shared" si="43"/>
        <v>1835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18</v>
      </c>
      <c r="C224" s="11" t="s">
        <v>434</v>
      </c>
      <c r="D224" s="11" t="s">
        <v>95</v>
      </c>
      <c r="E224" s="11" t="s">
        <v>26</v>
      </c>
      <c r="F224" s="11" t="s">
        <v>435</v>
      </c>
      <c r="G224" s="12">
        <v>1865</v>
      </c>
      <c r="H224" s="12"/>
      <c r="I224" s="12"/>
      <c r="J224" s="12">
        <v>1845</v>
      </c>
      <c r="K224" s="12">
        <f t="shared" si="40"/>
        <v>0</v>
      </c>
      <c r="L224" s="12">
        <f t="shared" si="41"/>
        <v>1865</v>
      </c>
      <c r="M224" s="12" t="str">
        <f t="shared" si="42"/>
        <v/>
      </c>
      <c r="N224" s="12">
        <f t="shared" si="43"/>
        <v>1845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12</v>
      </c>
      <c r="C225" s="11" t="s">
        <v>344</v>
      </c>
      <c r="D225" s="15" t="s">
        <v>45</v>
      </c>
      <c r="E225" s="11" t="s">
        <v>26</v>
      </c>
      <c r="F225" s="11" t="s">
        <v>345</v>
      </c>
      <c r="G225" s="12">
        <v>1825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1825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598</v>
      </c>
      <c r="D226" s="15" t="s">
        <v>57</v>
      </c>
      <c r="E226" s="11" t="s">
        <v>26</v>
      </c>
      <c r="F226" s="11" t="s">
        <v>599</v>
      </c>
      <c r="G226" s="12">
        <v>1825</v>
      </c>
      <c r="H226" s="12"/>
      <c r="I226" s="12"/>
      <c r="J226" s="12">
        <v>1813</v>
      </c>
      <c r="K226" s="12">
        <f t="shared" si="40"/>
        <v>0</v>
      </c>
      <c r="L226" s="12">
        <f t="shared" si="41"/>
        <v>1825</v>
      </c>
      <c r="M226" s="12" t="str">
        <f t="shared" si="42"/>
        <v/>
      </c>
      <c r="N226" s="12">
        <f t="shared" si="43"/>
        <v>1813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6</v>
      </c>
      <c r="C227" s="11" t="s">
        <v>778</v>
      </c>
      <c r="D227" s="11" t="s">
        <v>57</v>
      </c>
      <c r="E227" s="11" t="s">
        <v>26</v>
      </c>
      <c r="F227" s="11" t="s">
        <v>779</v>
      </c>
      <c r="G227" s="12">
        <v>1825</v>
      </c>
      <c r="H227" s="12"/>
      <c r="I227" s="12"/>
      <c r="J227" s="12">
        <v>1819</v>
      </c>
      <c r="K227" s="12">
        <f t="shared" si="40"/>
        <v>0</v>
      </c>
      <c r="L227" s="12">
        <f t="shared" si="41"/>
        <v>1825</v>
      </c>
      <c r="M227" s="12" t="str">
        <f t="shared" si="42"/>
        <v/>
      </c>
      <c r="N227" s="12">
        <f t="shared" si="43"/>
        <v>1819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18</v>
      </c>
      <c r="C228" s="11" t="s">
        <v>982</v>
      </c>
      <c r="D228" s="15" t="s">
        <v>80</v>
      </c>
      <c r="E228" s="11" t="s">
        <v>61</v>
      </c>
      <c r="F228" s="11" t="s">
        <v>983</v>
      </c>
      <c r="G228" s="12">
        <v>1867</v>
      </c>
      <c r="H228" s="12"/>
      <c r="I228" s="12"/>
      <c r="J228" s="12">
        <v>1827</v>
      </c>
      <c r="K228" s="12">
        <f t="shared" si="40"/>
        <v>0</v>
      </c>
      <c r="L228" s="12">
        <f t="shared" si="41"/>
        <v>1867</v>
      </c>
      <c r="M228" s="12" t="str">
        <f t="shared" si="42"/>
        <v/>
      </c>
      <c r="N228" s="12">
        <f t="shared" si="43"/>
        <v>1827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16</v>
      </c>
      <c r="C229" s="11" t="s">
        <v>803</v>
      </c>
      <c r="D229" s="15" t="s">
        <v>80</v>
      </c>
      <c r="E229" s="11" t="s">
        <v>61</v>
      </c>
      <c r="F229" s="11" t="s">
        <v>804</v>
      </c>
      <c r="G229" s="12">
        <v>1867</v>
      </c>
      <c r="H229" s="12"/>
      <c r="I229" s="12"/>
      <c r="J229" s="12">
        <v>1857</v>
      </c>
      <c r="K229" s="12">
        <f t="shared" si="40"/>
        <v>0</v>
      </c>
      <c r="L229" s="12">
        <f t="shared" si="41"/>
        <v>1867</v>
      </c>
      <c r="M229" s="12" t="str">
        <f t="shared" si="42"/>
        <v/>
      </c>
      <c r="N229" s="12">
        <f t="shared" si="43"/>
        <v>1857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12</v>
      </c>
      <c r="C230" s="11" t="s">
        <v>1171</v>
      </c>
      <c r="D230" s="15" t="s">
        <v>45</v>
      </c>
      <c r="E230" s="11" t="s">
        <v>26</v>
      </c>
      <c r="F230" s="11" t="s">
        <v>1172</v>
      </c>
      <c r="G230" s="12">
        <v>1827</v>
      </c>
      <c r="H230" s="12"/>
      <c r="I230" s="12"/>
      <c r="J230" s="12">
        <v>1797</v>
      </c>
      <c r="K230" s="12">
        <f t="shared" si="40"/>
        <v>0</v>
      </c>
      <c r="L230" s="12">
        <f t="shared" si="41"/>
        <v>1827</v>
      </c>
      <c r="M230" s="12" t="str">
        <f t="shared" si="42"/>
        <v/>
      </c>
      <c r="N230" s="12">
        <f t="shared" si="43"/>
        <v>1797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16" customFormat="1" ht="28.5" customHeight="1">
      <c r="A231" s="11" t="str">
        <f t="shared" si="39"/>
        <v/>
      </c>
      <c r="B231" s="11" t="s">
        <v>16</v>
      </c>
      <c r="C231" s="11" t="s">
        <v>1658</v>
      </c>
      <c r="D231" s="15" t="s">
        <v>80</v>
      </c>
      <c r="E231" s="11" t="s">
        <v>61</v>
      </c>
      <c r="F231" s="11" t="s">
        <v>1659</v>
      </c>
      <c r="G231" s="12">
        <v>1869</v>
      </c>
      <c r="H231" s="12"/>
      <c r="I231" s="12"/>
      <c r="J231" s="12">
        <v>1849</v>
      </c>
      <c r="K231" s="12">
        <f t="shared" si="40"/>
        <v>0</v>
      </c>
      <c r="L231" s="12">
        <f t="shared" si="41"/>
        <v>1869</v>
      </c>
      <c r="M231" s="12" t="str">
        <f t="shared" si="42"/>
        <v/>
      </c>
      <c r="N231" s="12">
        <f t="shared" si="43"/>
        <v>1849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702</v>
      </c>
      <c r="D232" s="11" t="s">
        <v>48</v>
      </c>
      <c r="E232" s="11" t="s">
        <v>61</v>
      </c>
      <c r="F232" s="11" t="s">
        <v>703</v>
      </c>
      <c r="G232" s="12">
        <v>1828</v>
      </c>
      <c r="H232" s="12"/>
      <c r="I232" s="12"/>
      <c r="J232" s="12">
        <v>1799</v>
      </c>
      <c r="K232" s="12">
        <f t="shared" si="40"/>
        <v>0</v>
      </c>
      <c r="L232" s="12">
        <f t="shared" si="41"/>
        <v>1828</v>
      </c>
      <c r="M232" s="12" t="str">
        <f t="shared" si="42"/>
        <v/>
      </c>
      <c r="N232" s="12">
        <f t="shared" si="43"/>
        <v>1799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7" customFormat="1" ht="28.5" customHeight="1">
      <c r="A233" s="11" t="str">
        <f t="shared" si="39"/>
        <v/>
      </c>
      <c r="B233" s="11" t="s">
        <v>12</v>
      </c>
      <c r="C233" s="11" t="s">
        <v>872</v>
      </c>
      <c r="D233" s="15" t="s">
        <v>57</v>
      </c>
      <c r="E233" s="11" t="s">
        <v>26</v>
      </c>
      <c r="F233" s="11" t="s">
        <v>873</v>
      </c>
      <c r="G233" s="12">
        <v>1828</v>
      </c>
      <c r="H233" s="12"/>
      <c r="I233" s="12"/>
      <c r="J233" s="12">
        <v>1848</v>
      </c>
      <c r="K233" s="12">
        <f t="shared" si="40"/>
        <v>0</v>
      </c>
      <c r="L233" s="12">
        <f t="shared" si="41"/>
        <v>1828</v>
      </c>
      <c r="M233" s="12" t="str">
        <f t="shared" si="42"/>
        <v/>
      </c>
      <c r="N233" s="12">
        <f t="shared" si="43"/>
        <v>1848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608</v>
      </c>
      <c r="D234" s="15" t="s">
        <v>80</v>
      </c>
      <c r="E234" s="11" t="s">
        <v>61</v>
      </c>
      <c r="F234" s="11" t="s">
        <v>609</v>
      </c>
      <c r="G234" s="12">
        <v>1870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1870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904</v>
      </c>
      <c r="D235" s="15" t="s">
        <v>45</v>
      </c>
      <c r="E235" s="11" t="s">
        <v>26</v>
      </c>
      <c r="F235" s="11" t="s">
        <v>905</v>
      </c>
      <c r="G235" s="12">
        <v>1870</v>
      </c>
      <c r="H235" s="12"/>
      <c r="I235" s="12"/>
      <c r="J235" s="12">
        <v>1850</v>
      </c>
      <c r="K235" s="12">
        <f t="shared" si="40"/>
        <v>0</v>
      </c>
      <c r="L235" s="12">
        <f t="shared" si="41"/>
        <v>1870</v>
      </c>
      <c r="M235" s="12" t="str">
        <f t="shared" si="42"/>
        <v/>
      </c>
      <c r="N235" s="12">
        <f t="shared" si="43"/>
        <v>1850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18</v>
      </c>
      <c r="C236" s="11" t="s">
        <v>924</v>
      </c>
      <c r="D236" s="15" t="s">
        <v>80</v>
      </c>
      <c r="E236" s="11" t="s">
        <v>61</v>
      </c>
      <c r="F236" s="11" t="s">
        <v>925</v>
      </c>
      <c r="G236" s="12">
        <v>1870</v>
      </c>
      <c r="H236" s="12"/>
      <c r="I236" s="12"/>
      <c r="J236" s="12">
        <v>1870</v>
      </c>
      <c r="K236" s="12">
        <f t="shared" si="40"/>
        <v>0</v>
      </c>
      <c r="L236" s="12">
        <f t="shared" si="41"/>
        <v>1870</v>
      </c>
      <c r="M236" s="12" t="str">
        <f t="shared" si="42"/>
        <v/>
      </c>
      <c r="N236" s="12">
        <f t="shared" si="43"/>
        <v>1870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18</v>
      </c>
      <c r="C237" s="11" t="s">
        <v>1312</v>
      </c>
      <c r="D237" s="11" t="s">
        <v>57</v>
      </c>
      <c r="E237" s="11" t="s">
        <v>61</v>
      </c>
      <c r="F237" s="11" t="s">
        <v>1313</v>
      </c>
      <c r="G237" s="12">
        <v>1870</v>
      </c>
      <c r="H237" s="12"/>
      <c r="I237" s="12"/>
      <c r="J237" s="12">
        <v>1870</v>
      </c>
      <c r="K237" s="12">
        <f t="shared" si="40"/>
        <v>0</v>
      </c>
      <c r="L237" s="12">
        <f t="shared" si="41"/>
        <v>1870</v>
      </c>
      <c r="M237" s="12" t="str">
        <f t="shared" si="42"/>
        <v/>
      </c>
      <c r="N237" s="12">
        <f t="shared" si="43"/>
        <v>1870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12</v>
      </c>
      <c r="C238" s="11" t="s">
        <v>719</v>
      </c>
      <c r="D238" s="15" t="s">
        <v>45</v>
      </c>
      <c r="E238" s="11" t="s">
        <v>26</v>
      </c>
      <c r="F238" s="11" t="s">
        <v>720</v>
      </c>
      <c r="G238" s="12">
        <v>1829</v>
      </c>
      <c r="H238" s="12"/>
      <c r="I238" s="12"/>
      <c r="J238" s="12">
        <v>1789</v>
      </c>
      <c r="K238" s="12">
        <f t="shared" si="40"/>
        <v>0</v>
      </c>
      <c r="L238" s="12">
        <f t="shared" si="41"/>
        <v>1829</v>
      </c>
      <c r="M238" s="12" t="str">
        <f t="shared" si="42"/>
        <v/>
      </c>
      <c r="N238" s="12">
        <f t="shared" si="43"/>
        <v>1789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1687</v>
      </c>
      <c r="D239" s="15" t="s">
        <v>45</v>
      </c>
      <c r="E239" s="11" t="s">
        <v>26</v>
      </c>
      <c r="F239" s="11" t="s">
        <v>1688</v>
      </c>
      <c r="G239" s="12">
        <v>1829</v>
      </c>
      <c r="H239" s="12"/>
      <c r="I239" s="12"/>
      <c r="J239" s="12">
        <v>1799</v>
      </c>
      <c r="K239" s="12">
        <f t="shared" si="40"/>
        <v>0</v>
      </c>
      <c r="L239" s="12">
        <f t="shared" si="41"/>
        <v>1829</v>
      </c>
      <c r="M239" s="12" t="str">
        <f t="shared" si="42"/>
        <v/>
      </c>
      <c r="N239" s="12">
        <f t="shared" si="43"/>
        <v>1799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300</v>
      </c>
      <c r="D240" s="15" t="s">
        <v>80</v>
      </c>
      <c r="E240" s="11" t="s">
        <v>26</v>
      </c>
      <c r="F240" s="11" t="s">
        <v>301</v>
      </c>
      <c r="G240" s="12">
        <v>1829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1829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421</v>
      </c>
      <c r="D241" s="15" t="s">
        <v>45</v>
      </c>
      <c r="E241" s="11" t="s">
        <v>61</v>
      </c>
      <c r="F241" s="11" t="s">
        <v>422</v>
      </c>
      <c r="G241" s="12">
        <v>1829</v>
      </c>
      <c r="H241" s="12"/>
      <c r="I241" s="12"/>
      <c r="J241" s="12">
        <v>1819</v>
      </c>
      <c r="K241" s="12">
        <f t="shared" si="40"/>
        <v>0</v>
      </c>
      <c r="L241" s="12">
        <f t="shared" si="41"/>
        <v>1829</v>
      </c>
      <c r="M241" s="12" t="str">
        <f t="shared" si="42"/>
        <v/>
      </c>
      <c r="N241" s="12">
        <f t="shared" si="43"/>
        <v>1819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12</v>
      </c>
      <c r="C242" s="11" t="s">
        <v>896</v>
      </c>
      <c r="D242" s="15" t="s">
        <v>57</v>
      </c>
      <c r="E242" s="11" t="s">
        <v>26</v>
      </c>
      <c r="F242" s="11" t="s">
        <v>897</v>
      </c>
      <c r="G242" s="12">
        <v>1829</v>
      </c>
      <c r="H242" s="12"/>
      <c r="I242" s="12"/>
      <c r="J242" s="12">
        <v>1819</v>
      </c>
      <c r="K242" s="12">
        <f t="shared" si="40"/>
        <v>0</v>
      </c>
      <c r="L242" s="12">
        <f t="shared" si="41"/>
        <v>1829</v>
      </c>
      <c r="M242" s="12" t="str">
        <f t="shared" si="42"/>
        <v/>
      </c>
      <c r="N242" s="12">
        <f t="shared" si="43"/>
        <v>1819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16" customFormat="1" ht="28.5" customHeight="1">
      <c r="A243" s="11" t="str">
        <f t="shared" si="39"/>
        <v/>
      </c>
      <c r="B243" s="11" t="s">
        <v>10</v>
      </c>
      <c r="C243" s="11" t="s">
        <v>932</v>
      </c>
      <c r="D243" s="15" t="s">
        <v>45</v>
      </c>
      <c r="E243" s="11" t="s">
        <v>61</v>
      </c>
      <c r="F243" s="11" t="s">
        <v>933</v>
      </c>
      <c r="G243" s="12">
        <v>1829</v>
      </c>
      <c r="H243" s="12"/>
      <c r="I243" s="12"/>
      <c r="J243" s="12">
        <v>1819</v>
      </c>
      <c r="K243" s="12">
        <f t="shared" si="40"/>
        <v>0</v>
      </c>
      <c r="L243" s="12">
        <f t="shared" si="41"/>
        <v>1829</v>
      </c>
      <c r="M243" s="12" t="str">
        <f t="shared" si="42"/>
        <v/>
      </c>
      <c r="N243" s="12">
        <f t="shared" si="43"/>
        <v>1819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7" customFormat="1" ht="28.5" customHeight="1">
      <c r="A244" s="11" t="str">
        <f t="shared" si="39"/>
        <v/>
      </c>
      <c r="B244" s="11" t="s">
        <v>10</v>
      </c>
      <c r="C244" s="11" t="s">
        <v>1163</v>
      </c>
      <c r="D244" s="15" t="s">
        <v>80</v>
      </c>
      <c r="E244" s="11" t="s">
        <v>26</v>
      </c>
      <c r="F244" s="11" t="s">
        <v>1164</v>
      </c>
      <c r="G244" s="12">
        <v>1829</v>
      </c>
      <c r="H244" s="12"/>
      <c r="I244" s="12"/>
      <c r="J244" s="12">
        <v>1819</v>
      </c>
      <c r="K244" s="12">
        <f t="shared" si="40"/>
        <v>0</v>
      </c>
      <c r="L244" s="12">
        <f t="shared" si="41"/>
        <v>1829</v>
      </c>
      <c r="M244" s="12" t="str">
        <f t="shared" si="42"/>
        <v/>
      </c>
      <c r="N244" s="12">
        <f t="shared" si="43"/>
        <v>1819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18</v>
      </c>
      <c r="C245" s="11" t="s">
        <v>639</v>
      </c>
      <c r="D245" s="15" t="s">
        <v>45</v>
      </c>
      <c r="E245" s="11" t="s">
        <v>26</v>
      </c>
      <c r="F245" s="11" t="s">
        <v>640</v>
      </c>
      <c r="G245" s="12">
        <v>1872</v>
      </c>
      <c r="H245" s="12"/>
      <c r="I245" s="12"/>
      <c r="J245" s="12">
        <v>1862</v>
      </c>
      <c r="K245" s="12">
        <f t="shared" si="40"/>
        <v>0</v>
      </c>
      <c r="L245" s="12">
        <f t="shared" si="41"/>
        <v>1872</v>
      </c>
      <c r="M245" s="12" t="str">
        <f t="shared" si="42"/>
        <v/>
      </c>
      <c r="N245" s="12">
        <f t="shared" si="43"/>
        <v>1862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10</v>
      </c>
      <c r="C246" s="11" t="s">
        <v>561</v>
      </c>
      <c r="D246" s="15" t="s">
        <v>80</v>
      </c>
      <c r="E246" s="11" t="s">
        <v>26</v>
      </c>
      <c r="F246" s="11" t="s">
        <v>562</v>
      </c>
      <c r="G246" s="12">
        <v>1833</v>
      </c>
      <c r="H246" s="12"/>
      <c r="I246" s="12"/>
      <c r="J246" s="12">
        <v>1821</v>
      </c>
      <c r="K246" s="12">
        <f t="shared" si="40"/>
        <v>0</v>
      </c>
      <c r="L246" s="12">
        <f t="shared" si="41"/>
        <v>1833</v>
      </c>
      <c r="M246" s="12" t="str">
        <f t="shared" si="42"/>
        <v/>
      </c>
      <c r="N246" s="12">
        <f t="shared" si="43"/>
        <v>1821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18</v>
      </c>
      <c r="C247" s="11" t="s">
        <v>1038</v>
      </c>
      <c r="D247" s="15" t="s">
        <v>80</v>
      </c>
      <c r="E247" s="11" t="s">
        <v>61</v>
      </c>
      <c r="F247" s="11" t="s">
        <v>1039</v>
      </c>
      <c r="G247" s="12">
        <v>1875</v>
      </c>
      <c r="H247" s="12"/>
      <c r="I247" s="12"/>
      <c r="J247" s="12">
        <v>1855</v>
      </c>
      <c r="K247" s="12">
        <f t="shared" si="40"/>
        <v>0</v>
      </c>
      <c r="L247" s="12">
        <f t="shared" si="41"/>
        <v>1875</v>
      </c>
      <c r="M247" s="12" t="str">
        <f t="shared" si="42"/>
        <v/>
      </c>
      <c r="N247" s="12">
        <f t="shared" si="43"/>
        <v>1855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515</v>
      </c>
      <c r="D248" s="15" t="s">
        <v>60</v>
      </c>
      <c r="E248" s="11" t="s">
        <v>26</v>
      </c>
      <c r="F248" s="11" t="s">
        <v>516</v>
      </c>
      <c r="G248" s="12">
        <v>1835</v>
      </c>
      <c r="H248" s="12"/>
      <c r="I248" s="12"/>
      <c r="J248" s="12">
        <v>1808</v>
      </c>
      <c r="K248" s="12">
        <f t="shared" si="40"/>
        <v>0</v>
      </c>
      <c r="L248" s="12">
        <f t="shared" si="41"/>
        <v>1835</v>
      </c>
      <c r="M248" s="12" t="str">
        <f t="shared" si="42"/>
        <v/>
      </c>
      <c r="N248" s="12">
        <f t="shared" si="43"/>
        <v>1808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6</v>
      </c>
      <c r="C249" s="11" t="s">
        <v>382</v>
      </c>
      <c r="D249" s="11" t="s">
        <v>57</v>
      </c>
      <c r="E249" s="11" t="s">
        <v>26</v>
      </c>
      <c r="F249" s="11" t="s">
        <v>383</v>
      </c>
      <c r="G249" s="12">
        <v>1835</v>
      </c>
      <c r="H249" s="12"/>
      <c r="I249" s="12"/>
      <c r="J249" s="12">
        <v>1815</v>
      </c>
      <c r="K249" s="12">
        <f t="shared" si="40"/>
        <v>0</v>
      </c>
      <c r="L249" s="12">
        <f t="shared" si="41"/>
        <v>1835</v>
      </c>
      <c r="M249" s="12" t="str">
        <f t="shared" si="42"/>
        <v/>
      </c>
      <c r="N249" s="12">
        <f t="shared" si="43"/>
        <v>1815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428</v>
      </c>
      <c r="D250" s="15" t="s">
        <v>80</v>
      </c>
      <c r="E250" s="11" t="s">
        <v>26</v>
      </c>
      <c r="F250" s="11" t="s">
        <v>429</v>
      </c>
      <c r="G250" s="12">
        <v>1835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1835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18</v>
      </c>
      <c r="C251" s="11" t="s">
        <v>1284</v>
      </c>
      <c r="D251" s="15" t="s">
        <v>80</v>
      </c>
      <c r="E251" s="11" t="s">
        <v>26</v>
      </c>
      <c r="F251" s="11" t="s">
        <v>1285</v>
      </c>
      <c r="G251" s="12">
        <v>1877</v>
      </c>
      <c r="H251" s="12"/>
      <c r="I251" s="12"/>
      <c r="J251" s="12">
        <v>1847</v>
      </c>
      <c r="K251" s="12">
        <f t="shared" si="40"/>
        <v>0</v>
      </c>
      <c r="L251" s="12">
        <f t="shared" si="41"/>
        <v>1877</v>
      </c>
      <c r="M251" s="12" t="str">
        <f t="shared" si="42"/>
        <v/>
      </c>
      <c r="N251" s="12">
        <f t="shared" si="43"/>
        <v>1847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678</v>
      </c>
      <c r="D252" s="15" t="s">
        <v>45</v>
      </c>
      <c r="E252" s="11" t="s">
        <v>61</v>
      </c>
      <c r="F252" s="11" t="s">
        <v>679</v>
      </c>
      <c r="G252" s="12">
        <v>1878</v>
      </c>
      <c r="H252" s="12"/>
      <c r="I252" s="12"/>
      <c r="J252" s="12">
        <v>1858</v>
      </c>
      <c r="K252" s="12">
        <f t="shared" si="40"/>
        <v>0</v>
      </c>
      <c r="L252" s="12">
        <f t="shared" si="41"/>
        <v>1878</v>
      </c>
      <c r="M252" s="12" t="str">
        <f t="shared" si="42"/>
        <v/>
      </c>
      <c r="N252" s="12">
        <f t="shared" si="43"/>
        <v>1858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18</v>
      </c>
      <c r="C253" s="11" t="s">
        <v>1110</v>
      </c>
      <c r="D253" s="15" t="s">
        <v>80</v>
      </c>
      <c r="E253" s="11" t="s">
        <v>61</v>
      </c>
      <c r="F253" s="11" t="s">
        <v>1111</v>
      </c>
      <c r="G253" s="12">
        <v>1878</v>
      </c>
      <c r="H253" s="12"/>
      <c r="I253" s="12"/>
      <c r="J253" s="12">
        <v>1868</v>
      </c>
      <c r="K253" s="12">
        <f t="shared" si="40"/>
        <v>0</v>
      </c>
      <c r="L253" s="12">
        <f t="shared" si="41"/>
        <v>1878</v>
      </c>
      <c r="M253" s="12" t="str">
        <f t="shared" si="42"/>
        <v/>
      </c>
      <c r="N253" s="12">
        <f t="shared" si="43"/>
        <v>1868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6</v>
      </c>
      <c r="C254" s="11" t="s">
        <v>686</v>
      </c>
      <c r="D254" s="15" t="s">
        <v>80</v>
      </c>
      <c r="E254" s="11" t="s">
        <v>26</v>
      </c>
      <c r="F254" s="11" t="s">
        <v>687</v>
      </c>
      <c r="G254" s="12">
        <v>1837</v>
      </c>
      <c r="H254" s="12"/>
      <c r="I254" s="12"/>
      <c r="J254" s="12">
        <v>1808</v>
      </c>
      <c r="K254" s="12">
        <f t="shared" si="40"/>
        <v>0</v>
      </c>
      <c r="L254" s="12">
        <f t="shared" si="41"/>
        <v>1837</v>
      </c>
      <c r="M254" s="12" t="str">
        <f t="shared" si="42"/>
        <v/>
      </c>
      <c r="N254" s="12">
        <f t="shared" si="43"/>
        <v>1808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6</v>
      </c>
      <c r="C255" s="11" t="s">
        <v>782</v>
      </c>
      <c r="D255" s="15" t="s">
        <v>45</v>
      </c>
      <c r="E255" s="11" t="s">
        <v>61</v>
      </c>
      <c r="F255" s="11" t="s">
        <v>783</v>
      </c>
      <c r="G255" s="12">
        <v>1837</v>
      </c>
      <c r="H255" s="12"/>
      <c r="I255" s="12"/>
      <c r="J255" s="12">
        <v>1817</v>
      </c>
      <c r="K255" s="12">
        <f t="shared" si="40"/>
        <v>0</v>
      </c>
      <c r="L255" s="12">
        <f t="shared" si="41"/>
        <v>1837</v>
      </c>
      <c r="M255" s="12" t="str">
        <f t="shared" si="42"/>
        <v/>
      </c>
      <c r="N255" s="12">
        <f t="shared" si="43"/>
        <v>1817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6</v>
      </c>
      <c r="C256" s="11" t="s">
        <v>734</v>
      </c>
      <c r="D256" s="15" t="s">
        <v>80</v>
      </c>
      <c r="E256" s="11" t="s">
        <v>26</v>
      </c>
      <c r="F256" s="11" t="s">
        <v>735</v>
      </c>
      <c r="G256" s="12">
        <v>1837</v>
      </c>
      <c r="H256" s="12"/>
      <c r="I256" s="12"/>
      <c r="J256" s="12">
        <v>1819</v>
      </c>
      <c r="K256" s="12">
        <f t="shared" si="40"/>
        <v>0</v>
      </c>
      <c r="L256" s="12">
        <f t="shared" si="41"/>
        <v>1837</v>
      </c>
      <c r="M256" s="12" t="str">
        <f t="shared" si="42"/>
        <v/>
      </c>
      <c r="N256" s="12">
        <f t="shared" si="43"/>
        <v>1819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10</v>
      </c>
      <c r="C257" s="11" t="s">
        <v>559</v>
      </c>
      <c r="D257" s="15" t="s">
        <v>45</v>
      </c>
      <c r="E257" s="11" t="s">
        <v>26</v>
      </c>
      <c r="F257" s="11" t="s">
        <v>560</v>
      </c>
      <c r="G257" s="12">
        <v>1838</v>
      </c>
      <c r="H257" s="12"/>
      <c r="I257" s="12"/>
      <c r="J257" s="12">
        <v>1828</v>
      </c>
      <c r="K257" s="12">
        <f t="shared" si="40"/>
        <v>0</v>
      </c>
      <c r="L257" s="12">
        <f t="shared" si="41"/>
        <v>1838</v>
      </c>
      <c r="M257" s="12" t="str">
        <f t="shared" si="42"/>
        <v/>
      </c>
      <c r="N257" s="12">
        <f t="shared" si="43"/>
        <v>1828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970</v>
      </c>
      <c r="D258" s="15" t="s">
        <v>60</v>
      </c>
      <c r="E258" s="11" t="s">
        <v>26</v>
      </c>
      <c r="F258" s="11" t="s">
        <v>971</v>
      </c>
      <c r="G258" s="12">
        <v>1838</v>
      </c>
      <c r="H258" s="12"/>
      <c r="I258" s="12"/>
      <c r="J258" s="12">
        <v>1828</v>
      </c>
      <c r="K258" s="12">
        <f t="shared" si="40"/>
        <v>0</v>
      </c>
      <c r="L258" s="12">
        <f t="shared" si="41"/>
        <v>1838</v>
      </c>
      <c r="M258" s="12" t="str">
        <f t="shared" si="42"/>
        <v/>
      </c>
      <c r="N258" s="12">
        <f t="shared" si="43"/>
        <v>1828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1583</v>
      </c>
      <c r="D259" s="11" t="s">
        <v>95</v>
      </c>
      <c r="E259" s="11" t="s">
        <v>26</v>
      </c>
      <c r="F259" s="11" t="s">
        <v>1584</v>
      </c>
      <c r="G259" s="12">
        <v>1838</v>
      </c>
      <c r="H259" s="12"/>
      <c r="I259" s="12"/>
      <c r="J259" s="12">
        <v>1828</v>
      </c>
      <c r="K259" s="12">
        <f t="shared" si="40"/>
        <v>0</v>
      </c>
      <c r="L259" s="12">
        <f t="shared" si="41"/>
        <v>1838</v>
      </c>
      <c r="M259" s="12" t="str">
        <f t="shared" si="42"/>
        <v/>
      </c>
      <c r="N259" s="12">
        <f t="shared" si="43"/>
        <v>1828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18</v>
      </c>
      <c r="C260" s="11" t="s">
        <v>1529</v>
      </c>
      <c r="D260" s="15" t="s">
        <v>60</v>
      </c>
      <c r="E260" s="11" t="s">
        <v>61</v>
      </c>
      <c r="F260" s="11" t="s">
        <v>1530</v>
      </c>
      <c r="G260" s="12">
        <v>1880</v>
      </c>
      <c r="H260" s="12"/>
      <c r="I260" s="12"/>
      <c r="J260" s="12">
        <v>1860</v>
      </c>
      <c r="K260" s="12">
        <f t="shared" si="40"/>
        <v>0</v>
      </c>
      <c r="L260" s="12">
        <f t="shared" si="41"/>
        <v>1880</v>
      </c>
      <c r="M260" s="12" t="str">
        <f t="shared" si="42"/>
        <v/>
      </c>
      <c r="N260" s="12">
        <f t="shared" si="43"/>
        <v>1860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16</v>
      </c>
      <c r="C261" s="11" t="s">
        <v>1729</v>
      </c>
      <c r="D261" s="15" t="s">
        <v>80</v>
      </c>
      <c r="E261" s="11" t="s">
        <v>61</v>
      </c>
      <c r="F261" s="11" t="s">
        <v>1730</v>
      </c>
      <c r="G261" s="12">
        <v>1880</v>
      </c>
      <c r="H261" s="12"/>
      <c r="I261" s="12"/>
      <c r="J261" s="12">
        <v>1860</v>
      </c>
      <c r="K261" s="12">
        <f t="shared" si="40"/>
        <v>0</v>
      </c>
      <c r="L261" s="12">
        <f t="shared" si="41"/>
        <v>1880</v>
      </c>
      <c r="M261" s="12" t="str">
        <f t="shared" si="42"/>
        <v/>
      </c>
      <c r="N261" s="12">
        <f t="shared" si="43"/>
        <v>1860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16</v>
      </c>
      <c r="C262" s="11" t="s">
        <v>745</v>
      </c>
      <c r="D262" s="15" t="s">
        <v>60</v>
      </c>
      <c r="E262" s="11" t="s">
        <v>61</v>
      </c>
      <c r="F262" s="11" t="s">
        <v>746</v>
      </c>
      <c r="G262" s="12">
        <v>1880</v>
      </c>
      <c r="H262" s="12"/>
      <c r="I262" s="12"/>
      <c r="J262" s="12">
        <v>1880</v>
      </c>
      <c r="K262" s="12">
        <f t="shared" si="40"/>
        <v>0</v>
      </c>
      <c r="L262" s="12">
        <f t="shared" si="41"/>
        <v>1880</v>
      </c>
      <c r="M262" s="12" t="str">
        <f t="shared" si="42"/>
        <v/>
      </c>
      <c r="N262" s="12">
        <f t="shared" si="43"/>
        <v>1880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14</v>
      </c>
      <c r="C263" s="11" t="s">
        <v>1069</v>
      </c>
      <c r="D263" s="11" t="s">
        <v>57</v>
      </c>
      <c r="E263" s="11" t="s">
        <v>26</v>
      </c>
      <c r="F263" s="11" t="s">
        <v>1070</v>
      </c>
      <c r="G263" s="12">
        <v>1839</v>
      </c>
      <c r="H263" s="12"/>
      <c r="I263" s="12"/>
      <c r="J263" s="12">
        <v>1809</v>
      </c>
      <c r="K263" s="12">
        <f t="shared" si="40"/>
        <v>0</v>
      </c>
      <c r="L263" s="12">
        <f t="shared" si="41"/>
        <v>1839</v>
      </c>
      <c r="M263" s="12" t="str">
        <f t="shared" si="42"/>
        <v/>
      </c>
      <c r="N263" s="12">
        <f t="shared" si="43"/>
        <v>1809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16" customFormat="1" ht="28.5" customHeight="1">
      <c r="A264" s="11" t="str">
        <f t="shared" si="39"/>
        <v/>
      </c>
      <c r="B264" s="11" t="s">
        <v>10</v>
      </c>
      <c r="C264" s="11" t="s">
        <v>1589</v>
      </c>
      <c r="D264" s="11" t="s">
        <v>57</v>
      </c>
      <c r="E264" s="11" t="s">
        <v>26</v>
      </c>
      <c r="F264" s="11" t="s">
        <v>1590</v>
      </c>
      <c r="G264" s="12">
        <v>1839</v>
      </c>
      <c r="H264" s="12"/>
      <c r="I264" s="12"/>
      <c r="J264" s="12">
        <v>1809</v>
      </c>
      <c r="K264" s="12">
        <f t="shared" si="40"/>
        <v>0</v>
      </c>
      <c r="L264" s="12">
        <f t="shared" si="41"/>
        <v>1839</v>
      </c>
      <c r="M264" s="12" t="str">
        <f t="shared" si="42"/>
        <v/>
      </c>
      <c r="N264" s="12">
        <f t="shared" si="43"/>
        <v>1809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8</v>
      </c>
      <c r="C265" s="11" t="s">
        <v>966</v>
      </c>
      <c r="D265" s="15" t="s">
        <v>45</v>
      </c>
      <c r="E265" s="11" t="s">
        <v>26</v>
      </c>
      <c r="F265" s="11" t="s">
        <v>967</v>
      </c>
      <c r="G265" s="12">
        <v>1839</v>
      </c>
      <c r="H265" s="12"/>
      <c r="I265" s="12"/>
      <c r="J265" s="12">
        <v>1829</v>
      </c>
      <c r="K265" s="12">
        <f t="shared" si="40"/>
        <v>0</v>
      </c>
      <c r="L265" s="12">
        <f t="shared" si="41"/>
        <v>1839</v>
      </c>
      <c r="M265" s="12" t="str">
        <f t="shared" si="42"/>
        <v/>
      </c>
      <c r="N265" s="12">
        <f t="shared" si="43"/>
        <v>1829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12</v>
      </c>
      <c r="C266" s="11" t="s">
        <v>592</v>
      </c>
      <c r="D266" s="15" t="s">
        <v>80</v>
      </c>
      <c r="E266" s="11" t="s">
        <v>26</v>
      </c>
      <c r="F266" s="11" t="s">
        <v>593</v>
      </c>
      <c r="G266" s="12">
        <v>1839</v>
      </c>
      <c r="H266" s="12"/>
      <c r="I266" s="12"/>
      <c r="J266" s="12">
        <v>1829</v>
      </c>
      <c r="K266" s="12">
        <f t="shared" si="40"/>
        <v>0</v>
      </c>
      <c r="L266" s="12">
        <f t="shared" si="41"/>
        <v>1839</v>
      </c>
      <c r="M266" s="12" t="str">
        <f t="shared" si="42"/>
        <v/>
      </c>
      <c r="N266" s="12">
        <f t="shared" si="43"/>
        <v>1829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10</v>
      </c>
      <c r="C267" s="11" t="s">
        <v>1705</v>
      </c>
      <c r="D267" s="15" t="s">
        <v>80</v>
      </c>
      <c r="E267" s="11" t="s">
        <v>61</v>
      </c>
      <c r="F267" s="11" t="s">
        <v>1706</v>
      </c>
      <c r="G267" s="12">
        <v>1839</v>
      </c>
      <c r="H267" s="12"/>
      <c r="I267" s="12"/>
      <c r="J267" s="12">
        <v>1829</v>
      </c>
      <c r="K267" s="12">
        <f t="shared" si="40"/>
        <v>0</v>
      </c>
      <c r="L267" s="12">
        <f t="shared" si="41"/>
        <v>1839</v>
      </c>
      <c r="M267" s="12" t="str">
        <f t="shared" si="42"/>
        <v/>
      </c>
      <c r="N267" s="12">
        <f t="shared" si="43"/>
        <v>1829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7" customFormat="1" ht="28.5" customHeight="1">
      <c r="A268" s="11" t="str">
        <f t="shared" si="39"/>
        <v/>
      </c>
      <c r="B268" s="11" t="s">
        <v>10</v>
      </c>
      <c r="C268" s="11" t="s">
        <v>1722</v>
      </c>
      <c r="D268" s="15" t="s">
        <v>45</v>
      </c>
      <c r="E268" s="11" t="s">
        <v>26</v>
      </c>
      <c r="F268" s="11" t="s">
        <v>1723</v>
      </c>
      <c r="G268" s="12">
        <v>1839</v>
      </c>
      <c r="H268" s="12"/>
      <c r="I268" s="12"/>
      <c r="J268" s="12">
        <v>1829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1829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12</v>
      </c>
      <c r="C269" s="11" t="s">
        <v>99</v>
      </c>
      <c r="D269" s="15" t="s">
        <v>45</v>
      </c>
      <c r="E269" s="11" t="s">
        <v>26</v>
      </c>
      <c r="F269" s="11" t="s">
        <v>100</v>
      </c>
      <c r="G269" s="12">
        <v>1842</v>
      </c>
      <c r="H269" s="12"/>
      <c r="I269" s="12"/>
      <c r="J269" s="12">
        <v>1824</v>
      </c>
      <c r="K269" s="12">
        <f t="shared" si="40"/>
        <v>0</v>
      </c>
      <c r="L269" s="12">
        <f t="shared" si="41"/>
        <v>1842</v>
      </c>
      <c r="M269" s="12" t="str">
        <f t="shared" si="42"/>
        <v/>
      </c>
      <c r="N269" s="12">
        <f t="shared" si="43"/>
        <v>1824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12</v>
      </c>
      <c r="C270" s="11" t="s">
        <v>118</v>
      </c>
      <c r="D270" s="15" t="s">
        <v>45</v>
      </c>
      <c r="E270" s="11" t="s">
        <v>26</v>
      </c>
      <c r="F270" s="11" t="s">
        <v>119</v>
      </c>
      <c r="G270" s="12">
        <v>1844</v>
      </c>
      <c r="H270" s="12"/>
      <c r="I270" s="12"/>
      <c r="J270" s="12">
        <v>1813</v>
      </c>
      <c r="K270" s="12">
        <f t="shared" si="40"/>
        <v>0</v>
      </c>
      <c r="L270" s="12">
        <f t="shared" si="41"/>
        <v>1844</v>
      </c>
      <c r="M270" s="12" t="str">
        <f t="shared" si="42"/>
        <v/>
      </c>
      <c r="N270" s="12">
        <f t="shared" si="43"/>
        <v>1813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IF($T271="","",1+COUNTIF($W$15:$W$883,"&lt;"&amp;W271))</f>
        <v/>
      </c>
      <c r="B271" s="11" t="s">
        <v>10</v>
      </c>
      <c r="C271" s="11" t="s">
        <v>1683</v>
      </c>
      <c r="D271" s="11" t="s">
        <v>57</v>
      </c>
      <c r="E271" s="11" t="s">
        <v>26</v>
      </c>
      <c r="F271" s="11" t="s">
        <v>1684</v>
      </c>
      <c r="G271" s="12">
        <v>1844</v>
      </c>
      <c r="H271" s="12"/>
      <c r="I271" s="12"/>
      <c r="J271" s="12">
        <v>1814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1844</v>
      </c>
      <c r="M271" s="12" t="str">
        <f t="shared" ref="M271:M334" si="55">IF($H271="","",$H271+$K271)</f>
        <v/>
      </c>
      <c r="N271" s="12">
        <f t="shared" ref="N271:N334" si="56">IF($J271="","",$J271+$K271)</f>
        <v>1814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1389</v>
      </c>
      <c r="D272" s="15" t="s">
        <v>60</v>
      </c>
      <c r="E272" s="11" t="s">
        <v>26</v>
      </c>
      <c r="F272" s="11" t="s">
        <v>1390</v>
      </c>
      <c r="G272" s="12">
        <v>1844</v>
      </c>
      <c r="H272" s="12"/>
      <c r="I272" s="12"/>
      <c r="J272" s="12">
        <v>1819</v>
      </c>
      <c r="K272" s="12">
        <f t="shared" si="53"/>
        <v>0</v>
      </c>
      <c r="L272" s="12">
        <f t="shared" si="54"/>
        <v>1844</v>
      </c>
      <c r="M272" s="12" t="str">
        <f t="shared" si="55"/>
        <v/>
      </c>
      <c r="N272" s="12">
        <f t="shared" si="56"/>
        <v>1819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6</v>
      </c>
      <c r="C273" s="11" t="s">
        <v>602</v>
      </c>
      <c r="D273" s="11" t="s">
        <v>57</v>
      </c>
      <c r="E273" s="11" t="s">
        <v>26</v>
      </c>
      <c r="F273" s="11" t="s">
        <v>603</v>
      </c>
      <c r="G273" s="12">
        <v>1845</v>
      </c>
      <c r="H273" s="12"/>
      <c r="I273" s="12"/>
      <c r="J273" s="12">
        <v>1819</v>
      </c>
      <c r="K273" s="12">
        <f t="shared" si="53"/>
        <v>0</v>
      </c>
      <c r="L273" s="12">
        <f t="shared" si="54"/>
        <v>1845</v>
      </c>
      <c r="M273" s="12" t="str">
        <f t="shared" si="55"/>
        <v/>
      </c>
      <c r="N273" s="12">
        <f t="shared" si="56"/>
        <v>1819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6</v>
      </c>
      <c r="C274" s="11" t="s">
        <v>1419</v>
      </c>
      <c r="D274" s="11" t="s">
        <v>48</v>
      </c>
      <c r="E274" s="11" t="s">
        <v>26</v>
      </c>
      <c r="F274" s="11" t="s">
        <v>1420</v>
      </c>
      <c r="G274" s="12">
        <v>1845</v>
      </c>
      <c r="H274" s="12"/>
      <c r="I274" s="12"/>
      <c r="J274" s="12">
        <v>1832</v>
      </c>
      <c r="K274" s="12">
        <f t="shared" si="53"/>
        <v>0</v>
      </c>
      <c r="L274" s="12">
        <f t="shared" si="54"/>
        <v>1845</v>
      </c>
      <c r="M274" s="12" t="str">
        <f t="shared" si="55"/>
        <v/>
      </c>
      <c r="N274" s="12">
        <f t="shared" si="56"/>
        <v>1832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482</v>
      </c>
      <c r="D275" s="15" t="s">
        <v>60</v>
      </c>
      <c r="E275" s="11" t="s">
        <v>26</v>
      </c>
      <c r="F275" s="11" t="s">
        <v>483</v>
      </c>
      <c r="G275" s="12">
        <v>1845</v>
      </c>
      <c r="H275" s="12"/>
      <c r="I275" s="12"/>
      <c r="J275" s="12">
        <v>1839</v>
      </c>
      <c r="K275" s="12">
        <f t="shared" si="53"/>
        <v>0</v>
      </c>
      <c r="L275" s="12">
        <f t="shared" si="54"/>
        <v>1845</v>
      </c>
      <c r="M275" s="12" t="str">
        <f t="shared" si="55"/>
        <v/>
      </c>
      <c r="N275" s="12">
        <f t="shared" si="56"/>
        <v>1839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645</v>
      </c>
      <c r="D276" s="15" t="s">
        <v>45</v>
      </c>
      <c r="E276" s="11" t="s">
        <v>26</v>
      </c>
      <c r="F276" s="11" t="s">
        <v>646</v>
      </c>
      <c r="G276" s="12">
        <v>1887</v>
      </c>
      <c r="H276" s="12"/>
      <c r="I276" s="12"/>
      <c r="J276" s="12">
        <v>1857</v>
      </c>
      <c r="K276" s="12">
        <f t="shared" si="53"/>
        <v>0</v>
      </c>
      <c r="L276" s="12">
        <f t="shared" si="54"/>
        <v>1887</v>
      </c>
      <c r="M276" s="12" t="str">
        <f t="shared" si="55"/>
        <v/>
      </c>
      <c r="N276" s="12">
        <f t="shared" si="56"/>
        <v>1857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12</v>
      </c>
      <c r="C277" s="11" t="s">
        <v>826</v>
      </c>
      <c r="D277" s="15" t="s">
        <v>80</v>
      </c>
      <c r="E277" s="11" t="s">
        <v>26</v>
      </c>
      <c r="F277" s="11" t="s">
        <v>827</v>
      </c>
      <c r="G277" s="12">
        <v>1846</v>
      </c>
      <c r="H277" s="12"/>
      <c r="I277" s="12"/>
      <c r="J277" s="12">
        <v>1846</v>
      </c>
      <c r="K277" s="12">
        <f t="shared" si="53"/>
        <v>0</v>
      </c>
      <c r="L277" s="12">
        <f t="shared" si="54"/>
        <v>1846</v>
      </c>
      <c r="M277" s="12" t="str">
        <f t="shared" si="55"/>
        <v/>
      </c>
      <c r="N277" s="12">
        <f t="shared" si="56"/>
        <v>1846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533</v>
      </c>
      <c r="D278" s="11" t="s">
        <v>57</v>
      </c>
      <c r="E278" s="11" t="s">
        <v>61</v>
      </c>
      <c r="F278" s="11" t="s">
        <v>534</v>
      </c>
      <c r="G278" s="12">
        <v>1847</v>
      </c>
      <c r="H278" s="12"/>
      <c r="I278" s="12"/>
      <c r="J278" s="12">
        <v>1839</v>
      </c>
      <c r="K278" s="12">
        <f t="shared" si="53"/>
        <v>0</v>
      </c>
      <c r="L278" s="12">
        <f t="shared" si="54"/>
        <v>1847</v>
      </c>
      <c r="M278" s="12" t="str">
        <f t="shared" si="55"/>
        <v/>
      </c>
      <c r="N278" s="12">
        <f t="shared" si="56"/>
        <v>1839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14</v>
      </c>
      <c r="C279" s="11" t="s">
        <v>356</v>
      </c>
      <c r="D279" s="15" t="s">
        <v>45</v>
      </c>
      <c r="E279" s="11" t="s">
        <v>26</v>
      </c>
      <c r="F279" s="11" t="s">
        <v>357</v>
      </c>
      <c r="G279" s="12">
        <v>1848</v>
      </c>
      <c r="H279" s="12"/>
      <c r="I279" s="12"/>
      <c r="J279" s="12">
        <v>1798</v>
      </c>
      <c r="K279" s="12">
        <f t="shared" si="53"/>
        <v>0</v>
      </c>
      <c r="L279" s="12">
        <f t="shared" si="54"/>
        <v>1848</v>
      </c>
      <c r="M279" s="12" t="str">
        <f t="shared" si="55"/>
        <v/>
      </c>
      <c r="N279" s="12">
        <f t="shared" si="56"/>
        <v>1798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1497</v>
      </c>
      <c r="D280" s="15" t="s">
        <v>80</v>
      </c>
      <c r="E280" s="11" t="s">
        <v>61</v>
      </c>
      <c r="F280" s="11" t="s">
        <v>1498</v>
      </c>
      <c r="G280" s="12">
        <v>1890</v>
      </c>
      <c r="H280" s="12"/>
      <c r="I280" s="12"/>
      <c r="J280" s="12">
        <v>1870</v>
      </c>
      <c r="K280" s="12">
        <f t="shared" si="53"/>
        <v>0</v>
      </c>
      <c r="L280" s="12">
        <f t="shared" si="54"/>
        <v>1890</v>
      </c>
      <c r="M280" s="12" t="str">
        <f t="shared" si="55"/>
        <v/>
      </c>
      <c r="N280" s="12">
        <f t="shared" si="56"/>
        <v>1870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18</v>
      </c>
      <c r="C281" s="11" t="s">
        <v>1689</v>
      </c>
      <c r="D281" s="15" t="s">
        <v>45</v>
      </c>
      <c r="E281" s="11" t="s">
        <v>61</v>
      </c>
      <c r="F281" s="11" t="s">
        <v>1690</v>
      </c>
      <c r="G281" s="12">
        <v>1890</v>
      </c>
      <c r="H281" s="12"/>
      <c r="I281" s="12"/>
      <c r="J281" s="12">
        <v>1880</v>
      </c>
      <c r="K281" s="12">
        <f t="shared" si="53"/>
        <v>0</v>
      </c>
      <c r="L281" s="12">
        <f t="shared" si="54"/>
        <v>1890</v>
      </c>
      <c r="M281" s="12" t="str">
        <f t="shared" si="55"/>
        <v/>
      </c>
      <c r="N281" s="12">
        <f t="shared" si="56"/>
        <v>1880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1423</v>
      </c>
      <c r="D282" s="11" t="s">
        <v>57</v>
      </c>
      <c r="E282" s="11" t="s">
        <v>61</v>
      </c>
      <c r="F282" s="11" t="s">
        <v>1424</v>
      </c>
      <c r="G282" s="12">
        <v>1890</v>
      </c>
      <c r="H282" s="12"/>
      <c r="I282" s="12"/>
      <c r="J282" s="12">
        <v>1890</v>
      </c>
      <c r="K282" s="12">
        <f t="shared" si="53"/>
        <v>0</v>
      </c>
      <c r="L282" s="12">
        <f t="shared" si="54"/>
        <v>1890</v>
      </c>
      <c r="M282" s="12" t="str">
        <f t="shared" si="55"/>
        <v/>
      </c>
      <c r="N282" s="12">
        <f t="shared" si="56"/>
        <v>1890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16</v>
      </c>
      <c r="C283" s="11" t="s">
        <v>440</v>
      </c>
      <c r="D283" s="15" t="s">
        <v>45</v>
      </c>
      <c r="E283" s="11" t="s">
        <v>61</v>
      </c>
      <c r="F283" s="11" t="s">
        <v>441</v>
      </c>
      <c r="G283" s="12">
        <v>1890</v>
      </c>
      <c r="H283" s="12"/>
      <c r="I283" s="12"/>
      <c r="J283" s="12">
        <v>1890</v>
      </c>
      <c r="K283" s="12">
        <f t="shared" si="53"/>
        <v>0</v>
      </c>
      <c r="L283" s="12">
        <f t="shared" si="54"/>
        <v>1890</v>
      </c>
      <c r="M283" s="12" t="str">
        <f t="shared" si="55"/>
        <v/>
      </c>
      <c r="N283" s="12">
        <f t="shared" si="56"/>
        <v>1890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594</v>
      </c>
      <c r="D284" s="15" t="s">
        <v>45</v>
      </c>
      <c r="E284" s="11" t="s">
        <v>61</v>
      </c>
      <c r="F284" s="11" t="s">
        <v>595</v>
      </c>
      <c r="G284" s="12">
        <v>1890</v>
      </c>
      <c r="H284" s="12"/>
      <c r="I284" s="12"/>
      <c r="J284" s="12">
        <v>1890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1890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694</v>
      </c>
      <c r="D285" s="11" t="s">
        <v>57</v>
      </c>
      <c r="E285" s="11" t="s">
        <v>26</v>
      </c>
      <c r="F285" s="11" t="s">
        <v>695</v>
      </c>
      <c r="G285" s="12">
        <v>1849</v>
      </c>
      <c r="H285" s="12"/>
      <c r="I285" s="12"/>
      <c r="J285" s="12">
        <v>1799</v>
      </c>
      <c r="K285" s="12">
        <f t="shared" si="53"/>
        <v>0</v>
      </c>
      <c r="L285" s="12">
        <f t="shared" si="54"/>
        <v>1849</v>
      </c>
      <c r="M285" s="12" t="str">
        <f t="shared" si="55"/>
        <v/>
      </c>
      <c r="N285" s="12">
        <f t="shared" si="56"/>
        <v>1799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7" customFormat="1" ht="28.5" customHeight="1">
      <c r="A286" s="11" t="str">
        <f t="shared" si="52"/>
        <v/>
      </c>
      <c r="B286" s="11" t="s">
        <v>10</v>
      </c>
      <c r="C286" s="11" t="s">
        <v>1006</v>
      </c>
      <c r="D286" s="15" t="s">
        <v>80</v>
      </c>
      <c r="E286" s="11" t="s">
        <v>26</v>
      </c>
      <c r="F286" s="11" t="s">
        <v>1007</v>
      </c>
      <c r="G286" s="12">
        <v>1849</v>
      </c>
      <c r="H286" s="12"/>
      <c r="I286" s="12"/>
      <c r="J286" s="12">
        <v>1809</v>
      </c>
      <c r="K286" s="12">
        <f t="shared" si="53"/>
        <v>0</v>
      </c>
      <c r="L286" s="12">
        <f t="shared" si="54"/>
        <v>1849</v>
      </c>
      <c r="M286" s="12" t="str">
        <f t="shared" si="55"/>
        <v/>
      </c>
      <c r="N286" s="12">
        <f t="shared" si="56"/>
        <v>1809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6</v>
      </c>
      <c r="C287" s="11" t="s">
        <v>704</v>
      </c>
      <c r="D287" s="15" t="s">
        <v>80</v>
      </c>
      <c r="E287" s="11" t="s">
        <v>26</v>
      </c>
      <c r="F287" s="11" t="s">
        <v>705</v>
      </c>
      <c r="G287" s="12">
        <v>1849</v>
      </c>
      <c r="H287" s="12"/>
      <c r="I287" s="12"/>
      <c r="J287" s="12">
        <v>1814</v>
      </c>
      <c r="K287" s="12">
        <f t="shared" si="53"/>
        <v>0</v>
      </c>
      <c r="L287" s="12">
        <f t="shared" si="54"/>
        <v>1849</v>
      </c>
      <c r="M287" s="12" t="str">
        <f t="shared" si="55"/>
        <v/>
      </c>
      <c r="N287" s="12">
        <f t="shared" si="56"/>
        <v>1814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374</v>
      </c>
      <c r="D288" s="11" t="s">
        <v>57</v>
      </c>
      <c r="E288" s="11" t="s">
        <v>26</v>
      </c>
      <c r="F288" s="11" t="s">
        <v>375</v>
      </c>
      <c r="G288" s="12">
        <v>1849</v>
      </c>
      <c r="H288" s="12"/>
      <c r="I288" s="12"/>
      <c r="J288" s="12">
        <v>1819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1819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12</v>
      </c>
      <c r="C289" s="11" t="s">
        <v>156</v>
      </c>
      <c r="D289" s="15" t="s">
        <v>45</v>
      </c>
      <c r="E289" s="11" t="s">
        <v>26</v>
      </c>
      <c r="F289" s="11" t="s">
        <v>157</v>
      </c>
      <c r="G289" s="12">
        <v>1849</v>
      </c>
      <c r="H289" s="12"/>
      <c r="I289" s="12"/>
      <c r="J289" s="12">
        <v>1829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1829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476</v>
      </c>
      <c r="D290" s="11" t="s">
        <v>57</v>
      </c>
      <c r="E290" s="11" t="s">
        <v>26</v>
      </c>
      <c r="F290" s="11" t="s">
        <v>477</v>
      </c>
      <c r="G290" s="12">
        <v>1849</v>
      </c>
      <c r="H290" s="12"/>
      <c r="I290" s="12"/>
      <c r="J290" s="12">
        <v>1836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1836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1324</v>
      </c>
      <c r="D291" s="15" t="s">
        <v>80</v>
      </c>
      <c r="E291" s="11" t="s">
        <v>26</v>
      </c>
      <c r="F291" s="11" t="s">
        <v>1325</v>
      </c>
      <c r="G291" s="12">
        <v>1849</v>
      </c>
      <c r="H291" s="12"/>
      <c r="I291" s="12"/>
      <c r="J291" s="12">
        <v>1839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1839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1147</v>
      </c>
      <c r="D292" s="11" t="s">
        <v>48</v>
      </c>
      <c r="E292" s="11" t="s">
        <v>26</v>
      </c>
      <c r="F292" s="11" t="s">
        <v>1148</v>
      </c>
      <c r="G292" s="12">
        <v>1849</v>
      </c>
      <c r="H292" s="12"/>
      <c r="I292" s="12"/>
      <c r="J292" s="12">
        <v>1849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1849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1274</v>
      </c>
      <c r="D293" s="15" t="s">
        <v>60</v>
      </c>
      <c r="E293" s="11" t="s">
        <v>26</v>
      </c>
      <c r="F293" s="11" t="s">
        <v>1275</v>
      </c>
      <c r="G293" s="12">
        <v>1895</v>
      </c>
      <c r="H293" s="12"/>
      <c r="I293" s="12"/>
      <c r="J293" s="12">
        <v>1875</v>
      </c>
      <c r="K293" s="12">
        <f t="shared" si="53"/>
        <v>0</v>
      </c>
      <c r="L293" s="12">
        <f t="shared" si="54"/>
        <v>1895</v>
      </c>
      <c r="M293" s="12" t="str">
        <f t="shared" si="55"/>
        <v/>
      </c>
      <c r="N293" s="12">
        <f t="shared" si="56"/>
        <v>1875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1646</v>
      </c>
      <c r="D294" s="15" t="s">
        <v>60</v>
      </c>
      <c r="E294" s="11" t="s">
        <v>61</v>
      </c>
      <c r="F294" s="11" t="s">
        <v>1647</v>
      </c>
      <c r="G294" s="12">
        <v>1895</v>
      </c>
      <c r="H294" s="12"/>
      <c r="I294" s="12"/>
      <c r="J294" s="12">
        <v>1895</v>
      </c>
      <c r="K294" s="12">
        <f t="shared" si="53"/>
        <v>0</v>
      </c>
      <c r="L294" s="12">
        <f t="shared" si="54"/>
        <v>1895</v>
      </c>
      <c r="M294" s="12" t="str">
        <f t="shared" si="55"/>
        <v/>
      </c>
      <c r="N294" s="12">
        <f t="shared" si="56"/>
        <v>1895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6</v>
      </c>
      <c r="C295" s="11" t="s">
        <v>637</v>
      </c>
      <c r="D295" s="15" t="s">
        <v>45</v>
      </c>
      <c r="E295" s="11" t="s">
        <v>26</v>
      </c>
      <c r="F295" s="11" t="s">
        <v>638</v>
      </c>
      <c r="G295" s="12">
        <v>1854</v>
      </c>
      <c r="H295" s="12"/>
      <c r="I295" s="12"/>
      <c r="J295" s="12">
        <v>1837</v>
      </c>
      <c r="K295" s="12">
        <f t="shared" si="53"/>
        <v>0</v>
      </c>
      <c r="L295" s="12">
        <f t="shared" si="54"/>
        <v>1854</v>
      </c>
      <c r="M295" s="12" t="str">
        <f t="shared" si="55"/>
        <v/>
      </c>
      <c r="N295" s="12">
        <f t="shared" si="56"/>
        <v>1837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8</v>
      </c>
      <c r="C296" s="11" t="s">
        <v>1714</v>
      </c>
      <c r="D296" s="11" t="s">
        <v>57</v>
      </c>
      <c r="E296" s="11" t="s">
        <v>26</v>
      </c>
      <c r="F296" s="11" t="s">
        <v>1715</v>
      </c>
      <c r="G296" s="12">
        <v>1855</v>
      </c>
      <c r="H296" s="12"/>
      <c r="I296" s="12"/>
      <c r="J296" s="12">
        <v>1825</v>
      </c>
      <c r="K296" s="12">
        <f t="shared" si="53"/>
        <v>0</v>
      </c>
      <c r="L296" s="12">
        <f t="shared" si="54"/>
        <v>1855</v>
      </c>
      <c r="M296" s="12" t="str">
        <f t="shared" si="55"/>
        <v/>
      </c>
      <c r="N296" s="12">
        <f t="shared" si="56"/>
        <v>1825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8</v>
      </c>
      <c r="C297" s="11" t="s">
        <v>1735</v>
      </c>
      <c r="D297" s="15" t="s">
        <v>60</v>
      </c>
      <c r="E297" s="11" t="s">
        <v>26</v>
      </c>
      <c r="F297" s="11" t="s">
        <v>1736</v>
      </c>
      <c r="G297" s="12">
        <v>1855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1855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6</v>
      </c>
      <c r="C298" s="11" t="s">
        <v>1670</v>
      </c>
      <c r="D298" s="15" t="s">
        <v>45</v>
      </c>
      <c r="E298" s="11" t="s">
        <v>26</v>
      </c>
      <c r="F298" s="11" t="s">
        <v>1671</v>
      </c>
      <c r="G298" s="12">
        <v>1855</v>
      </c>
      <c r="H298" s="12"/>
      <c r="I298" s="12"/>
      <c r="J298" s="12">
        <v>1839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1839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6</v>
      </c>
      <c r="C299" s="11" t="s">
        <v>551</v>
      </c>
      <c r="D299" s="15" t="s">
        <v>45</v>
      </c>
      <c r="E299" s="11" t="s">
        <v>61</v>
      </c>
      <c r="F299" s="11" t="s">
        <v>552</v>
      </c>
      <c r="G299" s="12">
        <v>1855</v>
      </c>
      <c r="H299" s="12"/>
      <c r="I299" s="12"/>
      <c r="J299" s="12">
        <v>1845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1845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18</v>
      </c>
      <c r="C300" s="11" t="s">
        <v>868</v>
      </c>
      <c r="D300" s="15" t="s">
        <v>80</v>
      </c>
      <c r="E300" s="11" t="s">
        <v>26</v>
      </c>
      <c r="F300" s="11" t="s">
        <v>869</v>
      </c>
      <c r="G300" s="12">
        <v>1899</v>
      </c>
      <c r="H300" s="12"/>
      <c r="I300" s="12"/>
      <c r="J300" s="12">
        <v>1834</v>
      </c>
      <c r="K300" s="12">
        <f t="shared" si="53"/>
        <v>0</v>
      </c>
      <c r="L300" s="12">
        <f t="shared" si="54"/>
        <v>1899</v>
      </c>
      <c r="M300" s="12" t="str">
        <f t="shared" si="55"/>
        <v/>
      </c>
      <c r="N300" s="12">
        <f t="shared" si="56"/>
        <v>1834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7" customFormat="1" ht="28.5" customHeight="1">
      <c r="A301" s="11" t="str">
        <f t="shared" si="52"/>
        <v/>
      </c>
      <c r="B301" s="11" t="s">
        <v>18</v>
      </c>
      <c r="C301" s="11" t="s">
        <v>527</v>
      </c>
      <c r="D301" s="11" t="s">
        <v>57</v>
      </c>
      <c r="E301" s="11" t="s">
        <v>61</v>
      </c>
      <c r="F301" s="11" t="s">
        <v>528</v>
      </c>
      <c r="G301" s="12">
        <v>1899</v>
      </c>
      <c r="H301" s="12"/>
      <c r="I301" s="12"/>
      <c r="J301" s="12">
        <v>1859</v>
      </c>
      <c r="K301" s="12">
        <f t="shared" si="53"/>
        <v>0</v>
      </c>
      <c r="L301" s="12">
        <f t="shared" si="54"/>
        <v>1899</v>
      </c>
      <c r="M301" s="12" t="str">
        <f t="shared" si="55"/>
        <v/>
      </c>
      <c r="N301" s="12">
        <f t="shared" si="56"/>
        <v>1859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1169</v>
      </c>
      <c r="D302" s="15" t="s">
        <v>80</v>
      </c>
      <c r="E302" s="11" t="s">
        <v>26</v>
      </c>
      <c r="F302" s="11" t="s">
        <v>1170</v>
      </c>
      <c r="G302" s="12">
        <v>1899</v>
      </c>
      <c r="H302" s="12"/>
      <c r="I302" s="12"/>
      <c r="J302" s="12">
        <v>1889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1889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1703</v>
      </c>
      <c r="D303" s="11" t="s">
        <v>57</v>
      </c>
      <c r="E303" s="11" t="s">
        <v>61</v>
      </c>
      <c r="F303" s="11" t="s">
        <v>1704</v>
      </c>
      <c r="G303" s="12">
        <v>1899</v>
      </c>
      <c r="H303" s="12"/>
      <c r="I303" s="12"/>
      <c r="J303" s="12">
        <v>1899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1899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10</v>
      </c>
      <c r="C304" s="11" t="s">
        <v>849</v>
      </c>
      <c r="D304" s="15" t="s">
        <v>60</v>
      </c>
      <c r="E304" s="11" t="s">
        <v>26</v>
      </c>
      <c r="F304" s="11" t="s">
        <v>850</v>
      </c>
      <c r="G304" s="12">
        <v>1857</v>
      </c>
      <c r="H304" s="12"/>
      <c r="I304" s="12"/>
      <c r="J304" s="12">
        <v>1827</v>
      </c>
      <c r="K304" s="12">
        <f t="shared" si="53"/>
        <v>0</v>
      </c>
      <c r="L304" s="12">
        <f t="shared" si="54"/>
        <v>1857</v>
      </c>
      <c r="M304" s="12" t="str">
        <f t="shared" si="55"/>
        <v/>
      </c>
      <c r="N304" s="12">
        <f t="shared" si="56"/>
        <v>1827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7" customFormat="1" ht="28.5" customHeight="1">
      <c r="A305" s="11" t="str">
        <f t="shared" si="52"/>
        <v/>
      </c>
      <c r="B305" s="11" t="s">
        <v>10</v>
      </c>
      <c r="C305" s="11" t="s">
        <v>1217</v>
      </c>
      <c r="D305" s="11" t="s">
        <v>57</v>
      </c>
      <c r="E305" s="11" t="s">
        <v>61</v>
      </c>
      <c r="F305" s="11" t="s">
        <v>1218</v>
      </c>
      <c r="G305" s="12">
        <v>1857</v>
      </c>
      <c r="H305" s="12"/>
      <c r="I305" s="12"/>
      <c r="J305" s="12">
        <v>1837</v>
      </c>
      <c r="K305" s="12">
        <f t="shared" si="53"/>
        <v>0</v>
      </c>
      <c r="L305" s="12">
        <f t="shared" si="54"/>
        <v>1857</v>
      </c>
      <c r="M305" s="12" t="str">
        <f t="shared" si="55"/>
        <v/>
      </c>
      <c r="N305" s="12">
        <f t="shared" si="56"/>
        <v>1837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16" customFormat="1" ht="28.5" customHeight="1">
      <c r="A306" s="11" t="str">
        <f t="shared" si="52"/>
        <v/>
      </c>
      <c r="B306" s="11" t="s">
        <v>12</v>
      </c>
      <c r="C306" s="11" t="s">
        <v>1371</v>
      </c>
      <c r="D306" s="15" t="s">
        <v>57</v>
      </c>
      <c r="E306" s="11" t="s">
        <v>26</v>
      </c>
      <c r="F306" s="11" t="s">
        <v>1372</v>
      </c>
      <c r="G306" s="12">
        <v>1857</v>
      </c>
      <c r="H306" s="12"/>
      <c r="I306" s="12"/>
      <c r="J306" s="12">
        <v>1857</v>
      </c>
      <c r="K306" s="12">
        <f t="shared" si="53"/>
        <v>0</v>
      </c>
      <c r="L306" s="12">
        <f t="shared" si="54"/>
        <v>1857</v>
      </c>
      <c r="M306" s="12" t="str">
        <f t="shared" si="55"/>
        <v/>
      </c>
      <c r="N306" s="12">
        <f t="shared" si="56"/>
        <v>1857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1081</v>
      </c>
      <c r="D307" s="15" t="s">
        <v>80</v>
      </c>
      <c r="E307" s="11" t="s">
        <v>26</v>
      </c>
      <c r="F307" s="11" t="s">
        <v>1083</v>
      </c>
      <c r="G307" s="12">
        <v>1858</v>
      </c>
      <c r="H307" s="12"/>
      <c r="I307" s="12"/>
      <c r="J307" s="12">
        <v>1828</v>
      </c>
      <c r="K307" s="12">
        <f t="shared" si="53"/>
        <v>0</v>
      </c>
      <c r="L307" s="12">
        <f t="shared" si="54"/>
        <v>1858</v>
      </c>
      <c r="M307" s="12" t="str">
        <f t="shared" si="55"/>
        <v/>
      </c>
      <c r="N307" s="12">
        <f t="shared" si="56"/>
        <v>1828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14</v>
      </c>
      <c r="C308" s="11" t="s">
        <v>1270</v>
      </c>
      <c r="D308" s="15" t="s">
        <v>60</v>
      </c>
      <c r="E308" s="11" t="s">
        <v>61</v>
      </c>
      <c r="F308" s="11" t="s">
        <v>1271</v>
      </c>
      <c r="G308" s="12">
        <v>1858</v>
      </c>
      <c r="H308" s="12"/>
      <c r="I308" s="12"/>
      <c r="J308" s="12">
        <v>1848</v>
      </c>
      <c r="K308" s="12">
        <f t="shared" si="53"/>
        <v>0</v>
      </c>
      <c r="L308" s="12">
        <f t="shared" si="54"/>
        <v>1858</v>
      </c>
      <c r="M308" s="12" t="str">
        <f t="shared" si="55"/>
        <v/>
      </c>
      <c r="N308" s="12">
        <f t="shared" si="56"/>
        <v>1848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7" customFormat="1" ht="28.5" customHeight="1">
      <c r="A309" s="11" t="str">
        <f t="shared" si="52"/>
        <v/>
      </c>
      <c r="B309" s="11" t="s">
        <v>12</v>
      </c>
      <c r="C309" s="11" t="s">
        <v>186</v>
      </c>
      <c r="D309" s="15" t="s">
        <v>60</v>
      </c>
      <c r="E309" s="11" t="s">
        <v>26</v>
      </c>
      <c r="F309" s="11" t="s">
        <v>187</v>
      </c>
      <c r="G309" s="12">
        <v>1859</v>
      </c>
      <c r="H309" s="12"/>
      <c r="I309" s="12"/>
      <c r="J309" s="12">
        <v>1819</v>
      </c>
      <c r="K309" s="12">
        <f t="shared" si="53"/>
        <v>0</v>
      </c>
      <c r="L309" s="12">
        <f t="shared" si="54"/>
        <v>1859</v>
      </c>
      <c r="M309" s="12" t="str">
        <f t="shared" si="55"/>
        <v/>
      </c>
      <c r="N309" s="12">
        <f t="shared" si="56"/>
        <v>1819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7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6</v>
      </c>
      <c r="C310" s="11" t="s">
        <v>408</v>
      </c>
      <c r="D310" s="15" t="s">
        <v>60</v>
      </c>
      <c r="E310" s="11" t="s">
        <v>61</v>
      </c>
      <c r="F310" s="11" t="s">
        <v>409</v>
      </c>
      <c r="G310" s="12">
        <v>1859</v>
      </c>
      <c r="H310" s="12"/>
      <c r="I310" s="12"/>
      <c r="J310" s="12">
        <v>1829</v>
      </c>
      <c r="K310" s="12">
        <f t="shared" si="53"/>
        <v>0</v>
      </c>
      <c r="L310" s="12">
        <f t="shared" si="54"/>
        <v>1859</v>
      </c>
      <c r="M310" s="12" t="str">
        <f t="shared" si="55"/>
        <v/>
      </c>
      <c r="N310" s="12">
        <f t="shared" si="56"/>
        <v>1829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10</v>
      </c>
      <c r="C311" s="11" t="s">
        <v>734</v>
      </c>
      <c r="D311" s="15" t="s">
        <v>80</v>
      </c>
      <c r="E311" s="11" t="s">
        <v>61</v>
      </c>
      <c r="F311" s="11" t="s">
        <v>736</v>
      </c>
      <c r="G311" s="12">
        <v>1859</v>
      </c>
      <c r="H311" s="12"/>
      <c r="I311" s="12"/>
      <c r="J311" s="12">
        <v>1829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1829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12</v>
      </c>
      <c r="C312" s="11" t="s">
        <v>59</v>
      </c>
      <c r="D312" s="15" t="s">
        <v>60</v>
      </c>
      <c r="E312" s="11" t="s">
        <v>61</v>
      </c>
      <c r="F312" s="11" t="s">
        <v>62</v>
      </c>
      <c r="G312" s="12">
        <v>1859</v>
      </c>
      <c r="H312" s="12"/>
      <c r="I312" s="12"/>
      <c r="J312" s="12">
        <v>1839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1839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6</v>
      </c>
      <c r="C313" s="11" t="s">
        <v>1549</v>
      </c>
      <c r="D313" s="11" t="s">
        <v>95</v>
      </c>
      <c r="E313" s="11" t="s">
        <v>61</v>
      </c>
      <c r="F313" s="11" t="s">
        <v>1550</v>
      </c>
      <c r="G313" s="12">
        <v>1859</v>
      </c>
      <c r="H313" s="12"/>
      <c r="I313" s="12"/>
      <c r="J313" s="12">
        <v>1845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1845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10</v>
      </c>
      <c r="C314" s="11" t="s">
        <v>1086</v>
      </c>
      <c r="D314" s="11" t="s">
        <v>57</v>
      </c>
      <c r="E314" s="11" t="s">
        <v>26</v>
      </c>
      <c r="F314" s="11" t="s">
        <v>1087</v>
      </c>
      <c r="G314" s="12">
        <v>1859</v>
      </c>
      <c r="H314" s="12"/>
      <c r="I314" s="12"/>
      <c r="J314" s="12">
        <v>1847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1847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8</v>
      </c>
      <c r="C315" s="11" t="s">
        <v>970</v>
      </c>
      <c r="D315" s="15" t="s">
        <v>45</v>
      </c>
      <c r="E315" s="11" t="s">
        <v>26</v>
      </c>
      <c r="F315" s="11" t="s">
        <v>972</v>
      </c>
      <c r="G315" s="12">
        <v>1859</v>
      </c>
      <c r="H315" s="12"/>
      <c r="I315" s="12"/>
      <c r="J315" s="12">
        <v>1849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1849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7" customFormat="1" ht="28.5" customHeight="1">
      <c r="A316" s="11" t="str">
        <f t="shared" si="52"/>
        <v/>
      </c>
      <c r="B316" s="11" t="s">
        <v>12</v>
      </c>
      <c r="C316" s="11" t="s">
        <v>633</v>
      </c>
      <c r="D316" s="15" t="s">
        <v>80</v>
      </c>
      <c r="E316" s="11" t="s">
        <v>26</v>
      </c>
      <c r="F316" s="11" t="s">
        <v>634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10</v>
      </c>
      <c r="C317" s="11" t="s">
        <v>769</v>
      </c>
      <c r="D317" s="11" t="s">
        <v>57</v>
      </c>
      <c r="E317" s="11" t="s">
        <v>26</v>
      </c>
      <c r="F317" s="11" t="s">
        <v>770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7" customFormat="1" ht="28.5" customHeight="1">
      <c r="A318" s="11" t="str">
        <f t="shared" si="52"/>
        <v/>
      </c>
      <c r="B318" s="11" t="s">
        <v>6</v>
      </c>
      <c r="C318" s="11" t="s">
        <v>822</v>
      </c>
      <c r="D318" s="11" t="s">
        <v>57</v>
      </c>
      <c r="E318" s="11" t="s">
        <v>26</v>
      </c>
      <c r="F318" s="11" t="s">
        <v>823</v>
      </c>
      <c r="G318" s="12">
        <v>1859</v>
      </c>
      <c r="H318" s="12"/>
      <c r="I318" s="12"/>
      <c r="J318" s="12">
        <v>1859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1859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6</v>
      </c>
      <c r="C319" s="11" t="s">
        <v>643</v>
      </c>
      <c r="D319" s="11" t="s">
        <v>57</v>
      </c>
      <c r="E319" s="11" t="s">
        <v>26</v>
      </c>
      <c r="F319" s="11" t="s">
        <v>644</v>
      </c>
      <c r="G319" s="12">
        <v>1860</v>
      </c>
      <c r="H319" s="12"/>
      <c r="I319" s="12"/>
      <c r="J319" s="12">
        <v>1830</v>
      </c>
      <c r="K319" s="12">
        <f t="shared" si="53"/>
        <v>0</v>
      </c>
      <c r="L319" s="12">
        <f t="shared" si="54"/>
        <v>1860</v>
      </c>
      <c r="M319" s="12" t="str">
        <f t="shared" si="55"/>
        <v/>
      </c>
      <c r="N319" s="12">
        <f t="shared" si="56"/>
        <v>1830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12</v>
      </c>
      <c r="C320" s="11" t="s">
        <v>184</v>
      </c>
      <c r="D320" s="15" t="s">
        <v>60</v>
      </c>
      <c r="E320" s="11" t="s">
        <v>26</v>
      </c>
      <c r="F320" s="11" t="s">
        <v>185</v>
      </c>
      <c r="G320" s="12">
        <v>1864</v>
      </c>
      <c r="H320" s="12"/>
      <c r="I320" s="12"/>
      <c r="J320" s="12">
        <v>1853</v>
      </c>
      <c r="K320" s="12">
        <f t="shared" si="53"/>
        <v>0</v>
      </c>
      <c r="L320" s="12">
        <f t="shared" si="54"/>
        <v>1864</v>
      </c>
      <c r="M320" s="12" t="str">
        <f t="shared" si="55"/>
        <v/>
      </c>
      <c r="N320" s="12">
        <f t="shared" si="56"/>
        <v>1853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1296</v>
      </c>
      <c r="D321" s="15" t="s">
        <v>80</v>
      </c>
      <c r="E321" s="11" t="s">
        <v>26</v>
      </c>
      <c r="F321" s="11" t="s">
        <v>1297</v>
      </c>
      <c r="G321" s="12">
        <v>1865</v>
      </c>
      <c r="H321" s="12"/>
      <c r="I321" s="12"/>
      <c r="J321" s="12">
        <v>1847</v>
      </c>
      <c r="K321" s="12">
        <f t="shared" si="53"/>
        <v>0</v>
      </c>
      <c r="L321" s="12">
        <f t="shared" si="54"/>
        <v>1865</v>
      </c>
      <c r="M321" s="12" t="str">
        <f t="shared" si="55"/>
        <v/>
      </c>
      <c r="N321" s="12">
        <f t="shared" si="56"/>
        <v>1847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7" customFormat="1" ht="28.5" customHeight="1">
      <c r="A322" s="11" t="str">
        <f t="shared" si="52"/>
        <v/>
      </c>
      <c r="B322" s="11" t="s">
        <v>10</v>
      </c>
      <c r="C322" s="11" t="s">
        <v>838</v>
      </c>
      <c r="D322" s="15" t="s">
        <v>80</v>
      </c>
      <c r="E322" s="11" t="s">
        <v>61</v>
      </c>
      <c r="F322" s="11" t="s">
        <v>839</v>
      </c>
      <c r="G322" s="12">
        <v>1866</v>
      </c>
      <c r="H322" s="12"/>
      <c r="I322" s="12"/>
      <c r="J322" s="12">
        <v>1846</v>
      </c>
      <c r="K322" s="12">
        <f t="shared" si="53"/>
        <v>0</v>
      </c>
      <c r="L322" s="12">
        <f t="shared" si="54"/>
        <v>1866</v>
      </c>
      <c r="M322" s="12" t="str">
        <f t="shared" si="55"/>
        <v/>
      </c>
      <c r="N322" s="12">
        <f t="shared" si="56"/>
        <v>1846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10</v>
      </c>
      <c r="C323" s="11" t="s">
        <v>674</v>
      </c>
      <c r="D323" s="11" t="s">
        <v>57</v>
      </c>
      <c r="E323" s="11" t="s">
        <v>26</v>
      </c>
      <c r="F323" s="11" t="s">
        <v>675</v>
      </c>
      <c r="G323" s="12">
        <v>1867</v>
      </c>
      <c r="H323" s="12"/>
      <c r="I323" s="12"/>
      <c r="J323" s="12">
        <v>1817</v>
      </c>
      <c r="K323" s="12">
        <f t="shared" si="53"/>
        <v>0</v>
      </c>
      <c r="L323" s="12">
        <f t="shared" si="54"/>
        <v>1867</v>
      </c>
      <c r="M323" s="12" t="str">
        <f t="shared" si="55"/>
        <v/>
      </c>
      <c r="N323" s="12">
        <f t="shared" si="56"/>
        <v>1817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8</v>
      </c>
      <c r="C324" s="11" t="s">
        <v>1430</v>
      </c>
      <c r="D324" s="15" t="s">
        <v>60</v>
      </c>
      <c r="E324" s="11" t="s">
        <v>26</v>
      </c>
      <c r="F324" s="11" t="s">
        <v>1431</v>
      </c>
      <c r="G324" s="12">
        <v>1867</v>
      </c>
      <c r="H324" s="12"/>
      <c r="I324" s="12"/>
      <c r="J324" s="12">
        <v>1847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1847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16" customFormat="1" ht="28.5" customHeight="1">
      <c r="A325" s="11" t="str">
        <f t="shared" si="52"/>
        <v/>
      </c>
      <c r="B325" s="11" t="s">
        <v>12</v>
      </c>
      <c r="C325" s="11" t="s">
        <v>732</v>
      </c>
      <c r="D325" s="15" t="s">
        <v>80</v>
      </c>
      <c r="E325" s="11" t="s">
        <v>26</v>
      </c>
      <c r="F325" s="11" t="s">
        <v>733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12</v>
      </c>
      <c r="C326" s="11" t="s">
        <v>1017</v>
      </c>
      <c r="D326" s="15" t="s">
        <v>57</v>
      </c>
      <c r="E326" s="11" t="s">
        <v>26</v>
      </c>
      <c r="F326" s="11" t="s">
        <v>1018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16" customFormat="1" ht="28.5" customHeight="1">
      <c r="A327" s="11" t="str">
        <f t="shared" si="52"/>
        <v/>
      </c>
      <c r="B327" s="11" t="s">
        <v>12</v>
      </c>
      <c r="C327" s="11" t="s">
        <v>616</v>
      </c>
      <c r="D327" s="15" t="s">
        <v>45</v>
      </c>
      <c r="E327" s="11" t="s">
        <v>61</v>
      </c>
      <c r="F327" s="11" t="s">
        <v>617</v>
      </c>
      <c r="G327" s="12">
        <v>1868</v>
      </c>
      <c r="H327" s="12"/>
      <c r="I327" s="12"/>
      <c r="J327" s="12">
        <v>1848</v>
      </c>
      <c r="K327" s="12">
        <f t="shared" si="53"/>
        <v>0</v>
      </c>
      <c r="L327" s="12">
        <f t="shared" si="54"/>
        <v>1868</v>
      </c>
      <c r="M327" s="12" t="str">
        <f t="shared" si="55"/>
        <v/>
      </c>
      <c r="N327" s="12">
        <f t="shared" si="56"/>
        <v>1848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7" customFormat="1" ht="28.5" customHeight="1">
      <c r="A328" s="11" t="str">
        <f t="shared" si="52"/>
        <v/>
      </c>
      <c r="B328" s="11" t="s">
        <v>14</v>
      </c>
      <c r="C328" s="11" t="s">
        <v>451</v>
      </c>
      <c r="D328" s="15" t="s">
        <v>80</v>
      </c>
      <c r="E328" s="11" t="s">
        <v>61</v>
      </c>
      <c r="F328" s="11" t="s">
        <v>452</v>
      </c>
      <c r="G328" s="12">
        <v>1869</v>
      </c>
      <c r="H328" s="12"/>
      <c r="I328" s="12"/>
      <c r="J328" s="12">
        <v>1839</v>
      </c>
      <c r="K328" s="12">
        <f t="shared" si="53"/>
        <v>0</v>
      </c>
      <c r="L328" s="12">
        <f t="shared" si="54"/>
        <v>1869</v>
      </c>
      <c r="M328" s="12" t="str">
        <f t="shared" si="55"/>
        <v/>
      </c>
      <c r="N328" s="12">
        <f t="shared" si="56"/>
        <v>1839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10</v>
      </c>
      <c r="C329" s="11" t="s">
        <v>509</v>
      </c>
      <c r="D329" s="15" t="s">
        <v>45</v>
      </c>
      <c r="E329" s="11" t="s">
        <v>61</v>
      </c>
      <c r="F329" s="11" t="s">
        <v>510</v>
      </c>
      <c r="G329" s="12">
        <v>1869</v>
      </c>
      <c r="H329" s="12"/>
      <c r="I329" s="12"/>
      <c r="J329" s="12">
        <v>1849</v>
      </c>
      <c r="K329" s="12">
        <f t="shared" si="53"/>
        <v>0</v>
      </c>
      <c r="L329" s="12">
        <f t="shared" si="54"/>
        <v>1869</v>
      </c>
      <c r="M329" s="12" t="str">
        <f t="shared" si="55"/>
        <v/>
      </c>
      <c r="N329" s="12">
        <f t="shared" si="56"/>
        <v>1849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916</v>
      </c>
      <c r="D330" s="15" t="s">
        <v>60</v>
      </c>
      <c r="E330" s="11" t="s">
        <v>26</v>
      </c>
      <c r="F330" s="11" t="s">
        <v>917</v>
      </c>
      <c r="G330" s="12">
        <v>1869</v>
      </c>
      <c r="H330" s="12"/>
      <c r="I330" s="12"/>
      <c r="J330" s="12">
        <v>1856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1856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970</v>
      </c>
      <c r="D331" s="11" t="s">
        <v>57</v>
      </c>
      <c r="E331" s="11" t="s">
        <v>26</v>
      </c>
      <c r="F331" s="11" t="s">
        <v>973</v>
      </c>
      <c r="G331" s="12">
        <v>1869</v>
      </c>
      <c r="H331" s="12"/>
      <c r="I331" s="12"/>
      <c r="J331" s="12">
        <v>1859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1859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1290</v>
      </c>
      <c r="D332" s="15" t="s">
        <v>80</v>
      </c>
      <c r="E332" s="11" t="s">
        <v>61</v>
      </c>
      <c r="F332" s="11" t="s">
        <v>1291</v>
      </c>
      <c r="G332" s="12">
        <v>1869</v>
      </c>
      <c r="H332" s="12"/>
      <c r="I332" s="12"/>
      <c r="J332" s="12">
        <v>1859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1859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16" customFormat="1" ht="28.5" customHeight="1">
      <c r="A333" s="11" t="str">
        <f t="shared" si="52"/>
        <v/>
      </c>
      <c r="B333" s="11" t="s">
        <v>6</v>
      </c>
      <c r="C333" s="11" t="s">
        <v>444</v>
      </c>
      <c r="D333" s="15" t="s">
        <v>60</v>
      </c>
      <c r="E333" s="11" t="s">
        <v>61</v>
      </c>
      <c r="F333" s="11" t="s">
        <v>445</v>
      </c>
      <c r="G333" s="12">
        <v>1869</v>
      </c>
      <c r="H333" s="12"/>
      <c r="I333" s="12"/>
      <c r="J333" s="12">
        <v>1869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1869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12</v>
      </c>
      <c r="C334" s="11" t="s">
        <v>1509</v>
      </c>
      <c r="D334" s="15" t="s">
        <v>80</v>
      </c>
      <c r="E334" s="11" t="s">
        <v>26</v>
      </c>
      <c r="F334" s="11" t="s">
        <v>1510</v>
      </c>
      <c r="G334" s="12">
        <v>1869</v>
      </c>
      <c r="H334" s="12"/>
      <c r="I334" s="12"/>
      <c r="J334" s="12">
        <v>1897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1897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14</v>
      </c>
      <c r="C335" s="11" t="s">
        <v>761</v>
      </c>
      <c r="D335" s="11" t="s">
        <v>57</v>
      </c>
      <c r="E335" s="11" t="s">
        <v>61</v>
      </c>
      <c r="F335" s="11" t="s">
        <v>762</v>
      </c>
      <c r="G335" s="12">
        <v>1870</v>
      </c>
      <c r="H335" s="12"/>
      <c r="I335" s="12"/>
      <c r="J335" s="12">
        <v>1860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1870</v>
      </c>
      <c r="M335" s="12" t="str">
        <f t="shared" ref="M335:M398" si="68">IF($H335="","",$H335+$K335)</f>
        <v/>
      </c>
      <c r="N335" s="12">
        <f t="shared" ref="N335:N398" si="69">IF($J335="","",$J335+$K335)</f>
        <v>1860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12</v>
      </c>
      <c r="C336" s="11" t="s">
        <v>625</v>
      </c>
      <c r="D336" s="15" t="s">
        <v>57</v>
      </c>
      <c r="E336" s="11" t="s">
        <v>61</v>
      </c>
      <c r="F336" s="11" t="s">
        <v>626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8</v>
      </c>
      <c r="C337" s="11" t="s">
        <v>1725</v>
      </c>
      <c r="D337" s="15" t="s">
        <v>45</v>
      </c>
      <c r="E337" s="11" t="s">
        <v>61</v>
      </c>
      <c r="F337" s="11" t="s">
        <v>1726</v>
      </c>
      <c r="G337" s="12">
        <v>1875</v>
      </c>
      <c r="H337" s="12"/>
      <c r="I337" s="12"/>
      <c r="J337" s="12">
        <v>1855</v>
      </c>
      <c r="K337" s="12">
        <f t="shared" si="66"/>
        <v>0</v>
      </c>
      <c r="L337" s="12">
        <f t="shared" si="67"/>
        <v>1875</v>
      </c>
      <c r="M337" s="12" t="str">
        <f t="shared" si="68"/>
        <v/>
      </c>
      <c r="N337" s="12">
        <f t="shared" si="69"/>
        <v>1855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525</v>
      </c>
      <c r="D338" s="15" t="s">
        <v>80</v>
      </c>
      <c r="E338" s="11" t="s">
        <v>61</v>
      </c>
      <c r="F338" s="11" t="s">
        <v>526</v>
      </c>
      <c r="G338" s="12">
        <v>1875</v>
      </c>
      <c r="H338" s="12"/>
      <c r="I338" s="12"/>
      <c r="J338" s="12">
        <v>1859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1859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1334</v>
      </c>
      <c r="D339" s="11" t="s">
        <v>57</v>
      </c>
      <c r="E339" s="11" t="s">
        <v>61</v>
      </c>
      <c r="F339" s="11" t="s">
        <v>1335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12</v>
      </c>
      <c r="C340" s="11" t="s">
        <v>1527</v>
      </c>
      <c r="D340" s="15" t="s">
        <v>45</v>
      </c>
      <c r="E340" s="11" t="s">
        <v>61</v>
      </c>
      <c r="F340" s="11" t="s">
        <v>1528</v>
      </c>
      <c r="G340" s="12">
        <v>1878</v>
      </c>
      <c r="H340" s="12"/>
      <c r="I340" s="12"/>
      <c r="J340" s="12">
        <v>1858</v>
      </c>
      <c r="K340" s="12">
        <f t="shared" si="66"/>
        <v>0</v>
      </c>
      <c r="L340" s="12">
        <f t="shared" si="67"/>
        <v>1878</v>
      </c>
      <c r="M340" s="12" t="str">
        <f t="shared" si="68"/>
        <v/>
      </c>
      <c r="N340" s="12">
        <f t="shared" si="69"/>
        <v>1858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16" customFormat="1" ht="28.5" customHeight="1">
      <c r="A341" s="11" t="str">
        <f t="shared" si="65"/>
        <v/>
      </c>
      <c r="B341" s="11" t="s">
        <v>14</v>
      </c>
      <c r="C341" s="11" t="s">
        <v>1428</v>
      </c>
      <c r="D341" s="11" t="s">
        <v>57</v>
      </c>
      <c r="E341" s="11" t="s">
        <v>61</v>
      </c>
      <c r="F341" s="11" t="s">
        <v>1429</v>
      </c>
      <c r="G341" s="12">
        <v>1878</v>
      </c>
      <c r="H341" s="12"/>
      <c r="I341" s="12"/>
      <c r="J341" s="12">
        <v>1868</v>
      </c>
      <c r="K341" s="12">
        <f t="shared" si="66"/>
        <v>0</v>
      </c>
      <c r="L341" s="12">
        <f t="shared" si="67"/>
        <v>1878</v>
      </c>
      <c r="M341" s="12" t="str">
        <f t="shared" si="68"/>
        <v/>
      </c>
      <c r="N341" s="12">
        <f t="shared" si="69"/>
        <v>1868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14</v>
      </c>
      <c r="C342" s="11" t="s">
        <v>398</v>
      </c>
      <c r="D342" s="15" t="s">
        <v>45</v>
      </c>
      <c r="E342" s="11" t="s">
        <v>26</v>
      </c>
      <c r="F342" s="11" t="s">
        <v>399</v>
      </c>
      <c r="G342" s="12">
        <v>1878</v>
      </c>
      <c r="H342" s="12"/>
      <c r="I342" s="12"/>
      <c r="J342" s="12">
        <v>1874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1874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8</v>
      </c>
      <c r="C343" s="11" t="s">
        <v>751</v>
      </c>
      <c r="D343" s="11" t="s">
        <v>57</v>
      </c>
      <c r="E343" s="11" t="s">
        <v>61</v>
      </c>
      <c r="F343" s="11" t="s">
        <v>752</v>
      </c>
      <c r="G343" s="12">
        <v>1879</v>
      </c>
      <c r="H343" s="12"/>
      <c r="I343" s="12"/>
      <c r="J343" s="12">
        <v>1859</v>
      </c>
      <c r="K343" s="12">
        <f t="shared" si="66"/>
        <v>0</v>
      </c>
      <c r="L343" s="12">
        <f t="shared" si="67"/>
        <v>1879</v>
      </c>
      <c r="M343" s="12" t="str">
        <f t="shared" si="68"/>
        <v/>
      </c>
      <c r="N343" s="12">
        <f t="shared" si="69"/>
        <v>1859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8</v>
      </c>
      <c r="C344" s="11" t="s">
        <v>1173</v>
      </c>
      <c r="D344" s="15" t="s">
        <v>45</v>
      </c>
      <c r="E344" s="11" t="s">
        <v>26</v>
      </c>
      <c r="F344" s="11" t="s">
        <v>1174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14</v>
      </c>
      <c r="C345" s="11" t="s">
        <v>1108</v>
      </c>
      <c r="D345" s="11" t="s">
        <v>57</v>
      </c>
      <c r="E345" s="11" t="s">
        <v>26</v>
      </c>
      <c r="F345" s="11" t="s">
        <v>1109</v>
      </c>
      <c r="G345" s="12">
        <v>1879</v>
      </c>
      <c r="H345" s="12"/>
      <c r="I345" s="12"/>
      <c r="J345" s="12">
        <v>1864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1864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8</v>
      </c>
      <c r="C346" s="11" t="s">
        <v>865</v>
      </c>
      <c r="D346" s="15" t="s">
        <v>45</v>
      </c>
      <c r="E346" s="11" t="s">
        <v>61</v>
      </c>
      <c r="F346" s="11" t="s">
        <v>866</v>
      </c>
      <c r="G346" s="12">
        <v>1879</v>
      </c>
      <c r="H346" s="12"/>
      <c r="I346" s="12"/>
      <c r="J346" s="12">
        <v>1869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1869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8</v>
      </c>
      <c r="C347" s="11" t="s">
        <v>1615</v>
      </c>
      <c r="D347" s="11" t="s">
        <v>57</v>
      </c>
      <c r="E347" s="11" t="s">
        <v>26</v>
      </c>
      <c r="F347" s="11" t="s">
        <v>1616</v>
      </c>
      <c r="G347" s="12">
        <v>1879</v>
      </c>
      <c r="H347" s="12"/>
      <c r="I347" s="12"/>
      <c r="J347" s="12">
        <v>1869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14</v>
      </c>
      <c r="C348" s="11" t="s">
        <v>1302</v>
      </c>
      <c r="D348" s="11" t="s">
        <v>71</v>
      </c>
      <c r="E348" s="11" t="s">
        <v>26</v>
      </c>
      <c r="F348" s="11" t="s">
        <v>1303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7" customFormat="1" ht="28.5" customHeight="1">
      <c r="A349" s="11" t="str">
        <f t="shared" si="65"/>
        <v/>
      </c>
      <c r="B349" s="11" t="s">
        <v>10</v>
      </c>
      <c r="C349" s="11" t="s">
        <v>1073</v>
      </c>
      <c r="D349" s="15" t="s">
        <v>60</v>
      </c>
      <c r="E349" s="11" t="s">
        <v>61</v>
      </c>
      <c r="F349" s="11" t="s">
        <v>1074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10</v>
      </c>
      <c r="C350" s="11" t="s">
        <v>1381</v>
      </c>
      <c r="D350" s="15" t="s">
        <v>45</v>
      </c>
      <c r="E350" s="11" t="s">
        <v>61</v>
      </c>
      <c r="F350" s="11" t="s">
        <v>1382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944</v>
      </c>
      <c r="D351" s="15" t="s">
        <v>45</v>
      </c>
      <c r="E351" s="11" t="s">
        <v>61</v>
      </c>
      <c r="F351" s="11" t="s">
        <v>945</v>
      </c>
      <c r="G351" s="12">
        <v>1879</v>
      </c>
      <c r="H351" s="12"/>
      <c r="I351" s="12"/>
      <c r="J351" s="12">
        <v>1879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1879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6</v>
      </c>
      <c r="C352" s="11" t="s">
        <v>1654</v>
      </c>
      <c r="D352" s="11" t="s">
        <v>57</v>
      </c>
      <c r="E352" s="11" t="s">
        <v>26</v>
      </c>
      <c r="F352" s="11" t="s">
        <v>1655</v>
      </c>
      <c r="G352" s="12">
        <v>1883</v>
      </c>
      <c r="H352" s="12"/>
      <c r="I352" s="12"/>
      <c r="J352" s="12">
        <v>1874</v>
      </c>
      <c r="K352" s="12">
        <f t="shared" si="66"/>
        <v>0</v>
      </c>
      <c r="L352" s="12">
        <f t="shared" si="67"/>
        <v>1883</v>
      </c>
      <c r="M352" s="12" t="str">
        <f t="shared" si="68"/>
        <v/>
      </c>
      <c r="N352" s="12">
        <f t="shared" si="69"/>
        <v>1874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1434</v>
      </c>
      <c r="D353" s="15" t="s">
        <v>45</v>
      </c>
      <c r="E353" s="11" t="s">
        <v>26</v>
      </c>
      <c r="F353" s="11" t="s">
        <v>1435</v>
      </c>
      <c r="G353" s="12">
        <v>1884</v>
      </c>
      <c r="H353" s="12"/>
      <c r="I353" s="12"/>
      <c r="J353" s="12">
        <v>1873</v>
      </c>
      <c r="K353" s="12">
        <f t="shared" si="66"/>
        <v>0</v>
      </c>
      <c r="L353" s="12">
        <f t="shared" si="67"/>
        <v>1884</v>
      </c>
      <c r="M353" s="12" t="str">
        <f t="shared" si="68"/>
        <v/>
      </c>
      <c r="N353" s="12">
        <f t="shared" si="69"/>
        <v>1873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6</v>
      </c>
      <c r="C354" s="11" t="s">
        <v>863</v>
      </c>
      <c r="D354" s="15" t="s">
        <v>80</v>
      </c>
      <c r="E354" s="11" t="s">
        <v>26</v>
      </c>
      <c r="F354" s="11" t="s">
        <v>864</v>
      </c>
      <c r="G354" s="12">
        <v>1885</v>
      </c>
      <c r="H354" s="12"/>
      <c r="I354" s="12"/>
      <c r="J354" s="12">
        <v>1875</v>
      </c>
      <c r="K354" s="12">
        <f t="shared" si="66"/>
        <v>0</v>
      </c>
      <c r="L354" s="12">
        <f t="shared" si="67"/>
        <v>1885</v>
      </c>
      <c r="M354" s="12" t="str">
        <f t="shared" si="68"/>
        <v/>
      </c>
      <c r="N354" s="12">
        <f t="shared" si="69"/>
        <v>1875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14</v>
      </c>
      <c r="C355" s="11" t="s">
        <v>1318</v>
      </c>
      <c r="D355" s="15" t="s">
        <v>60</v>
      </c>
      <c r="E355" s="11" t="s">
        <v>26</v>
      </c>
      <c r="F355" s="11" t="s">
        <v>1319</v>
      </c>
      <c r="G355" s="12">
        <v>1887</v>
      </c>
      <c r="H355" s="12"/>
      <c r="I355" s="12"/>
      <c r="J355" s="12">
        <v>1868</v>
      </c>
      <c r="K355" s="12">
        <f t="shared" si="66"/>
        <v>0</v>
      </c>
      <c r="L355" s="12">
        <f t="shared" si="67"/>
        <v>1887</v>
      </c>
      <c r="M355" s="12" t="str">
        <f t="shared" si="68"/>
        <v/>
      </c>
      <c r="N355" s="12">
        <f t="shared" si="69"/>
        <v>1868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7" customFormat="1" ht="28.5" customHeight="1">
      <c r="A356" s="11" t="str">
        <f t="shared" si="65"/>
        <v/>
      </c>
      <c r="B356" s="11" t="s">
        <v>14</v>
      </c>
      <c r="C356" s="11" t="s">
        <v>1681</v>
      </c>
      <c r="D356" s="15" t="s">
        <v>45</v>
      </c>
      <c r="E356" s="11" t="s">
        <v>26</v>
      </c>
      <c r="F356" s="11" t="s">
        <v>1682</v>
      </c>
      <c r="G356" s="12">
        <v>1889</v>
      </c>
      <c r="H356" s="12"/>
      <c r="I356" s="12"/>
      <c r="J356" s="12">
        <v>1879</v>
      </c>
      <c r="K356" s="12">
        <f t="shared" si="66"/>
        <v>0</v>
      </c>
      <c r="L356" s="12">
        <f t="shared" si="67"/>
        <v>1889</v>
      </c>
      <c r="M356" s="12" t="str">
        <f t="shared" si="68"/>
        <v/>
      </c>
      <c r="N356" s="12">
        <f t="shared" si="69"/>
        <v>1879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16" customFormat="1" ht="28.5" customHeight="1">
      <c r="A357" s="11" t="str">
        <f t="shared" si="65"/>
        <v/>
      </c>
      <c r="B357" s="11" t="s">
        <v>10</v>
      </c>
      <c r="C357" s="11" t="s">
        <v>908</v>
      </c>
      <c r="D357" s="11" t="s">
        <v>57</v>
      </c>
      <c r="E357" s="11" t="s">
        <v>26</v>
      </c>
      <c r="F357" s="11" t="s">
        <v>909</v>
      </c>
      <c r="G357" s="12">
        <v>1889</v>
      </c>
      <c r="H357" s="12"/>
      <c r="I357" s="12"/>
      <c r="J357" s="12">
        <v>1879</v>
      </c>
      <c r="K357" s="12">
        <f t="shared" si="66"/>
        <v>0</v>
      </c>
      <c r="L357" s="12">
        <f t="shared" si="67"/>
        <v>1889</v>
      </c>
      <c r="M357" s="12" t="str">
        <f t="shared" si="68"/>
        <v/>
      </c>
      <c r="N357" s="12">
        <f t="shared" si="69"/>
        <v>1879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7" customFormat="1" ht="28.5" customHeight="1">
      <c r="A358" s="11" t="str">
        <f t="shared" si="65"/>
        <v/>
      </c>
      <c r="B358" s="11" t="s">
        <v>14</v>
      </c>
      <c r="C358" s="11" t="s">
        <v>606</v>
      </c>
      <c r="D358" s="15" t="s">
        <v>45</v>
      </c>
      <c r="E358" s="11" t="s">
        <v>61</v>
      </c>
      <c r="F358" s="11" t="s">
        <v>607</v>
      </c>
      <c r="G358" s="12">
        <v>1889</v>
      </c>
      <c r="H358" s="12"/>
      <c r="I358" s="12"/>
      <c r="J358" s="12">
        <v>2029</v>
      </c>
      <c r="K358" s="12">
        <f t="shared" si="66"/>
        <v>0</v>
      </c>
      <c r="L358" s="12">
        <f t="shared" si="67"/>
        <v>1889</v>
      </c>
      <c r="M358" s="12" t="str">
        <f t="shared" si="68"/>
        <v/>
      </c>
      <c r="N358" s="12">
        <f t="shared" si="69"/>
        <v>2029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10</v>
      </c>
      <c r="C359" s="11" t="s">
        <v>1733</v>
      </c>
      <c r="D359" s="15" t="s">
        <v>45</v>
      </c>
      <c r="E359" s="11" t="s">
        <v>26</v>
      </c>
      <c r="F359" s="11" t="s">
        <v>1734</v>
      </c>
      <c r="G359" s="12">
        <v>1890</v>
      </c>
      <c r="H359" s="12"/>
      <c r="I359" s="12"/>
      <c r="J359" s="12">
        <v>1870</v>
      </c>
      <c r="K359" s="12">
        <f t="shared" si="66"/>
        <v>0</v>
      </c>
      <c r="L359" s="12">
        <f t="shared" si="67"/>
        <v>1890</v>
      </c>
      <c r="M359" s="12" t="str">
        <f t="shared" si="68"/>
        <v/>
      </c>
      <c r="N359" s="12">
        <f t="shared" si="69"/>
        <v>1870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8</v>
      </c>
      <c r="C360" s="11" t="s">
        <v>792</v>
      </c>
      <c r="D360" s="15" t="s">
        <v>45</v>
      </c>
      <c r="E360" s="11" t="s">
        <v>61</v>
      </c>
      <c r="F360" s="11" t="s">
        <v>793</v>
      </c>
      <c r="G360" s="12">
        <v>1890</v>
      </c>
      <c r="H360" s="12"/>
      <c r="I360" s="12"/>
      <c r="J360" s="12">
        <v>1890</v>
      </c>
      <c r="K360" s="12">
        <f t="shared" si="66"/>
        <v>0</v>
      </c>
      <c r="L360" s="12">
        <f t="shared" si="67"/>
        <v>1890</v>
      </c>
      <c r="M360" s="12" t="str">
        <f t="shared" si="68"/>
        <v/>
      </c>
      <c r="N360" s="12">
        <f t="shared" si="69"/>
        <v>1890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8</v>
      </c>
      <c r="C361" s="11" t="s">
        <v>1587</v>
      </c>
      <c r="D361" s="15" t="s">
        <v>45</v>
      </c>
      <c r="E361" s="11" t="s">
        <v>26</v>
      </c>
      <c r="F361" s="11" t="s">
        <v>1588</v>
      </c>
      <c r="G361" s="12">
        <v>1890</v>
      </c>
      <c r="H361" s="12"/>
      <c r="I361" s="12"/>
      <c r="J361" s="12">
        <v>1890</v>
      </c>
      <c r="K361" s="12">
        <f t="shared" si="66"/>
        <v>0</v>
      </c>
      <c r="L361" s="12">
        <f t="shared" si="67"/>
        <v>1890</v>
      </c>
      <c r="M361" s="12" t="str">
        <f t="shared" si="68"/>
        <v/>
      </c>
      <c r="N361" s="12">
        <f t="shared" si="69"/>
        <v>1890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496</v>
      </c>
      <c r="D362" s="15" t="s">
        <v>80</v>
      </c>
      <c r="E362" s="11" t="s">
        <v>26</v>
      </c>
      <c r="F362" s="11" t="s">
        <v>497</v>
      </c>
      <c r="G362" s="12">
        <v>1890</v>
      </c>
      <c r="H362" s="12"/>
      <c r="I362" s="12"/>
      <c r="J362" s="12">
        <v>1890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1890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1521</v>
      </c>
      <c r="D363" s="15" t="s">
        <v>45</v>
      </c>
      <c r="E363" s="11" t="s">
        <v>26</v>
      </c>
      <c r="F363" s="11" t="s">
        <v>1522</v>
      </c>
      <c r="G363" s="12">
        <v>1891</v>
      </c>
      <c r="H363" s="12"/>
      <c r="I363" s="12"/>
      <c r="J363" s="12">
        <v>1859</v>
      </c>
      <c r="K363" s="12">
        <f t="shared" si="66"/>
        <v>0</v>
      </c>
      <c r="L363" s="12">
        <f t="shared" si="67"/>
        <v>1891</v>
      </c>
      <c r="M363" s="12" t="str">
        <f t="shared" si="68"/>
        <v/>
      </c>
      <c r="N363" s="12">
        <f t="shared" si="69"/>
        <v>1859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6</v>
      </c>
      <c r="C364" s="11" t="s">
        <v>1258</v>
      </c>
      <c r="D364" s="11" t="s">
        <v>57</v>
      </c>
      <c r="E364" s="11" t="s">
        <v>61</v>
      </c>
      <c r="F364" s="11" t="s">
        <v>1259</v>
      </c>
      <c r="G364" s="12">
        <v>1895</v>
      </c>
      <c r="H364" s="12"/>
      <c r="I364" s="12"/>
      <c r="J364" s="12">
        <v>1854</v>
      </c>
      <c r="K364" s="12">
        <f t="shared" si="66"/>
        <v>0</v>
      </c>
      <c r="L364" s="12">
        <f t="shared" si="67"/>
        <v>1895</v>
      </c>
      <c r="M364" s="12" t="str">
        <f t="shared" si="68"/>
        <v/>
      </c>
      <c r="N364" s="12">
        <f t="shared" si="69"/>
        <v>1854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14</v>
      </c>
      <c r="C365" s="11" t="s">
        <v>380</v>
      </c>
      <c r="D365" s="15" t="s">
        <v>60</v>
      </c>
      <c r="E365" s="11" t="s">
        <v>61</v>
      </c>
      <c r="F365" s="11" t="s">
        <v>381</v>
      </c>
      <c r="G365" s="12">
        <v>1895</v>
      </c>
      <c r="H365" s="12"/>
      <c r="I365" s="12"/>
      <c r="J365" s="12">
        <v>1868</v>
      </c>
      <c r="K365" s="12">
        <f t="shared" si="66"/>
        <v>0</v>
      </c>
      <c r="L365" s="12">
        <f t="shared" si="67"/>
        <v>1895</v>
      </c>
      <c r="M365" s="12" t="str">
        <f t="shared" si="68"/>
        <v/>
      </c>
      <c r="N365" s="12">
        <f t="shared" si="69"/>
        <v>1868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7" customFormat="1" ht="28.5" customHeight="1">
      <c r="A366" s="11" t="str">
        <f t="shared" si="65"/>
        <v/>
      </c>
      <c r="B366" s="11" t="s">
        <v>12</v>
      </c>
      <c r="C366" s="11" t="s">
        <v>304</v>
      </c>
      <c r="D366" s="15" t="s">
        <v>57</v>
      </c>
      <c r="E366" s="11" t="s">
        <v>26</v>
      </c>
      <c r="F366" s="11" t="s">
        <v>305</v>
      </c>
      <c r="G366" s="12">
        <v>1895</v>
      </c>
      <c r="H366" s="12"/>
      <c r="I366" s="12"/>
      <c r="J366" s="12">
        <v>1875</v>
      </c>
      <c r="K366" s="12">
        <f t="shared" si="66"/>
        <v>0</v>
      </c>
      <c r="L366" s="12">
        <f t="shared" si="67"/>
        <v>1895</v>
      </c>
      <c r="M366" s="12" t="str">
        <f t="shared" si="68"/>
        <v/>
      </c>
      <c r="N366" s="12">
        <f t="shared" si="69"/>
        <v>1875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6</v>
      </c>
      <c r="C367" s="11" t="s">
        <v>1019</v>
      </c>
      <c r="D367" s="11" t="s">
        <v>57</v>
      </c>
      <c r="E367" s="11" t="s">
        <v>26</v>
      </c>
      <c r="F367" s="11" t="s">
        <v>1020</v>
      </c>
      <c r="G367" s="12">
        <v>1895</v>
      </c>
      <c r="H367" s="12"/>
      <c r="I367" s="12"/>
      <c r="J367" s="12">
        <v>1885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1885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8</v>
      </c>
      <c r="C368" s="11" t="s">
        <v>1038</v>
      </c>
      <c r="D368" s="11" t="s">
        <v>57</v>
      </c>
      <c r="E368" s="11" t="s">
        <v>61</v>
      </c>
      <c r="F368" s="11" t="s">
        <v>1040</v>
      </c>
      <c r="G368" s="12">
        <v>1895</v>
      </c>
      <c r="H368" s="12"/>
      <c r="I368" s="12"/>
      <c r="J368" s="12">
        <v>1885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1885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12</v>
      </c>
      <c r="C369" s="11" t="s">
        <v>765</v>
      </c>
      <c r="D369" s="15" t="s">
        <v>45</v>
      </c>
      <c r="E369" s="11" t="s">
        <v>61</v>
      </c>
      <c r="F369" s="11" t="s">
        <v>766</v>
      </c>
      <c r="G369" s="12">
        <v>1895</v>
      </c>
      <c r="H369" s="12"/>
      <c r="I369" s="12"/>
      <c r="J369" s="12">
        <v>1885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1885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12</v>
      </c>
      <c r="C370" s="11" t="s">
        <v>769</v>
      </c>
      <c r="D370" s="15" t="s">
        <v>45</v>
      </c>
      <c r="E370" s="11" t="s">
        <v>61</v>
      </c>
      <c r="F370" s="11" t="s">
        <v>771</v>
      </c>
      <c r="G370" s="12">
        <v>1895</v>
      </c>
      <c r="H370" s="12"/>
      <c r="I370" s="12"/>
      <c r="J370" s="12">
        <v>1885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1885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10</v>
      </c>
      <c r="C371" s="11" t="s">
        <v>421</v>
      </c>
      <c r="D371" s="11" t="s">
        <v>57</v>
      </c>
      <c r="E371" s="11" t="s">
        <v>61</v>
      </c>
      <c r="F371" s="11" t="s">
        <v>423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1348</v>
      </c>
      <c r="D372" s="15" t="s">
        <v>45</v>
      </c>
      <c r="E372" s="11" t="s">
        <v>61</v>
      </c>
      <c r="F372" s="11" t="s">
        <v>1349</v>
      </c>
      <c r="G372" s="12">
        <v>1895</v>
      </c>
      <c r="H372" s="12"/>
      <c r="I372" s="12"/>
      <c r="J372" s="12">
        <v>1889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1889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7" customFormat="1" ht="28.5" customHeight="1">
      <c r="A373" s="11" t="str">
        <f t="shared" si="65"/>
        <v/>
      </c>
      <c r="B373" s="11" t="s">
        <v>6</v>
      </c>
      <c r="C373" s="11" t="s">
        <v>1256</v>
      </c>
      <c r="D373" s="11" t="s">
        <v>57</v>
      </c>
      <c r="E373" s="11" t="s">
        <v>26</v>
      </c>
      <c r="F373" s="11" t="s">
        <v>1257</v>
      </c>
      <c r="G373" s="12">
        <v>1895</v>
      </c>
      <c r="H373" s="12"/>
      <c r="I373" s="12"/>
      <c r="J373" s="12">
        <v>1895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1895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1013</v>
      </c>
      <c r="D374" s="15" t="s">
        <v>60</v>
      </c>
      <c r="E374" s="11" t="s">
        <v>61</v>
      </c>
      <c r="F374" s="11" t="s">
        <v>1014</v>
      </c>
      <c r="G374" s="12">
        <v>1895</v>
      </c>
      <c r="H374" s="12"/>
      <c r="I374" s="12"/>
      <c r="J374" s="12">
        <v>1895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1895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1260</v>
      </c>
      <c r="D375" s="15" t="s">
        <v>45</v>
      </c>
      <c r="E375" s="11" t="s">
        <v>61</v>
      </c>
      <c r="F375" s="11" t="s">
        <v>1261</v>
      </c>
      <c r="G375" s="12">
        <v>1895</v>
      </c>
      <c r="H375" s="12"/>
      <c r="I375" s="12"/>
      <c r="J375" s="12">
        <v>1895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1895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14</v>
      </c>
      <c r="C376" s="11" t="s">
        <v>857</v>
      </c>
      <c r="D376" s="15" t="s">
        <v>45</v>
      </c>
      <c r="E376" s="11" t="s">
        <v>61</v>
      </c>
      <c r="F376" s="11" t="s">
        <v>858</v>
      </c>
      <c r="G376" s="12">
        <v>1897</v>
      </c>
      <c r="H376" s="12"/>
      <c r="I376" s="12"/>
      <c r="J376" s="12">
        <v>1887</v>
      </c>
      <c r="K376" s="12">
        <f t="shared" si="66"/>
        <v>0</v>
      </c>
      <c r="L376" s="12">
        <f t="shared" si="67"/>
        <v>1897</v>
      </c>
      <c r="M376" s="12" t="str">
        <f t="shared" si="68"/>
        <v/>
      </c>
      <c r="N376" s="12">
        <f t="shared" si="69"/>
        <v>1887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12</v>
      </c>
      <c r="C377" s="11" t="s">
        <v>182</v>
      </c>
      <c r="D377" s="15" t="s">
        <v>57</v>
      </c>
      <c r="E377" s="11" t="s">
        <v>61</v>
      </c>
      <c r="F377" s="11" t="s">
        <v>183</v>
      </c>
      <c r="G377" s="12">
        <v>1897</v>
      </c>
      <c r="H377" s="12"/>
      <c r="I377" s="12"/>
      <c r="J377" s="12">
        <v>1887</v>
      </c>
      <c r="K377" s="12">
        <f t="shared" si="66"/>
        <v>0</v>
      </c>
      <c r="L377" s="12">
        <f t="shared" si="67"/>
        <v>1897</v>
      </c>
      <c r="M377" s="12" t="str">
        <f t="shared" si="68"/>
        <v/>
      </c>
      <c r="N377" s="12">
        <f t="shared" si="69"/>
        <v>1887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484</v>
      </c>
      <c r="D378" s="15" t="s">
        <v>45</v>
      </c>
      <c r="E378" s="11" t="s">
        <v>61</v>
      </c>
      <c r="F378" s="11" t="s">
        <v>485</v>
      </c>
      <c r="G378" s="12">
        <v>1897</v>
      </c>
      <c r="H378" s="12"/>
      <c r="I378" s="12"/>
      <c r="J378" s="12">
        <v>1897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1897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7" customFormat="1" ht="28.5" customHeight="1">
      <c r="A379" s="11" t="str">
        <f t="shared" si="65"/>
        <v/>
      </c>
      <c r="B379" s="11" t="s">
        <v>12</v>
      </c>
      <c r="C379" s="11" t="s">
        <v>874</v>
      </c>
      <c r="D379" s="15" t="s">
        <v>57</v>
      </c>
      <c r="E379" s="11" t="s">
        <v>61</v>
      </c>
      <c r="F379" s="11" t="s">
        <v>875</v>
      </c>
      <c r="G379" s="12">
        <v>1897</v>
      </c>
      <c r="H379" s="12"/>
      <c r="I379" s="12"/>
      <c r="J379" s="12">
        <v>1897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1897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10</v>
      </c>
      <c r="C380" s="11" t="s">
        <v>1009</v>
      </c>
      <c r="D380" s="15" t="s">
        <v>45</v>
      </c>
      <c r="E380" s="11" t="s">
        <v>26</v>
      </c>
      <c r="F380" s="11" t="s">
        <v>1010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12</v>
      </c>
      <c r="C381" s="11" t="s">
        <v>807</v>
      </c>
      <c r="D381" s="15" t="s">
        <v>57</v>
      </c>
      <c r="E381" s="11" t="s">
        <v>26</v>
      </c>
      <c r="F381" s="11" t="s">
        <v>808</v>
      </c>
      <c r="G381" s="12">
        <v>1898</v>
      </c>
      <c r="H381" s="12"/>
      <c r="I381" s="12"/>
      <c r="J381" s="12">
        <v>1867</v>
      </c>
      <c r="K381" s="12">
        <f t="shared" si="66"/>
        <v>0</v>
      </c>
      <c r="L381" s="12">
        <f t="shared" si="67"/>
        <v>1898</v>
      </c>
      <c r="M381" s="12" t="str">
        <f t="shared" si="68"/>
        <v/>
      </c>
      <c r="N381" s="12">
        <f t="shared" si="69"/>
        <v>1867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16" customFormat="1" ht="28.5" customHeight="1">
      <c r="A382" s="11" t="str">
        <f t="shared" si="65"/>
        <v/>
      </c>
      <c r="B382" s="11" t="s">
        <v>12</v>
      </c>
      <c r="C382" s="11" t="s">
        <v>1181</v>
      </c>
      <c r="D382" s="15" t="s">
        <v>60</v>
      </c>
      <c r="E382" s="11" t="s">
        <v>61</v>
      </c>
      <c r="F382" s="11" t="s">
        <v>1182</v>
      </c>
      <c r="G382" s="12">
        <v>1898</v>
      </c>
      <c r="H382" s="12"/>
      <c r="I382" s="12"/>
      <c r="J382" s="12">
        <v>1878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1878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14</v>
      </c>
      <c r="C383" s="11" t="s">
        <v>838</v>
      </c>
      <c r="D383" s="15" t="s">
        <v>45</v>
      </c>
      <c r="E383" s="11" t="s">
        <v>61</v>
      </c>
      <c r="F383" s="11" t="s">
        <v>840</v>
      </c>
      <c r="G383" s="12">
        <v>1898</v>
      </c>
      <c r="H383" s="12"/>
      <c r="I383" s="12"/>
      <c r="J383" s="12">
        <v>1898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1898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438</v>
      </c>
      <c r="D384" s="15" t="s">
        <v>80</v>
      </c>
      <c r="E384" s="11" t="s">
        <v>26</v>
      </c>
      <c r="F384" s="11" t="s">
        <v>439</v>
      </c>
      <c r="G384" s="12">
        <v>1898</v>
      </c>
      <c r="H384" s="12"/>
      <c r="I384" s="12"/>
      <c r="J384" s="12">
        <v>1898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1898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505</v>
      </c>
      <c r="D385" s="15" t="s">
        <v>60</v>
      </c>
      <c r="E385" s="11" t="s">
        <v>26</v>
      </c>
      <c r="F385" s="11" t="s">
        <v>506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16" customFormat="1" ht="28.5" customHeight="1">
      <c r="A386" s="11" t="str">
        <f t="shared" si="65"/>
        <v/>
      </c>
      <c r="B386" s="11" t="s">
        <v>10</v>
      </c>
      <c r="C386" s="11" t="s">
        <v>1708</v>
      </c>
      <c r="D386" s="11" t="s">
        <v>57</v>
      </c>
      <c r="E386" s="11" t="s">
        <v>26</v>
      </c>
      <c r="F386" s="11" t="s">
        <v>1709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6</v>
      </c>
      <c r="C387" s="11" t="s">
        <v>1531</v>
      </c>
      <c r="D387" s="15" t="s">
        <v>80</v>
      </c>
      <c r="E387" s="11" t="s">
        <v>26</v>
      </c>
      <c r="F387" s="11" t="s">
        <v>1532</v>
      </c>
      <c r="G387" s="12">
        <v>1899</v>
      </c>
      <c r="H387" s="12"/>
      <c r="I387" s="12"/>
      <c r="J387" s="12">
        <v>1849</v>
      </c>
      <c r="K387" s="12">
        <f t="shared" si="66"/>
        <v>0</v>
      </c>
      <c r="L387" s="12">
        <f t="shared" si="67"/>
        <v>1899</v>
      </c>
      <c r="M387" s="12" t="str">
        <f t="shared" si="68"/>
        <v/>
      </c>
      <c r="N387" s="12">
        <f t="shared" si="69"/>
        <v>1849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10</v>
      </c>
      <c r="C388" s="11" t="s">
        <v>1611</v>
      </c>
      <c r="D388" s="15" t="s">
        <v>60</v>
      </c>
      <c r="E388" s="11" t="s">
        <v>61</v>
      </c>
      <c r="F388" s="11" t="s">
        <v>1612</v>
      </c>
      <c r="G388" s="12">
        <v>1899</v>
      </c>
      <c r="H388" s="12"/>
      <c r="I388" s="12"/>
      <c r="J388" s="12">
        <v>1859</v>
      </c>
      <c r="K388" s="12">
        <f t="shared" si="66"/>
        <v>0</v>
      </c>
      <c r="L388" s="12">
        <f t="shared" si="67"/>
        <v>1899</v>
      </c>
      <c r="M388" s="12" t="str">
        <f t="shared" si="68"/>
        <v/>
      </c>
      <c r="N388" s="12">
        <f t="shared" si="69"/>
        <v>1859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428</v>
      </c>
      <c r="D389" s="15" t="s">
        <v>45</v>
      </c>
      <c r="E389" s="11" t="s">
        <v>61</v>
      </c>
      <c r="F389" s="11" t="s">
        <v>430</v>
      </c>
      <c r="G389" s="12">
        <v>1899</v>
      </c>
      <c r="H389" s="12"/>
      <c r="I389" s="12"/>
      <c r="J389" s="12">
        <v>1869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1869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64</v>
      </c>
      <c r="D390" s="15" t="s">
        <v>60</v>
      </c>
      <c r="E390" s="11" t="s">
        <v>61</v>
      </c>
      <c r="F390" s="11" t="s">
        <v>65</v>
      </c>
      <c r="G390" s="12">
        <v>1899</v>
      </c>
      <c r="H390" s="12"/>
      <c r="I390" s="12"/>
      <c r="J390" s="12">
        <v>1873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1873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280</v>
      </c>
      <c r="D391" s="15" t="s">
        <v>45</v>
      </c>
      <c r="E391" s="11" t="s">
        <v>26</v>
      </c>
      <c r="F391" s="11" t="s">
        <v>281</v>
      </c>
      <c r="G391" s="12">
        <v>1899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496</v>
      </c>
      <c r="D392" s="11" t="s">
        <v>57</v>
      </c>
      <c r="E392" s="11" t="s">
        <v>26</v>
      </c>
      <c r="F392" s="11" t="s">
        <v>498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1718</v>
      </c>
      <c r="D393" s="11" t="s">
        <v>57</v>
      </c>
      <c r="E393" s="11" t="s">
        <v>61</v>
      </c>
      <c r="F393" s="11" t="s">
        <v>1719</v>
      </c>
      <c r="G393" s="12">
        <v>1899</v>
      </c>
      <c r="H393" s="12"/>
      <c r="I393" s="12"/>
      <c r="J393" s="12">
        <v>1889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1889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16" customFormat="1" ht="28.5" customHeight="1">
      <c r="A394" s="11" t="str">
        <f t="shared" si="65"/>
        <v/>
      </c>
      <c r="B394" s="11" t="s">
        <v>12</v>
      </c>
      <c r="C394" s="11" t="s">
        <v>805</v>
      </c>
      <c r="D394" s="15" t="s">
        <v>57</v>
      </c>
      <c r="E394" s="11" t="s">
        <v>61</v>
      </c>
      <c r="F394" s="11" t="s">
        <v>806</v>
      </c>
      <c r="G394" s="12">
        <v>1899</v>
      </c>
      <c r="H394" s="12"/>
      <c r="I394" s="12"/>
      <c r="J394" s="12">
        <v>1889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1889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1547</v>
      </c>
      <c r="D395" s="15" t="s">
        <v>45</v>
      </c>
      <c r="E395" s="11" t="s">
        <v>61</v>
      </c>
      <c r="F395" s="11" t="s">
        <v>1548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1613</v>
      </c>
      <c r="D396" s="15" t="s">
        <v>45</v>
      </c>
      <c r="E396" s="11" t="s">
        <v>61</v>
      </c>
      <c r="F396" s="11" t="s">
        <v>1614</v>
      </c>
      <c r="G396" s="12">
        <v>1899</v>
      </c>
      <c r="H396" s="12"/>
      <c r="I396" s="12"/>
      <c r="J396" s="12">
        <v>1898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1898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661</v>
      </c>
      <c r="D397" s="15" t="s">
        <v>80</v>
      </c>
      <c r="E397" s="11" t="s">
        <v>61</v>
      </c>
      <c r="F397" s="11" t="s">
        <v>662</v>
      </c>
      <c r="G397" s="12">
        <v>1899</v>
      </c>
      <c r="H397" s="12"/>
      <c r="I397" s="12"/>
      <c r="J397" s="12">
        <v>1899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1899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7" customFormat="1" ht="28.5" customHeight="1">
      <c r="A398" s="11" t="str">
        <f t="shared" si="65"/>
        <v/>
      </c>
      <c r="B398" s="11" t="s">
        <v>14</v>
      </c>
      <c r="C398" s="11" t="s">
        <v>946</v>
      </c>
      <c r="D398" s="11" t="s">
        <v>57</v>
      </c>
      <c r="E398" s="11" t="s">
        <v>61</v>
      </c>
      <c r="F398" s="11" t="s">
        <v>947</v>
      </c>
      <c r="G398" s="12">
        <v>1899</v>
      </c>
      <c r="H398" s="12"/>
      <c r="I398" s="12"/>
      <c r="J398" s="12">
        <v>1899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1899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14</v>
      </c>
      <c r="C399" s="11" t="s">
        <v>988</v>
      </c>
      <c r="D399" s="15" t="s">
        <v>45</v>
      </c>
      <c r="E399" s="11" t="s">
        <v>26</v>
      </c>
      <c r="F399" s="11" t="s">
        <v>989</v>
      </c>
      <c r="G399" s="12">
        <v>1899</v>
      </c>
      <c r="H399" s="12"/>
      <c r="I399" s="12"/>
      <c r="J399" s="12">
        <v>1899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7" customFormat="1" ht="28.5" customHeight="1">
      <c r="A400" s="11" t="str">
        <f t="shared" si="78"/>
        <v/>
      </c>
      <c r="B400" s="11" t="s">
        <v>14</v>
      </c>
      <c r="C400" s="11" t="s">
        <v>1057</v>
      </c>
      <c r="D400" s="11" t="s">
        <v>57</v>
      </c>
      <c r="E400" s="11" t="s">
        <v>61</v>
      </c>
      <c r="F400" s="11" t="s">
        <v>1058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1375</v>
      </c>
      <c r="D401" s="11" t="s">
        <v>57</v>
      </c>
      <c r="E401" s="11" t="s">
        <v>61</v>
      </c>
      <c r="F401" s="11" t="s">
        <v>1376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12</v>
      </c>
      <c r="C402" s="11" t="s">
        <v>154</v>
      </c>
      <c r="D402" s="15" t="s">
        <v>57</v>
      </c>
      <c r="E402" s="11" t="s">
        <v>26</v>
      </c>
      <c r="F402" s="11" t="s">
        <v>155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432</v>
      </c>
      <c r="D403" s="15" t="s">
        <v>45</v>
      </c>
      <c r="E403" s="11" t="s">
        <v>61</v>
      </c>
      <c r="F403" s="11" t="s">
        <v>433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16" customFormat="1" ht="28.5" customHeight="1">
      <c r="A404" s="11" t="str">
        <f t="shared" si="78"/>
        <v/>
      </c>
      <c r="B404" s="11" t="s">
        <v>12</v>
      </c>
      <c r="C404" s="11" t="s">
        <v>861</v>
      </c>
      <c r="D404" s="15" t="s">
        <v>80</v>
      </c>
      <c r="E404" s="11" t="s">
        <v>26</v>
      </c>
      <c r="F404" s="11" t="s">
        <v>862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1563</v>
      </c>
      <c r="D405" s="15" t="s">
        <v>57</v>
      </c>
      <c r="E405" s="11" t="s">
        <v>26</v>
      </c>
      <c r="F405" s="11" t="s">
        <v>1564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7" customFormat="1" ht="28.5" customHeight="1">
      <c r="A406" s="11" t="str">
        <f t="shared" si="78"/>
        <v/>
      </c>
      <c r="B406" s="11" t="s">
        <v>10</v>
      </c>
      <c r="C406" s="11" t="s">
        <v>922</v>
      </c>
      <c r="D406" s="15" t="s">
        <v>45</v>
      </c>
      <c r="E406" s="11" t="s">
        <v>26</v>
      </c>
      <c r="F406" s="11" t="s">
        <v>923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10</v>
      </c>
      <c r="C407" s="11" t="s">
        <v>1183</v>
      </c>
      <c r="D407" s="11" t="s">
        <v>57</v>
      </c>
      <c r="E407" s="11" t="s">
        <v>61</v>
      </c>
      <c r="F407" s="11" t="s">
        <v>1184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10</v>
      </c>
      <c r="C408" s="11" t="s">
        <v>1185</v>
      </c>
      <c r="D408" s="15" t="s">
        <v>80</v>
      </c>
      <c r="E408" s="11" t="s">
        <v>61</v>
      </c>
      <c r="F408" s="11" t="s">
        <v>1186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10</v>
      </c>
      <c r="C409" s="11" t="s">
        <v>774</v>
      </c>
      <c r="D409" s="15" t="s">
        <v>45</v>
      </c>
      <c r="E409" s="11" t="s">
        <v>26</v>
      </c>
      <c r="F409" s="11" t="s">
        <v>775</v>
      </c>
      <c r="G409" s="12">
        <v>1899</v>
      </c>
      <c r="H409" s="12"/>
      <c r="I409" s="12"/>
      <c r="J409" s="12">
        <v>1909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1909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1055</v>
      </c>
      <c r="D410" s="15" t="s">
        <v>80</v>
      </c>
      <c r="E410" s="11" t="s">
        <v>26</v>
      </c>
      <c r="F410" s="11" t="s">
        <v>1056</v>
      </c>
      <c r="G410" s="12">
        <v>1900</v>
      </c>
      <c r="H410" s="12"/>
      <c r="I410" s="12"/>
      <c r="J410" s="12">
        <v>1900</v>
      </c>
      <c r="K410" s="12">
        <f t="shared" si="79"/>
        <v>0</v>
      </c>
      <c r="L410" s="12">
        <f t="shared" si="80"/>
        <v>1900</v>
      </c>
      <c r="M410" s="12" t="str">
        <f t="shared" si="81"/>
        <v/>
      </c>
      <c r="N410" s="12">
        <f t="shared" si="82"/>
        <v>1900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18</v>
      </c>
      <c r="C411" s="11" t="s">
        <v>1129</v>
      </c>
      <c r="D411" s="11" t="s">
        <v>57</v>
      </c>
      <c r="E411" s="11" t="s">
        <v>61</v>
      </c>
      <c r="F411" s="11" t="s">
        <v>1130</v>
      </c>
      <c r="G411" s="12">
        <v>1949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1949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1106</v>
      </c>
      <c r="D412" s="15" t="s">
        <v>60</v>
      </c>
      <c r="E412" s="11" t="s">
        <v>61</v>
      </c>
      <c r="F412" s="11" t="s">
        <v>1107</v>
      </c>
      <c r="G412" s="12">
        <v>1908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1908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7" customFormat="1" ht="28.5" customHeight="1">
      <c r="A413" s="11" t="str">
        <f t="shared" si="78"/>
        <v/>
      </c>
      <c r="B413" s="11" t="s">
        <v>14</v>
      </c>
      <c r="C413" s="11" t="s">
        <v>796</v>
      </c>
      <c r="D413" s="11" t="s">
        <v>57</v>
      </c>
      <c r="E413" s="11" t="s">
        <v>61</v>
      </c>
      <c r="F413" s="11" t="s">
        <v>797</v>
      </c>
      <c r="G413" s="12">
        <v>1909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1909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10</v>
      </c>
      <c r="C414" s="11" t="s">
        <v>807</v>
      </c>
      <c r="D414" s="15" t="s">
        <v>60</v>
      </c>
      <c r="E414" s="11" t="s">
        <v>61</v>
      </c>
      <c r="F414" s="11" t="s">
        <v>809</v>
      </c>
      <c r="G414" s="12">
        <v>1909</v>
      </c>
      <c r="H414" s="12"/>
      <c r="I414" s="12"/>
      <c r="J414" s="12">
        <v>1909</v>
      </c>
      <c r="K414" s="12">
        <f t="shared" si="79"/>
        <v>0</v>
      </c>
      <c r="L414" s="12">
        <f t="shared" si="80"/>
        <v>1909</v>
      </c>
      <c r="M414" s="12" t="str">
        <f t="shared" si="81"/>
        <v/>
      </c>
      <c r="N414" s="12">
        <f t="shared" si="82"/>
        <v>1909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8</v>
      </c>
      <c r="C415" s="11" t="s">
        <v>992</v>
      </c>
      <c r="D415" s="15" t="s">
        <v>45</v>
      </c>
      <c r="E415" s="11" t="s">
        <v>61</v>
      </c>
      <c r="F415" s="11" t="s">
        <v>993</v>
      </c>
      <c r="G415" s="12">
        <v>1910</v>
      </c>
      <c r="H415" s="12"/>
      <c r="I415" s="12"/>
      <c r="J415" s="12">
        <v>1870</v>
      </c>
      <c r="K415" s="12">
        <f t="shared" si="79"/>
        <v>0</v>
      </c>
      <c r="L415" s="12">
        <f t="shared" si="80"/>
        <v>1910</v>
      </c>
      <c r="M415" s="12" t="str">
        <f t="shared" si="81"/>
        <v/>
      </c>
      <c r="N415" s="12">
        <f t="shared" si="82"/>
        <v>1870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12</v>
      </c>
      <c r="C416" s="11" t="s">
        <v>569</v>
      </c>
      <c r="D416" s="15" t="s">
        <v>60</v>
      </c>
      <c r="E416" s="11" t="s">
        <v>61</v>
      </c>
      <c r="F416" s="11" t="s">
        <v>570</v>
      </c>
      <c r="G416" s="12">
        <v>1915</v>
      </c>
      <c r="H416" s="12"/>
      <c r="I416" s="12"/>
      <c r="J416" s="12">
        <v>1897</v>
      </c>
      <c r="K416" s="12">
        <f t="shared" si="79"/>
        <v>0</v>
      </c>
      <c r="L416" s="12">
        <f t="shared" si="80"/>
        <v>1915</v>
      </c>
      <c r="M416" s="12" t="str">
        <f t="shared" si="81"/>
        <v/>
      </c>
      <c r="N416" s="12">
        <f t="shared" si="82"/>
        <v>1897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755</v>
      </c>
      <c r="D417" s="15" t="s">
        <v>45</v>
      </c>
      <c r="E417" s="11" t="s">
        <v>61</v>
      </c>
      <c r="F417" s="11" t="s">
        <v>756</v>
      </c>
      <c r="G417" s="12">
        <v>1918</v>
      </c>
      <c r="H417" s="12"/>
      <c r="I417" s="12"/>
      <c r="J417" s="12">
        <v>1908</v>
      </c>
      <c r="K417" s="12">
        <f t="shared" si="79"/>
        <v>0</v>
      </c>
      <c r="L417" s="12">
        <f t="shared" si="80"/>
        <v>1918</v>
      </c>
      <c r="M417" s="12" t="str">
        <f t="shared" si="81"/>
        <v/>
      </c>
      <c r="N417" s="12">
        <f t="shared" si="82"/>
        <v>1908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10</v>
      </c>
      <c r="C418" s="11" t="s">
        <v>596</v>
      </c>
      <c r="D418" s="15" t="s">
        <v>45</v>
      </c>
      <c r="E418" s="11" t="s">
        <v>61</v>
      </c>
      <c r="F418" s="11" t="s">
        <v>597</v>
      </c>
      <c r="G418" s="12">
        <v>1929</v>
      </c>
      <c r="H418" s="12"/>
      <c r="I418" s="12"/>
      <c r="J418" s="12">
        <v>1929</v>
      </c>
      <c r="K418" s="12">
        <f t="shared" si="79"/>
        <v>0</v>
      </c>
      <c r="L418" s="12">
        <f t="shared" si="80"/>
        <v>1929</v>
      </c>
      <c r="M418" s="12" t="str">
        <f t="shared" si="81"/>
        <v/>
      </c>
      <c r="N418" s="12">
        <f t="shared" si="82"/>
        <v>1929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1225</v>
      </c>
      <c r="D419" s="11" t="s">
        <v>57</v>
      </c>
      <c r="E419" s="11" t="s">
        <v>61</v>
      </c>
      <c r="F419" s="11" t="s">
        <v>1226</v>
      </c>
      <c r="G419" s="12">
        <v>1938</v>
      </c>
      <c r="H419" s="12"/>
      <c r="I419" s="12"/>
      <c r="J419" s="12">
        <v>1938</v>
      </c>
      <c r="K419" s="12">
        <f t="shared" si="79"/>
        <v>0</v>
      </c>
      <c r="L419" s="12">
        <f t="shared" si="80"/>
        <v>1938</v>
      </c>
      <c r="M419" s="12" t="str">
        <f t="shared" si="81"/>
        <v/>
      </c>
      <c r="N419" s="12">
        <f t="shared" si="82"/>
        <v>1938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1603</v>
      </c>
      <c r="D420" s="15" t="s">
        <v>80</v>
      </c>
      <c r="E420" s="11" t="s">
        <v>61</v>
      </c>
      <c r="F420" s="11" t="s">
        <v>1604</v>
      </c>
      <c r="G420" s="12">
        <v>1939</v>
      </c>
      <c r="H420" s="12"/>
      <c r="I420" s="12"/>
      <c r="J420" s="12">
        <v>1869</v>
      </c>
      <c r="K420" s="12">
        <f t="shared" si="79"/>
        <v>0</v>
      </c>
      <c r="L420" s="12">
        <f t="shared" si="80"/>
        <v>1939</v>
      </c>
      <c r="M420" s="12" t="str">
        <f t="shared" si="81"/>
        <v/>
      </c>
      <c r="N420" s="12">
        <f t="shared" si="82"/>
        <v>1869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1029</v>
      </c>
      <c r="D421" s="15" t="s">
        <v>60</v>
      </c>
      <c r="E421" s="11" t="s">
        <v>61</v>
      </c>
      <c r="F421" s="11" t="s">
        <v>1030</v>
      </c>
      <c r="G421" s="12">
        <v>1940</v>
      </c>
      <c r="H421" s="12"/>
      <c r="I421" s="12"/>
      <c r="J421" s="12">
        <v>1930</v>
      </c>
      <c r="K421" s="12">
        <f t="shared" si="79"/>
        <v>0</v>
      </c>
      <c r="L421" s="12">
        <f t="shared" si="80"/>
        <v>1940</v>
      </c>
      <c r="M421" s="12" t="str">
        <f t="shared" si="81"/>
        <v/>
      </c>
      <c r="N421" s="12">
        <f t="shared" si="82"/>
        <v>1930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16</v>
      </c>
      <c r="C422" s="11" t="s">
        <v>1674</v>
      </c>
      <c r="D422" s="15" t="s">
        <v>80</v>
      </c>
      <c r="E422" s="11" t="s">
        <v>26</v>
      </c>
      <c r="F422" s="11" t="s">
        <v>1675</v>
      </c>
      <c r="G422" s="12">
        <v>1989</v>
      </c>
      <c r="H422" s="12"/>
      <c r="I422" s="12"/>
      <c r="J422" s="12">
        <v>1985</v>
      </c>
      <c r="K422" s="12">
        <f t="shared" si="79"/>
        <v>0</v>
      </c>
      <c r="L422" s="12">
        <f t="shared" si="80"/>
        <v>1989</v>
      </c>
      <c r="M422" s="12" t="str">
        <f t="shared" si="81"/>
        <v/>
      </c>
      <c r="N422" s="12">
        <f t="shared" si="82"/>
        <v>1985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1119</v>
      </c>
      <c r="D423" s="15" t="s">
        <v>60</v>
      </c>
      <c r="E423" s="11" t="s">
        <v>61</v>
      </c>
      <c r="F423" s="11" t="s">
        <v>1120</v>
      </c>
      <c r="G423" s="12">
        <v>1945</v>
      </c>
      <c r="H423" s="12"/>
      <c r="I423" s="12"/>
      <c r="J423" s="12">
        <v>1880</v>
      </c>
      <c r="K423" s="12">
        <f t="shared" si="79"/>
        <v>0</v>
      </c>
      <c r="L423" s="12">
        <f t="shared" si="80"/>
        <v>1945</v>
      </c>
      <c r="M423" s="12" t="str">
        <f t="shared" si="81"/>
        <v/>
      </c>
      <c r="N423" s="12">
        <f t="shared" si="82"/>
        <v>1880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6</v>
      </c>
      <c r="C424" s="11" t="s">
        <v>865</v>
      </c>
      <c r="D424" s="11" t="s">
        <v>57</v>
      </c>
      <c r="E424" s="11" t="s">
        <v>26</v>
      </c>
      <c r="F424" s="11" t="s">
        <v>867</v>
      </c>
      <c r="G424" s="12">
        <v>1948</v>
      </c>
      <c r="H424" s="12"/>
      <c r="I424" s="12"/>
      <c r="J424" s="12">
        <v>1939</v>
      </c>
      <c r="K424" s="12">
        <f t="shared" si="79"/>
        <v>0</v>
      </c>
      <c r="L424" s="12">
        <f t="shared" si="80"/>
        <v>1948</v>
      </c>
      <c r="M424" s="12" t="str">
        <f t="shared" si="81"/>
        <v/>
      </c>
      <c r="N424" s="12">
        <f t="shared" si="82"/>
        <v>1939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10</v>
      </c>
      <c r="C425" s="11" t="s">
        <v>270</v>
      </c>
      <c r="D425" s="15" t="s">
        <v>80</v>
      </c>
      <c r="E425" s="11" t="s">
        <v>61</v>
      </c>
      <c r="F425" s="11" t="s">
        <v>271</v>
      </c>
      <c r="G425" s="12">
        <v>1948</v>
      </c>
      <c r="H425" s="12"/>
      <c r="I425" s="12"/>
      <c r="J425" s="12">
        <v>1948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1948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6</v>
      </c>
      <c r="C426" s="11" t="s">
        <v>404</v>
      </c>
      <c r="D426" s="15" t="s">
        <v>45</v>
      </c>
      <c r="E426" s="11" t="s">
        <v>61</v>
      </c>
      <c r="F426" s="11" t="s">
        <v>405</v>
      </c>
      <c r="G426" s="12">
        <v>1949</v>
      </c>
      <c r="H426" s="12"/>
      <c r="I426" s="12"/>
      <c r="J426" s="12">
        <v>1939</v>
      </c>
      <c r="K426" s="12">
        <f t="shared" si="79"/>
        <v>0</v>
      </c>
      <c r="L426" s="12">
        <f t="shared" si="80"/>
        <v>1949</v>
      </c>
      <c r="M426" s="12" t="str">
        <f t="shared" si="81"/>
        <v/>
      </c>
      <c r="N426" s="12">
        <f t="shared" si="82"/>
        <v>1939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828</v>
      </c>
      <c r="D427" s="15" t="s">
        <v>60</v>
      </c>
      <c r="E427" s="11" t="s">
        <v>61</v>
      </c>
      <c r="F427" s="11" t="s">
        <v>829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7" customFormat="1" ht="28.5" customHeight="1">
      <c r="A428" s="11" t="str">
        <f t="shared" si="78"/>
        <v/>
      </c>
      <c r="B428" s="11" t="s">
        <v>14</v>
      </c>
      <c r="C428" s="11" t="s">
        <v>776</v>
      </c>
      <c r="D428" s="15" t="s">
        <v>60</v>
      </c>
      <c r="E428" s="11" t="s">
        <v>61</v>
      </c>
      <c r="F428" s="11" t="s">
        <v>777</v>
      </c>
      <c r="G428" s="12">
        <v>1950</v>
      </c>
      <c r="H428" s="12"/>
      <c r="I428" s="12"/>
      <c r="J428" s="12">
        <v>1920</v>
      </c>
      <c r="K428" s="12">
        <f t="shared" si="79"/>
        <v>0</v>
      </c>
      <c r="L428" s="12">
        <f t="shared" si="80"/>
        <v>1950</v>
      </c>
      <c r="M428" s="12" t="str">
        <f t="shared" si="81"/>
        <v/>
      </c>
      <c r="N428" s="12">
        <f t="shared" si="82"/>
        <v>1920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12</v>
      </c>
      <c r="C429" s="11" t="s">
        <v>1489</v>
      </c>
      <c r="D429" s="15" t="s">
        <v>80</v>
      </c>
      <c r="E429" s="11" t="s">
        <v>61</v>
      </c>
      <c r="F429" s="11" t="s">
        <v>1490</v>
      </c>
      <c r="G429" s="12">
        <v>1958</v>
      </c>
      <c r="H429" s="12"/>
      <c r="I429" s="12"/>
      <c r="J429" s="12">
        <v>1948</v>
      </c>
      <c r="K429" s="12">
        <f t="shared" si="79"/>
        <v>0</v>
      </c>
      <c r="L429" s="12">
        <f t="shared" si="80"/>
        <v>1958</v>
      </c>
      <c r="M429" s="12" t="str">
        <f t="shared" si="81"/>
        <v/>
      </c>
      <c r="N429" s="12">
        <f t="shared" si="82"/>
        <v>1948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1705</v>
      </c>
      <c r="D430" s="15" t="s">
        <v>60</v>
      </c>
      <c r="E430" s="11" t="s">
        <v>61</v>
      </c>
      <c r="F430" s="11" t="s">
        <v>1707</v>
      </c>
      <c r="G430" s="12">
        <v>1960</v>
      </c>
      <c r="H430" s="12"/>
      <c r="I430" s="12"/>
      <c r="J430" s="12">
        <v>1950</v>
      </c>
      <c r="K430" s="12">
        <f t="shared" si="79"/>
        <v>0</v>
      </c>
      <c r="L430" s="12">
        <f t="shared" si="80"/>
        <v>1960</v>
      </c>
      <c r="M430" s="12" t="str">
        <f t="shared" si="81"/>
        <v/>
      </c>
      <c r="N430" s="12">
        <f t="shared" si="82"/>
        <v>1950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12</v>
      </c>
      <c r="C431" s="11" t="s">
        <v>948</v>
      </c>
      <c r="D431" s="15" t="s">
        <v>45</v>
      </c>
      <c r="E431" s="11" t="s">
        <v>26</v>
      </c>
      <c r="F431" s="11" t="s">
        <v>949</v>
      </c>
      <c r="G431" s="12">
        <v>1788</v>
      </c>
      <c r="H431" s="12"/>
      <c r="I431" s="12"/>
      <c r="J431" s="12">
        <v>1856</v>
      </c>
      <c r="K431" s="12">
        <f t="shared" si="79"/>
        <v>0</v>
      </c>
      <c r="L431" s="12">
        <f t="shared" si="80"/>
        <v>1788</v>
      </c>
      <c r="M431" s="12" t="str">
        <f t="shared" si="81"/>
        <v/>
      </c>
      <c r="N431" s="12">
        <f t="shared" si="82"/>
        <v>1856</v>
      </c>
      <c r="O431" s="12" t="str">
        <f t="shared" si="83"/>
        <v/>
      </c>
      <c r="P431" s="12" t="str">
        <f t="shared" si="84"/>
        <v/>
      </c>
      <c r="Q431" s="12"/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912</v>
      </c>
      <c r="D432" s="11" t="s">
        <v>57</v>
      </c>
      <c r="E432" s="11" t="s">
        <v>26</v>
      </c>
      <c r="F432" s="11" t="s">
        <v>913</v>
      </c>
      <c r="G432" s="12">
        <v>1789</v>
      </c>
      <c r="H432" s="12"/>
      <c r="I432" s="12"/>
      <c r="J432" s="12">
        <v>1798</v>
      </c>
      <c r="K432" s="12">
        <f t="shared" si="79"/>
        <v>0</v>
      </c>
      <c r="L432" s="12">
        <f t="shared" si="80"/>
        <v>1789</v>
      </c>
      <c r="M432" s="12" t="str">
        <f t="shared" si="81"/>
        <v/>
      </c>
      <c r="N432" s="12">
        <f t="shared" si="82"/>
        <v>1798</v>
      </c>
      <c r="O432" s="12" t="str">
        <f t="shared" si="83"/>
        <v/>
      </c>
      <c r="P432" s="12" t="str">
        <f t="shared" si="84"/>
        <v/>
      </c>
      <c r="Q432" s="12"/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12</v>
      </c>
      <c r="C433" s="11" t="s">
        <v>1011</v>
      </c>
      <c r="D433" s="15" t="s">
        <v>57</v>
      </c>
      <c r="E433" s="11" t="s">
        <v>26</v>
      </c>
      <c r="F433" s="11" t="s">
        <v>1012</v>
      </c>
      <c r="G433" s="12">
        <v>1789</v>
      </c>
      <c r="H433" s="12"/>
      <c r="I433" s="12"/>
      <c r="J433" s="12">
        <v>1798</v>
      </c>
      <c r="K433" s="12">
        <f t="shared" si="79"/>
        <v>0</v>
      </c>
      <c r="L433" s="12">
        <f t="shared" si="80"/>
        <v>1789</v>
      </c>
      <c r="M433" s="12" t="str">
        <f t="shared" si="81"/>
        <v/>
      </c>
      <c r="N433" s="12">
        <f t="shared" si="82"/>
        <v>1798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1391</v>
      </c>
      <c r="D434" s="15" t="s">
        <v>57</v>
      </c>
      <c r="E434" s="11" t="s">
        <v>26</v>
      </c>
      <c r="F434" s="11" t="s">
        <v>1392</v>
      </c>
      <c r="G434" s="12">
        <v>1789</v>
      </c>
      <c r="H434" s="12"/>
      <c r="I434" s="12"/>
      <c r="J434" s="12">
        <v>1805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1805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1507</v>
      </c>
      <c r="D435" s="15" t="s">
        <v>57</v>
      </c>
      <c r="E435" s="11" t="s">
        <v>26</v>
      </c>
      <c r="F435" s="11" t="s">
        <v>1508</v>
      </c>
      <c r="G435" s="12">
        <v>1789</v>
      </c>
      <c r="H435" s="12"/>
      <c r="I435" s="12"/>
      <c r="J435" s="12">
        <v>1815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1815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75</v>
      </c>
      <c r="D436" s="15" t="s">
        <v>60</v>
      </c>
      <c r="E436" s="11" t="s">
        <v>26</v>
      </c>
      <c r="F436" s="11" t="s">
        <v>76</v>
      </c>
      <c r="G436" s="12">
        <v>1794</v>
      </c>
      <c r="H436" s="12"/>
      <c r="I436" s="12"/>
      <c r="J436" s="12">
        <v>1804</v>
      </c>
      <c r="K436" s="12">
        <f t="shared" si="79"/>
        <v>0</v>
      </c>
      <c r="L436" s="12">
        <f t="shared" si="80"/>
        <v>1794</v>
      </c>
      <c r="M436" s="12" t="str">
        <f t="shared" si="81"/>
        <v/>
      </c>
      <c r="N436" s="12">
        <f t="shared" si="82"/>
        <v>1804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824</v>
      </c>
      <c r="D437" s="15" t="s">
        <v>57</v>
      </c>
      <c r="E437" s="11" t="s">
        <v>61</v>
      </c>
      <c r="F437" s="11" t="s">
        <v>825</v>
      </c>
      <c r="G437" s="12">
        <v>1995</v>
      </c>
      <c r="H437" s="12"/>
      <c r="I437" s="12"/>
      <c r="J437" s="12">
        <v>1995</v>
      </c>
      <c r="K437" s="12">
        <f t="shared" si="79"/>
        <v>0</v>
      </c>
      <c r="L437" s="12">
        <f t="shared" si="80"/>
        <v>1995</v>
      </c>
      <c r="M437" s="12" t="str">
        <f t="shared" si="81"/>
        <v/>
      </c>
      <c r="N437" s="12">
        <f t="shared" si="82"/>
        <v>1995</v>
      </c>
      <c r="O437" s="12" t="str">
        <f t="shared" si="83"/>
        <v/>
      </c>
      <c r="P437" s="12" t="str">
        <f t="shared" si="84"/>
        <v/>
      </c>
      <c r="Q437" s="12" t="s">
        <v>63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667</v>
      </c>
      <c r="D438" s="15" t="s">
        <v>80</v>
      </c>
      <c r="E438" s="11" t="s">
        <v>26</v>
      </c>
      <c r="F438" s="11" t="s">
        <v>668</v>
      </c>
      <c r="G438" s="12">
        <v>1798</v>
      </c>
      <c r="H438" s="12"/>
      <c r="I438" s="12"/>
      <c r="J438" s="12">
        <v>1779</v>
      </c>
      <c r="K438" s="12">
        <f t="shared" si="79"/>
        <v>0</v>
      </c>
      <c r="L438" s="12">
        <f t="shared" si="80"/>
        <v>1798</v>
      </c>
      <c r="M438" s="12" t="str">
        <f t="shared" si="81"/>
        <v/>
      </c>
      <c r="N438" s="12">
        <f t="shared" si="82"/>
        <v>1779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6</v>
      </c>
      <c r="C439" s="11" t="s">
        <v>122</v>
      </c>
      <c r="D439" s="15" t="s">
        <v>60</v>
      </c>
      <c r="E439" s="11" t="s">
        <v>61</v>
      </c>
      <c r="F439" s="11" t="s">
        <v>123</v>
      </c>
      <c r="G439" s="12">
        <v>1998</v>
      </c>
      <c r="H439" s="12"/>
      <c r="I439" s="12"/>
      <c r="J439" s="12">
        <v>1998</v>
      </c>
      <c r="K439" s="12">
        <f t="shared" si="79"/>
        <v>0</v>
      </c>
      <c r="L439" s="12">
        <f t="shared" si="80"/>
        <v>1998</v>
      </c>
      <c r="M439" s="12" t="str">
        <f t="shared" si="81"/>
        <v/>
      </c>
      <c r="N439" s="12">
        <f t="shared" si="82"/>
        <v>1998</v>
      </c>
      <c r="O439" s="12" t="str">
        <f t="shared" si="83"/>
        <v/>
      </c>
      <c r="P439" s="12" t="str">
        <f t="shared" si="84"/>
        <v/>
      </c>
      <c r="Q439" s="12" t="s">
        <v>63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535</v>
      </c>
      <c r="D440" s="15" t="s">
        <v>45</v>
      </c>
      <c r="E440" s="11" t="s">
        <v>26</v>
      </c>
      <c r="F440" s="11" t="s">
        <v>536</v>
      </c>
      <c r="G440" s="12">
        <v>1799</v>
      </c>
      <c r="H440" s="12"/>
      <c r="I440" s="12"/>
      <c r="J440" s="12">
        <v>1785</v>
      </c>
      <c r="K440" s="12">
        <f t="shared" si="79"/>
        <v>0</v>
      </c>
      <c r="L440" s="12">
        <f t="shared" si="80"/>
        <v>1799</v>
      </c>
      <c r="M440" s="12" t="str">
        <f t="shared" si="81"/>
        <v/>
      </c>
      <c r="N440" s="12">
        <f t="shared" si="82"/>
        <v>1785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567</v>
      </c>
      <c r="D441" s="15" t="s">
        <v>45</v>
      </c>
      <c r="E441" s="11" t="s">
        <v>26</v>
      </c>
      <c r="F441" s="11" t="s">
        <v>568</v>
      </c>
      <c r="G441" s="12">
        <v>1799</v>
      </c>
      <c r="H441" s="12"/>
      <c r="I441" s="12"/>
      <c r="J441" s="12">
        <v>1789</v>
      </c>
      <c r="K441" s="12">
        <f t="shared" si="79"/>
        <v>0</v>
      </c>
      <c r="L441" s="12">
        <f t="shared" si="80"/>
        <v>1799</v>
      </c>
      <c r="M441" s="12" t="str">
        <f t="shared" si="81"/>
        <v/>
      </c>
      <c r="N441" s="12">
        <f t="shared" si="82"/>
        <v>1789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1756</v>
      </c>
      <c r="D442" s="11" t="s">
        <v>104</v>
      </c>
      <c r="E442" s="11" t="s">
        <v>26</v>
      </c>
      <c r="F442" s="11" t="s">
        <v>1757</v>
      </c>
      <c r="G442" s="12">
        <v>1799</v>
      </c>
      <c r="H442" s="12"/>
      <c r="I442" s="12"/>
      <c r="J442" s="12">
        <v>1824</v>
      </c>
      <c r="K442" s="12">
        <f t="shared" si="79"/>
        <v>0</v>
      </c>
      <c r="L442" s="12">
        <f t="shared" si="80"/>
        <v>1799</v>
      </c>
      <c r="M442" s="12" t="str">
        <f t="shared" si="81"/>
        <v/>
      </c>
      <c r="N442" s="12">
        <f t="shared" si="82"/>
        <v>1824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1595</v>
      </c>
      <c r="D443" s="15" t="s">
        <v>45</v>
      </c>
      <c r="E443" s="11" t="s">
        <v>61</v>
      </c>
      <c r="F443" s="11" t="s">
        <v>1596</v>
      </c>
      <c r="G443" s="12">
        <v>1999</v>
      </c>
      <c r="H443" s="12"/>
      <c r="I443" s="12"/>
      <c r="J443" s="12">
        <v>1989</v>
      </c>
      <c r="K443" s="12">
        <f t="shared" si="79"/>
        <v>0</v>
      </c>
      <c r="L443" s="12">
        <f t="shared" si="80"/>
        <v>1999</v>
      </c>
      <c r="M443" s="12" t="str">
        <f t="shared" si="81"/>
        <v/>
      </c>
      <c r="N443" s="12">
        <f t="shared" si="82"/>
        <v>1989</v>
      </c>
      <c r="O443" s="12" t="str">
        <f t="shared" si="83"/>
        <v/>
      </c>
      <c r="P443" s="12" t="str">
        <f t="shared" si="84"/>
        <v/>
      </c>
      <c r="Q443" s="12" t="s">
        <v>63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6</v>
      </c>
      <c r="C444" s="11" t="s">
        <v>665</v>
      </c>
      <c r="D444" s="15" t="s">
        <v>80</v>
      </c>
      <c r="E444" s="11" t="s">
        <v>26</v>
      </c>
      <c r="F444" s="11" t="s">
        <v>666</v>
      </c>
      <c r="G444" s="12">
        <v>1805</v>
      </c>
      <c r="H444" s="12"/>
      <c r="I444" s="12"/>
      <c r="J444" s="12">
        <v>1793</v>
      </c>
      <c r="K444" s="12">
        <f t="shared" si="79"/>
        <v>0</v>
      </c>
      <c r="L444" s="12">
        <f t="shared" si="80"/>
        <v>1805</v>
      </c>
      <c r="M444" s="12" t="str">
        <f t="shared" si="81"/>
        <v/>
      </c>
      <c r="N444" s="12">
        <f t="shared" si="82"/>
        <v>1793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6</v>
      </c>
      <c r="C445" s="11" t="s">
        <v>1227</v>
      </c>
      <c r="D445" s="15" t="s">
        <v>80</v>
      </c>
      <c r="E445" s="11" t="s">
        <v>26</v>
      </c>
      <c r="F445" s="11" t="s">
        <v>1228</v>
      </c>
      <c r="G445" s="12">
        <v>1805</v>
      </c>
      <c r="H445" s="12"/>
      <c r="I445" s="12"/>
      <c r="J445" s="12">
        <v>1793</v>
      </c>
      <c r="K445" s="12">
        <f t="shared" si="79"/>
        <v>0</v>
      </c>
      <c r="L445" s="12">
        <f t="shared" si="80"/>
        <v>1805</v>
      </c>
      <c r="M445" s="12" t="str">
        <f t="shared" si="81"/>
        <v/>
      </c>
      <c r="N445" s="12">
        <f t="shared" si="82"/>
        <v>1793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6</v>
      </c>
      <c r="C446" s="11" t="s">
        <v>1294</v>
      </c>
      <c r="D446" s="15" t="s">
        <v>80</v>
      </c>
      <c r="E446" s="11" t="s">
        <v>26</v>
      </c>
      <c r="F446" s="11" t="s">
        <v>1295</v>
      </c>
      <c r="G446" s="12">
        <v>1805</v>
      </c>
      <c r="H446" s="12"/>
      <c r="I446" s="12"/>
      <c r="J446" s="12">
        <v>1793</v>
      </c>
      <c r="K446" s="12">
        <f t="shared" si="79"/>
        <v>0</v>
      </c>
      <c r="L446" s="12">
        <f t="shared" si="80"/>
        <v>1805</v>
      </c>
      <c r="M446" s="12" t="str">
        <f t="shared" si="81"/>
        <v/>
      </c>
      <c r="N446" s="12">
        <f t="shared" si="82"/>
        <v>1793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743</v>
      </c>
      <c r="D447" s="15" t="s">
        <v>57</v>
      </c>
      <c r="E447" s="11" t="s">
        <v>26</v>
      </c>
      <c r="F447" s="11" t="s">
        <v>744</v>
      </c>
      <c r="G447" s="12">
        <v>1805</v>
      </c>
      <c r="H447" s="12"/>
      <c r="I447" s="12"/>
      <c r="J447" s="12">
        <v>1805</v>
      </c>
      <c r="K447" s="12">
        <f t="shared" si="79"/>
        <v>0</v>
      </c>
      <c r="L447" s="12">
        <f t="shared" si="80"/>
        <v>1805</v>
      </c>
      <c r="M447" s="12" t="str">
        <f t="shared" si="81"/>
        <v/>
      </c>
      <c r="N447" s="12">
        <f t="shared" si="82"/>
        <v>1805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1027</v>
      </c>
      <c r="D448" s="15" t="s">
        <v>45</v>
      </c>
      <c r="E448" s="11" t="s">
        <v>26</v>
      </c>
      <c r="F448" s="11" t="s">
        <v>1028</v>
      </c>
      <c r="G448" s="12">
        <v>1805</v>
      </c>
      <c r="H448" s="12"/>
      <c r="I448" s="12"/>
      <c r="J448" s="12">
        <v>1815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1815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501</v>
      </c>
      <c r="D449" s="11" t="s">
        <v>57</v>
      </c>
      <c r="E449" s="11" t="s">
        <v>26</v>
      </c>
      <c r="F449" s="11" t="s">
        <v>502</v>
      </c>
      <c r="G449" s="12">
        <v>1806</v>
      </c>
      <c r="H449" s="12"/>
      <c r="I449" s="12"/>
      <c r="J449" s="12">
        <v>1794</v>
      </c>
      <c r="K449" s="12">
        <f t="shared" si="79"/>
        <v>0</v>
      </c>
      <c r="L449" s="12">
        <f t="shared" si="80"/>
        <v>1806</v>
      </c>
      <c r="M449" s="12" t="str">
        <f t="shared" si="81"/>
        <v/>
      </c>
      <c r="N449" s="12">
        <f t="shared" si="82"/>
        <v>1794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635</v>
      </c>
      <c r="D450" s="11" t="s">
        <v>57</v>
      </c>
      <c r="E450" s="11" t="s">
        <v>26</v>
      </c>
      <c r="F450" s="11" t="s">
        <v>636</v>
      </c>
      <c r="G450" s="12">
        <v>1807</v>
      </c>
      <c r="H450" s="12"/>
      <c r="I450" s="12"/>
      <c r="J450" s="12">
        <v>1787</v>
      </c>
      <c r="K450" s="12">
        <f t="shared" si="79"/>
        <v>0</v>
      </c>
      <c r="L450" s="12">
        <f t="shared" si="80"/>
        <v>1807</v>
      </c>
      <c r="M450" s="12" t="str">
        <f t="shared" si="81"/>
        <v/>
      </c>
      <c r="N450" s="12">
        <f t="shared" si="82"/>
        <v>1787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453</v>
      </c>
      <c r="D451" s="15" t="s">
        <v>45</v>
      </c>
      <c r="E451" s="11" t="s">
        <v>26</v>
      </c>
      <c r="F451" s="11" t="s">
        <v>454</v>
      </c>
      <c r="G451" s="12">
        <v>1807</v>
      </c>
      <c r="H451" s="12"/>
      <c r="I451" s="12"/>
      <c r="J451" s="12">
        <v>1795</v>
      </c>
      <c r="K451" s="12">
        <f t="shared" si="79"/>
        <v>0</v>
      </c>
      <c r="L451" s="12">
        <f t="shared" si="80"/>
        <v>1807</v>
      </c>
      <c r="M451" s="12" t="str">
        <f t="shared" si="81"/>
        <v/>
      </c>
      <c r="N451" s="12">
        <f t="shared" si="82"/>
        <v>1795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1298</v>
      </c>
      <c r="D452" s="15" t="s">
        <v>45</v>
      </c>
      <c r="E452" s="11" t="s">
        <v>26</v>
      </c>
      <c r="F452" s="11" t="s">
        <v>1299</v>
      </c>
      <c r="G452" s="12">
        <v>1807</v>
      </c>
      <c r="H452" s="12"/>
      <c r="I452" s="12"/>
      <c r="J452" s="12">
        <v>1795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1795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342</v>
      </c>
      <c r="D453" s="11" t="s">
        <v>57</v>
      </c>
      <c r="E453" s="11" t="s">
        <v>26</v>
      </c>
      <c r="F453" s="11" t="s">
        <v>343</v>
      </c>
      <c r="G453" s="12">
        <v>1808</v>
      </c>
      <c r="H453" s="12"/>
      <c r="I453" s="12"/>
      <c r="J453" s="12">
        <v>1794</v>
      </c>
      <c r="K453" s="12">
        <f t="shared" si="79"/>
        <v>0</v>
      </c>
      <c r="L453" s="12">
        <f t="shared" si="80"/>
        <v>1808</v>
      </c>
      <c r="M453" s="12" t="str">
        <f t="shared" si="81"/>
        <v/>
      </c>
      <c r="N453" s="12">
        <f t="shared" si="82"/>
        <v>1794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920</v>
      </c>
      <c r="D454" s="15" t="s">
        <v>45</v>
      </c>
      <c r="E454" s="11" t="s">
        <v>26</v>
      </c>
      <c r="F454" s="11" t="s">
        <v>921</v>
      </c>
      <c r="G454" s="12">
        <v>1808</v>
      </c>
      <c r="H454" s="12"/>
      <c r="I454" s="12"/>
      <c r="J454" s="12">
        <v>1794</v>
      </c>
      <c r="K454" s="12">
        <f t="shared" si="79"/>
        <v>0</v>
      </c>
      <c r="L454" s="12">
        <f t="shared" si="80"/>
        <v>1808</v>
      </c>
      <c r="M454" s="12" t="str">
        <f t="shared" si="81"/>
        <v/>
      </c>
      <c r="N454" s="12">
        <f t="shared" si="82"/>
        <v>1794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16" customFormat="1" ht="28.5" customHeight="1">
      <c r="A455" s="11" t="str">
        <f t="shared" si="78"/>
        <v/>
      </c>
      <c r="B455" s="11" t="s">
        <v>6</v>
      </c>
      <c r="C455" s="11" t="s">
        <v>68</v>
      </c>
      <c r="D455" s="11" t="s">
        <v>57</v>
      </c>
      <c r="E455" s="11" t="s">
        <v>26</v>
      </c>
      <c r="F455" s="11" t="s">
        <v>69</v>
      </c>
      <c r="G455" s="12">
        <v>1808</v>
      </c>
      <c r="H455" s="12"/>
      <c r="I455" s="12"/>
      <c r="J455" s="12">
        <v>1797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1797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16" customFormat="1" ht="28.5" customHeight="1">
      <c r="A456" s="11" t="str">
        <f t="shared" si="78"/>
        <v/>
      </c>
      <c r="B456" s="11" t="s">
        <v>6</v>
      </c>
      <c r="C456" s="11" t="s">
        <v>1151</v>
      </c>
      <c r="D456" s="15" t="s">
        <v>80</v>
      </c>
      <c r="E456" s="11" t="s">
        <v>26</v>
      </c>
      <c r="F456" s="11" t="s">
        <v>1152</v>
      </c>
      <c r="G456" s="12">
        <v>1808</v>
      </c>
      <c r="H456" s="12"/>
      <c r="I456" s="12"/>
      <c r="J456" s="12">
        <v>1798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1798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12</v>
      </c>
      <c r="C457" s="11" t="s">
        <v>73</v>
      </c>
      <c r="D457" s="15" t="s">
        <v>60</v>
      </c>
      <c r="E457" s="11" t="s">
        <v>26</v>
      </c>
      <c r="F457" s="11" t="s">
        <v>74</v>
      </c>
      <c r="G457" s="12">
        <v>1809</v>
      </c>
      <c r="H457" s="12"/>
      <c r="I457" s="12"/>
      <c r="J457" s="12">
        <v>1779</v>
      </c>
      <c r="K457" s="12">
        <f t="shared" si="79"/>
        <v>0</v>
      </c>
      <c r="L457" s="12">
        <f t="shared" si="80"/>
        <v>1809</v>
      </c>
      <c r="M457" s="12" t="str">
        <f t="shared" si="81"/>
        <v/>
      </c>
      <c r="N457" s="12">
        <f t="shared" si="82"/>
        <v>1779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14</v>
      </c>
      <c r="C458" s="11" t="s">
        <v>629</v>
      </c>
      <c r="D458" s="11" t="s">
        <v>57</v>
      </c>
      <c r="E458" s="11" t="s">
        <v>26</v>
      </c>
      <c r="F458" s="11" t="s">
        <v>630</v>
      </c>
      <c r="G458" s="12">
        <v>1809</v>
      </c>
      <c r="H458" s="12"/>
      <c r="I458" s="12"/>
      <c r="J458" s="12">
        <v>1789</v>
      </c>
      <c r="K458" s="12">
        <f t="shared" si="79"/>
        <v>0</v>
      </c>
      <c r="L458" s="12">
        <f t="shared" si="80"/>
        <v>1809</v>
      </c>
      <c r="M458" s="12" t="str">
        <f t="shared" si="81"/>
        <v/>
      </c>
      <c r="N458" s="12">
        <f t="shared" si="82"/>
        <v>1789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14</v>
      </c>
      <c r="C459" s="11" t="s">
        <v>1739</v>
      </c>
      <c r="D459" s="15" t="s">
        <v>45</v>
      </c>
      <c r="E459" s="11" t="s">
        <v>26</v>
      </c>
      <c r="F459" s="11" t="s">
        <v>1740</v>
      </c>
      <c r="G459" s="12">
        <v>1809</v>
      </c>
      <c r="H459" s="12"/>
      <c r="I459" s="12"/>
      <c r="J459" s="12">
        <v>1789</v>
      </c>
      <c r="K459" s="12">
        <f t="shared" si="79"/>
        <v>0</v>
      </c>
      <c r="L459" s="12">
        <f t="shared" si="80"/>
        <v>1809</v>
      </c>
      <c r="M459" s="12" t="str">
        <f t="shared" si="81"/>
        <v/>
      </c>
      <c r="N459" s="12">
        <f t="shared" si="82"/>
        <v>1789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116</v>
      </c>
      <c r="D460" s="15" t="s">
        <v>80</v>
      </c>
      <c r="E460" s="11" t="s">
        <v>26</v>
      </c>
      <c r="F460" s="11" t="s">
        <v>117</v>
      </c>
      <c r="G460" s="12">
        <v>1809</v>
      </c>
      <c r="H460" s="12"/>
      <c r="I460" s="12"/>
      <c r="J460" s="12">
        <v>1794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1794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7" customFormat="1" ht="28.5" customHeight="1">
      <c r="A461" s="11" t="str">
        <f t="shared" si="78"/>
        <v/>
      </c>
      <c r="B461" s="11" t="s">
        <v>6</v>
      </c>
      <c r="C461" s="11" t="s">
        <v>523</v>
      </c>
      <c r="D461" s="15" t="s">
        <v>80</v>
      </c>
      <c r="E461" s="11" t="s">
        <v>26</v>
      </c>
      <c r="F461" s="11" t="s">
        <v>524</v>
      </c>
      <c r="G461" s="12">
        <v>1809</v>
      </c>
      <c r="H461" s="12"/>
      <c r="I461" s="12"/>
      <c r="J461" s="12">
        <v>1794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1794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976</v>
      </c>
      <c r="D462" s="15" t="s">
        <v>60</v>
      </c>
      <c r="E462" s="11" t="s">
        <v>26</v>
      </c>
      <c r="F462" s="11" t="s">
        <v>977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16" customFormat="1" ht="28.5" customHeight="1">
      <c r="A463" s="11" t="str">
        <f t="shared" ref="A463:A526" si="91">IF($T463="","",1+COUNTIF($W$15:$W$883,"&lt;"&amp;W463))</f>
        <v/>
      </c>
      <c r="B463" s="11" t="s">
        <v>6</v>
      </c>
      <c r="C463" s="11" t="s">
        <v>1215</v>
      </c>
      <c r="D463" s="15" t="s">
        <v>45</v>
      </c>
      <c r="E463" s="11" t="s">
        <v>26</v>
      </c>
      <c r="F463" s="11" t="s">
        <v>1216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92</v>
      </c>
      <c r="D464" s="15" t="s">
        <v>80</v>
      </c>
      <c r="E464" s="11" t="s">
        <v>26</v>
      </c>
      <c r="F464" s="11" t="s">
        <v>93</v>
      </c>
      <c r="G464" s="12">
        <v>1809</v>
      </c>
      <c r="H464" s="12"/>
      <c r="I464" s="12"/>
      <c r="J464" s="12">
        <v>1795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1795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162</v>
      </c>
      <c r="D465" s="15" t="s">
        <v>60</v>
      </c>
      <c r="E465" s="11" t="s">
        <v>26</v>
      </c>
      <c r="F465" s="11" t="s">
        <v>163</v>
      </c>
      <c r="G465" s="12">
        <v>1809</v>
      </c>
      <c r="H465" s="12"/>
      <c r="I465" s="12"/>
      <c r="J465" s="12">
        <v>1795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1795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980</v>
      </c>
      <c r="D466" s="15" t="s">
        <v>45</v>
      </c>
      <c r="E466" s="11" t="s">
        <v>26</v>
      </c>
      <c r="F466" s="11" t="s">
        <v>981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1094</v>
      </c>
      <c r="D467" s="11" t="s">
        <v>48</v>
      </c>
      <c r="E467" s="11" t="s">
        <v>26</v>
      </c>
      <c r="F467" s="11" t="s">
        <v>1095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1513</v>
      </c>
      <c r="D468" s="11" t="s">
        <v>57</v>
      </c>
      <c r="E468" s="11" t="s">
        <v>26</v>
      </c>
      <c r="F468" s="11" t="s">
        <v>1514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1666</v>
      </c>
      <c r="D469" s="15" t="s">
        <v>80</v>
      </c>
      <c r="E469" s="11" t="s">
        <v>26</v>
      </c>
      <c r="F469" s="11" t="s">
        <v>1667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1143</v>
      </c>
      <c r="D470" s="15" t="s">
        <v>60</v>
      </c>
      <c r="E470" s="11" t="s">
        <v>26</v>
      </c>
      <c r="F470" s="11" t="s">
        <v>1144</v>
      </c>
      <c r="G470" s="12">
        <v>1809</v>
      </c>
      <c r="H470" s="12"/>
      <c r="I470" s="12"/>
      <c r="J470" s="12">
        <v>1797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1797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6</v>
      </c>
      <c r="C471" s="11" t="s">
        <v>1241</v>
      </c>
      <c r="D471" s="11" t="s">
        <v>57</v>
      </c>
      <c r="E471" s="11" t="s">
        <v>26</v>
      </c>
      <c r="F471" s="11" t="s">
        <v>1242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7" customFormat="1" ht="28.5" customHeight="1">
      <c r="A472" s="11" t="str">
        <f t="shared" si="91"/>
        <v/>
      </c>
      <c r="B472" s="11" t="s">
        <v>14</v>
      </c>
      <c r="C472" s="11" t="s">
        <v>88</v>
      </c>
      <c r="D472" s="15" t="s">
        <v>80</v>
      </c>
      <c r="E472" s="11" t="s">
        <v>61</v>
      </c>
      <c r="F472" s="11" t="s">
        <v>89</v>
      </c>
      <c r="G472" s="12">
        <v>1809</v>
      </c>
      <c r="H472" s="12"/>
      <c r="I472" s="12"/>
      <c r="J472" s="12">
        <v>1798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1798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706</v>
      </c>
      <c r="D473" s="15" t="s">
        <v>45</v>
      </c>
      <c r="E473" s="11" t="s">
        <v>26</v>
      </c>
      <c r="F473" s="11" t="s">
        <v>707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14</v>
      </c>
      <c r="C474" s="11" t="s">
        <v>708</v>
      </c>
      <c r="D474" s="15" t="s">
        <v>45</v>
      </c>
      <c r="E474" s="11" t="s">
        <v>26</v>
      </c>
      <c r="F474" s="11" t="s">
        <v>709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1567</v>
      </c>
      <c r="D475" s="15" t="s">
        <v>45</v>
      </c>
      <c r="E475" s="11" t="s">
        <v>26</v>
      </c>
      <c r="F475" s="11" t="s">
        <v>1568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12</v>
      </c>
      <c r="C476" s="11" t="s">
        <v>1141</v>
      </c>
      <c r="D476" s="15" t="s">
        <v>45</v>
      </c>
      <c r="E476" s="11" t="s">
        <v>26</v>
      </c>
      <c r="F476" s="11" t="s">
        <v>1142</v>
      </c>
      <c r="G476" s="12">
        <v>1809</v>
      </c>
      <c r="H476" s="12"/>
      <c r="I476" s="12"/>
      <c r="J476" s="12">
        <v>1803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1803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494</v>
      </c>
      <c r="D477" s="15" t="s">
        <v>60</v>
      </c>
      <c r="E477" s="11" t="s">
        <v>26</v>
      </c>
      <c r="F477" s="11" t="s">
        <v>495</v>
      </c>
      <c r="G477" s="12">
        <v>1809</v>
      </c>
      <c r="H477" s="12"/>
      <c r="I477" s="12"/>
      <c r="J477" s="12">
        <v>1809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1809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16" customFormat="1" ht="28.5" customHeight="1">
      <c r="A478" s="11" t="str">
        <f t="shared" si="91"/>
        <v/>
      </c>
      <c r="B478" s="11" t="s">
        <v>12</v>
      </c>
      <c r="C478" s="11" t="s">
        <v>684</v>
      </c>
      <c r="D478" s="15" t="s">
        <v>57</v>
      </c>
      <c r="E478" s="11" t="s">
        <v>26</v>
      </c>
      <c r="F478" s="11" t="s">
        <v>685</v>
      </c>
      <c r="G478" s="12">
        <v>1809</v>
      </c>
      <c r="H478" s="12"/>
      <c r="I478" s="12"/>
      <c r="J478" s="12">
        <v>1879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1879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1597</v>
      </c>
      <c r="D479" s="15" t="s">
        <v>45</v>
      </c>
      <c r="E479" s="11" t="s">
        <v>26</v>
      </c>
      <c r="F479" s="11" t="s">
        <v>1598</v>
      </c>
      <c r="G479" s="12">
        <v>1812</v>
      </c>
      <c r="H479" s="12"/>
      <c r="I479" s="12"/>
      <c r="J479" s="12">
        <v>1792</v>
      </c>
      <c r="K479" s="12">
        <f t="shared" si="92"/>
        <v>0</v>
      </c>
      <c r="L479" s="12">
        <f t="shared" si="93"/>
        <v>1812</v>
      </c>
      <c r="M479" s="12" t="str">
        <f t="shared" si="94"/>
        <v/>
      </c>
      <c r="N479" s="12">
        <f t="shared" si="95"/>
        <v>1792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557</v>
      </c>
      <c r="D480" s="15" t="s">
        <v>60</v>
      </c>
      <c r="E480" s="11" t="s">
        <v>26</v>
      </c>
      <c r="F480" s="11" t="s">
        <v>558</v>
      </c>
      <c r="G480" s="12">
        <v>1812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1812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1405</v>
      </c>
      <c r="D481" s="15" t="s">
        <v>60</v>
      </c>
      <c r="E481" s="11" t="s">
        <v>26</v>
      </c>
      <c r="F481" s="11" t="s">
        <v>1406</v>
      </c>
      <c r="G481" s="12">
        <v>1812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130</v>
      </c>
      <c r="D482" s="15" t="s">
        <v>45</v>
      </c>
      <c r="E482" s="11" t="s">
        <v>26</v>
      </c>
      <c r="F482" s="11" t="s">
        <v>131</v>
      </c>
      <c r="G482" s="12">
        <v>1812</v>
      </c>
      <c r="H482" s="12"/>
      <c r="I482" s="12"/>
      <c r="J482" s="12">
        <v>1812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1812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16" customFormat="1" ht="28.5" customHeight="1">
      <c r="A483" s="11" t="str">
        <f t="shared" si="91"/>
        <v/>
      </c>
      <c r="B483" s="11" t="s">
        <v>6</v>
      </c>
      <c r="C483" s="11" t="s">
        <v>346</v>
      </c>
      <c r="D483" s="11" t="s">
        <v>48</v>
      </c>
      <c r="E483" s="11" t="s">
        <v>26</v>
      </c>
      <c r="F483" s="11" t="s">
        <v>347</v>
      </c>
      <c r="G483" s="12">
        <v>1813</v>
      </c>
      <c r="H483" s="12"/>
      <c r="I483" s="12"/>
      <c r="J483" s="12">
        <v>1799</v>
      </c>
      <c r="K483" s="12">
        <f t="shared" si="92"/>
        <v>0</v>
      </c>
      <c r="L483" s="12">
        <f t="shared" si="93"/>
        <v>1813</v>
      </c>
      <c r="M483" s="12" t="str">
        <f t="shared" si="94"/>
        <v/>
      </c>
      <c r="N483" s="12">
        <f t="shared" si="95"/>
        <v>1799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1397</v>
      </c>
      <c r="D484" s="15" t="s">
        <v>60</v>
      </c>
      <c r="E484" s="11" t="s">
        <v>26</v>
      </c>
      <c r="F484" s="11" t="s">
        <v>1398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1573</v>
      </c>
      <c r="D485" s="11" t="s">
        <v>57</v>
      </c>
      <c r="E485" s="11" t="s">
        <v>26</v>
      </c>
      <c r="F485" s="11" t="s">
        <v>1574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272</v>
      </c>
      <c r="D486" s="15" t="s">
        <v>80</v>
      </c>
      <c r="E486" s="11" t="s">
        <v>26</v>
      </c>
      <c r="F486" s="11" t="s">
        <v>273</v>
      </c>
      <c r="G486" s="12">
        <v>1813</v>
      </c>
      <c r="H486" s="12"/>
      <c r="I486" s="12"/>
      <c r="J486" s="12">
        <v>1813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1813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77</v>
      </c>
      <c r="D487" s="15" t="s">
        <v>60</v>
      </c>
      <c r="E487" s="11" t="s">
        <v>26</v>
      </c>
      <c r="F487" s="11" t="s">
        <v>78</v>
      </c>
      <c r="G487" s="12">
        <v>1814</v>
      </c>
      <c r="H487" s="12"/>
      <c r="I487" s="12"/>
      <c r="J487" s="12">
        <v>1794</v>
      </c>
      <c r="K487" s="12">
        <f t="shared" si="92"/>
        <v>0</v>
      </c>
      <c r="L487" s="12">
        <f t="shared" si="93"/>
        <v>1814</v>
      </c>
      <c r="M487" s="12" t="str">
        <f t="shared" si="94"/>
        <v/>
      </c>
      <c r="N487" s="12">
        <f t="shared" si="95"/>
        <v>1794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499</v>
      </c>
      <c r="D488" s="11" t="s">
        <v>57</v>
      </c>
      <c r="E488" s="11" t="s">
        <v>26</v>
      </c>
      <c r="F488" s="11" t="s">
        <v>500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918</v>
      </c>
      <c r="D489" s="15" t="s">
        <v>45</v>
      </c>
      <c r="E489" s="11" t="s">
        <v>26</v>
      </c>
      <c r="F489" s="11" t="s">
        <v>919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10</v>
      </c>
      <c r="C490" s="11" t="s">
        <v>763</v>
      </c>
      <c r="D490" s="15" t="s">
        <v>45</v>
      </c>
      <c r="E490" s="11" t="s">
        <v>26</v>
      </c>
      <c r="F490" s="11" t="s">
        <v>764</v>
      </c>
      <c r="G490" s="12">
        <v>1814</v>
      </c>
      <c r="H490" s="12"/>
      <c r="I490" s="12"/>
      <c r="J490" s="12">
        <v>1798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1798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994</v>
      </c>
      <c r="D491" s="15" t="s">
        <v>45</v>
      </c>
      <c r="E491" s="11" t="s">
        <v>26</v>
      </c>
      <c r="F491" s="11" t="s">
        <v>995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1177</v>
      </c>
      <c r="D492" s="15" t="s">
        <v>45</v>
      </c>
      <c r="E492" s="11" t="s">
        <v>26</v>
      </c>
      <c r="F492" s="11" t="s">
        <v>1178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10</v>
      </c>
      <c r="C493" s="11" t="s">
        <v>1533</v>
      </c>
      <c r="D493" s="15" t="s">
        <v>45</v>
      </c>
      <c r="E493" s="11" t="s">
        <v>26</v>
      </c>
      <c r="F493" s="11" t="s">
        <v>1534</v>
      </c>
      <c r="G493" s="12">
        <v>1814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10</v>
      </c>
      <c r="C494" s="11" t="s">
        <v>1761</v>
      </c>
      <c r="D494" s="11" t="s">
        <v>48</v>
      </c>
      <c r="E494" s="11" t="s">
        <v>26</v>
      </c>
      <c r="F494" s="11" t="s">
        <v>1762</v>
      </c>
      <c r="G494" s="12">
        <v>1814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6</v>
      </c>
      <c r="C495" s="11" t="s">
        <v>368</v>
      </c>
      <c r="D495" s="15" t="s">
        <v>45</v>
      </c>
      <c r="E495" s="11" t="s">
        <v>26</v>
      </c>
      <c r="F495" s="11" t="s">
        <v>369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6</v>
      </c>
      <c r="C496" s="11" t="s">
        <v>1278</v>
      </c>
      <c r="D496" s="15" t="s">
        <v>45</v>
      </c>
      <c r="E496" s="11" t="s">
        <v>26</v>
      </c>
      <c r="F496" s="11" t="s">
        <v>1279</v>
      </c>
      <c r="G496" s="12">
        <v>1814</v>
      </c>
      <c r="H496" s="12"/>
      <c r="I496" s="12"/>
      <c r="J496" s="12">
        <v>1814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1814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926</v>
      </c>
      <c r="D497" s="15" t="s">
        <v>71</v>
      </c>
      <c r="E497" s="11" t="s">
        <v>26</v>
      </c>
      <c r="F497" s="11" t="s">
        <v>927</v>
      </c>
      <c r="G497" s="12">
        <v>1814</v>
      </c>
      <c r="H497" s="12"/>
      <c r="I497" s="12"/>
      <c r="J497" s="12">
        <v>1814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1814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453</v>
      </c>
      <c r="D498" s="15" t="s">
        <v>45</v>
      </c>
      <c r="E498" s="11" t="s">
        <v>61</v>
      </c>
      <c r="F498" s="11" t="s">
        <v>455</v>
      </c>
      <c r="G498" s="12">
        <v>1814</v>
      </c>
      <c r="H498" s="12"/>
      <c r="I498" s="12"/>
      <c r="J498" s="12">
        <v>1824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1824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1065</v>
      </c>
      <c r="D499" s="15" t="s">
        <v>57</v>
      </c>
      <c r="E499" s="11" t="s">
        <v>26</v>
      </c>
      <c r="F499" s="11" t="s">
        <v>1066</v>
      </c>
      <c r="G499" s="12">
        <v>1814</v>
      </c>
      <c r="H499" s="12"/>
      <c r="I499" s="12"/>
      <c r="J499" s="12">
        <v>1824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1824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1272</v>
      </c>
      <c r="D500" s="15" t="s">
        <v>80</v>
      </c>
      <c r="E500" s="11" t="s">
        <v>26</v>
      </c>
      <c r="F500" s="11" t="s">
        <v>1273</v>
      </c>
      <c r="G500" s="12">
        <v>1815</v>
      </c>
      <c r="H500" s="12"/>
      <c r="I500" s="12"/>
      <c r="J500" s="12">
        <v>1795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1795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10</v>
      </c>
      <c r="C501" s="11" t="s">
        <v>1577</v>
      </c>
      <c r="D501" s="11" t="s">
        <v>57</v>
      </c>
      <c r="E501" s="11" t="s">
        <v>61</v>
      </c>
      <c r="F501" s="11" t="s">
        <v>1578</v>
      </c>
      <c r="G501" s="12">
        <v>1815</v>
      </c>
      <c r="H501" s="12"/>
      <c r="I501" s="12"/>
      <c r="J501" s="12">
        <v>1795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1795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647</v>
      </c>
      <c r="D502" s="15" t="s">
        <v>80</v>
      </c>
      <c r="E502" s="11" t="s">
        <v>26</v>
      </c>
      <c r="F502" s="11" t="s">
        <v>648</v>
      </c>
      <c r="G502" s="12">
        <v>1815</v>
      </c>
      <c r="H502" s="12"/>
      <c r="I502" s="12"/>
      <c r="J502" s="12">
        <v>1798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1798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7" customFormat="1" ht="28.5" customHeight="1">
      <c r="A503" s="11" t="str">
        <f t="shared" si="91"/>
        <v/>
      </c>
      <c r="B503" s="11" t="s">
        <v>6</v>
      </c>
      <c r="C503" s="11" t="s">
        <v>106</v>
      </c>
      <c r="D503" s="11" t="s">
        <v>57</v>
      </c>
      <c r="E503" s="11" t="s">
        <v>26</v>
      </c>
      <c r="F503" s="11" t="s">
        <v>107</v>
      </c>
      <c r="G503" s="12">
        <v>1815</v>
      </c>
      <c r="H503" s="12"/>
      <c r="I503" s="12"/>
      <c r="J503" s="12">
        <v>1802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1802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1145</v>
      </c>
      <c r="D504" s="15" t="s">
        <v>45</v>
      </c>
      <c r="E504" s="11" t="s">
        <v>26</v>
      </c>
      <c r="F504" s="11" t="s">
        <v>1146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12</v>
      </c>
      <c r="C505" s="11" t="s">
        <v>1071</v>
      </c>
      <c r="D505" s="15" t="s">
        <v>45</v>
      </c>
      <c r="E505" s="11" t="s">
        <v>26</v>
      </c>
      <c r="F505" s="11" t="s">
        <v>1072</v>
      </c>
      <c r="G505" s="12">
        <v>1815</v>
      </c>
      <c r="H505" s="12"/>
      <c r="I505" s="12"/>
      <c r="J505" s="12">
        <v>1805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12</v>
      </c>
      <c r="C506" s="11" t="s">
        <v>1401</v>
      </c>
      <c r="D506" s="15" t="s">
        <v>45</v>
      </c>
      <c r="E506" s="11" t="s">
        <v>26</v>
      </c>
      <c r="F506" s="11" t="s">
        <v>1402</v>
      </c>
      <c r="G506" s="12">
        <v>1815</v>
      </c>
      <c r="H506" s="12"/>
      <c r="I506" s="12"/>
      <c r="J506" s="12">
        <v>1805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14</v>
      </c>
      <c r="C507" s="11" t="s">
        <v>1648</v>
      </c>
      <c r="D507" s="11" t="s">
        <v>57</v>
      </c>
      <c r="E507" s="11" t="s">
        <v>26</v>
      </c>
      <c r="F507" s="11" t="s">
        <v>1649</v>
      </c>
      <c r="G507" s="12">
        <v>1815</v>
      </c>
      <c r="H507" s="12"/>
      <c r="I507" s="12"/>
      <c r="J507" s="12">
        <v>1809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1809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16" customFormat="1" ht="28.5" customHeight="1">
      <c r="A508" s="11" t="str">
        <f t="shared" si="91"/>
        <v/>
      </c>
      <c r="B508" s="11" t="s">
        <v>6</v>
      </c>
      <c r="C508" s="11" t="s">
        <v>1632</v>
      </c>
      <c r="D508" s="15" t="s">
        <v>45</v>
      </c>
      <c r="E508" s="11" t="s">
        <v>26</v>
      </c>
      <c r="F508" s="11" t="s">
        <v>1633</v>
      </c>
      <c r="G508" s="12">
        <v>1815</v>
      </c>
      <c r="H508" s="12"/>
      <c r="I508" s="12"/>
      <c r="J508" s="12">
        <v>1825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1825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7" customFormat="1" ht="28.5" customHeight="1">
      <c r="A509" s="11" t="str">
        <f t="shared" si="91"/>
        <v/>
      </c>
      <c r="B509" s="11" t="s">
        <v>12</v>
      </c>
      <c r="C509" s="11" t="s">
        <v>180</v>
      </c>
      <c r="D509" s="15" t="s">
        <v>80</v>
      </c>
      <c r="E509" s="11" t="s">
        <v>26</v>
      </c>
      <c r="F509" s="11" t="s">
        <v>181</v>
      </c>
      <c r="G509" s="12">
        <v>1816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1816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14</v>
      </c>
      <c r="C510" s="11" t="s">
        <v>294</v>
      </c>
      <c r="D510" s="11" t="s">
        <v>57</v>
      </c>
      <c r="E510" s="11" t="s">
        <v>61</v>
      </c>
      <c r="F510" s="11" t="s">
        <v>295</v>
      </c>
      <c r="G510" s="12">
        <v>1817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1817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16" customFormat="1" ht="28.5" customHeight="1">
      <c r="A511" s="11" t="str">
        <f t="shared" si="91"/>
        <v/>
      </c>
      <c r="B511" s="11" t="s">
        <v>14</v>
      </c>
      <c r="C511" s="11" t="s">
        <v>1121</v>
      </c>
      <c r="D511" s="15" t="s">
        <v>60</v>
      </c>
      <c r="E511" s="11" t="s">
        <v>26</v>
      </c>
      <c r="F511" s="11" t="s">
        <v>1122</v>
      </c>
      <c r="G511" s="12">
        <v>1817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1817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14</v>
      </c>
      <c r="C512" s="11" t="s">
        <v>1127</v>
      </c>
      <c r="D512" s="15" t="s">
        <v>80</v>
      </c>
      <c r="E512" s="11" t="s">
        <v>26</v>
      </c>
      <c r="F512" s="11" t="s">
        <v>1128</v>
      </c>
      <c r="G512" s="12">
        <v>1817</v>
      </c>
      <c r="H512" s="12"/>
      <c r="I512" s="12"/>
      <c r="J512" s="12">
        <v>1798</v>
      </c>
      <c r="K512" s="12">
        <f t="shared" si="92"/>
        <v>0</v>
      </c>
      <c r="L512" s="12">
        <f t="shared" si="93"/>
        <v>1817</v>
      </c>
      <c r="M512" s="12" t="str">
        <f t="shared" si="94"/>
        <v/>
      </c>
      <c r="N512" s="12">
        <f t="shared" si="95"/>
        <v>1798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14</v>
      </c>
      <c r="C513" s="11" t="s">
        <v>1276</v>
      </c>
      <c r="D513" s="15" t="s">
        <v>60</v>
      </c>
      <c r="E513" s="11" t="s">
        <v>26</v>
      </c>
      <c r="F513" s="11" t="s">
        <v>1277</v>
      </c>
      <c r="G513" s="12">
        <v>1817</v>
      </c>
      <c r="H513" s="12"/>
      <c r="I513" s="12"/>
      <c r="J513" s="12">
        <v>1798</v>
      </c>
      <c r="K513" s="12">
        <f t="shared" si="92"/>
        <v>0</v>
      </c>
      <c r="L513" s="12">
        <f t="shared" si="93"/>
        <v>1817</v>
      </c>
      <c r="M513" s="12" t="str">
        <f t="shared" si="94"/>
        <v/>
      </c>
      <c r="N513" s="12">
        <f t="shared" si="95"/>
        <v>1798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6</v>
      </c>
      <c r="C514" s="11" t="s">
        <v>236</v>
      </c>
      <c r="D514" s="15" t="s">
        <v>80</v>
      </c>
      <c r="E514" s="11" t="s">
        <v>26</v>
      </c>
      <c r="F514" s="11" t="s">
        <v>237</v>
      </c>
      <c r="G514" s="12">
        <v>1818</v>
      </c>
      <c r="H514" s="12"/>
      <c r="I514" s="12"/>
      <c r="J514" s="12">
        <v>1799</v>
      </c>
      <c r="K514" s="12">
        <f t="shared" si="92"/>
        <v>0</v>
      </c>
      <c r="L514" s="12">
        <f t="shared" si="93"/>
        <v>1818</v>
      </c>
      <c r="M514" s="12" t="str">
        <f t="shared" si="94"/>
        <v/>
      </c>
      <c r="N514" s="12">
        <f t="shared" si="95"/>
        <v>1799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340</v>
      </c>
      <c r="D515" s="15" t="s">
        <v>80</v>
      </c>
      <c r="E515" s="11" t="s">
        <v>26</v>
      </c>
      <c r="F515" s="11" t="s">
        <v>341</v>
      </c>
      <c r="G515" s="12">
        <v>1818</v>
      </c>
      <c r="H515" s="12"/>
      <c r="I515" s="12"/>
      <c r="J515" s="12">
        <v>1799</v>
      </c>
      <c r="K515" s="12">
        <f t="shared" si="92"/>
        <v>0</v>
      </c>
      <c r="L515" s="12">
        <f t="shared" si="93"/>
        <v>1818</v>
      </c>
      <c r="M515" s="12" t="str">
        <f t="shared" si="94"/>
        <v/>
      </c>
      <c r="N515" s="12">
        <f t="shared" si="95"/>
        <v>1799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7" customFormat="1" ht="28.5" customHeight="1">
      <c r="A516" s="11" t="str">
        <f t="shared" si="91"/>
        <v/>
      </c>
      <c r="B516" s="11" t="s">
        <v>10</v>
      </c>
      <c r="C516" s="11" t="s">
        <v>336</v>
      </c>
      <c r="D516" s="15" t="s">
        <v>45</v>
      </c>
      <c r="E516" s="11" t="s">
        <v>26</v>
      </c>
      <c r="F516" s="11" t="s">
        <v>337</v>
      </c>
      <c r="G516" s="12">
        <v>1818</v>
      </c>
      <c r="H516" s="12"/>
      <c r="I516" s="12"/>
      <c r="J516" s="12">
        <v>1799</v>
      </c>
      <c r="K516" s="12">
        <f t="shared" si="92"/>
        <v>0</v>
      </c>
      <c r="L516" s="12">
        <f t="shared" si="93"/>
        <v>1818</v>
      </c>
      <c r="M516" s="12" t="str">
        <f t="shared" si="94"/>
        <v/>
      </c>
      <c r="N516" s="12">
        <f t="shared" si="95"/>
        <v>1799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1286</v>
      </c>
      <c r="D517" s="11" t="s">
        <v>57</v>
      </c>
      <c r="E517" s="11" t="s">
        <v>26</v>
      </c>
      <c r="F517" s="11" t="s">
        <v>1287</v>
      </c>
      <c r="G517" s="12">
        <v>1818</v>
      </c>
      <c r="H517" s="12"/>
      <c r="I517" s="12"/>
      <c r="J517" s="12">
        <v>1819</v>
      </c>
      <c r="K517" s="12">
        <f t="shared" si="92"/>
        <v>0</v>
      </c>
      <c r="L517" s="12">
        <f t="shared" si="93"/>
        <v>1818</v>
      </c>
      <c r="M517" s="12" t="str">
        <f t="shared" si="94"/>
        <v/>
      </c>
      <c r="N517" s="12">
        <f t="shared" si="95"/>
        <v>1819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6</v>
      </c>
      <c r="C518" s="11" t="s">
        <v>1569</v>
      </c>
      <c r="D518" s="11" t="s">
        <v>57</v>
      </c>
      <c r="E518" s="11" t="s">
        <v>26</v>
      </c>
      <c r="F518" s="11" t="s">
        <v>1570</v>
      </c>
      <c r="G518" s="12">
        <v>1818</v>
      </c>
      <c r="H518" s="12"/>
      <c r="I518" s="12"/>
      <c r="J518" s="12">
        <v>1819</v>
      </c>
      <c r="K518" s="12">
        <f t="shared" si="92"/>
        <v>0</v>
      </c>
      <c r="L518" s="12">
        <f t="shared" si="93"/>
        <v>1818</v>
      </c>
      <c r="M518" s="12" t="str">
        <f t="shared" si="94"/>
        <v/>
      </c>
      <c r="N518" s="12">
        <f t="shared" si="95"/>
        <v>1819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6</v>
      </c>
      <c r="C519" s="11" t="s">
        <v>1250</v>
      </c>
      <c r="D519" s="11" t="s">
        <v>57</v>
      </c>
      <c r="E519" s="11" t="s">
        <v>26</v>
      </c>
      <c r="F519" s="11" t="s">
        <v>1251</v>
      </c>
      <c r="G519" s="12">
        <v>1819</v>
      </c>
      <c r="H519" s="12"/>
      <c r="I519" s="12"/>
      <c r="J519" s="12">
        <v>1791</v>
      </c>
      <c r="K519" s="12">
        <f t="shared" si="92"/>
        <v>0</v>
      </c>
      <c r="L519" s="12">
        <f t="shared" si="93"/>
        <v>1819</v>
      </c>
      <c r="M519" s="12" t="str">
        <f t="shared" si="94"/>
        <v/>
      </c>
      <c r="N519" s="12">
        <f t="shared" si="95"/>
        <v>1791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18</v>
      </c>
      <c r="C520" s="11" t="s">
        <v>306</v>
      </c>
      <c r="D520" s="15" t="s">
        <v>45</v>
      </c>
      <c r="E520" s="11" t="s">
        <v>26</v>
      </c>
      <c r="F520" s="11" t="s">
        <v>307</v>
      </c>
      <c r="G520" s="12">
        <v>1819</v>
      </c>
      <c r="H520" s="12"/>
      <c r="I520" s="12"/>
      <c r="J520" s="12">
        <v>1794</v>
      </c>
      <c r="K520" s="12">
        <f t="shared" si="92"/>
        <v>0</v>
      </c>
      <c r="L520" s="12">
        <f t="shared" si="93"/>
        <v>1819</v>
      </c>
      <c r="M520" s="12" t="str">
        <f t="shared" si="94"/>
        <v/>
      </c>
      <c r="N520" s="12">
        <f t="shared" si="95"/>
        <v>1794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134</v>
      </c>
      <c r="D521" s="15" t="s">
        <v>80</v>
      </c>
      <c r="E521" s="11" t="s">
        <v>26</v>
      </c>
      <c r="F521" s="11" t="s">
        <v>135</v>
      </c>
      <c r="G521" s="12">
        <v>1819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836</v>
      </c>
      <c r="D522" s="11" t="s">
        <v>57</v>
      </c>
      <c r="E522" s="11" t="s">
        <v>26</v>
      </c>
      <c r="F522" s="11" t="s">
        <v>837</v>
      </c>
      <c r="G522" s="12">
        <v>1819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490</v>
      </c>
      <c r="D523" s="15" t="s">
        <v>45</v>
      </c>
      <c r="E523" s="11" t="s">
        <v>26</v>
      </c>
      <c r="F523" s="11" t="s">
        <v>491</v>
      </c>
      <c r="G523" s="12">
        <v>1819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10</v>
      </c>
      <c r="C524" s="11" t="s">
        <v>1314</v>
      </c>
      <c r="D524" s="15" t="s">
        <v>45</v>
      </c>
      <c r="E524" s="11" t="s">
        <v>26</v>
      </c>
      <c r="F524" s="11" t="s">
        <v>1315</v>
      </c>
      <c r="G524" s="12">
        <v>1819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146</v>
      </c>
      <c r="D525" s="15" t="s">
        <v>60</v>
      </c>
      <c r="E525" s="11" t="s">
        <v>26</v>
      </c>
      <c r="F525" s="11" t="s">
        <v>147</v>
      </c>
      <c r="G525" s="12">
        <v>1819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461</v>
      </c>
      <c r="D526" s="11" t="s">
        <v>48</v>
      </c>
      <c r="E526" s="11" t="s">
        <v>26</v>
      </c>
      <c r="F526" s="11" t="s">
        <v>463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14</v>
      </c>
      <c r="C527" s="11" t="s">
        <v>1179</v>
      </c>
      <c r="D527" s="15" t="s">
        <v>45</v>
      </c>
      <c r="E527" s="11" t="s">
        <v>26</v>
      </c>
      <c r="F527" s="11" t="s">
        <v>1180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10</v>
      </c>
      <c r="C528" s="11" t="s">
        <v>408</v>
      </c>
      <c r="D528" s="11" t="s">
        <v>48</v>
      </c>
      <c r="E528" s="11" t="s">
        <v>26</v>
      </c>
      <c r="F528" s="11" t="s">
        <v>410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7" customFormat="1" ht="28.5" customHeight="1">
      <c r="A529" s="11" t="str">
        <f t="shared" si="104"/>
        <v/>
      </c>
      <c r="B529" s="11" t="s">
        <v>10</v>
      </c>
      <c r="C529" s="11" t="s">
        <v>472</v>
      </c>
      <c r="D529" s="15" t="s">
        <v>45</v>
      </c>
      <c r="E529" s="11" t="s">
        <v>26</v>
      </c>
      <c r="F529" s="11" t="s">
        <v>473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794</v>
      </c>
      <c r="D530" s="15" t="s">
        <v>45</v>
      </c>
      <c r="E530" s="11" t="s">
        <v>26</v>
      </c>
      <c r="F530" s="11" t="s">
        <v>795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10</v>
      </c>
      <c r="C531" s="11" t="s">
        <v>1407</v>
      </c>
      <c r="D531" s="15" t="s">
        <v>60</v>
      </c>
      <c r="E531" s="11" t="s">
        <v>26</v>
      </c>
      <c r="F531" s="11" t="s">
        <v>1408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16" customFormat="1" ht="28.5" customHeight="1">
      <c r="A532" s="11" t="str">
        <f t="shared" si="104"/>
        <v/>
      </c>
      <c r="B532" s="11" t="s">
        <v>10</v>
      </c>
      <c r="C532" s="11" t="s">
        <v>1537</v>
      </c>
      <c r="D532" s="11" t="s">
        <v>71</v>
      </c>
      <c r="E532" s="11" t="s">
        <v>26</v>
      </c>
      <c r="F532" s="11" t="s">
        <v>1538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1617</v>
      </c>
      <c r="D533" s="11" t="s">
        <v>48</v>
      </c>
      <c r="E533" s="11" t="s">
        <v>26</v>
      </c>
      <c r="F533" s="11" t="s">
        <v>1618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1727</v>
      </c>
      <c r="D534" s="15" t="s">
        <v>80</v>
      </c>
      <c r="E534" s="11" t="s">
        <v>26</v>
      </c>
      <c r="F534" s="11" t="s">
        <v>1728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7" customFormat="1" ht="28.5" customHeight="1">
      <c r="A535" s="11" t="str">
        <f t="shared" si="104"/>
        <v/>
      </c>
      <c r="B535" s="11" t="s">
        <v>6</v>
      </c>
      <c r="C535" s="11" t="s">
        <v>70</v>
      </c>
      <c r="D535" s="11" t="s">
        <v>71</v>
      </c>
      <c r="E535" s="11" t="s">
        <v>26</v>
      </c>
      <c r="F535" s="11" t="s">
        <v>72</v>
      </c>
      <c r="G535" s="12">
        <v>1819</v>
      </c>
      <c r="H535" s="12"/>
      <c r="I535" s="12"/>
      <c r="J535" s="12">
        <v>1814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1814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890</v>
      </c>
      <c r="D536" s="15" t="s">
        <v>80</v>
      </c>
      <c r="E536" s="11" t="s">
        <v>26</v>
      </c>
      <c r="F536" s="11" t="s">
        <v>891</v>
      </c>
      <c r="G536" s="12">
        <v>1819</v>
      </c>
      <c r="H536" s="12"/>
      <c r="I536" s="12"/>
      <c r="J536" s="12">
        <v>1814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1814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8</v>
      </c>
      <c r="C537" s="11" t="s">
        <v>952</v>
      </c>
      <c r="D537" s="11" t="s">
        <v>57</v>
      </c>
      <c r="E537" s="11" t="s">
        <v>26</v>
      </c>
      <c r="F537" s="11" t="s">
        <v>953</v>
      </c>
      <c r="G537" s="12">
        <v>1819</v>
      </c>
      <c r="H537" s="12"/>
      <c r="I537" s="12"/>
      <c r="J537" s="12">
        <v>1815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1815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386</v>
      </c>
      <c r="D538" s="15" t="s">
        <v>60</v>
      </c>
      <c r="E538" s="11" t="s">
        <v>26</v>
      </c>
      <c r="F538" s="11" t="s">
        <v>387</v>
      </c>
      <c r="G538" s="12">
        <v>1819</v>
      </c>
      <c r="H538" s="12"/>
      <c r="I538" s="12"/>
      <c r="J538" s="12">
        <v>1818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1818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250</v>
      </c>
      <c r="D539" s="15" t="s">
        <v>80</v>
      </c>
      <c r="E539" s="11" t="s">
        <v>26</v>
      </c>
      <c r="F539" s="11" t="s">
        <v>251</v>
      </c>
      <c r="G539" s="12">
        <v>1819</v>
      </c>
      <c r="H539" s="12"/>
      <c r="I539" s="12"/>
      <c r="J539" s="12">
        <v>1823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1823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16" customFormat="1" ht="28.5" customHeight="1">
      <c r="A540" s="11" t="str">
        <f t="shared" si="104"/>
        <v/>
      </c>
      <c r="B540" s="11" t="s">
        <v>10</v>
      </c>
      <c r="C540" s="11" t="s">
        <v>753</v>
      </c>
      <c r="D540" s="15" t="s">
        <v>45</v>
      </c>
      <c r="E540" s="11" t="s">
        <v>26</v>
      </c>
      <c r="F540" s="11" t="s">
        <v>754</v>
      </c>
      <c r="G540" s="12">
        <v>1819</v>
      </c>
      <c r="H540" s="12"/>
      <c r="I540" s="12"/>
      <c r="J540" s="12">
        <v>1839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1839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18</v>
      </c>
      <c r="C541" s="11" t="s">
        <v>112</v>
      </c>
      <c r="D541" s="11" t="s">
        <v>57</v>
      </c>
      <c r="E541" s="11" t="s">
        <v>26</v>
      </c>
      <c r="F541" s="11" t="s">
        <v>113</v>
      </c>
      <c r="G541" s="12">
        <v>1822</v>
      </c>
      <c r="H541" s="12"/>
      <c r="I541" s="12"/>
      <c r="J541" s="12">
        <v>1802</v>
      </c>
      <c r="K541" s="12">
        <f t="shared" si="105"/>
        <v>0</v>
      </c>
      <c r="L541" s="12">
        <f t="shared" si="106"/>
        <v>1822</v>
      </c>
      <c r="M541" s="12" t="str">
        <f t="shared" si="107"/>
        <v/>
      </c>
      <c r="N541" s="12">
        <f t="shared" si="108"/>
        <v>1802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18</v>
      </c>
      <c r="C542" s="11" t="s">
        <v>396</v>
      </c>
      <c r="D542" s="15" t="s">
        <v>60</v>
      </c>
      <c r="E542" s="11" t="s">
        <v>26</v>
      </c>
      <c r="F542" s="11" t="s">
        <v>397</v>
      </c>
      <c r="G542" s="12">
        <v>1822</v>
      </c>
      <c r="H542" s="12"/>
      <c r="I542" s="12"/>
      <c r="J542" s="12">
        <v>1802</v>
      </c>
      <c r="K542" s="12">
        <f t="shared" si="105"/>
        <v>0</v>
      </c>
      <c r="L542" s="12">
        <f t="shared" si="106"/>
        <v>1822</v>
      </c>
      <c r="M542" s="12" t="str">
        <f t="shared" si="107"/>
        <v/>
      </c>
      <c r="N542" s="12">
        <f t="shared" si="108"/>
        <v>1802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10</v>
      </c>
      <c r="C543" s="11" t="s">
        <v>882</v>
      </c>
      <c r="D543" s="11" t="s">
        <v>57</v>
      </c>
      <c r="E543" s="11" t="s">
        <v>26</v>
      </c>
      <c r="F543" s="11" t="s">
        <v>883</v>
      </c>
      <c r="G543" s="12">
        <v>1823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1823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14</v>
      </c>
      <c r="C544" s="11" t="s">
        <v>1123</v>
      </c>
      <c r="D544" s="15" t="s">
        <v>45</v>
      </c>
      <c r="E544" s="11" t="s">
        <v>26</v>
      </c>
      <c r="F544" s="11" t="s">
        <v>1124</v>
      </c>
      <c r="G544" s="12">
        <v>1823</v>
      </c>
      <c r="H544" s="12"/>
      <c r="I544" s="12"/>
      <c r="J544" s="12">
        <v>1813</v>
      </c>
      <c r="K544" s="12">
        <f t="shared" si="105"/>
        <v>0</v>
      </c>
      <c r="L544" s="12">
        <f t="shared" si="106"/>
        <v>1823</v>
      </c>
      <c r="M544" s="12" t="str">
        <f t="shared" si="107"/>
        <v/>
      </c>
      <c r="N544" s="12">
        <f t="shared" si="108"/>
        <v>1813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10</v>
      </c>
      <c r="C545" s="11" t="s">
        <v>394</v>
      </c>
      <c r="D545" s="11" t="s">
        <v>71</v>
      </c>
      <c r="E545" s="11" t="s">
        <v>26</v>
      </c>
      <c r="F545" s="11" t="s">
        <v>395</v>
      </c>
      <c r="G545" s="12">
        <v>1823</v>
      </c>
      <c r="H545" s="12"/>
      <c r="I545" s="12"/>
      <c r="J545" s="12">
        <v>1823</v>
      </c>
      <c r="K545" s="12">
        <f t="shared" si="105"/>
        <v>0</v>
      </c>
      <c r="L545" s="12">
        <f t="shared" si="106"/>
        <v>1823</v>
      </c>
      <c r="M545" s="12" t="str">
        <f t="shared" si="107"/>
        <v/>
      </c>
      <c r="N545" s="12">
        <f t="shared" si="108"/>
        <v>1823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10</v>
      </c>
      <c r="C546" s="11" t="s">
        <v>1063</v>
      </c>
      <c r="D546" s="11" t="s">
        <v>57</v>
      </c>
      <c r="E546" s="11" t="s">
        <v>26</v>
      </c>
      <c r="F546" s="11" t="s">
        <v>1064</v>
      </c>
      <c r="G546" s="12">
        <v>1823</v>
      </c>
      <c r="H546" s="12"/>
      <c r="I546" s="12"/>
      <c r="J546" s="12">
        <v>1823</v>
      </c>
      <c r="K546" s="12">
        <f t="shared" si="105"/>
        <v>0</v>
      </c>
      <c r="L546" s="12">
        <f t="shared" si="106"/>
        <v>1823</v>
      </c>
      <c r="M546" s="12" t="str">
        <f t="shared" si="107"/>
        <v/>
      </c>
      <c r="N546" s="12">
        <f t="shared" si="108"/>
        <v>1823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8</v>
      </c>
      <c r="C547" s="11" t="s">
        <v>1678</v>
      </c>
      <c r="D547" s="11" t="s">
        <v>80</v>
      </c>
      <c r="E547" s="11" t="s">
        <v>26</v>
      </c>
      <c r="F547" s="11" t="s">
        <v>1765</v>
      </c>
      <c r="G547" s="12">
        <v>1824</v>
      </c>
      <c r="H547" s="12"/>
      <c r="I547" s="12"/>
      <c r="J547" s="12">
        <v>1813</v>
      </c>
      <c r="K547" s="12">
        <f t="shared" si="105"/>
        <v>0</v>
      </c>
      <c r="L547" s="12">
        <f t="shared" si="106"/>
        <v>1824</v>
      </c>
      <c r="M547" s="12" t="str">
        <f t="shared" si="107"/>
        <v/>
      </c>
      <c r="N547" s="12">
        <f t="shared" si="108"/>
        <v>1813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6</v>
      </c>
      <c r="C548" s="11" t="s">
        <v>1102</v>
      </c>
      <c r="D548" s="11" t="s">
        <v>57</v>
      </c>
      <c r="E548" s="11" t="s">
        <v>26</v>
      </c>
      <c r="F548" s="11" t="s">
        <v>1103</v>
      </c>
      <c r="G548" s="12">
        <v>1824</v>
      </c>
      <c r="H548" s="12"/>
      <c r="I548" s="12"/>
      <c r="J548" s="12">
        <v>1814</v>
      </c>
      <c r="K548" s="12">
        <f t="shared" si="105"/>
        <v>0</v>
      </c>
      <c r="L548" s="12">
        <f t="shared" si="106"/>
        <v>1824</v>
      </c>
      <c r="M548" s="12" t="str">
        <f t="shared" si="107"/>
        <v/>
      </c>
      <c r="N548" s="12">
        <f t="shared" si="108"/>
        <v>1814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288</v>
      </c>
      <c r="D549" s="11" t="s">
        <v>57</v>
      </c>
      <c r="E549" s="11" t="s">
        <v>26</v>
      </c>
      <c r="F549" s="11" t="s">
        <v>289</v>
      </c>
      <c r="G549" s="12">
        <v>1825</v>
      </c>
      <c r="H549" s="12"/>
      <c r="I549" s="12"/>
      <c r="J549" s="12">
        <v>1789</v>
      </c>
      <c r="K549" s="12">
        <f t="shared" si="105"/>
        <v>0</v>
      </c>
      <c r="L549" s="12">
        <f t="shared" si="106"/>
        <v>1825</v>
      </c>
      <c r="M549" s="12" t="str">
        <f t="shared" si="107"/>
        <v/>
      </c>
      <c r="N549" s="12">
        <f t="shared" si="108"/>
        <v>1789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10</v>
      </c>
      <c r="C550" s="11" t="s">
        <v>1555</v>
      </c>
      <c r="D550" s="15" t="s">
        <v>80</v>
      </c>
      <c r="E550" s="11" t="s">
        <v>26</v>
      </c>
      <c r="F550" s="11" t="s">
        <v>1556</v>
      </c>
      <c r="G550" s="12">
        <v>1825</v>
      </c>
      <c r="H550" s="12"/>
      <c r="I550" s="12"/>
      <c r="J550" s="12">
        <v>1789</v>
      </c>
      <c r="K550" s="12">
        <f t="shared" si="105"/>
        <v>0</v>
      </c>
      <c r="L550" s="12">
        <f t="shared" si="106"/>
        <v>1825</v>
      </c>
      <c r="M550" s="12" t="str">
        <f t="shared" si="107"/>
        <v/>
      </c>
      <c r="N550" s="12">
        <f t="shared" si="108"/>
        <v>1789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18</v>
      </c>
      <c r="C551" s="11" t="s">
        <v>314</v>
      </c>
      <c r="D551" s="15" t="s">
        <v>45</v>
      </c>
      <c r="E551" s="11" t="s">
        <v>26</v>
      </c>
      <c r="F551" s="11" t="s">
        <v>315</v>
      </c>
      <c r="G551" s="12">
        <v>1825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1825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18</v>
      </c>
      <c r="C552" s="11" t="s">
        <v>316</v>
      </c>
      <c r="D552" s="15" t="s">
        <v>45</v>
      </c>
      <c r="E552" s="11" t="s">
        <v>26</v>
      </c>
      <c r="F552" s="11" t="s">
        <v>317</v>
      </c>
      <c r="G552" s="12">
        <v>1825</v>
      </c>
      <c r="H552" s="12"/>
      <c r="I552" s="12"/>
      <c r="J552" s="12">
        <v>1795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1795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16" customFormat="1" ht="28.5" customHeight="1">
      <c r="A553" s="11" t="str">
        <f t="shared" si="104"/>
        <v/>
      </c>
      <c r="B553" s="11" t="s">
        <v>18</v>
      </c>
      <c r="C553" s="11" t="s">
        <v>1523</v>
      </c>
      <c r="D553" s="11" t="s">
        <v>57</v>
      </c>
      <c r="E553" s="11" t="s">
        <v>26</v>
      </c>
      <c r="F553" s="11" t="s">
        <v>1524</v>
      </c>
      <c r="G553" s="12">
        <v>1825</v>
      </c>
      <c r="H553" s="12"/>
      <c r="I553" s="12"/>
      <c r="J553" s="12">
        <v>1795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1795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79</v>
      </c>
      <c r="D554" s="15" t="s">
        <v>80</v>
      </c>
      <c r="E554" s="11" t="s">
        <v>26</v>
      </c>
      <c r="F554" s="11" t="s">
        <v>81</v>
      </c>
      <c r="G554" s="12">
        <v>1825</v>
      </c>
      <c r="H554" s="12"/>
      <c r="I554" s="12"/>
      <c r="J554" s="12">
        <v>1798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1798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44</v>
      </c>
      <c r="D555" s="15" t="s">
        <v>45</v>
      </c>
      <c r="E555" s="11" t="s">
        <v>26</v>
      </c>
      <c r="F555" s="11" t="s">
        <v>46</v>
      </c>
      <c r="G555" s="12">
        <v>1825</v>
      </c>
      <c r="H555" s="12"/>
      <c r="I555" s="12"/>
      <c r="J555" s="12">
        <v>1799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682</v>
      </c>
      <c r="D556" s="11" t="s">
        <v>48</v>
      </c>
      <c r="E556" s="11" t="s">
        <v>26</v>
      </c>
      <c r="F556" s="11" t="s">
        <v>683</v>
      </c>
      <c r="G556" s="12">
        <v>1825</v>
      </c>
      <c r="H556" s="12"/>
      <c r="I556" s="12"/>
      <c r="J556" s="12">
        <v>1799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10</v>
      </c>
      <c r="C557" s="11" t="s">
        <v>400</v>
      </c>
      <c r="D557" s="11" t="s">
        <v>48</v>
      </c>
      <c r="E557" s="11" t="s">
        <v>26</v>
      </c>
      <c r="F557" s="11" t="s">
        <v>401</v>
      </c>
      <c r="G557" s="12">
        <v>1825</v>
      </c>
      <c r="H557" s="12"/>
      <c r="I557" s="12"/>
      <c r="J557" s="12">
        <v>1799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10</v>
      </c>
      <c r="C558" s="11" t="s">
        <v>772</v>
      </c>
      <c r="D558" s="15" t="s">
        <v>60</v>
      </c>
      <c r="E558" s="11" t="s">
        <v>26</v>
      </c>
      <c r="F558" s="11" t="s">
        <v>773</v>
      </c>
      <c r="G558" s="12">
        <v>1825</v>
      </c>
      <c r="H558" s="12"/>
      <c r="I558" s="12"/>
      <c r="J558" s="12">
        <v>1799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1219</v>
      </c>
      <c r="D559" s="11" t="s">
        <v>48</v>
      </c>
      <c r="E559" s="11" t="s">
        <v>26</v>
      </c>
      <c r="F559" s="11" t="s">
        <v>1220</v>
      </c>
      <c r="G559" s="12">
        <v>1825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1352</v>
      </c>
      <c r="D560" s="11" t="s">
        <v>57</v>
      </c>
      <c r="E560" s="11" t="s">
        <v>26</v>
      </c>
      <c r="F560" s="11" t="s">
        <v>1353</v>
      </c>
      <c r="G560" s="12">
        <v>1825</v>
      </c>
      <c r="H560" s="12"/>
      <c r="I560" s="12"/>
      <c r="J560" s="12">
        <v>1805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1805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6</v>
      </c>
      <c r="C561" s="11" t="s">
        <v>1432</v>
      </c>
      <c r="D561" s="15" t="s">
        <v>45</v>
      </c>
      <c r="E561" s="11" t="s">
        <v>26</v>
      </c>
      <c r="F561" s="11" t="s">
        <v>1433</v>
      </c>
      <c r="G561" s="12">
        <v>1825</v>
      </c>
      <c r="H561" s="12"/>
      <c r="I561" s="12"/>
      <c r="J561" s="12">
        <v>1808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1808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7" customFormat="1" ht="28.5" customHeight="1">
      <c r="A562" s="11" t="str">
        <f t="shared" si="104"/>
        <v/>
      </c>
      <c r="B562" s="11" t="s">
        <v>10</v>
      </c>
      <c r="C562" s="11" t="s">
        <v>322</v>
      </c>
      <c r="D562" s="11" t="s">
        <v>48</v>
      </c>
      <c r="E562" s="11" t="s">
        <v>26</v>
      </c>
      <c r="F562" s="11" t="s">
        <v>323</v>
      </c>
      <c r="G562" s="12">
        <v>1825</v>
      </c>
      <c r="H562" s="12"/>
      <c r="I562" s="12"/>
      <c r="J562" s="12">
        <v>1808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1808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1758</v>
      </c>
      <c r="D563" s="11" t="s">
        <v>57</v>
      </c>
      <c r="E563" s="11" t="s">
        <v>26</v>
      </c>
      <c r="F563" s="11" t="s">
        <v>448</v>
      </c>
      <c r="G563" s="12">
        <v>1825</v>
      </c>
      <c r="H563" s="12"/>
      <c r="I563" s="12"/>
      <c r="J563" s="12">
        <v>1808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1808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18</v>
      </c>
      <c r="C564" s="11" t="s">
        <v>1656</v>
      </c>
      <c r="D564" s="15" t="s">
        <v>45</v>
      </c>
      <c r="E564" s="11" t="s">
        <v>26</v>
      </c>
      <c r="F564" s="11" t="s">
        <v>1657</v>
      </c>
      <c r="G564" s="12">
        <v>1825</v>
      </c>
      <c r="H564" s="12"/>
      <c r="I564" s="12"/>
      <c r="J564" s="12">
        <v>1809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6</v>
      </c>
      <c r="C565" s="11" t="s">
        <v>352</v>
      </c>
      <c r="D565" s="15" t="s">
        <v>45</v>
      </c>
      <c r="E565" s="11" t="s">
        <v>26</v>
      </c>
      <c r="F565" s="11" t="s">
        <v>353</v>
      </c>
      <c r="G565" s="12">
        <v>1825</v>
      </c>
      <c r="H565" s="12"/>
      <c r="I565" s="12"/>
      <c r="J565" s="12">
        <v>1809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690</v>
      </c>
      <c r="D566" s="11" t="s">
        <v>104</v>
      </c>
      <c r="E566" s="11" t="s">
        <v>26</v>
      </c>
      <c r="F566" s="11" t="s">
        <v>691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727</v>
      </c>
      <c r="D567" s="15" t="s">
        <v>45</v>
      </c>
      <c r="E567" s="11" t="s">
        <v>26</v>
      </c>
      <c r="F567" s="11" t="s">
        <v>729</v>
      </c>
      <c r="G567" s="12">
        <v>1825</v>
      </c>
      <c r="H567" s="12"/>
      <c r="I567" s="12"/>
      <c r="J567" s="12">
        <v>1810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1810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16" customFormat="1" ht="28.5" customHeight="1">
      <c r="A568" s="11" t="str">
        <f t="shared" si="104"/>
        <v/>
      </c>
      <c r="B568" s="11" t="s">
        <v>6</v>
      </c>
      <c r="C568" s="11" t="s">
        <v>1366</v>
      </c>
      <c r="D568" s="11" t="s">
        <v>57</v>
      </c>
      <c r="E568" s="11" t="s">
        <v>26</v>
      </c>
      <c r="F568" s="11" t="s">
        <v>1367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1075</v>
      </c>
      <c r="D569" s="15" t="s">
        <v>80</v>
      </c>
      <c r="E569" s="11" t="s">
        <v>26</v>
      </c>
      <c r="F569" s="11" t="s">
        <v>1076</v>
      </c>
      <c r="G569" s="12">
        <v>1825</v>
      </c>
      <c r="H569" s="12"/>
      <c r="I569" s="12"/>
      <c r="J569" s="12">
        <v>1812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1812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7" customFormat="1" ht="28.5" customHeight="1">
      <c r="A570" s="11" t="str">
        <f t="shared" si="104"/>
        <v/>
      </c>
      <c r="B570" s="11" t="s">
        <v>6</v>
      </c>
      <c r="C570" s="11" t="s">
        <v>1079</v>
      </c>
      <c r="D570" s="11" t="s">
        <v>48</v>
      </c>
      <c r="E570" s="11" t="s">
        <v>26</v>
      </c>
      <c r="F570" s="11" t="s">
        <v>1080</v>
      </c>
      <c r="G570" s="12">
        <v>1825</v>
      </c>
      <c r="H570" s="12"/>
      <c r="I570" s="12"/>
      <c r="J570" s="12">
        <v>1812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1812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569</v>
      </c>
      <c r="D571" s="15" t="s">
        <v>45</v>
      </c>
      <c r="E571" s="11" t="s">
        <v>26</v>
      </c>
      <c r="F571" s="11" t="s">
        <v>572</v>
      </c>
      <c r="G571" s="12">
        <v>1825</v>
      </c>
      <c r="H571" s="12"/>
      <c r="I571" s="12"/>
      <c r="J571" s="12">
        <v>1813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1813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578</v>
      </c>
      <c r="D572" s="15" t="s">
        <v>80</v>
      </c>
      <c r="E572" s="11" t="s">
        <v>26</v>
      </c>
      <c r="F572" s="11" t="s">
        <v>579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1235</v>
      </c>
      <c r="D573" s="11" t="s">
        <v>57</v>
      </c>
      <c r="E573" s="11" t="s">
        <v>26</v>
      </c>
      <c r="F573" s="11" t="s">
        <v>1236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14</v>
      </c>
      <c r="C574" s="11" t="s">
        <v>1113</v>
      </c>
      <c r="D574" s="15" t="s">
        <v>45</v>
      </c>
      <c r="E574" s="11" t="s">
        <v>26</v>
      </c>
      <c r="F574" s="11" t="s">
        <v>1114</v>
      </c>
      <c r="G574" s="12">
        <v>1825</v>
      </c>
      <c r="H574" s="12"/>
      <c r="I574" s="12"/>
      <c r="J574" s="12">
        <v>1815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1815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12</v>
      </c>
      <c r="C575" s="11" t="s">
        <v>158</v>
      </c>
      <c r="D575" s="15" t="s">
        <v>57</v>
      </c>
      <c r="E575" s="11" t="s">
        <v>26</v>
      </c>
      <c r="F575" s="11" t="s">
        <v>159</v>
      </c>
      <c r="G575" s="12">
        <v>1825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12</v>
      </c>
      <c r="C576" s="11" t="s">
        <v>1731</v>
      </c>
      <c r="D576" s="15" t="s">
        <v>45</v>
      </c>
      <c r="E576" s="11" t="s">
        <v>26</v>
      </c>
      <c r="F576" s="11" t="s">
        <v>1732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6</v>
      </c>
      <c r="C577" s="11" t="s">
        <v>110</v>
      </c>
      <c r="D577" s="11" t="s">
        <v>57</v>
      </c>
      <c r="E577" s="11" t="s">
        <v>26</v>
      </c>
      <c r="F577" s="11" t="s">
        <v>111</v>
      </c>
      <c r="G577" s="12">
        <v>1825</v>
      </c>
      <c r="H577" s="12"/>
      <c r="I577" s="12"/>
      <c r="J577" s="12">
        <v>1819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1819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12</v>
      </c>
      <c r="C578" s="11" t="s">
        <v>1332</v>
      </c>
      <c r="D578" s="15" t="s">
        <v>60</v>
      </c>
      <c r="E578" s="11" t="s">
        <v>26</v>
      </c>
      <c r="F578" s="11" t="s">
        <v>1333</v>
      </c>
      <c r="G578" s="12">
        <v>1827</v>
      </c>
      <c r="H578" s="12"/>
      <c r="I578" s="12"/>
      <c r="J578" s="12">
        <v>1815</v>
      </c>
      <c r="K578" s="12">
        <f t="shared" si="105"/>
        <v>0</v>
      </c>
      <c r="L578" s="12">
        <f t="shared" si="106"/>
        <v>1827</v>
      </c>
      <c r="M578" s="12" t="str">
        <f t="shared" si="107"/>
        <v/>
      </c>
      <c r="N578" s="12">
        <f t="shared" si="108"/>
        <v>1815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18</v>
      </c>
      <c r="C579" s="11" t="s">
        <v>1621</v>
      </c>
      <c r="D579" s="11" t="s">
        <v>57</v>
      </c>
      <c r="E579" s="11" t="s">
        <v>26</v>
      </c>
      <c r="F579" s="11" t="s">
        <v>1623</v>
      </c>
      <c r="G579" s="12">
        <v>1827</v>
      </c>
      <c r="H579" s="12"/>
      <c r="I579" s="12"/>
      <c r="J579" s="12">
        <v>1817</v>
      </c>
      <c r="K579" s="12">
        <f t="shared" si="105"/>
        <v>0</v>
      </c>
      <c r="L579" s="12">
        <f t="shared" si="106"/>
        <v>1827</v>
      </c>
      <c r="M579" s="12" t="str">
        <f t="shared" si="107"/>
        <v/>
      </c>
      <c r="N579" s="12">
        <f t="shared" si="108"/>
        <v>1817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8</v>
      </c>
      <c r="C580" s="11" t="s">
        <v>1482</v>
      </c>
      <c r="D580" s="15" t="s">
        <v>45</v>
      </c>
      <c r="E580" s="11" t="s">
        <v>26</v>
      </c>
      <c r="F580" s="11" t="s">
        <v>1483</v>
      </c>
      <c r="G580" s="12">
        <v>1828</v>
      </c>
      <c r="H580" s="12"/>
      <c r="I580" s="12"/>
      <c r="J580" s="12">
        <v>1805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1805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1320</v>
      </c>
      <c r="D581" s="11" t="s">
        <v>95</v>
      </c>
      <c r="E581" s="11" t="s">
        <v>61</v>
      </c>
      <c r="F581" s="11" t="s">
        <v>1321</v>
      </c>
      <c r="G581" s="12">
        <v>1828</v>
      </c>
      <c r="H581" s="12"/>
      <c r="I581" s="12"/>
      <c r="J581" s="12">
        <v>1812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1812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6</v>
      </c>
      <c r="C582" s="11" t="s">
        <v>470</v>
      </c>
      <c r="D582" s="15" t="s">
        <v>60</v>
      </c>
      <c r="E582" s="11" t="s">
        <v>26</v>
      </c>
      <c r="F582" s="11" t="s">
        <v>471</v>
      </c>
      <c r="G582" s="12">
        <v>1828</v>
      </c>
      <c r="H582" s="12"/>
      <c r="I582" s="12"/>
      <c r="J582" s="12">
        <v>1813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1813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7" customFormat="1" ht="28.5" customHeight="1">
      <c r="A583" s="11" t="str">
        <f t="shared" si="104"/>
        <v/>
      </c>
      <c r="B583" s="11" t="s">
        <v>6</v>
      </c>
      <c r="C583" s="11" t="s">
        <v>549</v>
      </c>
      <c r="D583" s="15" t="s">
        <v>45</v>
      </c>
      <c r="E583" s="11" t="s">
        <v>26</v>
      </c>
      <c r="F583" s="11" t="s">
        <v>550</v>
      </c>
      <c r="G583" s="12">
        <v>1828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6</v>
      </c>
      <c r="C584" s="11" t="s">
        <v>1759</v>
      </c>
      <c r="D584" s="11" t="s">
        <v>45</v>
      </c>
      <c r="E584" s="11" t="s">
        <v>26</v>
      </c>
      <c r="F584" s="11" t="s">
        <v>1760</v>
      </c>
      <c r="G584" s="12">
        <v>1828</v>
      </c>
      <c r="H584" s="12"/>
      <c r="I584" s="12"/>
      <c r="J584" s="12">
        <v>1813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1813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1535</v>
      </c>
      <c r="D585" s="15" t="s">
        <v>45</v>
      </c>
      <c r="E585" s="11" t="s">
        <v>26</v>
      </c>
      <c r="F585" s="11" t="s">
        <v>1536</v>
      </c>
      <c r="G585" s="12">
        <v>1828</v>
      </c>
      <c r="H585" s="12"/>
      <c r="I585" s="12"/>
      <c r="J585" s="12">
        <v>1815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1815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1571</v>
      </c>
      <c r="D586" s="11" t="s">
        <v>57</v>
      </c>
      <c r="E586" s="11" t="s">
        <v>26</v>
      </c>
      <c r="F586" s="11" t="s">
        <v>1572</v>
      </c>
      <c r="G586" s="12">
        <v>1828</v>
      </c>
      <c r="H586" s="12"/>
      <c r="I586" s="12"/>
      <c r="J586" s="12">
        <v>1815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1815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12</v>
      </c>
      <c r="C587" s="11" t="s">
        <v>1266</v>
      </c>
      <c r="D587" s="15" t="s">
        <v>60</v>
      </c>
      <c r="E587" s="11" t="s">
        <v>26</v>
      </c>
      <c r="F587" s="11" t="s">
        <v>1267</v>
      </c>
      <c r="G587" s="12">
        <v>1828</v>
      </c>
      <c r="H587" s="12"/>
      <c r="I587" s="12"/>
      <c r="J587" s="12">
        <v>1818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1818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737</v>
      </c>
      <c r="D588" s="15" t="s">
        <v>60</v>
      </c>
      <c r="E588" s="11" t="s">
        <v>26</v>
      </c>
      <c r="F588" s="11" t="s">
        <v>738</v>
      </c>
      <c r="G588" s="12">
        <v>1828</v>
      </c>
      <c r="H588" s="12"/>
      <c r="I588" s="12"/>
      <c r="J588" s="12">
        <v>1818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1818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1025</v>
      </c>
      <c r="D589" s="11" t="s">
        <v>57</v>
      </c>
      <c r="E589" s="11" t="s">
        <v>26</v>
      </c>
      <c r="F589" s="11" t="s">
        <v>1026</v>
      </c>
      <c r="G589" s="12">
        <v>1828</v>
      </c>
      <c r="H589" s="12"/>
      <c r="I589" s="12"/>
      <c r="J589" s="12">
        <v>1818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1818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1678</v>
      </c>
      <c r="D590" s="15" t="s">
        <v>45</v>
      </c>
      <c r="E590" s="11" t="s">
        <v>61</v>
      </c>
      <c r="F590" s="11" t="s">
        <v>1680</v>
      </c>
      <c r="G590" s="12">
        <v>1828</v>
      </c>
      <c r="H590" s="12"/>
      <c r="I590" s="12"/>
      <c r="J590" s="12">
        <v>1818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14</v>
      </c>
      <c r="C591" s="11" t="s">
        <v>834</v>
      </c>
      <c r="D591" s="15" t="s">
        <v>60</v>
      </c>
      <c r="E591" s="11" t="s">
        <v>26</v>
      </c>
      <c r="F591" s="11" t="s">
        <v>835</v>
      </c>
      <c r="G591" s="12">
        <v>1828</v>
      </c>
      <c r="H591" s="12"/>
      <c r="I591" s="12"/>
      <c r="J591" s="12">
        <v>1838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1838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12</v>
      </c>
      <c r="C592" s="11" t="s">
        <v>1247</v>
      </c>
      <c r="D592" s="15" t="s">
        <v>60</v>
      </c>
      <c r="E592" s="11" t="s">
        <v>26</v>
      </c>
      <c r="F592" s="11" t="s">
        <v>1249</v>
      </c>
      <c r="G592" s="12">
        <v>1829</v>
      </c>
      <c r="H592" s="12"/>
      <c r="I592" s="12"/>
      <c r="J592" s="12">
        <v>1789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1789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1061</v>
      </c>
      <c r="D593" s="15" t="s">
        <v>80</v>
      </c>
      <c r="E593" s="11" t="s">
        <v>26</v>
      </c>
      <c r="F593" s="11" t="s">
        <v>1062</v>
      </c>
      <c r="G593" s="12">
        <v>1829</v>
      </c>
      <c r="H593" s="12"/>
      <c r="I593" s="12"/>
      <c r="J593" s="12">
        <v>1798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1798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14</v>
      </c>
      <c r="C594" s="11" t="s">
        <v>1393</v>
      </c>
      <c r="D594" s="11" t="s">
        <v>57</v>
      </c>
      <c r="E594" s="11" t="s">
        <v>61</v>
      </c>
      <c r="F594" s="11" t="s">
        <v>1394</v>
      </c>
      <c r="G594" s="12">
        <v>1829</v>
      </c>
      <c r="H594" s="12"/>
      <c r="I594" s="12"/>
      <c r="J594" s="12">
        <v>1799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1799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16" customFormat="1" ht="28.5" customHeight="1">
      <c r="A595" s="11" t="str">
        <f t="shared" si="117"/>
        <v/>
      </c>
      <c r="B595" s="11" t="s">
        <v>10</v>
      </c>
      <c r="C595" s="11" t="s">
        <v>507</v>
      </c>
      <c r="D595" s="11" t="s">
        <v>48</v>
      </c>
      <c r="E595" s="11" t="s">
        <v>26</v>
      </c>
      <c r="F595" s="11" t="s">
        <v>508</v>
      </c>
      <c r="G595" s="12">
        <v>1829</v>
      </c>
      <c r="H595" s="12"/>
      <c r="I595" s="12"/>
      <c r="J595" s="12">
        <v>1799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1799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717</v>
      </c>
      <c r="D596" s="15" t="s">
        <v>45</v>
      </c>
      <c r="E596" s="11" t="s">
        <v>26</v>
      </c>
      <c r="F596" s="11" t="s">
        <v>718</v>
      </c>
      <c r="G596" s="12">
        <v>1829</v>
      </c>
      <c r="H596" s="12"/>
      <c r="I596" s="12"/>
      <c r="J596" s="12">
        <v>1799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1799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12</v>
      </c>
      <c r="C597" s="11" t="s">
        <v>318</v>
      </c>
      <c r="D597" s="15" t="s">
        <v>45</v>
      </c>
      <c r="E597" s="11" t="s">
        <v>26</v>
      </c>
      <c r="F597" s="11" t="s">
        <v>319</v>
      </c>
      <c r="G597" s="12">
        <v>1829</v>
      </c>
      <c r="H597" s="12"/>
      <c r="I597" s="12"/>
      <c r="J597" s="12">
        <v>1809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1809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232</v>
      </c>
      <c r="D598" s="15" t="s">
        <v>80</v>
      </c>
      <c r="E598" s="11" t="s">
        <v>26</v>
      </c>
      <c r="F598" s="11" t="s">
        <v>233</v>
      </c>
      <c r="G598" s="12">
        <v>1829</v>
      </c>
      <c r="H598" s="12"/>
      <c r="I598" s="12"/>
      <c r="J598" s="12">
        <v>1809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1809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938</v>
      </c>
      <c r="D599" s="11" t="s">
        <v>57</v>
      </c>
      <c r="E599" s="11" t="s">
        <v>26</v>
      </c>
      <c r="F599" s="11" t="s">
        <v>939</v>
      </c>
      <c r="G599" s="12">
        <v>1829</v>
      </c>
      <c r="H599" s="12"/>
      <c r="I599" s="12"/>
      <c r="J599" s="12">
        <v>1813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1813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6</v>
      </c>
      <c r="C600" s="11" t="s">
        <v>1006</v>
      </c>
      <c r="D600" s="11" t="s">
        <v>57</v>
      </c>
      <c r="E600" s="11" t="s">
        <v>26</v>
      </c>
      <c r="F600" s="11" t="s">
        <v>1008</v>
      </c>
      <c r="G600" s="12">
        <v>1829</v>
      </c>
      <c r="H600" s="12"/>
      <c r="I600" s="12"/>
      <c r="J600" s="12">
        <v>1813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1813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148</v>
      </c>
      <c r="D601" s="15" t="s">
        <v>80</v>
      </c>
      <c r="E601" s="11" t="s">
        <v>26</v>
      </c>
      <c r="F601" s="11" t="s">
        <v>149</v>
      </c>
      <c r="G601" s="12">
        <v>1829</v>
      </c>
      <c r="H601" s="12"/>
      <c r="I601" s="12"/>
      <c r="J601" s="12">
        <v>1814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1814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582</v>
      </c>
      <c r="D602" s="15" t="s">
        <v>80</v>
      </c>
      <c r="E602" s="11" t="s">
        <v>26</v>
      </c>
      <c r="F602" s="11" t="s">
        <v>583</v>
      </c>
      <c r="G602" s="12">
        <v>1829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8</v>
      </c>
      <c r="C603" s="11" t="s">
        <v>616</v>
      </c>
      <c r="D603" s="15" t="s">
        <v>45</v>
      </c>
      <c r="E603" s="11" t="s">
        <v>26</v>
      </c>
      <c r="F603" s="11" t="s">
        <v>618</v>
      </c>
      <c r="G603" s="12">
        <v>1829</v>
      </c>
      <c r="H603" s="12"/>
      <c r="I603" s="12"/>
      <c r="J603" s="12">
        <v>1815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8</v>
      </c>
      <c r="C604" s="11" t="s">
        <v>801</v>
      </c>
      <c r="D604" s="11" t="s">
        <v>57</v>
      </c>
      <c r="E604" s="11" t="s">
        <v>26</v>
      </c>
      <c r="F604" s="11" t="s">
        <v>802</v>
      </c>
      <c r="G604" s="12">
        <v>1829</v>
      </c>
      <c r="H604" s="12"/>
      <c r="I604" s="12"/>
      <c r="J604" s="12">
        <v>1815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7" customFormat="1" ht="28.5" customHeight="1">
      <c r="A605" s="11" t="str">
        <f t="shared" si="117"/>
        <v/>
      </c>
      <c r="B605" s="11" t="s">
        <v>10</v>
      </c>
      <c r="C605" s="11" t="s">
        <v>1203</v>
      </c>
      <c r="D605" s="11" t="s">
        <v>104</v>
      </c>
      <c r="E605" s="11" t="s">
        <v>26</v>
      </c>
      <c r="F605" s="11" t="s">
        <v>1204</v>
      </c>
      <c r="G605" s="12">
        <v>1829</v>
      </c>
      <c r="H605" s="12"/>
      <c r="I605" s="12"/>
      <c r="J605" s="12">
        <v>1818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1818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16" customFormat="1" ht="28.5" customHeight="1">
      <c r="A606" s="11" t="str">
        <f t="shared" si="117"/>
        <v/>
      </c>
      <c r="B606" s="11" t="s">
        <v>18</v>
      </c>
      <c r="C606" s="11" t="s">
        <v>1223</v>
      </c>
      <c r="D606" s="15" t="s">
        <v>45</v>
      </c>
      <c r="E606" s="11" t="s">
        <v>26</v>
      </c>
      <c r="F606" s="11" t="s">
        <v>1224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16" customFormat="1" ht="28.5" customHeight="1">
      <c r="A607" s="11" t="str">
        <f t="shared" si="117"/>
        <v/>
      </c>
      <c r="B607" s="11" t="s">
        <v>8</v>
      </c>
      <c r="C607" s="11" t="s">
        <v>956</v>
      </c>
      <c r="D607" s="15" t="s">
        <v>45</v>
      </c>
      <c r="E607" s="11" t="s">
        <v>26</v>
      </c>
      <c r="F607" s="11" t="s">
        <v>957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958</v>
      </c>
      <c r="D608" s="15" t="s">
        <v>57</v>
      </c>
      <c r="E608" s="11" t="s">
        <v>26</v>
      </c>
      <c r="F608" s="11" t="s">
        <v>959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8</v>
      </c>
      <c r="C609" s="11" t="s">
        <v>1561</v>
      </c>
      <c r="D609" s="11" t="s">
        <v>48</v>
      </c>
      <c r="E609" s="11" t="s">
        <v>26</v>
      </c>
      <c r="F609" s="11" t="s">
        <v>1562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12</v>
      </c>
      <c r="C610" s="11" t="s">
        <v>1664</v>
      </c>
      <c r="D610" s="15" t="s">
        <v>57</v>
      </c>
      <c r="E610" s="11" t="s">
        <v>26</v>
      </c>
      <c r="F610" s="11" t="s">
        <v>1665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7" customFormat="1" ht="28.5" customHeight="1">
      <c r="A611" s="11" t="str">
        <f t="shared" si="117"/>
        <v/>
      </c>
      <c r="B611" s="11" t="s">
        <v>10</v>
      </c>
      <c r="C611" s="11" t="s">
        <v>328</v>
      </c>
      <c r="D611" s="15" t="s">
        <v>45</v>
      </c>
      <c r="E611" s="11" t="s">
        <v>26</v>
      </c>
      <c r="F611" s="11" t="s">
        <v>329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884</v>
      </c>
      <c r="D612" s="11" t="s">
        <v>57</v>
      </c>
      <c r="E612" s="11" t="s">
        <v>26</v>
      </c>
      <c r="F612" s="11" t="s">
        <v>885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1110</v>
      </c>
      <c r="D613" s="11" t="s">
        <v>48</v>
      </c>
      <c r="E613" s="11" t="s">
        <v>26</v>
      </c>
      <c r="F613" s="11" t="s">
        <v>1112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1362</v>
      </c>
      <c r="D614" s="15" t="s">
        <v>60</v>
      </c>
      <c r="E614" s="11" t="s">
        <v>26</v>
      </c>
      <c r="F614" s="11" t="s">
        <v>1363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1699</v>
      </c>
      <c r="D615" s="15" t="s">
        <v>45</v>
      </c>
      <c r="E615" s="11" t="s">
        <v>26</v>
      </c>
      <c r="F615" s="11" t="s">
        <v>1700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16" customFormat="1" ht="28.5" customHeight="1">
      <c r="A616" s="11" t="str">
        <f t="shared" si="117"/>
        <v/>
      </c>
      <c r="B616" s="11" t="s">
        <v>8</v>
      </c>
      <c r="C616" s="11" t="s">
        <v>954</v>
      </c>
      <c r="D616" s="11" t="s">
        <v>71</v>
      </c>
      <c r="E616" s="11" t="s">
        <v>26</v>
      </c>
      <c r="F616" s="11" t="s">
        <v>955</v>
      </c>
      <c r="G616" s="12">
        <v>1829</v>
      </c>
      <c r="H616" s="12"/>
      <c r="I616" s="12"/>
      <c r="J616" s="12">
        <v>1820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1820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12</v>
      </c>
      <c r="C617" s="11" t="s">
        <v>488</v>
      </c>
      <c r="D617" s="15" t="s">
        <v>45</v>
      </c>
      <c r="E617" s="11" t="s">
        <v>26</v>
      </c>
      <c r="F617" s="11" t="s">
        <v>489</v>
      </c>
      <c r="G617" s="12">
        <v>1829</v>
      </c>
      <c r="H617" s="12"/>
      <c r="I617" s="12"/>
      <c r="J617" s="12">
        <v>1829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1829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511</v>
      </c>
      <c r="D618" s="11" t="s">
        <v>57</v>
      </c>
      <c r="E618" s="11" t="s">
        <v>26</v>
      </c>
      <c r="F618" s="11" t="s">
        <v>512</v>
      </c>
      <c r="G618" s="12">
        <v>1829</v>
      </c>
      <c r="H618" s="12"/>
      <c r="I618" s="12"/>
      <c r="J618" s="12">
        <v>1829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1829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16" customFormat="1" ht="28.5" customHeight="1">
      <c r="A619" s="11" t="str">
        <f t="shared" si="117"/>
        <v/>
      </c>
      <c r="B619" s="11" t="s">
        <v>10</v>
      </c>
      <c r="C619" s="11" t="s">
        <v>820</v>
      </c>
      <c r="D619" s="11" t="s">
        <v>48</v>
      </c>
      <c r="E619" s="11" t="s">
        <v>26</v>
      </c>
      <c r="F619" s="11" t="s">
        <v>821</v>
      </c>
      <c r="G619" s="12">
        <v>1829</v>
      </c>
      <c r="H619" s="12"/>
      <c r="I619" s="12"/>
      <c r="J619" s="12">
        <v>1829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7" customFormat="1" ht="28.5" customHeight="1">
      <c r="A620" s="11" t="str">
        <f t="shared" si="117"/>
        <v/>
      </c>
      <c r="B620" s="11" t="s">
        <v>10</v>
      </c>
      <c r="C620" s="11" t="s">
        <v>928</v>
      </c>
      <c r="D620" s="15" t="s">
        <v>80</v>
      </c>
      <c r="E620" s="11" t="s">
        <v>26</v>
      </c>
      <c r="F620" s="11" t="s">
        <v>929</v>
      </c>
      <c r="G620" s="12">
        <v>1829</v>
      </c>
      <c r="H620" s="12"/>
      <c r="I620" s="12"/>
      <c r="J620" s="12">
        <v>1829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12</v>
      </c>
      <c r="C621" s="11" t="s">
        <v>1501</v>
      </c>
      <c r="D621" s="15" t="s">
        <v>45</v>
      </c>
      <c r="E621" s="11" t="s">
        <v>26</v>
      </c>
      <c r="F621" s="11" t="s">
        <v>1502</v>
      </c>
      <c r="G621" s="12">
        <v>1829</v>
      </c>
      <c r="H621" s="12"/>
      <c r="I621" s="12"/>
      <c r="J621" s="12">
        <v>1837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1837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12</v>
      </c>
      <c r="C622" s="11" t="s">
        <v>1503</v>
      </c>
      <c r="D622" s="15" t="s">
        <v>71</v>
      </c>
      <c r="E622" s="11" t="s">
        <v>26</v>
      </c>
      <c r="F622" s="11" t="s">
        <v>1504</v>
      </c>
      <c r="G622" s="12">
        <v>1829</v>
      </c>
      <c r="H622" s="12"/>
      <c r="I622" s="12"/>
      <c r="J622" s="12">
        <v>1837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1837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16" customFormat="1" ht="28.5" customHeight="1">
      <c r="A623" s="11" t="str">
        <f t="shared" si="117"/>
        <v/>
      </c>
      <c r="B623" s="11" t="s">
        <v>12</v>
      </c>
      <c r="C623" s="11" t="s">
        <v>1505</v>
      </c>
      <c r="D623" s="15" t="s">
        <v>71</v>
      </c>
      <c r="E623" s="11" t="s">
        <v>26</v>
      </c>
      <c r="F623" s="11" t="s">
        <v>1506</v>
      </c>
      <c r="G623" s="12">
        <v>1829</v>
      </c>
      <c r="H623" s="12"/>
      <c r="I623" s="12"/>
      <c r="J623" s="12">
        <v>1837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1837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749</v>
      </c>
      <c r="D624" s="11" t="s">
        <v>95</v>
      </c>
      <c r="E624" s="11" t="s">
        <v>26</v>
      </c>
      <c r="F624" s="11" t="s">
        <v>750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16</v>
      </c>
      <c r="C625" s="11" t="s">
        <v>784</v>
      </c>
      <c r="D625" s="11" t="s">
        <v>95</v>
      </c>
      <c r="E625" s="11" t="s">
        <v>26</v>
      </c>
      <c r="F625" s="11" t="s">
        <v>785</v>
      </c>
      <c r="G625" s="12">
        <v>1830</v>
      </c>
      <c r="H625" s="12"/>
      <c r="I625" s="12"/>
      <c r="J625" s="12">
        <v>1790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1790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10</v>
      </c>
      <c r="C626" s="11" t="s">
        <v>66</v>
      </c>
      <c r="D626" s="15" t="s">
        <v>45</v>
      </c>
      <c r="E626" s="11" t="s">
        <v>26</v>
      </c>
      <c r="F626" s="11" t="s">
        <v>67</v>
      </c>
      <c r="G626" s="12">
        <v>1830</v>
      </c>
      <c r="H626" s="12"/>
      <c r="I626" s="12"/>
      <c r="J626" s="12">
        <v>1810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1810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6</v>
      </c>
      <c r="C627" s="11" t="s">
        <v>1589</v>
      </c>
      <c r="D627" s="11" t="s">
        <v>57</v>
      </c>
      <c r="E627" s="11" t="s">
        <v>26</v>
      </c>
      <c r="F627" s="11" t="s">
        <v>1591</v>
      </c>
      <c r="G627" s="12">
        <v>1830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18</v>
      </c>
      <c r="C628" s="11" t="s">
        <v>529</v>
      </c>
      <c r="D628" s="11" t="s">
        <v>71</v>
      </c>
      <c r="E628" s="11" t="s">
        <v>26</v>
      </c>
      <c r="F628" s="11" t="s">
        <v>530</v>
      </c>
      <c r="G628" s="12">
        <v>1830</v>
      </c>
      <c r="H628" s="12"/>
      <c r="I628" s="12"/>
      <c r="J628" s="12">
        <v>1820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1820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292</v>
      </c>
      <c r="D629" s="11" t="s">
        <v>104</v>
      </c>
      <c r="E629" s="11" t="s">
        <v>26</v>
      </c>
      <c r="F629" s="11" t="s">
        <v>293</v>
      </c>
      <c r="G629" s="12">
        <v>1831</v>
      </c>
      <c r="H629" s="12"/>
      <c r="I629" s="12"/>
      <c r="J629" s="12">
        <v>1824</v>
      </c>
      <c r="K629" s="12">
        <f t="shared" si="118"/>
        <v>0</v>
      </c>
      <c r="L629" s="12">
        <f t="shared" si="119"/>
        <v>1831</v>
      </c>
      <c r="M629" s="12" t="str">
        <f t="shared" si="120"/>
        <v/>
      </c>
      <c r="N629" s="12">
        <f t="shared" si="121"/>
        <v>1824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18</v>
      </c>
      <c r="C630" s="11" t="s">
        <v>1153</v>
      </c>
      <c r="D630" s="15" t="s">
        <v>45</v>
      </c>
      <c r="E630" s="11" t="s">
        <v>26</v>
      </c>
      <c r="F630" s="11" t="s">
        <v>1154</v>
      </c>
      <c r="G630" s="12">
        <v>1832</v>
      </c>
      <c r="H630" s="12"/>
      <c r="I630" s="12"/>
      <c r="J630" s="12">
        <v>1812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1812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7" customFormat="1" ht="28.5" customHeight="1">
      <c r="A631" s="11" t="str">
        <f t="shared" si="117"/>
        <v/>
      </c>
      <c r="B631" s="11" t="s">
        <v>18</v>
      </c>
      <c r="C631" s="11" t="s">
        <v>101</v>
      </c>
      <c r="D631" s="11" t="s">
        <v>57</v>
      </c>
      <c r="E631" s="11" t="s">
        <v>26</v>
      </c>
      <c r="F631" s="11" t="s">
        <v>102</v>
      </c>
      <c r="G631" s="12">
        <v>1832</v>
      </c>
      <c r="H631" s="12"/>
      <c r="I631" s="12"/>
      <c r="J631" s="12">
        <v>1822</v>
      </c>
      <c r="K631" s="12">
        <f t="shared" si="118"/>
        <v>0</v>
      </c>
      <c r="L631" s="12">
        <f t="shared" si="119"/>
        <v>1832</v>
      </c>
      <c r="M631" s="12" t="str">
        <f t="shared" si="120"/>
        <v/>
      </c>
      <c r="N631" s="12">
        <f t="shared" si="121"/>
        <v>1822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16" customFormat="1" ht="28.5" customHeight="1">
      <c r="A632" s="11" t="str">
        <f t="shared" si="117"/>
        <v/>
      </c>
      <c r="B632" s="11" t="s">
        <v>14</v>
      </c>
      <c r="C632" s="11" t="s">
        <v>114</v>
      </c>
      <c r="D632" s="15" t="s">
        <v>80</v>
      </c>
      <c r="E632" s="11" t="s">
        <v>26</v>
      </c>
      <c r="F632" s="11" t="s">
        <v>115</v>
      </c>
      <c r="G632" s="12">
        <v>1833</v>
      </c>
      <c r="H632" s="12"/>
      <c r="I632" s="12"/>
      <c r="J632" s="12">
        <v>1813</v>
      </c>
      <c r="K632" s="12">
        <f t="shared" si="118"/>
        <v>0</v>
      </c>
      <c r="L632" s="12">
        <f t="shared" si="119"/>
        <v>1833</v>
      </c>
      <c r="M632" s="12" t="str">
        <f t="shared" si="120"/>
        <v/>
      </c>
      <c r="N632" s="12">
        <f t="shared" si="121"/>
        <v>1813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14</v>
      </c>
      <c r="C633" s="11" t="s">
        <v>1387</v>
      </c>
      <c r="D633" s="11" t="s">
        <v>57</v>
      </c>
      <c r="E633" s="11" t="s">
        <v>26</v>
      </c>
      <c r="F633" s="11" t="s">
        <v>1388</v>
      </c>
      <c r="G633" s="12">
        <v>1833</v>
      </c>
      <c r="H633" s="12"/>
      <c r="I633" s="12"/>
      <c r="J633" s="12">
        <v>1813</v>
      </c>
      <c r="K633" s="12">
        <f t="shared" si="118"/>
        <v>0</v>
      </c>
      <c r="L633" s="12">
        <f t="shared" si="119"/>
        <v>1833</v>
      </c>
      <c r="M633" s="12" t="str">
        <f t="shared" si="120"/>
        <v/>
      </c>
      <c r="N633" s="12">
        <f t="shared" si="121"/>
        <v>1813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16" customFormat="1" ht="28.5" customHeight="1">
      <c r="A634" s="11" t="str">
        <f t="shared" si="117"/>
        <v/>
      </c>
      <c r="B634" s="11" t="s">
        <v>12</v>
      </c>
      <c r="C634" s="11" t="s">
        <v>1630</v>
      </c>
      <c r="D634" s="11" t="s">
        <v>57</v>
      </c>
      <c r="E634" s="11" t="s">
        <v>26</v>
      </c>
      <c r="F634" s="11" t="s">
        <v>1631</v>
      </c>
      <c r="G634" s="12">
        <v>1834</v>
      </c>
      <c r="H634" s="12"/>
      <c r="I634" s="12"/>
      <c r="J634" s="12">
        <v>1799</v>
      </c>
      <c r="K634" s="12">
        <f t="shared" si="118"/>
        <v>0</v>
      </c>
      <c r="L634" s="12">
        <f t="shared" si="119"/>
        <v>1834</v>
      </c>
      <c r="M634" s="12" t="str">
        <f t="shared" si="120"/>
        <v/>
      </c>
      <c r="N634" s="12">
        <f t="shared" si="121"/>
        <v>1799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6</v>
      </c>
      <c r="C635" s="11" t="s">
        <v>234</v>
      </c>
      <c r="D635" s="15" t="s">
        <v>80</v>
      </c>
      <c r="E635" s="11" t="s">
        <v>26</v>
      </c>
      <c r="F635" s="11" t="s">
        <v>235</v>
      </c>
      <c r="G635" s="12">
        <v>1834</v>
      </c>
      <c r="H635" s="12"/>
      <c r="I635" s="12"/>
      <c r="J635" s="12">
        <v>1810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1810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12</v>
      </c>
      <c r="C636" s="11" t="s">
        <v>308</v>
      </c>
      <c r="D636" s="15" t="s">
        <v>45</v>
      </c>
      <c r="E636" s="11" t="s">
        <v>26</v>
      </c>
      <c r="F636" s="11" t="s">
        <v>309</v>
      </c>
      <c r="G636" s="12">
        <v>1834</v>
      </c>
      <c r="H636" s="12"/>
      <c r="I636" s="12"/>
      <c r="J636" s="12">
        <v>1814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1814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1067</v>
      </c>
      <c r="D637" s="11" t="s">
        <v>57</v>
      </c>
      <c r="E637" s="11" t="s">
        <v>26</v>
      </c>
      <c r="F637" s="11" t="s">
        <v>1068</v>
      </c>
      <c r="G637" s="12">
        <v>1834</v>
      </c>
      <c r="H637" s="12"/>
      <c r="I637" s="12"/>
      <c r="J637" s="12">
        <v>1822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1822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7" customFormat="1" ht="28.5" customHeight="1">
      <c r="A638" s="11" t="str">
        <f t="shared" si="117"/>
        <v/>
      </c>
      <c r="B638" s="11" t="s">
        <v>10</v>
      </c>
      <c r="C638" s="11" t="s">
        <v>688</v>
      </c>
      <c r="D638" s="11" t="s">
        <v>104</v>
      </c>
      <c r="E638" s="11" t="s">
        <v>26</v>
      </c>
      <c r="F638" s="11" t="s">
        <v>689</v>
      </c>
      <c r="G638" s="12">
        <v>1834</v>
      </c>
      <c r="H638" s="12"/>
      <c r="I638" s="12"/>
      <c r="J638" s="12">
        <v>1824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1824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8</v>
      </c>
      <c r="C639" s="11" t="s">
        <v>503</v>
      </c>
      <c r="D639" s="15" t="s">
        <v>45</v>
      </c>
      <c r="E639" s="11" t="s">
        <v>26</v>
      </c>
      <c r="F639" s="11" t="s">
        <v>504</v>
      </c>
      <c r="G639" s="12">
        <v>1834</v>
      </c>
      <c r="H639" s="12"/>
      <c r="I639" s="12"/>
      <c r="J639" s="12">
        <v>1834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1834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8</v>
      </c>
      <c r="C640" s="11" t="s">
        <v>974</v>
      </c>
      <c r="D640" s="11" t="s">
        <v>71</v>
      </c>
      <c r="E640" s="11" t="s">
        <v>26</v>
      </c>
      <c r="F640" s="11" t="s">
        <v>975</v>
      </c>
      <c r="G640" s="12">
        <v>1834</v>
      </c>
      <c r="H640" s="12"/>
      <c r="I640" s="12"/>
      <c r="J640" s="12">
        <v>1834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1834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6</v>
      </c>
      <c r="C641" s="11" t="s">
        <v>1288</v>
      </c>
      <c r="D641" s="15" t="s">
        <v>60</v>
      </c>
      <c r="E641" s="11" t="s">
        <v>26</v>
      </c>
      <c r="F641" s="11" t="s">
        <v>1289</v>
      </c>
      <c r="G641" s="12">
        <v>1835</v>
      </c>
      <c r="H641" s="12"/>
      <c r="I641" s="12"/>
      <c r="J641" s="12">
        <v>1815</v>
      </c>
      <c r="K641" s="12">
        <f t="shared" si="118"/>
        <v>0</v>
      </c>
      <c r="L641" s="12">
        <f t="shared" si="119"/>
        <v>1835</v>
      </c>
      <c r="M641" s="12" t="str">
        <f t="shared" si="120"/>
        <v/>
      </c>
      <c r="N641" s="12">
        <f t="shared" si="121"/>
        <v>1815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6</v>
      </c>
      <c r="C642" s="11" t="s">
        <v>1605</v>
      </c>
      <c r="D642" s="15" t="s">
        <v>60</v>
      </c>
      <c r="E642" s="11" t="s">
        <v>26</v>
      </c>
      <c r="F642" s="11" t="s">
        <v>1606</v>
      </c>
      <c r="G642" s="12">
        <v>1835</v>
      </c>
      <c r="H642" s="12"/>
      <c r="I642" s="12"/>
      <c r="J642" s="12">
        <v>1815</v>
      </c>
      <c r="K642" s="12">
        <f t="shared" si="118"/>
        <v>0</v>
      </c>
      <c r="L642" s="12">
        <f t="shared" si="119"/>
        <v>1835</v>
      </c>
      <c r="M642" s="12" t="str">
        <f t="shared" si="120"/>
        <v/>
      </c>
      <c r="N642" s="12">
        <f t="shared" si="121"/>
        <v>1815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812</v>
      </c>
      <c r="D643" s="11" t="s">
        <v>48</v>
      </c>
      <c r="E643" s="11" t="s">
        <v>26</v>
      </c>
      <c r="F643" s="11" t="s">
        <v>813</v>
      </c>
      <c r="G643" s="12">
        <v>1835</v>
      </c>
      <c r="H643" s="12"/>
      <c r="I643" s="12"/>
      <c r="J643" s="12">
        <v>1815</v>
      </c>
      <c r="K643" s="12">
        <f t="shared" si="118"/>
        <v>0</v>
      </c>
      <c r="L643" s="12">
        <f t="shared" si="119"/>
        <v>1835</v>
      </c>
      <c r="M643" s="12" t="str">
        <f t="shared" si="120"/>
        <v/>
      </c>
      <c r="N643" s="12">
        <f t="shared" si="121"/>
        <v>1815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14</v>
      </c>
      <c r="C644" s="11" t="s">
        <v>843</v>
      </c>
      <c r="D644" s="15" t="s">
        <v>80</v>
      </c>
      <c r="E644" s="11" t="s">
        <v>26</v>
      </c>
      <c r="F644" s="11" t="s">
        <v>844</v>
      </c>
      <c r="G644" s="12">
        <v>1835</v>
      </c>
      <c r="H644" s="12"/>
      <c r="I644" s="12"/>
      <c r="J644" s="12">
        <v>1820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1820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6</v>
      </c>
      <c r="C645" s="11" t="s">
        <v>950</v>
      </c>
      <c r="D645" s="15" t="s">
        <v>80</v>
      </c>
      <c r="E645" s="11" t="s">
        <v>26</v>
      </c>
      <c r="F645" s="11" t="s">
        <v>951</v>
      </c>
      <c r="G645" s="12">
        <v>1835</v>
      </c>
      <c r="H645" s="12"/>
      <c r="I645" s="12"/>
      <c r="J645" s="12">
        <v>1825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1825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8</v>
      </c>
      <c r="C646" s="11" t="s">
        <v>796</v>
      </c>
      <c r="D646" s="11" t="s">
        <v>57</v>
      </c>
      <c r="E646" s="11" t="s">
        <v>26</v>
      </c>
      <c r="F646" s="11" t="s">
        <v>798</v>
      </c>
      <c r="G646" s="12">
        <v>1835</v>
      </c>
      <c r="H646" s="12"/>
      <c r="I646" s="12"/>
      <c r="J646" s="12">
        <v>1825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7" customFormat="1" ht="28.5" customHeight="1">
      <c r="A647" s="11" t="str">
        <f t="shared" si="117"/>
        <v/>
      </c>
      <c r="B647" s="11" t="s">
        <v>10</v>
      </c>
      <c r="C647" s="11" t="s">
        <v>1411</v>
      </c>
      <c r="D647" s="11" t="s">
        <v>104</v>
      </c>
      <c r="E647" s="11" t="s">
        <v>26</v>
      </c>
      <c r="F647" s="11" t="s">
        <v>1412</v>
      </c>
      <c r="G647" s="12">
        <v>1835</v>
      </c>
      <c r="H647" s="12"/>
      <c r="I647" s="12"/>
      <c r="J647" s="12">
        <v>1825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406</v>
      </c>
      <c r="D648" s="11" t="s">
        <v>57</v>
      </c>
      <c r="E648" s="11" t="s">
        <v>26</v>
      </c>
      <c r="F648" s="11" t="s">
        <v>407</v>
      </c>
      <c r="G648" s="12">
        <v>1835</v>
      </c>
      <c r="H648" s="12"/>
      <c r="I648" s="12"/>
      <c r="J648" s="12">
        <v>1837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1837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10</v>
      </c>
      <c r="C649" s="11" t="s">
        <v>1557</v>
      </c>
      <c r="D649" s="15" t="s">
        <v>80</v>
      </c>
      <c r="E649" s="11" t="s">
        <v>26</v>
      </c>
      <c r="F649" s="11" t="s">
        <v>1558</v>
      </c>
      <c r="G649" s="12">
        <v>1836</v>
      </c>
      <c r="H649" s="12"/>
      <c r="I649" s="12"/>
      <c r="J649" s="12">
        <v>1799</v>
      </c>
      <c r="K649" s="12">
        <f t="shared" si="118"/>
        <v>0</v>
      </c>
      <c r="L649" s="12">
        <f t="shared" si="119"/>
        <v>1836</v>
      </c>
      <c r="M649" s="12" t="str">
        <f t="shared" si="120"/>
        <v/>
      </c>
      <c r="N649" s="12">
        <f t="shared" si="121"/>
        <v>1799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10</v>
      </c>
      <c r="C650" s="11" t="s">
        <v>372</v>
      </c>
      <c r="D650" s="15" t="s">
        <v>45</v>
      </c>
      <c r="E650" s="11" t="s">
        <v>26</v>
      </c>
      <c r="F650" s="11" t="s">
        <v>373</v>
      </c>
      <c r="G650" s="12">
        <v>1836</v>
      </c>
      <c r="H650" s="12"/>
      <c r="I650" s="12"/>
      <c r="J650" s="12">
        <v>1829</v>
      </c>
      <c r="K650" s="12">
        <f t="shared" si="118"/>
        <v>0</v>
      </c>
      <c r="L650" s="12">
        <f t="shared" si="119"/>
        <v>1836</v>
      </c>
      <c r="M650" s="12" t="str">
        <f t="shared" si="120"/>
        <v/>
      </c>
      <c r="N650" s="12">
        <f t="shared" si="121"/>
        <v>1829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10</v>
      </c>
      <c r="C651" s="11" t="s">
        <v>54</v>
      </c>
      <c r="D651" s="11" t="s">
        <v>48</v>
      </c>
      <c r="E651" s="11" t="s">
        <v>26</v>
      </c>
      <c r="F651" s="11" t="s">
        <v>55</v>
      </c>
      <c r="G651" s="12">
        <v>1837</v>
      </c>
      <c r="H651" s="12"/>
      <c r="I651" s="12"/>
      <c r="J651" s="12">
        <v>1825</v>
      </c>
      <c r="K651" s="12">
        <f t="shared" si="118"/>
        <v>0</v>
      </c>
      <c r="L651" s="12">
        <f t="shared" si="119"/>
        <v>1837</v>
      </c>
      <c r="M651" s="12" t="str">
        <f t="shared" si="120"/>
        <v/>
      </c>
      <c r="N651" s="12">
        <f t="shared" si="121"/>
        <v>1825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14</v>
      </c>
      <c r="C652" s="11" t="s">
        <v>128</v>
      </c>
      <c r="D652" s="15" t="s">
        <v>80</v>
      </c>
      <c r="E652" s="11" t="s">
        <v>26</v>
      </c>
      <c r="F652" s="11" t="s">
        <v>129</v>
      </c>
      <c r="G652" s="12">
        <v>1838</v>
      </c>
      <c r="H652" s="12"/>
      <c r="I652" s="12"/>
      <c r="J652" s="12">
        <v>1813</v>
      </c>
      <c r="K652" s="12">
        <f t="shared" si="118"/>
        <v>0</v>
      </c>
      <c r="L652" s="12">
        <f t="shared" si="119"/>
        <v>1838</v>
      </c>
      <c r="M652" s="12" t="str">
        <f t="shared" si="120"/>
        <v/>
      </c>
      <c r="N652" s="12">
        <f t="shared" si="121"/>
        <v>1813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6</v>
      </c>
      <c r="C653" s="11" t="s">
        <v>1077</v>
      </c>
      <c r="D653" s="11" t="s">
        <v>71</v>
      </c>
      <c r="E653" s="11" t="s">
        <v>26</v>
      </c>
      <c r="F653" s="11" t="s">
        <v>1078</v>
      </c>
      <c r="G653" s="12">
        <v>1838</v>
      </c>
      <c r="H653" s="12"/>
      <c r="I653" s="12"/>
      <c r="J653" s="12">
        <v>1819</v>
      </c>
      <c r="K653" s="12">
        <f t="shared" si="118"/>
        <v>0</v>
      </c>
      <c r="L653" s="12">
        <f t="shared" si="119"/>
        <v>1838</v>
      </c>
      <c r="M653" s="12" t="str">
        <f t="shared" si="120"/>
        <v/>
      </c>
      <c r="N653" s="12">
        <f t="shared" si="121"/>
        <v>1819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1193</v>
      </c>
      <c r="D654" s="15" t="s">
        <v>80</v>
      </c>
      <c r="E654" s="11" t="s">
        <v>26</v>
      </c>
      <c r="F654" s="11" t="s">
        <v>1194</v>
      </c>
      <c r="G654" s="12">
        <v>1838</v>
      </c>
      <c r="H654" s="12"/>
      <c r="I654" s="12"/>
      <c r="J654" s="12">
        <v>1848</v>
      </c>
      <c r="K654" s="12">
        <f t="shared" si="118"/>
        <v>0</v>
      </c>
      <c r="L654" s="12">
        <f t="shared" si="119"/>
        <v>1838</v>
      </c>
      <c r="M654" s="12" t="str">
        <f t="shared" si="120"/>
        <v/>
      </c>
      <c r="N654" s="12">
        <f t="shared" si="121"/>
        <v>1848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IF($T655="","",1+COUNTIF($W$15:$W$883,"&lt;"&amp;W655))</f>
        <v/>
      </c>
      <c r="B655" s="11" t="s">
        <v>14</v>
      </c>
      <c r="C655" s="11" t="s">
        <v>1306</v>
      </c>
      <c r="D655" s="15" t="s">
        <v>45</v>
      </c>
      <c r="E655" s="11" t="s">
        <v>26</v>
      </c>
      <c r="F655" s="11" t="s">
        <v>1307</v>
      </c>
      <c r="G655" s="12">
        <v>1839</v>
      </c>
      <c r="H655" s="12"/>
      <c r="I655" s="12"/>
      <c r="J655" s="12">
        <v>1799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1839</v>
      </c>
      <c r="M655" s="12" t="str">
        <f t="shared" ref="M655:M718" si="133">IF($H655="","",$H655+$K655)</f>
        <v/>
      </c>
      <c r="N655" s="12">
        <f t="shared" ref="N655:N718" si="134">IF($J655="","",$J655+$K655)</f>
        <v>1799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1553</v>
      </c>
      <c r="D656" s="15" t="s">
        <v>80</v>
      </c>
      <c r="E656" s="11" t="s">
        <v>26</v>
      </c>
      <c r="F656" s="11" t="s">
        <v>1554</v>
      </c>
      <c r="G656" s="12">
        <v>1839</v>
      </c>
      <c r="H656" s="12"/>
      <c r="I656" s="12"/>
      <c r="J656" s="12">
        <v>1799</v>
      </c>
      <c r="K656" s="12">
        <f t="shared" si="131"/>
        <v>0</v>
      </c>
      <c r="L656" s="12">
        <f t="shared" si="132"/>
        <v>1839</v>
      </c>
      <c r="M656" s="12" t="str">
        <f t="shared" si="133"/>
        <v/>
      </c>
      <c r="N656" s="12">
        <f t="shared" si="134"/>
        <v>1799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998</v>
      </c>
      <c r="D657" s="11" t="s">
        <v>48</v>
      </c>
      <c r="E657" s="11" t="s">
        <v>26</v>
      </c>
      <c r="F657" s="11" t="s">
        <v>999</v>
      </c>
      <c r="G657" s="12">
        <v>1839</v>
      </c>
      <c r="H657" s="12"/>
      <c r="I657" s="12"/>
      <c r="J657" s="12">
        <v>1809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1809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16" customFormat="1" ht="28.5" customHeight="1">
      <c r="A658" s="11" t="str">
        <f t="shared" si="130"/>
        <v/>
      </c>
      <c r="B658" s="11" t="s">
        <v>10</v>
      </c>
      <c r="C658" s="11" t="s">
        <v>1737</v>
      </c>
      <c r="D658" s="15" t="s">
        <v>45</v>
      </c>
      <c r="E658" s="11" t="s">
        <v>61</v>
      </c>
      <c r="F658" s="11" t="s">
        <v>1738</v>
      </c>
      <c r="G658" s="12">
        <v>1839</v>
      </c>
      <c r="H658" s="12"/>
      <c r="I658" s="12"/>
      <c r="J658" s="12">
        <v>1809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1809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16</v>
      </c>
      <c r="C659" s="11" t="s">
        <v>610</v>
      </c>
      <c r="D659" s="15" t="s">
        <v>45</v>
      </c>
      <c r="E659" s="11" t="s">
        <v>26</v>
      </c>
      <c r="F659" s="11" t="s">
        <v>611</v>
      </c>
      <c r="G659" s="12">
        <v>1839</v>
      </c>
      <c r="H659" s="12"/>
      <c r="I659" s="12"/>
      <c r="J659" s="12">
        <v>1819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1819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14</v>
      </c>
      <c r="C660" s="11" t="s">
        <v>166</v>
      </c>
      <c r="D660" s="11" t="s">
        <v>57</v>
      </c>
      <c r="E660" s="11" t="s">
        <v>26</v>
      </c>
      <c r="F660" s="11" t="s">
        <v>167</v>
      </c>
      <c r="G660" s="12">
        <v>1839</v>
      </c>
      <c r="H660" s="12"/>
      <c r="I660" s="12"/>
      <c r="J660" s="12">
        <v>1819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1819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14</v>
      </c>
      <c r="C661" s="11" t="s">
        <v>176</v>
      </c>
      <c r="D661" s="11" t="s">
        <v>57</v>
      </c>
      <c r="E661" s="11" t="s">
        <v>26</v>
      </c>
      <c r="F661" s="11" t="s">
        <v>177</v>
      </c>
      <c r="G661" s="12">
        <v>1839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623</v>
      </c>
      <c r="D662" s="11" t="s">
        <v>57</v>
      </c>
      <c r="E662" s="11" t="s">
        <v>26</v>
      </c>
      <c r="F662" s="11" t="s">
        <v>624</v>
      </c>
      <c r="G662" s="12">
        <v>1839</v>
      </c>
      <c r="H662" s="12"/>
      <c r="I662" s="12"/>
      <c r="J662" s="12">
        <v>1819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1819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10</v>
      </c>
      <c r="C663" s="11" t="s">
        <v>759</v>
      </c>
      <c r="D663" s="15" t="s">
        <v>45</v>
      </c>
      <c r="E663" s="11" t="s">
        <v>26</v>
      </c>
      <c r="F663" s="11" t="s">
        <v>760</v>
      </c>
      <c r="G663" s="12">
        <v>1839</v>
      </c>
      <c r="H663" s="12"/>
      <c r="I663" s="12"/>
      <c r="J663" s="12">
        <v>1819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1819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6</v>
      </c>
      <c r="C664" s="11" t="s">
        <v>569</v>
      </c>
      <c r="D664" s="11" t="s">
        <v>57</v>
      </c>
      <c r="E664" s="11" t="s">
        <v>26</v>
      </c>
      <c r="F664" s="11" t="s">
        <v>573</v>
      </c>
      <c r="G664" s="12">
        <v>1839</v>
      </c>
      <c r="H664" s="12"/>
      <c r="I664" s="12"/>
      <c r="J664" s="12">
        <v>1827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1827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6</v>
      </c>
      <c r="C665" s="11" t="s">
        <v>274</v>
      </c>
      <c r="D665" s="11" t="s">
        <v>104</v>
      </c>
      <c r="E665" s="11" t="s">
        <v>26</v>
      </c>
      <c r="F665" s="11" t="s">
        <v>275</v>
      </c>
      <c r="G665" s="12">
        <v>1839</v>
      </c>
      <c r="H665" s="12"/>
      <c r="I665" s="12"/>
      <c r="J665" s="12">
        <v>1828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1828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16" customFormat="1" ht="28.5" customHeight="1">
      <c r="A666" s="11" t="str">
        <f t="shared" si="130"/>
        <v/>
      </c>
      <c r="B666" s="11" t="s">
        <v>10</v>
      </c>
      <c r="C666" s="11" t="s">
        <v>276</v>
      </c>
      <c r="D666" s="11" t="s">
        <v>104</v>
      </c>
      <c r="E666" s="11" t="s">
        <v>26</v>
      </c>
      <c r="F666" s="11" t="s">
        <v>277</v>
      </c>
      <c r="G666" s="12">
        <v>1839</v>
      </c>
      <c r="H666" s="12"/>
      <c r="I666" s="12"/>
      <c r="J666" s="12">
        <v>1828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1828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7" customFormat="1" ht="28.5" customHeight="1">
      <c r="A667" s="11" t="str">
        <f t="shared" si="130"/>
        <v/>
      </c>
      <c r="B667" s="11" t="s">
        <v>10</v>
      </c>
      <c r="C667" s="11" t="s">
        <v>278</v>
      </c>
      <c r="D667" s="11" t="s">
        <v>104</v>
      </c>
      <c r="E667" s="11" t="s">
        <v>26</v>
      </c>
      <c r="F667" s="11" t="s">
        <v>279</v>
      </c>
      <c r="G667" s="12">
        <v>1839</v>
      </c>
      <c r="H667" s="12"/>
      <c r="I667" s="12"/>
      <c r="J667" s="12">
        <v>1828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1828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7" customFormat="1" ht="28.5" customHeight="1">
      <c r="A668" s="11" t="str">
        <f t="shared" si="130"/>
        <v/>
      </c>
      <c r="B668" s="11" t="s">
        <v>10</v>
      </c>
      <c r="C668" s="11" t="s">
        <v>103</v>
      </c>
      <c r="D668" s="11" t="s">
        <v>104</v>
      </c>
      <c r="E668" s="11" t="s">
        <v>26</v>
      </c>
      <c r="F668" s="11" t="s">
        <v>105</v>
      </c>
      <c r="G668" s="12">
        <v>1839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10</v>
      </c>
      <c r="C669" s="11" t="s">
        <v>1201</v>
      </c>
      <c r="D669" s="11" t="s">
        <v>104</v>
      </c>
      <c r="E669" s="11" t="s">
        <v>26</v>
      </c>
      <c r="F669" s="11" t="s">
        <v>1202</v>
      </c>
      <c r="G669" s="12">
        <v>1839</v>
      </c>
      <c r="H669" s="12"/>
      <c r="I669" s="12"/>
      <c r="J669" s="12">
        <v>1829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1360</v>
      </c>
      <c r="D670" s="15" t="s">
        <v>80</v>
      </c>
      <c r="E670" s="11" t="s">
        <v>26</v>
      </c>
      <c r="F670" s="11" t="s">
        <v>1361</v>
      </c>
      <c r="G670" s="12">
        <v>1839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513</v>
      </c>
      <c r="D671" s="11" t="s">
        <v>71</v>
      </c>
      <c r="E671" s="11" t="s">
        <v>26</v>
      </c>
      <c r="F671" s="11" t="s">
        <v>514</v>
      </c>
      <c r="G671" s="12">
        <v>1839</v>
      </c>
      <c r="H671" s="12"/>
      <c r="I671" s="12"/>
      <c r="J671" s="12">
        <v>1838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1838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8</v>
      </c>
      <c r="C672" s="11" t="s">
        <v>631</v>
      </c>
      <c r="D672" s="11" t="s">
        <v>48</v>
      </c>
      <c r="E672" s="11" t="s">
        <v>26</v>
      </c>
      <c r="F672" s="11" t="s">
        <v>632</v>
      </c>
      <c r="G672" s="12">
        <v>1839</v>
      </c>
      <c r="H672" s="12"/>
      <c r="I672" s="12"/>
      <c r="J672" s="12">
        <v>1839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1839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7" customFormat="1" ht="28.5" customHeight="1">
      <c r="A673" s="11" t="str">
        <f t="shared" si="130"/>
        <v/>
      </c>
      <c r="B673" s="11" t="s">
        <v>8</v>
      </c>
      <c r="C673" s="11" t="s">
        <v>880</v>
      </c>
      <c r="D673" s="15" t="s">
        <v>80</v>
      </c>
      <c r="E673" s="11" t="s">
        <v>26</v>
      </c>
      <c r="F673" s="11" t="s">
        <v>881</v>
      </c>
      <c r="G673" s="12">
        <v>1839</v>
      </c>
      <c r="H673" s="12"/>
      <c r="I673" s="12"/>
      <c r="J673" s="12">
        <v>1839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1839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8</v>
      </c>
      <c r="C674" s="11" t="s">
        <v>1139</v>
      </c>
      <c r="D674" s="11" t="s">
        <v>48</v>
      </c>
      <c r="E674" s="11" t="s">
        <v>26</v>
      </c>
      <c r="F674" s="11" t="s">
        <v>1140</v>
      </c>
      <c r="G674" s="12">
        <v>1839</v>
      </c>
      <c r="H674" s="12"/>
      <c r="I674" s="12"/>
      <c r="J674" s="12">
        <v>1839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1839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6</v>
      </c>
      <c r="C675" s="11" t="s">
        <v>120</v>
      </c>
      <c r="D675" s="15" t="s">
        <v>45</v>
      </c>
      <c r="E675" s="11" t="s">
        <v>26</v>
      </c>
      <c r="F675" s="11" t="s">
        <v>121</v>
      </c>
      <c r="G675" s="12">
        <v>1839</v>
      </c>
      <c r="H675" s="12"/>
      <c r="I675" s="12"/>
      <c r="J675" s="12">
        <v>1849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1849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8</v>
      </c>
      <c r="C676" s="11" t="s">
        <v>1098</v>
      </c>
      <c r="D676" s="11" t="s">
        <v>57</v>
      </c>
      <c r="E676" s="11" t="s">
        <v>26</v>
      </c>
      <c r="F676" s="11" t="s">
        <v>1099</v>
      </c>
      <c r="G676" s="12">
        <v>1839</v>
      </c>
      <c r="H676" s="12"/>
      <c r="I676" s="12"/>
      <c r="J676" s="12">
        <v>1849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1849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16</v>
      </c>
      <c r="C677" s="11" t="s">
        <v>50</v>
      </c>
      <c r="D677" s="11" t="s">
        <v>48</v>
      </c>
      <c r="E677" s="11" t="s">
        <v>26</v>
      </c>
      <c r="F677" s="11" t="s">
        <v>51</v>
      </c>
      <c r="G677" s="12">
        <v>1840</v>
      </c>
      <c r="H677" s="12"/>
      <c r="I677" s="12"/>
      <c r="J677" s="12">
        <v>1800</v>
      </c>
      <c r="K677" s="12">
        <f t="shared" si="131"/>
        <v>0</v>
      </c>
      <c r="L677" s="12">
        <f t="shared" si="132"/>
        <v>1840</v>
      </c>
      <c r="M677" s="12" t="str">
        <f t="shared" si="133"/>
        <v/>
      </c>
      <c r="N677" s="12">
        <f t="shared" si="134"/>
        <v>1800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7" customFormat="1" ht="28.5" customHeight="1">
      <c r="A678" s="11" t="str">
        <f t="shared" si="130"/>
        <v/>
      </c>
      <c r="B678" s="11" t="s">
        <v>18</v>
      </c>
      <c r="C678" s="11" t="s">
        <v>680</v>
      </c>
      <c r="D678" s="15" t="s">
        <v>80</v>
      </c>
      <c r="E678" s="11" t="s">
        <v>26</v>
      </c>
      <c r="F678" s="11" t="s">
        <v>681</v>
      </c>
      <c r="G678" s="12">
        <v>1840</v>
      </c>
      <c r="H678" s="12"/>
      <c r="I678" s="12"/>
      <c r="J678" s="12">
        <v>1830</v>
      </c>
      <c r="K678" s="12">
        <f t="shared" si="131"/>
        <v>0</v>
      </c>
      <c r="L678" s="12">
        <f t="shared" si="132"/>
        <v>1840</v>
      </c>
      <c r="M678" s="12" t="str">
        <f t="shared" si="133"/>
        <v/>
      </c>
      <c r="N678" s="12">
        <f t="shared" si="134"/>
        <v>1830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16" customFormat="1" ht="28.5" customHeight="1">
      <c r="A679" s="11" t="str">
        <f t="shared" si="130"/>
        <v/>
      </c>
      <c r="B679" s="11" t="s">
        <v>10</v>
      </c>
      <c r="C679" s="11" t="s">
        <v>930</v>
      </c>
      <c r="D679" s="15" t="s">
        <v>80</v>
      </c>
      <c r="E679" s="11" t="s">
        <v>26</v>
      </c>
      <c r="F679" s="11" t="s">
        <v>931</v>
      </c>
      <c r="G679" s="12">
        <v>1840</v>
      </c>
      <c r="H679" s="12"/>
      <c r="I679" s="12"/>
      <c r="J679" s="12">
        <v>1830</v>
      </c>
      <c r="K679" s="12">
        <f t="shared" si="131"/>
        <v>0</v>
      </c>
      <c r="L679" s="12">
        <f t="shared" si="132"/>
        <v>1840</v>
      </c>
      <c r="M679" s="12" t="str">
        <f t="shared" si="133"/>
        <v/>
      </c>
      <c r="N679" s="12">
        <f t="shared" si="134"/>
        <v>1830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6</v>
      </c>
      <c r="C680" s="11" t="s">
        <v>1472</v>
      </c>
      <c r="D680" s="15" t="s">
        <v>60</v>
      </c>
      <c r="E680" s="11" t="s">
        <v>26</v>
      </c>
      <c r="F680" s="11" t="s">
        <v>1473</v>
      </c>
      <c r="G680" s="12">
        <v>1840</v>
      </c>
      <c r="H680" s="12"/>
      <c r="I680" s="12"/>
      <c r="J680" s="12">
        <v>1849</v>
      </c>
      <c r="K680" s="12">
        <f t="shared" si="131"/>
        <v>0</v>
      </c>
      <c r="L680" s="12">
        <f t="shared" si="132"/>
        <v>1840</v>
      </c>
      <c r="M680" s="12" t="str">
        <f t="shared" si="133"/>
        <v/>
      </c>
      <c r="N680" s="12">
        <f t="shared" si="134"/>
        <v>1849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8</v>
      </c>
      <c r="C681" s="11" t="s">
        <v>1464</v>
      </c>
      <c r="D681" s="15" t="s">
        <v>60</v>
      </c>
      <c r="E681" s="11" t="s">
        <v>26</v>
      </c>
      <c r="F681" s="11" t="s">
        <v>1465</v>
      </c>
      <c r="G681" s="12">
        <v>1841</v>
      </c>
      <c r="H681" s="12"/>
      <c r="I681" s="12"/>
      <c r="J681" s="12">
        <v>1849</v>
      </c>
      <c r="K681" s="12">
        <f t="shared" si="131"/>
        <v>0</v>
      </c>
      <c r="L681" s="12">
        <f t="shared" si="132"/>
        <v>1841</v>
      </c>
      <c r="M681" s="12" t="str">
        <f t="shared" si="133"/>
        <v/>
      </c>
      <c r="N681" s="12">
        <f t="shared" si="134"/>
        <v>1849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12</v>
      </c>
      <c r="C682" s="11" t="s">
        <v>942</v>
      </c>
      <c r="D682" s="15" t="s">
        <v>45</v>
      </c>
      <c r="E682" s="11" t="s">
        <v>26</v>
      </c>
      <c r="F682" s="11" t="s">
        <v>943</v>
      </c>
      <c r="G682" s="12">
        <v>1842</v>
      </c>
      <c r="H682" s="12"/>
      <c r="I682" s="12"/>
      <c r="J682" s="12">
        <v>1808</v>
      </c>
      <c r="K682" s="12">
        <f t="shared" si="131"/>
        <v>0</v>
      </c>
      <c r="L682" s="12">
        <f t="shared" si="132"/>
        <v>1842</v>
      </c>
      <c r="M682" s="12" t="str">
        <f t="shared" si="133"/>
        <v/>
      </c>
      <c r="N682" s="12">
        <f t="shared" si="134"/>
        <v>1808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12</v>
      </c>
      <c r="C683" s="11" t="s">
        <v>712</v>
      </c>
      <c r="D683" s="15" t="s">
        <v>60</v>
      </c>
      <c r="E683" s="11" t="s">
        <v>26</v>
      </c>
      <c r="F683" s="11" t="s">
        <v>714</v>
      </c>
      <c r="G683" s="12">
        <v>1842</v>
      </c>
      <c r="H683" s="12"/>
      <c r="I683" s="12"/>
      <c r="J683" s="12">
        <v>1823</v>
      </c>
      <c r="K683" s="12">
        <f t="shared" si="131"/>
        <v>0</v>
      </c>
      <c r="L683" s="12">
        <f t="shared" si="132"/>
        <v>1842</v>
      </c>
      <c r="M683" s="12" t="str">
        <f t="shared" si="133"/>
        <v/>
      </c>
      <c r="N683" s="12">
        <f t="shared" si="134"/>
        <v>1823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16" customFormat="1" ht="28.5" customHeight="1">
      <c r="A684" s="11" t="str">
        <f t="shared" si="130"/>
        <v/>
      </c>
      <c r="B684" s="11" t="s">
        <v>10</v>
      </c>
      <c r="C684" s="11" t="s">
        <v>1207</v>
      </c>
      <c r="D684" s="15" t="s">
        <v>60</v>
      </c>
      <c r="E684" s="11" t="s">
        <v>26</v>
      </c>
      <c r="F684" s="11" t="s">
        <v>1208</v>
      </c>
      <c r="G684" s="12">
        <v>1842</v>
      </c>
      <c r="H684" s="12"/>
      <c r="I684" s="12"/>
      <c r="J684" s="12">
        <v>1825</v>
      </c>
      <c r="K684" s="12">
        <f t="shared" si="131"/>
        <v>0</v>
      </c>
      <c r="L684" s="12">
        <f t="shared" si="132"/>
        <v>1842</v>
      </c>
      <c r="M684" s="12" t="str">
        <f t="shared" si="133"/>
        <v/>
      </c>
      <c r="N684" s="12">
        <f t="shared" si="134"/>
        <v>1825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6</v>
      </c>
      <c r="C685" s="11" t="s">
        <v>1100</v>
      </c>
      <c r="D685" s="11" t="s">
        <v>57</v>
      </c>
      <c r="E685" s="11" t="s">
        <v>26</v>
      </c>
      <c r="F685" s="11" t="s">
        <v>1101</v>
      </c>
      <c r="G685" s="12">
        <v>1842</v>
      </c>
      <c r="H685" s="12"/>
      <c r="I685" s="12"/>
      <c r="J685" s="12">
        <v>1829</v>
      </c>
      <c r="K685" s="12">
        <f t="shared" si="131"/>
        <v>0</v>
      </c>
      <c r="L685" s="12">
        <f t="shared" si="132"/>
        <v>1842</v>
      </c>
      <c r="M685" s="12" t="str">
        <f t="shared" si="133"/>
        <v/>
      </c>
      <c r="N685" s="12">
        <f t="shared" si="134"/>
        <v>1829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18</v>
      </c>
      <c r="C686" s="11" t="s">
        <v>1366</v>
      </c>
      <c r="D686" s="11" t="s">
        <v>57</v>
      </c>
      <c r="E686" s="11" t="s">
        <v>26</v>
      </c>
      <c r="F686" s="11" t="s">
        <v>1368</v>
      </c>
      <c r="G686" s="12">
        <v>1842</v>
      </c>
      <c r="H686" s="12"/>
      <c r="I686" s="12"/>
      <c r="J686" s="12">
        <v>1832</v>
      </c>
      <c r="K686" s="12">
        <f t="shared" si="131"/>
        <v>0</v>
      </c>
      <c r="L686" s="12">
        <f t="shared" si="132"/>
        <v>1842</v>
      </c>
      <c r="M686" s="12" t="str">
        <f t="shared" si="133"/>
        <v/>
      </c>
      <c r="N686" s="12">
        <f t="shared" si="134"/>
        <v>1832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8</v>
      </c>
      <c r="C687" s="11" t="s">
        <v>739</v>
      </c>
      <c r="D687" s="15" t="s">
        <v>60</v>
      </c>
      <c r="E687" s="11" t="s">
        <v>26</v>
      </c>
      <c r="F687" s="11" t="s">
        <v>740</v>
      </c>
      <c r="G687" s="12">
        <v>1843</v>
      </c>
      <c r="H687" s="12"/>
      <c r="I687" s="12"/>
      <c r="J687" s="12">
        <v>1823</v>
      </c>
      <c r="K687" s="12">
        <f t="shared" si="131"/>
        <v>0</v>
      </c>
      <c r="L687" s="12">
        <f t="shared" si="132"/>
        <v>1843</v>
      </c>
      <c r="M687" s="12" t="str">
        <f t="shared" si="133"/>
        <v/>
      </c>
      <c r="N687" s="12">
        <f t="shared" si="134"/>
        <v>1823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7" customFormat="1" ht="28.5" customHeight="1">
      <c r="A688" s="11" t="str">
        <f t="shared" si="130"/>
        <v/>
      </c>
      <c r="B688" s="11" t="s">
        <v>10</v>
      </c>
      <c r="C688" s="11" t="s">
        <v>1233</v>
      </c>
      <c r="D688" s="11" t="s">
        <v>48</v>
      </c>
      <c r="E688" s="11" t="s">
        <v>61</v>
      </c>
      <c r="F688" s="11" t="s">
        <v>1234</v>
      </c>
      <c r="G688" s="12">
        <v>1844</v>
      </c>
      <c r="H688" s="12"/>
      <c r="I688" s="12"/>
      <c r="J688" s="12">
        <v>1814</v>
      </c>
      <c r="K688" s="12">
        <f t="shared" si="131"/>
        <v>0</v>
      </c>
      <c r="L688" s="12">
        <f t="shared" si="132"/>
        <v>1844</v>
      </c>
      <c r="M688" s="12" t="str">
        <f t="shared" si="133"/>
        <v/>
      </c>
      <c r="N688" s="12">
        <f t="shared" si="134"/>
        <v>1814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7" customFormat="1" ht="28.5" customHeight="1">
      <c r="A689" s="11" t="str">
        <f t="shared" si="130"/>
        <v/>
      </c>
      <c r="B689" s="11" t="s">
        <v>10</v>
      </c>
      <c r="C689" s="11" t="s">
        <v>330</v>
      </c>
      <c r="D689" s="15" t="s">
        <v>45</v>
      </c>
      <c r="E689" s="11" t="s">
        <v>26</v>
      </c>
      <c r="F689" s="11" t="s">
        <v>331</v>
      </c>
      <c r="G689" s="12">
        <v>1844</v>
      </c>
      <c r="H689" s="12"/>
      <c r="I689" s="12"/>
      <c r="J689" s="12">
        <v>1815</v>
      </c>
      <c r="K689" s="12">
        <f t="shared" si="131"/>
        <v>0</v>
      </c>
      <c r="L689" s="12">
        <f t="shared" si="132"/>
        <v>1844</v>
      </c>
      <c r="M689" s="12" t="str">
        <f t="shared" si="133"/>
        <v/>
      </c>
      <c r="N689" s="12">
        <f t="shared" si="134"/>
        <v>1815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6</v>
      </c>
      <c r="C690" s="11" t="s">
        <v>1652</v>
      </c>
      <c r="D690" s="15" t="s">
        <v>45</v>
      </c>
      <c r="E690" s="11" t="s">
        <v>26</v>
      </c>
      <c r="F690" s="11" t="s">
        <v>1653</v>
      </c>
      <c r="G690" s="12">
        <v>1844</v>
      </c>
      <c r="H690" s="12"/>
      <c r="I690" s="12"/>
      <c r="J690" s="12">
        <v>1834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1834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18</v>
      </c>
      <c r="C691" s="11" t="s">
        <v>1624</v>
      </c>
      <c r="D691" s="11" t="s">
        <v>104</v>
      </c>
      <c r="E691" s="11" t="s">
        <v>26</v>
      </c>
      <c r="F691" s="11" t="s">
        <v>1625</v>
      </c>
      <c r="G691" s="12">
        <v>1844</v>
      </c>
      <c r="H691" s="12"/>
      <c r="I691" s="12"/>
      <c r="J691" s="12">
        <v>1837</v>
      </c>
      <c r="K691" s="12">
        <f t="shared" si="131"/>
        <v>0</v>
      </c>
      <c r="L691" s="12">
        <f t="shared" si="132"/>
        <v>1844</v>
      </c>
      <c r="M691" s="12" t="str">
        <f t="shared" si="133"/>
        <v/>
      </c>
      <c r="N691" s="12">
        <f t="shared" si="134"/>
        <v>1837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16" customFormat="1" ht="28.5" customHeight="1">
      <c r="A692" s="11" t="str">
        <f t="shared" si="130"/>
        <v/>
      </c>
      <c r="B692" s="11" t="s">
        <v>18</v>
      </c>
      <c r="C692" s="11" t="s">
        <v>1626</v>
      </c>
      <c r="D692" s="11" t="s">
        <v>104</v>
      </c>
      <c r="E692" s="11" t="s">
        <v>26</v>
      </c>
      <c r="F692" s="11" t="s">
        <v>1627</v>
      </c>
      <c r="G692" s="12">
        <v>1844</v>
      </c>
      <c r="H692" s="12"/>
      <c r="I692" s="12"/>
      <c r="J692" s="12">
        <v>1837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1837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132</v>
      </c>
      <c r="D693" s="15" t="s">
        <v>45</v>
      </c>
      <c r="E693" s="11" t="s">
        <v>61</v>
      </c>
      <c r="F693" s="11" t="s">
        <v>133</v>
      </c>
      <c r="G693" s="12">
        <v>1844</v>
      </c>
      <c r="H693" s="12"/>
      <c r="I693" s="12"/>
      <c r="J693" s="12">
        <v>1839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7" customFormat="1" ht="28.5" customHeight="1">
      <c r="A694" s="11" t="str">
        <f t="shared" si="130"/>
        <v/>
      </c>
      <c r="B694" s="11" t="s">
        <v>10</v>
      </c>
      <c r="C694" s="11" t="s">
        <v>1209</v>
      </c>
      <c r="D694" s="11" t="s">
        <v>71</v>
      </c>
      <c r="E694" s="11" t="s">
        <v>26</v>
      </c>
      <c r="F694" s="11" t="s">
        <v>1210</v>
      </c>
      <c r="G694" s="12">
        <v>1844</v>
      </c>
      <c r="H694" s="12"/>
      <c r="I694" s="12"/>
      <c r="J694" s="12">
        <v>1839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16" customFormat="1" ht="28.5" customHeight="1">
      <c r="A695" s="11" t="str">
        <f t="shared" si="130"/>
        <v/>
      </c>
      <c r="B695" s="11" t="s">
        <v>10</v>
      </c>
      <c r="C695" s="11" t="s">
        <v>1047</v>
      </c>
      <c r="D695" s="15" t="s">
        <v>80</v>
      </c>
      <c r="E695" s="11" t="s">
        <v>26</v>
      </c>
      <c r="F695" s="11" t="s">
        <v>1048</v>
      </c>
      <c r="G695" s="12">
        <v>1845</v>
      </c>
      <c r="H695" s="12"/>
      <c r="I695" s="12"/>
      <c r="J695" s="12">
        <v>1809</v>
      </c>
      <c r="K695" s="12">
        <f t="shared" si="131"/>
        <v>0</v>
      </c>
      <c r="L695" s="12">
        <f t="shared" si="132"/>
        <v>1845</v>
      </c>
      <c r="M695" s="12" t="str">
        <f t="shared" si="133"/>
        <v/>
      </c>
      <c r="N695" s="12">
        <f t="shared" si="134"/>
        <v>1809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18</v>
      </c>
      <c r="C696" s="11" t="s">
        <v>715</v>
      </c>
      <c r="D696" s="15" t="s">
        <v>45</v>
      </c>
      <c r="E696" s="11" t="s">
        <v>26</v>
      </c>
      <c r="F696" s="11" t="s">
        <v>716</v>
      </c>
      <c r="G696" s="12">
        <v>1845</v>
      </c>
      <c r="H696" s="12"/>
      <c r="I696" s="12"/>
      <c r="J696" s="12">
        <v>1833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1833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7" customFormat="1" ht="28.5" customHeight="1">
      <c r="A697" s="11" t="str">
        <f t="shared" si="130"/>
        <v/>
      </c>
      <c r="B697" s="11" t="s">
        <v>18</v>
      </c>
      <c r="C697" s="11" t="s">
        <v>1254</v>
      </c>
      <c r="D697" s="15" t="s">
        <v>45</v>
      </c>
      <c r="E697" s="11" t="s">
        <v>61</v>
      </c>
      <c r="F697" s="11" t="s">
        <v>1255</v>
      </c>
      <c r="G697" s="12">
        <v>1845</v>
      </c>
      <c r="H697" s="12"/>
      <c r="I697" s="12"/>
      <c r="J697" s="12">
        <v>1835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1835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14</v>
      </c>
      <c r="C698" s="11" t="s">
        <v>1115</v>
      </c>
      <c r="D698" s="15" t="s">
        <v>80</v>
      </c>
      <c r="E698" s="11" t="s">
        <v>26</v>
      </c>
      <c r="F698" s="11" t="s">
        <v>1116</v>
      </c>
      <c r="G698" s="12">
        <v>1845</v>
      </c>
      <c r="H698" s="12"/>
      <c r="I698" s="12"/>
      <c r="J698" s="12">
        <v>1835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1835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12</v>
      </c>
      <c r="C699" s="11" t="s">
        <v>1053</v>
      </c>
      <c r="D699" s="15" t="s">
        <v>45</v>
      </c>
      <c r="E699" s="11" t="s">
        <v>26</v>
      </c>
      <c r="F699" s="11" t="s">
        <v>1054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1131</v>
      </c>
      <c r="D700" s="15" t="s">
        <v>71</v>
      </c>
      <c r="E700" s="11" t="s">
        <v>61</v>
      </c>
      <c r="F700" s="11" t="s">
        <v>1132</v>
      </c>
      <c r="G700" s="12">
        <v>1845</v>
      </c>
      <c r="H700" s="12"/>
      <c r="I700" s="12"/>
      <c r="J700" s="12">
        <v>1838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1838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1133</v>
      </c>
      <c r="D701" s="15" t="s">
        <v>71</v>
      </c>
      <c r="E701" s="11" t="s">
        <v>61</v>
      </c>
      <c r="F701" s="11" t="s">
        <v>1134</v>
      </c>
      <c r="G701" s="12">
        <v>1845</v>
      </c>
      <c r="H701" s="12"/>
      <c r="I701" s="12"/>
      <c r="J701" s="12">
        <v>1838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1838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1135</v>
      </c>
      <c r="D702" s="15" t="s">
        <v>71</v>
      </c>
      <c r="E702" s="11" t="s">
        <v>26</v>
      </c>
      <c r="F702" s="11" t="s">
        <v>1136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8</v>
      </c>
      <c r="C703" s="11" t="s">
        <v>1462</v>
      </c>
      <c r="D703" s="15" t="s">
        <v>60</v>
      </c>
      <c r="E703" s="11" t="s">
        <v>26</v>
      </c>
      <c r="F703" s="11" t="s">
        <v>1463</v>
      </c>
      <c r="G703" s="12">
        <v>1845</v>
      </c>
      <c r="H703" s="12"/>
      <c r="I703" s="12"/>
      <c r="J703" s="12">
        <v>1849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1849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384</v>
      </c>
      <c r="D704" s="15" t="s">
        <v>80</v>
      </c>
      <c r="E704" s="11" t="s">
        <v>61</v>
      </c>
      <c r="F704" s="11" t="s">
        <v>385</v>
      </c>
      <c r="G704" s="12">
        <v>1847</v>
      </c>
      <c r="H704" s="12"/>
      <c r="I704" s="12"/>
      <c r="J704" s="12">
        <v>1827</v>
      </c>
      <c r="K704" s="12">
        <f t="shared" si="131"/>
        <v>0</v>
      </c>
      <c r="L704" s="12">
        <f t="shared" si="132"/>
        <v>1847</v>
      </c>
      <c r="M704" s="12" t="str">
        <f t="shared" si="133"/>
        <v/>
      </c>
      <c r="N704" s="12">
        <f t="shared" si="134"/>
        <v>1827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10</v>
      </c>
      <c r="C705" s="11" t="s">
        <v>1205</v>
      </c>
      <c r="D705" s="15" t="s">
        <v>80</v>
      </c>
      <c r="E705" s="11" t="s">
        <v>26</v>
      </c>
      <c r="F705" s="11" t="s">
        <v>1206</v>
      </c>
      <c r="G705" s="12">
        <v>1847</v>
      </c>
      <c r="H705" s="12"/>
      <c r="I705" s="12"/>
      <c r="J705" s="12">
        <v>1837</v>
      </c>
      <c r="K705" s="12">
        <f t="shared" si="131"/>
        <v>0</v>
      </c>
      <c r="L705" s="12">
        <f t="shared" si="132"/>
        <v>1847</v>
      </c>
      <c r="M705" s="12" t="str">
        <f t="shared" si="133"/>
        <v/>
      </c>
      <c r="N705" s="12">
        <f t="shared" si="134"/>
        <v>1837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14</v>
      </c>
      <c r="C706" s="11" t="s">
        <v>334</v>
      </c>
      <c r="D706" s="11" t="s">
        <v>57</v>
      </c>
      <c r="E706" s="11" t="s">
        <v>26</v>
      </c>
      <c r="F706" s="11" t="s">
        <v>335</v>
      </c>
      <c r="G706" s="12">
        <v>1848</v>
      </c>
      <c r="H706" s="12"/>
      <c r="I706" s="12"/>
      <c r="J706" s="12">
        <v>1798</v>
      </c>
      <c r="K706" s="12">
        <f t="shared" si="131"/>
        <v>0</v>
      </c>
      <c r="L706" s="12">
        <f t="shared" si="132"/>
        <v>1848</v>
      </c>
      <c r="M706" s="12" t="str">
        <f t="shared" si="133"/>
        <v/>
      </c>
      <c r="N706" s="12">
        <f t="shared" si="134"/>
        <v>1798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6</v>
      </c>
      <c r="C707" s="11" t="s">
        <v>390</v>
      </c>
      <c r="D707" s="15" t="s">
        <v>60</v>
      </c>
      <c r="E707" s="11" t="s">
        <v>26</v>
      </c>
      <c r="F707" s="11" t="s">
        <v>391</v>
      </c>
      <c r="G707" s="12">
        <v>1848</v>
      </c>
      <c r="H707" s="12"/>
      <c r="I707" s="12"/>
      <c r="J707" s="12">
        <v>1818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1818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12</v>
      </c>
      <c r="C708" s="11" t="s">
        <v>1609</v>
      </c>
      <c r="D708" s="15" t="s">
        <v>80</v>
      </c>
      <c r="E708" s="11" t="s">
        <v>61</v>
      </c>
      <c r="F708" s="11" t="s">
        <v>1610</v>
      </c>
      <c r="G708" s="12">
        <v>1848</v>
      </c>
      <c r="H708" s="12"/>
      <c r="I708" s="12"/>
      <c r="J708" s="12">
        <v>1823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1823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14</v>
      </c>
      <c r="C709" s="11" t="s">
        <v>97</v>
      </c>
      <c r="D709" s="15" t="s">
        <v>60</v>
      </c>
      <c r="E709" s="11" t="s">
        <v>26</v>
      </c>
      <c r="F709" s="11" t="s">
        <v>98</v>
      </c>
      <c r="G709" s="12">
        <v>1848</v>
      </c>
      <c r="H709" s="12"/>
      <c r="I709" s="12"/>
      <c r="J709" s="12">
        <v>1824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1824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8</v>
      </c>
      <c r="C710" s="11" t="s">
        <v>1090</v>
      </c>
      <c r="D710" s="15" t="s">
        <v>45</v>
      </c>
      <c r="E710" s="11" t="s">
        <v>26</v>
      </c>
      <c r="F710" s="11" t="s">
        <v>1091</v>
      </c>
      <c r="G710" s="12">
        <v>1848</v>
      </c>
      <c r="H710" s="12"/>
      <c r="I710" s="12"/>
      <c r="J710" s="12">
        <v>1828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1828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10</v>
      </c>
      <c r="C711" s="11" t="s">
        <v>898</v>
      </c>
      <c r="D711" s="15" t="s">
        <v>45</v>
      </c>
      <c r="E711" s="11" t="s">
        <v>26</v>
      </c>
      <c r="F711" s="11" t="s">
        <v>899</v>
      </c>
      <c r="G711" s="12">
        <v>1848</v>
      </c>
      <c r="H711" s="12"/>
      <c r="I711" s="12"/>
      <c r="J711" s="12">
        <v>1838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1838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16" customFormat="1" ht="28.5" customHeight="1">
      <c r="A712" s="11" t="str">
        <f t="shared" si="130"/>
        <v/>
      </c>
      <c r="B712" s="11" t="s">
        <v>12</v>
      </c>
      <c r="C712" s="11" t="s">
        <v>676</v>
      </c>
      <c r="D712" s="15" t="s">
        <v>71</v>
      </c>
      <c r="E712" s="11" t="s">
        <v>61</v>
      </c>
      <c r="F712" s="11" t="s">
        <v>677</v>
      </c>
      <c r="G712" s="12">
        <v>1848</v>
      </c>
      <c r="H712" s="12"/>
      <c r="I712" s="12"/>
      <c r="J712" s="12">
        <v>1845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1845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1476</v>
      </c>
      <c r="D713" s="15" t="s">
        <v>71</v>
      </c>
      <c r="E713" s="11" t="s">
        <v>26</v>
      </c>
      <c r="F713" s="11" t="s">
        <v>1477</v>
      </c>
      <c r="G713" s="12">
        <v>1848</v>
      </c>
      <c r="H713" s="12"/>
      <c r="I713" s="12"/>
      <c r="J713" s="12">
        <v>1848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1848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16" customFormat="1" ht="28.5" customHeight="1">
      <c r="A714" s="11" t="str">
        <f t="shared" si="130"/>
        <v/>
      </c>
      <c r="B714" s="11" t="s">
        <v>10</v>
      </c>
      <c r="C714" s="11" t="s">
        <v>537</v>
      </c>
      <c r="D714" s="11" t="s">
        <v>48</v>
      </c>
      <c r="E714" s="11" t="s">
        <v>61</v>
      </c>
      <c r="F714" s="11" t="s">
        <v>538</v>
      </c>
      <c r="G714" s="12">
        <v>1848</v>
      </c>
      <c r="H714" s="12"/>
      <c r="I714" s="12"/>
      <c r="J714" s="12">
        <v>1849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1849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18</v>
      </c>
      <c r="C715" s="11" t="s">
        <v>1031</v>
      </c>
      <c r="D715" s="15" t="s">
        <v>80</v>
      </c>
      <c r="E715" s="11" t="s">
        <v>26</v>
      </c>
      <c r="F715" s="11" t="s">
        <v>1032</v>
      </c>
      <c r="G715" s="12">
        <v>1849</v>
      </c>
      <c r="H715" s="12"/>
      <c r="I715" s="12"/>
      <c r="J715" s="12">
        <v>1799</v>
      </c>
      <c r="K715" s="12">
        <f t="shared" si="131"/>
        <v>0</v>
      </c>
      <c r="L715" s="12">
        <f t="shared" si="132"/>
        <v>1849</v>
      </c>
      <c r="M715" s="12" t="str">
        <f t="shared" si="133"/>
        <v/>
      </c>
      <c r="N715" s="12">
        <f t="shared" si="134"/>
        <v>1799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16" customFormat="1" ht="28.5" customHeight="1">
      <c r="A716" s="11" t="str">
        <f t="shared" si="130"/>
        <v/>
      </c>
      <c r="B716" s="11" t="s">
        <v>6</v>
      </c>
      <c r="C716" s="11" t="s">
        <v>296</v>
      </c>
      <c r="D716" s="15" t="s">
        <v>45</v>
      </c>
      <c r="E716" s="11" t="s">
        <v>61</v>
      </c>
      <c r="F716" s="11" t="s">
        <v>297</v>
      </c>
      <c r="G716" s="12">
        <v>1849</v>
      </c>
      <c r="H716" s="12"/>
      <c r="I716" s="12"/>
      <c r="J716" s="12">
        <v>1814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1814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14</v>
      </c>
      <c r="C717" s="11" t="s">
        <v>696</v>
      </c>
      <c r="D717" s="11" t="s">
        <v>71</v>
      </c>
      <c r="E717" s="11" t="s">
        <v>61</v>
      </c>
      <c r="F717" s="11" t="s">
        <v>697</v>
      </c>
      <c r="G717" s="12">
        <v>1849</v>
      </c>
      <c r="H717" s="12"/>
      <c r="I717" s="12"/>
      <c r="J717" s="12">
        <v>1829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1829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940</v>
      </c>
      <c r="D718" s="15" t="s">
        <v>71</v>
      </c>
      <c r="E718" s="11" t="s">
        <v>26</v>
      </c>
      <c r="F718" s="11" t="s">
        <v>941</v>
      </c>
      <c r="G718" s="12">
        <v>1849</v>
      </c>
      <c r="H718" s="12"/>
      <c r="I718" s="12"/>
      <c r="J718" s="12">
        <v>1829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1829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7" customFormat="1" ht="28.5" customHeight="1">
      <c r="A719" s="11" t="str">
        <f t="shared" ref="A719:A782" si="143">IF($T719="","",1+COUNTIF($W$15:$W$883,"&lt;"&amp;W719))</f>
        <v/>
      </c>
      <c r="B719" s="11" t="s">
        <v>10</v>
      </c>
      <c r="C719" s="11" t="s">
        <v>1634</v>
      </c>
      <c r="D719" s="15" t="s">
        <v>45</v>
      </c>
      <c r="E719" s="11" t="s">
        <v>26</v>
      </c>
      <c r="F719" s="11" t="s">
        <v>1635</v>
      </c>
      <c r="G719" s="12">
        <v>1849</v>
      </c>
      <c r="H719" s="12"/>
      <c r="I719" s="12"/>
      <c r="J719" s="12">
        <v>1829</v>
      </c>
      <c r="K719" s="12">
        <f t="shared" ref="K719:K725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1829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6</v>
      </c>
      <c r="C720" s="11" t="s">
        <v>710</v>
      </c>
      <c r="D720" s="11" t="s">
        <v>57</v>
      </c>
      <c r="E720" s="11" t="s">
        <v>26</v>
      </c>
      <c r="F720" s="11" t="s">
        <v>711</v>
      </c>
      <c r="G720" s="12">
        <v>1849</v>
      </c>
      <c r="H720" s="12"/>
      <c r="I720" s="12"/>
      <c r="J720" s="12">
        <v>1834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1834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6</v>
      </c>
      <c r="C721" s="11" t="s">
        <v>486</v>
      </c>
      <c r="D721" s="11" t="s">
        <v>71</v>
      </c>
      <c r="E721" s="11" t="s">
        <v>26</v>
      </c>
      <c r="F721" s="11" t="s">
        <v>487</v>
      </c>
      <c r="G721" s="12">
        <v>1849</v>
      </c>
      <c r="H721" s="12"/>
      <c r="I721" s="12"/>
      <c r="J721" s="12">
        <v>1839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1839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1322</v>
      </c>
      <c r="D722" s="15" t="s">
        <v>71</v>
      </c>
      <c r="E722" s="11" t="s">
        <v>26</v>
      </c>
      <c r="F722" s="11" t="s">
        <v>1323</v>
      </c>
      <c r="G722" s="12">
        <v>1849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10</v>
      </c>
      <c r="C723" s="11" t="s">
        <v>1157</v>
      </c>
      <c r="D723" s="11" t="s">
        <v>57</v>
      </c>
      <c r="E723" s="11" t="s">
        <v>61</v>
      </c>
      <c r="F723" s="11" t="s">
        <v>1158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6</v>
      </c>
      <c r="C724" s="11" t="s">
        <v>1199</v>
      </c>
      <c r="D724" s="15" t="s">
        <v>45</v>
      </c>
      <c r="E724" s="11" t="s">
        <v>26</v>
      </c>
      <c r="F724" s="11" t="s">
        <v>1200</v>
      </c>
      <c r="G724" s="12">
        <v>1850</v>
      </c>
      <c r="H724" s="12"/>
      <c r="I724" s="12"/>
      <c r="J724" s="12">
        <v>1840</v>
      </c>
      <c r="K724" s="12">
        <f t="shared" si="144"/>
        <v>0</v>
      </c>
      <c r="L724" s="12">
        <f t="shared" si="145"/>
        <v>1850</v>
      </c>
      <c r="M724" s="12" t="str">
        <f t="shared" si="146"/>
        <v/>
      </c>
      <c r="N724" s="12">
        <f t="shared" si="147"/>
        <v>1840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10</v>
      </c>
      <c r="C725" s="11" t="s">
        <v>519</v>
      </c>
      <c r="D725" s="15" t="s">
        <v>80</v>
      </c>
      <c r="E725" s="11" t="s">
        <v>61</v>
      </c>
      <c r="F725" s="11" t="s">
        <v>520</v>
      </c>
      <c r="G725" s="12">
        <v>1850</v>
      </c>
      <c r="H725" s="12"/>
      <c r="I725" s="12"/>
      <c r="J725" s="12">
        <v>1850</v>
      </c>
      <c r="K725" s="12">
        <f t="shared" si="144"/>
        <v>0</v>
      </c>
      <c r="L725" s="12">
        <f t="shared" si="145"/>
        <v>1850</v>
      </c>
      <c r="M725" s="12" t="str">
        <f t="shared" si="146"/>
        <v/>
      </c>
      <c r="N725" s="12">
        <f t="shared" si="147"/>
        <v>1850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7" customFormat="1" ht="28.5" customHeight="1">
      <c r="A726" s="11" t="str">
        <f t="shared" si="143"/>
        <v/>
      </c>
      <c r="B726" s="11" t="s">
        <v>18</v>
      </c>
      <c r="C726" s="11" t="s">
        <v>188</v>
      </c>
      <c r="D726" s="15" t="s">
        <v>45</v>
      </c>
      <c r="E726" s="11" t="s">
        <v>61</v>
      </c>
      <c r="F726" s="11" t="s">
        <v>189</v>
      </c>
      <c r="G726" s="12">
        <v>1852</v>
      </c>
      <c r="H726" s="12"/>
      <c r="I726" s="12"/>
      <c r="J726" s="12">
        <v>1840</v>
      </c>
      <c r="K726" s="12">
        <v>0</v>
      </c>
      <c r="L726" s="12">
        <f t="shared" si="145"/>
        <v>1852</v>
      </c>
      <c r="M726" s="12" t="str">
        <f t="shared" si="146"/>
        <v/>
      </c>
      <c r="N726" s="12">
        <f t="shared" si="147"/>
        <v>1840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16" customFormat="1" ht="28.5" customHeight="1">
      <c r="A727" s="11" t="str">
        <f t="shared" si="143"/>
        <v/>
      </c>
      <c r="B727" s="11" t="s">
        <v>6</v>
      </c>
      <c r="C727" s="11" t="s">
        <v>468</v>
      </c>
      <c r="D727" s="11" t="s">
        <v>57</v>
      </c>
      <c r="E727" s="11" t="s">
        <v>26</v>
      </c>
      <c r="F727" s="11" t="s">
        <v>469</v>
      </c>
      <c r="G727" s="12">
        <v>1852</v>
      </c>
      <c r="H727" s="12"/>
      <c r="I727" s="12"/>
      <c r="J727" s="12">
        <v>1842</v>
      </c>
      <c r="K727" s="12">
        <f t="shared" ref="K727:K758" si="156">IF(AND(IFERROR(SEARCH("현대오일뱅크",$C727),0)&gt;0,IFERROR(SEARCH("직영",$C727),0)&gt;0),$B$13,0)</f>
        <v>0</v>
      </c>
      <c r="L727" s="12">
        <f t="shared" si="145"/>
        <v>1852</v>
      </c>
      <c r="M727" s="12" t="str">
        <f t="shared" si="146"/>
        <v/>
      </c>
      <c r="N727" s="12">
        <f t="shared" si="147"/>
        <v>1842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466</v>
      </c>
      <c r="D728" s="11" t="s">
        <v>57</v>
      </c>
      <c r="E728" s="11" t="s">
        <v>61</v>
      </c>
      <c r="F728" s="11" t="s">
        <v>467</v>
      </c>
      <c r="G728" s="12">
        <v>1852</v>
      </c>
      <c r="H728" s="12"/>
      <c r="I728" s="12"/>
      <c r="J728" s="12">
        <v>1842</v>
      </c>
      <c r="K728" s="12">
        <f t="shared" si="156"/>
        <v>0</v>
      </c>
      <c r="L728" s="12">
        <f t="shared" si="145"/>
        <v>1852</v>
      </c>
      <c r="M728" s="12" t="str">
        <f t="shared" si="146"/>
        <v/>
      </c>
      <c r="N728" s="12">
        <f t="shared" si="147"/>
        <v>1842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8</v>
      </c>
      <c r="C729" s="11" t="s">
        <v>453</v>
      </c>
      <c r="D729" s="11" t="s">
        <v>95</v>
      </c>
      <c r="E729" s="11" t="s">
        <v>61</v>
      </c>
      <c r="F729" s="11" t="s">
        <v>456</v>
      </c>
      <c r="G729" s="12">
        <v>1853</v>
      </c>
      <c r="H729" s="12"/>
      <c r="I729" s="12"/>
      <c r="J729" s="12">
        <v>1823</v>
      </c>
      <c r="K729" s="12">
        <f t="shared" si="156"/>
        <v>0</v>
      </c>
      <c r="L729" s="12">
        <f t="shared" si="145"/>
        <v>1853</v>
      </c>
      <c r="M729" s="12" t="str">
        <f t="shared" si="146"/>
        <v/>
      </c>
      <c r="N729" s="12">
        <f t="shared" si="147"/>
        <v>1823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1043</v>
      </c>
      <c r="D730" s="11" t="s">
        <v>48</v>
      </c>
      <c r="E730" s="11" t="s">
        <v>26</v>
      </c>
      <c r="F730" s="11" t="s">
        <v>1044</v>
      </c>
      <c r="G730" s="12">
        <v>1853</v>
      </c>
      <c r="H730" s="12"/>
      <c r="I730" s="12"/>
      <c r="J730" s="12">
        <v>1823</v>
      </c>
      <c r="K730" s="12">
        <f t="shared" si="156"/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1823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7" customFormat="1" ht="28.5" customHeight="1">
      <c r="A731" s="11" t="str">
        <f t="shared" si="143"/>
        <v/>
      </c>
      <c r="B731" s="11" t="s">
        <v>10</v>
      </c>
      <c r="C731" s="11" t="s">
        <v>457</v>
      </c>
      <c r="D731" s="15" t="s">
        <v>80</v>
      </c>
      <c r="E731" s="11" t="s">
        <v>26</v>
      </c>
      <c r="F731" s="11" t="s">
        <v>458</v>
      </c>
      <c r="G731" s="12">
        <v>1853</v>
      </c>
      <c r="H731" s="12"/>
      <c r="I731" s="12"/>
      <c r="J731" s="12">
        <v>1833</v>
      </c>
      <c r="K731" s="12">
        <f t="shared" si="156"/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1833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12</v>
      </c>
      <c r="C732" s="11" t="s">
        <v>841</v>
      </c>
      <c r="D732" s="15" t="s">
        <v>80</v>
      </c>
      <c r="E732" s="11" t="s">
        <v>61</v>
      </c>
      <c r="F732" s="11" t="s">
        <v>842</v>
      </c>
      <c r="G732" s="12">
        <v>1854</v>
      </c>
      <c r="H732" s="12"/>
      <c r="I732" s="12"/>
      <c r="J732" s="12">
        <v>1828</v>
      </c>
      <c r="K732" s="12">
        <f t="shared" si="156"/>
        <v>0</v>
      </c>
      <c r="L732" s="12">
        <f t="shared" si="145"/>
        <v>1854</v>
      </c>
      <c r="M732" s="12" t="str">
        <f t="shared" si="146"/>
        <v/>
      </c>
      <c r="N732" s="12">
        <f t="shared" si="147"/>
        <v>1828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960</v>
      </c>
      <c r="D733" s="11" t="s">
        <v>57</v>
      </c>
      <c r="E733" s="11" t="s">
        <v>26</v>
      </c>
      <c r="F733" s="11" t="s">
        <v>961</v>
      </c>
      <c r="G733" s="12">
        <v>1854</v>
      </c>
      <c r="H733" s="12"/>
      <c r="I733" s="12"/>
      <c r="J733" s="12">
        <v>1842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1842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7" customFormat="1" ht="28.5" customHeight="1">
      <c r="A734" s="11" t="str">
        <f t="shared" si="143"/>
        <v/>
      </c>
      <c r="B734" s="11" t="s">
        <v>12</v>
      </c>
      <c r="C734" s="11" t="s">
        <v>1448</v>
      </c>
      <c r="D734" s="15" t="s">
        <v>60</v>
      </c>
      <c r="E734" s="11" t="s">
        <v>26</v>
      </c>
      <c r="F734" s="11" t="s">
        <v>1449</v>
      </c>
      <c r="G734" s="12">
        <v>1854</v>
      </c>
      <c r="H734" s="12"/>
      <c r="I734" s="12"/>
      <c r="J734" s="12">
        <v>1849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1849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16" customFormat="1" ht="28.5" customHeight="1">
      <c r="A735" s="11" t="str">
        <f t="shared" si="143"/>
        <v/>
      </c>
      <c r="B735" s="11" t="s">
        <v>12</v>
      </c>
      <c r="C735" s="11" t="s">
        <v>1474</v>
      </c>
      <c r="D735" s="15" t="s">
        <v>60</v>
      </c>
      <c r="E735" s="11" t="s">
        <v>26</v>
      </c>
      <c r="F735" s="11" t="s">
        <v>1475</v>
      </c>
      <c r="G735" s="12">
        <v>1854</v>
      </c>
      <c r="H735" s="12"/>
      <c r="I735" s="12"/>
      <c r="J735" s="12">
        <v>1849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8</v>
      </c>
      <c r="C736" s="11" t="s">
        <v>1051</v>
      </c>
      <c r="D736" s="15" t="s">
        <v>80</v>
      </c>
      <c r="E736" s="11" t="s">
        <v>26</v>
      </c>
      <c r="F736" s="11" t="s">
        <v>1052</v>
      </c>
      <c r="G736" s="12">
        <v>1855</v>
      </c>
      <c r="H736" s="12"/>
      <c r="I736" s="12"/>
      <c r="J736" s="12">
        <v>1825</v>
      </c>
      <c r="K736" s="12">
        <f t="shared" si="156"/>
        <v>0</v>
      </c>
      <c r="L736" s="12">
        <f t="shared" si="145"/>
        <v>1855</v>
      </c>
      <c r="M736" s="12" t="str">
        <f t="shared" si="146"/>
        <v/>
      </c>
      <c r="N736" s="12">
        <f t="shared" si="147"/>
        <v>1825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876</v>
      </c>
      <c r="D737" s="15" t="s">
        <v>60</v>
      </c>
      <c r="E737" s="11" t="s">
        <v>61</v>
      </c>
      <c r="F737" s="11" t="s">
        <v>877</v>
      </c>
      <c r="G737" s="12">
        <v>1855</v>
      </c>
      <c r="H737" s="12"/>
      <c r="I737" s="12"/>
      <c r="J737" s="12">
        <v>1825</v>
      </c>
      <c r="K737" s="12">
        <f t="shared" si="156"/>
        <v>0</v>
      </c>
      <c r="L737" s="12">
        <f t="shared" si="145"/>
        <v>1855</v>
      </c>
      <c r="M737" s="12" t="str">
        <f t="shared" si="146"/>
        <v/>
      </c>
      <c r="N737" s="12">
        <f t="shared" si="147"/>
        <v>1825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910</v>
      </c>
      <c r="D738" s="11" t="s">
        <v>57</v>
      </c>
      <c r="E738" s="11" t="s">
        <v>26</v>
      </c>
      <c r="F738" s="11" t="s">
        <v>911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1191</v>
      </c>
      <c r="D739" s="11" t="s">
        <v>57</v>
      </c>
      <c r="E739" s="11" t="s">
        <v>26</v>
      </c>
      <c r="F739" s="11" t="s">
        <v>1192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6</v>
      </c>
      <c r="C740" s="11" t="s">
        <v>604</v>
      </c>
      <c r="D740" s="11" t="s">
        <v>57</v>
      </c>
      <c r="E740" s="11" t="s">
        <v>26</v>
      </c>
      <c r="F740" s="11" t="s">
        <v>605</v>
      </c>
      <c r="G740" s="12">
        <v>1855</v>
      </c>
      <c r="H740" s="12"/>
      <c r="I740" s="12"/>
      <c r="J740" s="12">
        <v>1835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1835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14</v>
      </c>
      <c r="C741" s="11" t="s">
        <v>1423</v>
      </c>
      <c r="D741" s="15" t="s">
        <v>60</v>
      </c>
      <c r="E741" s="11" t="s">
        <v>61</v>
      </c>
      <c r="F741" s="11" t="s">
        <v>1425</v>
      </c>
      <c r="G741" s="12">
        <v>1855</v>
      </c>
      <c r="H741" s="12"/>
      <c r="I741" s="12"/>
      <c r="J741" s="12">
        <v>1835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1835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16" customFormat="1" ht="28.5" customHeight="1">
      <c r="A742" s="11" t="str">
        <f t="shared" si="143"/>
        <v/>
      </c>
      <c r="B742" s="11" t="s">
        <v>14</v>
      </c>
      <c r="C742" s="11" t="s">
        <v>492</v>
      </c>
      <c r="D742" s="15" t="s">
        <v>45</v>
      </c>
      <c r="E742" s="11" t="s">
        <v>26</v>
      </c>
      <c r="F742" s="11" t="s">
        <v>493</v>
      </c>
      <c r="G742" s="12">
        <v>1855</v>
      </c>
      <c r="H742" s="12"/>
      <c r="I742" s="12"/>
      <c r="J742" s="12">
        <v>1845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1845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7" customFormat="1" ht="28.5" customHeight="1">
      <c r="A743" s="11" t="str">
        <f t="shared" si="143"/>
        <v/>
      </c>
      <c r="B743" s="11" t="s">
        <v>8</v>
      </c>
      <c r="C743" s="11" t="s">
        <v>962</v>
      </c>
      <c r="D743" s="11" t="s">
        <v>71</v>
      </c>
      <c r="E743" s="11" t="s">
        <v>26</v>
      </c>
      <c r="F743" s="11" t="s">
        <v>963</v>
      </c>
      <c r="G743" s="12">
        <v>1855</v>
      </c>
      <c r="H743" s="12"/>
      <c r="I743" s="12"/>
      <c r="J743" s="12">
        <v>1846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1846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6</v>
      </c>
      <c r="C744" s="11" t="s">
        <v>136</v>
      </c>
      <c r="D744" s="15" t="s">
        <v>45</v>
      </c>
      <c r="E744" s="11" t="s">
        <v>26</v>
      </c>
      <c r="F744" s="11" t="s">
        <v>137</v>
      </c>
      <c r="G744" s="12">
        <v>1855</v>
      </c>
      <c r="H744" s="12"/>
      <c r="I744" s="12"/>
      <c r="J744" s="12">
        <v>1855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1855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16" customFormat="1" ht="28.5" customHeight="1">
      <c r="A745" s="11" t="str">
        <f t="shared" si="143"/>
        <v/>
      </c>
      <c r="B745" s="11" t="s">
        <v>12</v>
      </c>
      <c r="C745" s="11" t="s">
        <v>1034</v>
      </c>
      <c r="D745" s="15" t="s">
        <v>45</v>
      </c>
      <c r="E745" s="11" t="s">
        <v>61</v>
      </c>
      <c r="F745" s="11" t="s">
        <v>1035</v>
      </c>
      <c r="G745" s="12">
        <v>1856</v>
      </c>
      <c r="H745" s="12"/>
      <c r="I745" s="12"/>
      <c r="J745" s="12">
        <v>1856</v>
      </c>
      <c r="K745" s="12">
        <f t="shared" si="156"/>
        <v>0</v>
      </c>
      <c r="L745" s="12">
        <f t="shared" si="145"/>
        <v>1856</v>
      </c>
      <c r="M745" s="12" t="str">
        <f t="shared" si="146"/>
        <v/>
      </c>
      <c r="N745" s="12">
        <f t="shared" si="147"/>
        <v>1856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12</v>
      </c>
      <c r="C746" s="11" t="s">
        <v>1693</v>
      </c>
      <c r="D746" s="15" t="s">
        <v>45</v>
      </c>
      <c r="E746" s="11" t="s">
        <v>61</v>
      </c>
      <c r="F746" s="11" t="s">
        <v>1694</v>
      </c>
      <c r="G746" s="12">
        <v>1856</v>
      </c>
      <c r="H746" s="12"/>
      <c r="I746" s="12"/>
      <c r="J746" s="12">
        <v>1856</v>
      </c>
      <c r="K746" s="12">
        <f t="shared" si="156"/>
        <v>0</v>
      </c>
      <c r="L746" s="12">
        <f t="shared" si="145"/>
        <v>1856</v>
      </c>
      <c r="M746" s="12" t="str">
        <f t="shared" si="146"/>
        <v/>
      </c>
      <c r="N746" s="12">
        <f t="shared" si="147"/>
        <v>1856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16" customFormat="1" ht="28.5" customHeight="1">
      <c r="A747" s="11" t="str">
        <f t="shared" si="143"/>
        <v/>
      </c>
      <c r="B747" s="11" t="s">
        <v>6</v>
      </c>
      <c r="C747" s="11" t="s">
        <v>653</v>
      </c>
      <c r="D747" s="15" t="s">
        <v>45</v>
      </c>
      <c r="E747" s="11" t="s">
        <v>26</v>
      </c>
      <c r="F747" s="11" t="s">
        <v>654</v>
      </c>
      <c r="G747" s="12">
        <v>1857</v>
      </c>
      <c r="H747" s="12"/>
      <c r="I747" s="12"/>
      <c r="J747" s="12">
        <v>1827</v>
      </c>
      <c r="K747" s="12">
        <f t="shared" si="156"/>
        <v>0</v>
      </c>
      <c r="L747" s="12">
        <f t="shared" si="145"/>
        <v>1857</v>
      </c>
      <c r="M747" s="12" t="str">
        <f t="shared" si="146"/>
        <v/>
      </c>
      <c r="N747" s="12">
        <f t="shared" si="147"/>
        <v>1827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14</v>
      </c>
      <c r="C748" s="11" t="s">
        <v>1031</v>
      </c>
      <c r="D748" s="11" t="s">
        <v>57</v>
      </c>
      <c r="E748" s="11" t="s">
        <v>61</v>
      </c>
      <c r="F748" s="11" t="s">
        <v>1033</v>
      </c>
      <c r="G748" s="12">
        <v>1857</v>
      </c>
      <c r="H748" s="12"/>
      <c r="I748" s="12"/>
      <c r="J748" s="12">
        <v>1837</v>
      </c>
      <c r="K748" s="12">
        <f t="shared" si="156"/>
        <v>0</v>
      </c>
      <c r="L748" s="12">
        <f t="shared" si="145"/>
        <v>1857</v>
      </c>
      <c r="M748" s="12" t="str">
        <f t="shared" si="146"/>
        <v/>
      </c>
      <c r="N748" s="12">
        <f t="shared" si="147"/>
        <v>1837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1486</v>
      </c>
      <c r="D749" s="11" t="s">
        <v>57</v>
      </c>
      <c r="E749" s="11" t="s">
        <v>61</v>
      </c>
      <c r="F749" s="11" t="s">
        <v>1488</v>
      </c>
      <c r="G749" s="12">
        <v>1858</v>
      </c>
      <c r="H749" s="12"/>
      <c r="I749" s="12"/>
      <c r="J749" s="12">
        <v>1835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6</v>
      </c>
      <c r="C750" s="11" t="s">
        <v>1104</v>
      </c>
      <c r="D750" s="11" t="s">
        <v>57</v>
      </c>
      <c r="E750" s="11" t="s">
        <v>26</v>
      </c>
      <c r="F750" s="11" t="s">
        <v>1105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56</v>
      </c>
      <c r="D751" s="11" t="s">
        <v>57</v>
      </c>
      <c r="E751" s="11" t="s">
        <v>26</v>
      </c>
      <c r="F751" s="11" t="s">
        <v>58</v>
      </c>
      <c r="G751" s="12">
        <v>1858</v>
      </c>
      <c r="H751" s="12"/>
      <c r="I751" s="12"/>
      <c r="J751" s="12">
        <v>1838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539</v>
      </c>
      <c r="D752" s="15" t="s">
        <v>45</v>
      </c>
      <c r="E752" s="11" t="s">
        <v>26</v>
      </c>
      <c r="F752" s="11" t="s">
        <v>540</v>
      </c>
      <c r="G752" s="12">
        <v>1858</v>
      </c>
      <c r="H752" s="12"/>
      <c r="I752" s="12"/>
      <c r="J752" s="12">
        <v>1848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1454</v>
      </c>
      <c r="D753" s="15" t="s">
        <v>60</v>
      </c>
      <c r="E753" s="11" t="s">
        <v>61</v>
      </c>
      <c r="F753" s="11" t="s">
        <v>1455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14</v>
      </c>
      <c r="C754" s="11" t="s">
        <v>1350</v>
      </c>
      <c r="D754" s="11" t="s">
        <v>57</v>
      </c>
      <c r="E754" s="11" t="s">
        <v>26</v>
      </c>
      <c r="F754" s="11" t="s">
        <v>1351</v>
      </c>
      <c r="G754" s="12">
        <v>1858</v>
      </c>
      <c r="H754" s="12"/>
      <c r="I754" s="12"/>
      <c r="J754" s="12">
        <v>1857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1857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140</v>
      </c>
      <c r="D755" s="15" t="s">
        <v>80</v>
      </c>
      <c r="E755" s="11" t="s">
        <v>26</v>
      </c>
      <c r="F755" s="11" t="s">
        <v>141</v>
      </c>
      <c r="G755" s="12">
        <v>1859</v>
      </c>
      <c r="H755" s="12"/>
      <c r="I755" s="12"/>
      <c r="J755" s="12">
        <v>1814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1814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16</v>
      </c>
      <c r="C756" s="11" t="s">
        <v>1036</v>
      </c>
      <c r="D756" s="11" t="s">
        <v>57</v>
      </c>
      <c r="E756" s="11" t="s">
        <v>61</v>
      </c>
      <c r="F756" s="11" t="s">
        <v>1037</v>
      </c>
      <c r="G756" s="12">
        <v>1859</v>
      </c>
      <c r="H756" s="12"/>
      <c r="I756" s="12"/>
      <c r="J756" s="12">
        <v>1819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1819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18</v>
      </c>
      <c r="C757" s="11" t="s">
        <v>1628</v>
      </c>
      <c r="D757" s="11" t="s">
        <v>57</v>
      </c>
      <c r="E757" s="11" t="s">
        <v>61</v>
      </c>
      <c r="F757" s="11" t="s">
        <v>1629</v>
      </c>
      <c r="G757" s="12">
        <v>1859</v>
      </c>
      <c r="H757" s="12"/>
      <c r="I757" s="12"/>
      <c r="J757" s="12">
        <v>1820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1820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6</v>
      </c>
      <c r="C758" s="11" t="s">
        <v>545</v>
      </c>
      <c r="D758" s="11" t="s">
        <v>57</v>
      </c>
      <c r="E758" s="11" t="s">
        <v>61</v>
      </c>
      <c r="F758" s="11" t="s">
        <v>546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870</v>
      </c>
      <c r="D759" s="15" t="s">
        <v>45</v>
      </c>
      <c r="E759" s="11" t="s">
        <v>61</v>
      </c>
      <c r="F759" s="11" t="s">
        <v>871</v>
      </c>
      <c r="G759" s="12">
        <v>1859</v>
      </c>
      <c r="H759" s="12"/>
      <c r="I759" s="12"/>
      <c r="J759" s="12">
        <v>1839</v>
      </c>
      <c r="K759" s="12">
        <f t="shared" ref="K759:K767" si="157">IF(AND(IFERROR(SEARCH("현대오일뱅크",$C759),0)&gt;0,IFERROR(SEARCH("직영",$C759),0)&gt;0),$B$13,0)</f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12</v>
      </c>
      <c r="C760" s="11" t="s">
        <v>818</v>
      </c>
      <c r="D760" s="15" t="s">
        <v>57</v>
      </c>
      <c r="E760" s="11" t="s">
        <v>26</v>
      </c>
      <c r="F760" s="11" t="s">
        <v>819</v>
      </c>
      <c r="G760" s="12">
        <v>1859</v>
      </c>
      <c r="H760" s="12"/>
      <c r="I760" s="12"/>
      <c r="J760" s="12">
        <v>1849</v>
      </c>
      <c r="K760" s="12">
        <f t="shared" si="157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1849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10</v>
      </c>
      <c r="C761" s="11" t="s">
        <v>170</v>
      </c>
      <c r="D761" s="11" t="s">
        <v>57</v>
      </c>
      <c r="E761" s="11" t="s">
        <v>26</v>
      </c>
      <c r="F761" s="11" t="s">
        <v>171</v>
      </c>
      <c r="G761" s="12">
        <v>1859</v>
      </c>
      <c r="H761" s="12"/>
      <c r="I761" s="12"/>
      <c r="J761" s="12">
        <v>1849</v>
      </c>
      <c r="K761" s="12">
        <f t="shared" si="157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7" customFormat="1" ht="28.5" customHeight="1">
      <c r="A762" s="11" t="str">
        <f t="shared" si="143"/>
        <v/>
      </c>
      <c r="B762" s="11" t="s">
        <v>10</v>
      </c>
      <c r="C762" s="11" t="s">
        <v>1539</v>
      </c>
      <c r="D762" s="11" t="s">
        <v>71</v>
      </c>
      <c r="E762" s="11" t="s">
        <v>61</v>
      </c>
      <c r="F762" s="11" t="s">
        <v>1540</v>
      </c>
      <c r="G762" s="12">
        <v>1859</v>
      </c>
      <c r="H762" s="12"/>
      <c r="I762" s="12"/>
      <c r="J762" s="12">
        <v>1849</v>
      </c>
      <c r="K762" s="12">
        <f t="shared" si="157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14</v>
      </c>
      <c r="C763" s="11" t="s">
        <v>348</v>
      </c>
      <c r="D763" s="15" t="s">
        <v>45</v>
      </c>
      <c r="E763" s="11" t="s">
        <v>26</v>
      </c>
      <c r="F763" s="11" t="s">
        <v>349</v>
      </c>
      <c r="G763" s="12">
        <v>1859</v>
      </c>
      <c r="H763" s="12"/>
      <c r="I763" s="12"/>
      <c r="J763" s="12">
        <v>1869</v>
      </c>
      <c r="K763" s="12">
        <f t="shared" si="157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1869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14</v>
      </c>
      <c r="C764" s="11" t="s">
        <v>1650</v>
      </c>
      <c r="D764" s="11" t="s">
        <v>57</v>
      </c>
      <c r="E764" s="11" t="s">
        <v>26</v>
      </c>
      <c r="F764" s="11" t="s">
        <v>1651</v>
      </c>
      <c r="G764" s="12">
        <v>1859</v>
      </c>
      <c r="H764" s="12"/>
      <c r="I764" s="12"/>
      <c r="J764" s="12">
        <v>1869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1869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16</v>
      </c>
      <c r="C765" s="11" t="s">
        <v>612</v>
      </c>
      <c r="D765" s="15" t="s">
        <v>45</v>
      </c>
      <c r="E765" s="11" t="s">
        <v>26</v>
      </c>
      <c r="F765" s="11" t="s">
        <v>613</v>
      </c>
      <c r="G765" s="12">
        <v>1860</v>
      </c>
      <c r="H765" s="12"/>
      <c r="I765" s="12"/>
      <c r="J765" s="12">
        <v>1820</v>
      </c>
      <c r="K765" s="12">
        <f t="shared" si="157"/>
        <v>0</v>
      </c>
      <c r="L765" s="12">
        <f t="shared" si="145"/>
        <v>1860</v>
      </c>
      <c r="M765" s="12" t="str">
        <f t="shared" si="146"/>
        <v/>
      </c>
      <c r="N765" s="12">
        <f t="shared" si="147"/>
        <v>1820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16</v>
      </c>
      <c r="C766" s="11" t="s">
        <v>1525</v>
      </c>
      <c r="D766" s="11" t="s">
        <v>71</v>
      </c>
      <c r="E766" s="11" t="s">
        <v>61</v>
      </c>
      <c r="F766" s="11" t="s">
        <v>1526</v>
      </c>
      <c r="G766" s="12">
        <v>1860</v>
      </c>
      <c r="H766" s="12"/>
      <c r="I766" s="12"/>
      <c r="J766" s="12">
        <v>1820</v>
      </c>
      <c r="K766" s="12">
        <f t="shared" si="157"/>
        <v>0</v>
      </c>
      <c r="L766" s="12">
        <f t="shared" si="145"/>
        <v>1860</v>
      </c>
      <c r="M766" s="12" t="str">
        <f t="shared" si="146"/>
        <v/>
      </c>
      <c r="N766" s="12">
        <f t="shared" si="147"/>
        <v>1820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1213</v>
      </c>
      <c r="D767" s="15" t="s">
        <v>45</v>
      </c>
      <c r="E767" s="11" t="s">
        <v>26</v>
      </c>
      <c r="F767" s="11" t="s">
        <v>1214</v>
      </c>
      <c r="G767" s="12">
        <v>1860</v>
      </c>
      <c r="H767" s="12"/>
      <c r="I767" s="12"/>
      <c r="J767" s="12">
        <v>1830</v>
      </c>
      <c r="K767" s="12">
        <f t="shared" si="157"/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1830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10</v>
      </c>
      <c r="C768" s="11" t="s">
        <v>226</v>
      </c>
      <c r="D768" s="15" t="s">
        <v>45</v>
      </c>
      <c r="E768" s="11" t="s">
        <v>26</v>
      </c>
      <c r="F768" s="11" t="s">
        <v>227</v>
      </c>
      <c r="G768" s="12">
        <v>1864</v>
      </c>
      <c r="H768" s="12"/>
      <c r="I768" s="12"/>
      <c r="J768" s="12">
        <v>1854</v>
      </c>
      <c r="K768" s="12">
        <v>0</v>
      </c>
      <c r="L768" s="12">
        <f t="shared" si="145"/>
        <v>1864</v>
      </c>
      <c r="M768" s="12" t="str">
        <f t="shared" si="146"/>
        <v/>
      </c>
      <c r="N768" s="12">
        <f t="shared" si="147"/>
        <v>1854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1662</v>
      </c>
      <c r="D769" s="11" t="s">
        <v>57</v>
      </c>
      <c r="E769" s="11" t="s">
        <v>26</v>
      </c>
      <c r="F769" s="11" t="s">
        <v>1663</v>
      </c>
      <c r="G769" s="12">
        <v>1865</v>
      </c>
      <c r="H769" s="12"/>
      <c r="I769" s="12"/>
      <c r="J769" s="12">
        <v>1825</v>
      </c>
      <c r="K769" s="12">
        <f>IF(AND(IFERROR(SEARCH("현대오일뱅크",$C769),0)&gt;0,IFERROR(SEARCH("직영",$C769),0)&gt;0),$B$13,0)</f>
        <v>0</v>
      </c>
      <c r="L769" s="12">
        <f t="shared" si="145"/>
        <v>1865</v>
      </c>
      <c r="M769" s="12" t="str">
        <f t="shared" si="146"/>
        <v/>
      </c>
      <c r="N769" s="12">
        <f t="shared" si="147"/>
        <v>1825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12</v>
      </c>
      <c r="C770" s="11" t="s">
        <v>799</v>
      </c>
      <c r="D770" s="15" t="s">
        <v>45</v>
      </c>
      <c r="E770" s="11" t="s">
        <v>26</v>
      </c>
      <c r="F770" s="11" t="s">
        <v>800</v>
      </c>
      <c r="G770" s="12">
        <v>1865</v>
      </c>
      <c r="H770" s="12"/>
      <c r="I770" s="12"/>
      <c r="J770" s="12">
        <v>1845</v>
      </c>
      <c r="K770" s="12">
        <f>IF(AND(IFERROR(SEARCH("현대오일뱅크",$C770),0)&gt;0,IFERROR(SEARCH("직영",$C770),0)&gt;0),$B$13,0)</f>
        <v>0</v>
      </c>
      <c r="L770" s="12">
        <f t="shared" si="145"/>
        <v>1865</v>
      </c>
      <c r="M770" s="12" t="str">
        <f t="shared" si="146"/>
        <v/>
      </c>
      <c r="N770" s="12">
        <f t="shared" si="147"/>
        <v>1845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7" customFormat="1" ht="28.5" customHeight="1">
      <c r="A771" s="11" t="str">
        <f t="shared" si="143"/>
        <v/>
      </c>
      <c r="B771" s="11" t="s">
        <v>6</v>
      </c>
      <c r="C771" s="11" t="s">
        <v>1695</v>
      </c>
      <c r="D771" s="15" t="s">
        <v>45</v>
      </c>
      <c r="E771" s="11" t="s">
        <v>61</v>
      </c>
      <c r="F771" s="11" t="s">
        <v>1696</v>
      </c>
      <c r="G771" s="12">
        <v>1866</v>
      </c>
      <c r="H771" s="12"/>
      <c r="I771" s="12"/>
      <c r="J771" s="12">
        <v>1850</v>
      </c>
      <c r="K771" s="12">
        <v>0</v>
      </c>
      <c r="L771" s="12">
        <f t="shared" si="145"/>
        <v>1866</v>
      </c>
      <c r="M771" s="12" t="str">
        <f t="shared" si="146"/>
        <v/>
      </c>
      <c r="N771" s="12">
        <f t="shared" si="147"/>
        <v>1850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7" customFormat="1" ht="28.5" customHeight="1">
      <c r="A772" s="11" t="str">
        <f t="shared" si="143"/>
        <v/>
      </c>
      <c r="B772" s="11" t="s">
        <v>14</v>
      </c>
      <c r="C772" s="11" t="s">
        <v>1478</v>
      </c>
      <c r="D772" s="15" t="s">
        <v>80</v>
      </c>
      <c r="E772" s="11" t="s">
        <v>26</v>
      </c>
      <c r="F772" s="11" t="s">
        <v>1479</v>
      </c>
      <c r="G772" s="12">
        <v>1867</v>
      </c>
      <c r="H772" s="12"/>
      <c r="I772" s="12"/>
      <c r="J772" s="12">
        <v>1853</v>
      </c>
      <c r="K772" s="12">
        <f t="shared" ref="K772:K790" si="158">IF(AND(IFERROR(SEARCH("현대오일뱅크",$C772),0)&gt;0,IFERROR(SEARCH("직영",$C772),0)&gt;0),$B$13,0)</f>
        <v>0</v>
      </c>
      <c r="L772" s="12">
        <f t="shared" si="145"/>
        <v>1867</v>
      </c>
      <c r="M772" s="12" t="str">
        <f t="shared" si="146"/>
        <v/>
      </c>
      <c r="N772" s="12">
        <f t="shared" si="147"/>
        <v>1853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1619</v>
      </c>
      <c r="D773" s="15" t="s">
        <v>45</v>
      </c>
      <c r="E773" s="11" t="s">
        <v>26</v>
      </c>
      <c r="F773" s="11" t="s">
        <v>1620</v>
      </c>
      <c r="G773" s="12">
        <v>1867</v>
      </c>
      <c r="H773" s="12"/>
      <c r="I773" s="12"/>
      <c r="J773" s="12">
        <v>1867</v>
      </c>
      <c r="K773" s="12">
        <f t="shared" si="158"/>
        <v>0</v>
      </c>
      <c r="L773" s="12">
        <f t="shared" si="145"/>
        <v>1867</v>
      </c>
      <c r="M773" s="12" t="str">
        <f t="shared" si="146"/>
        <v/>
      </c>
      <c r="N773" s="12">
        <f t="shared" si="147"/>
        <v>1867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18</v>
      </c>
      <c r="C774" s="11" t="s">
        <v>1358</v>
      </c>
      <c r="D774" s="11" t="s">
        <v>71</v>
      </c>
      <c r="E774" s="11" t="s">
        <v>61</v>
      </c>
      <c r="F774" s="11" t="s">
        <v>1359</v>
      </c>
      <c r="G774" s="12">
        <v>1868</v>
      </c>
      <c r="H774" s="12"/>
      <c r="I774" s="12"/>
      <c r="J774" s="12">
        <v>1838</v>
      </c>
      <c r="K774" s="12">
        <f t="shared" si="158"/>
        <v>0</v>
      </c>
      <c r="L774" s="12">
        <f t="shared" si="145"/>
        <v>1868</v>
      </c>
      <c r="M774" s="12" t="str">
        <f t="shared" si="146"/>
        <v/>
      </c>
      <c r="N774" s="12">
        <f t="shared" si="147"/>
        <v>1838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12</v>
      </c>
      <c r="C775" s="11" t="s">
        <v>1239</v>
      </c>
      <c r="D775" s="15" t="s">
        <v>57</v>
      </c>
      <c r="E775" s="11" t="s">
        <v>61</v>
      </c>
      <c r="F775" s="11" t="s">
        <v>1240</v>
      </c>
      <c r="G775" s="12">
        <v>1868</v>
      </c>
      <c r="H775" s="12"/>
      <c r="I775" s="12"/>
      <c r="J775" s="12">
        <v>1848</v>
      </c>
      <c r="K775" s="12">
        <f t="shared" si="158"/>
        <v>0</v>
      </c>
      <c r="L775" s="12">
        <f t="shared" si="145"/>
        <v>1868</v>
      </c>
      <c r="M775" s="12" t="str">
        <f t="shared" si="146"/>
        <v/>
      </c>
      <c r="N775" s="12">
        <f t="shared" si="147"/>
        <v>1848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16" customFormat="1" ht="28.5" customHeight="1">
      <c r="A776" s="11" t="str">
        <f t="shared" si="143"/>
        <v/>
      </c>
      <c r="B776" s="11" t="s">
        <v>18</v>
      </c>
      <c r="C776" s="11" t="s">
        <v>358</v>
      </c>
      <c r="D776" s="11" t="s">
        <v>57</v>
      </c>
      <c r="E776" s="11" t="s">
        <v>26</v>
      </c>
      <c r="F776" s="11" t="s">
        <v>359</v>
      </c>
      <c r="G776" s="12">
        <v>1869</v>
      </c>
      <c r="H776" s="12"/>
      <c r="I776" s="12"/>
      <c r="J776" s="12">
        <v>1833</v>
      </c>
      <c r="K776" s="12">
        <f t="shared" si="158"/>
        <v>0</v>
      </c>
      <c r="L776" s="12">
        <f t="shared" si="145"/>
        <v>1869</v>
      </c>
      <c r="M776" s="12" t="str">
        <f t="shared" si="146"/>
        <v/>
      </c>
      <c r="N776" s="12">
        <f t="shared" si="147"/>
        <v>1833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360</v>
      </c>
      <c r="D777" s="11" t="s">
        <v>57</v>
      </c>
      <c r="E777" s="11" t="s">
        <v>26</v>
      </c>
      <c r="F777" s="11" t="s">
        <v>361</v>
      </c>
      <c r="G777" s="12">
        <v>1869</v>
      </c>
      <c r="H777" s="12"/>
      <c r="I777" s="12"/>
      <c r="J777" s="12">
        <v>1833</v>
      </c>
      <c r="K777" s="12">
        <f t="shared" si="158"/>
        <v>0</v>
      </c>
      <c r="L777" s="12">
        <f t="shared" si="145"/>
        <v>1869</v>
      </c>
      <c r="M777" s="12" t="str">
        <f t="shared" si="146"/>
        <v/>
      </c>
      <c r="N777" s="12">
        <f t="shared" si="147"/>
        <v>1833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1354</v>
      </c>
      <c r="D778" s="11" t="s">
        <v>57</v>
      </c>
      <c r="E778" s="11" t="s">
        <v>26</v>
      </c>
      <c r="F778" s="11" t="s">
        <v>1355</v>
      </c>
      <c r="G778" s="12">
        <v>1869</v>
      </c>
      <c r="H778" s="12"/>
      <c r="I778" s="12"/>
      <c r="J778" s="12">
        <v>1834</v>
      </c>
      <c r="K778" s="12">
        <f t="shared" si="158"/>
        <v>0</v>
      </c>
      <c r="L778" s="12">
        <f t="shared" si="145"/>
        <v>1869</v>
      </c>
      <c r="M778" s="12" t="str">
        <f t="shared" si="146"/>
        <v/>
      </c>
      <c r="N778" s="12">
        <f t="shared" si="147"/>
        <v>1834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1282</v>
      </c>
      <c r="D779" s="15" t="s">
        <v>45</v>
      </c>
      <c r="E779" s="11" t="s">
        <v>61</v>
      </c>
      <c r="F779" s="11" t="s">
        <v>1283</v>
      </c>
      <c r="G779" s="12">
        <v>1869</v>
      </c>
      <c r="H779" s="12"/>
      <c r="I779" s="12"/>
      <c r="J779" s="12">
        <v>1839</v>
      </c>
      <c r="K779" s="12">
        <f t="shared" si="158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1839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16</v>
      </c>
      <c r="C780" s="11" t="s">
        <v>446</v>
      </c>
      <c r="D780" s="11" t="s">
        <v>57</v>
      </c>
      <c r="E780" s="11" t="s">
        <v>26</v>
      </c>
      <c r="F780" s="11" t="s">
        <v>447</v>
      </c>
      <c r="G780" s="12">
        <v>1869</v>
      </c>
      <c r="H780" s="12"/>
      <c r="I780" s="12"/>
      <c r="J780" s="12">
        <v>1849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1849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7" customFormat="1" ht="28.5" customHeight="1">
      <c r="A781" s="11" t="str">
        <f t="shared" si="143"/>
        <v/>
      </c>
      <c r="B781" s="11" t="s">
        <v>12</v>
      </c>
      <c r="C781" s="11" t="s">
        <v>1716</v>
      </c>
      <c r="D781" s="15" t="s">
        <v>80</v>
      </c>
      <c r="E781" s="11" t="s">
        <v>26</v>
      </c>
      <c r="F781" s="11" t="s">
        <v>1717</v>
      </c>
      <c r="G781" s="12">
        <v>1869</v>
      </c>
      <c r="H781" s="12"/>
      <c r="I781" s="12"/>
      <c r="J781" s="12">
        <v>1859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1859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7" customFormat="1" ht="28.5" customHeight="1">
      <c r="A782" s="11" t="str">
        <f t="shared" si="143"/>
        <v/>
      </c>
      <c r="B782" s="11" t="s">
        <v>10</v>
      </c>
      <c r="C782" s="11" t="s">
        <v>906</v>
      </c>
      <c r="D782" s="15" t="s">
        <v>45</v>
      </c>
      <c r="E782" s="11" t="s">
        <v>61</v>
      </c>
      <c r="F782" s="11" t="s">
        <v>907</v>
      </c>
      <c r="G782" s="12">
        <v>1869</v>
      </c>
      <c r="H782" s="12"/>
      <c r="I782" s="12"/>
      <c r="J782" s="12">
        <v>1859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1859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IF($T783="","",1+COUNTIF($W$15:$W$883,"&lt;"&amp;W783))</f>
        <v/>
      </c>
      <c r="B783" s="11" t="s">
        <v>14</v>
      </c>
      <c r="C783" s="11" t="s">
        <v>790</v>
      </c>
      <c r="D783" s="15" t="s">
        <v>45</v>
      </c>
      <c r="E783" s="11" t="s">
        <v>61</v>
      </c>
      <c r="F783" s="11" t="s">
        <v>791</v>
      </c>
      <c r="G783" s="12">
        <v>1869</v>
      </c>
      <c r="H783" s="12"/>
      <c r="I783" s="12"/>
      <c r="J783" s="12">
        <v>1869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1869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14</v>
      </c>
      <c r="C784" s="11" t="s">
        <v>1167</v>
      </c>
      <c r="D784" s="11" t="s">
        <v>71</v>
      </c>
      <c r="E784" s="11" t="s">
        <v>26</v>
      </c>
      <c r="F784" s="11" t="s">
        <v>1168</v>
      </c>
      <c r="G784" s="12">
        <v>1869</v>
      </c>
      <c r="H784" s="12"/>
      <c r="I784" s="12"/>
      <c r="J784" s="12">
        <v>1869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1869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16" customFormat="1" ht="28.5" customHeight="1">
      <c r="A785" s="11" t="str">
        <f t="shared" si="159"/>
        <v/>
      </c>
      <c r="B785" s="11" t="s">
        <v>16</v>
      </c>
      <c r="C785" s="11" t="s">
        <v>442</v>
      </c>
      <c r="D785" s="15" t="s">
        <v>80</v>
      </c>
      <c r="E785" s="11" t="s">
        <v>26</v>
      </c>
      <c r="F785" s="11" t="s">
        <v>443</v>
      </c>
      <c r="G785" s="12">
        <v>1870</v>
      </c>
      <c r="H785" s="12"/>
      <c r="I785" s="12"/>
      <c r="J785" s="12">
        <v>1830</v>
      </c>
      <c r="K785" s="12">
        <f t="shared" si="158"/>
        <v>0</v>
      </c>
      <c r="L785" s="12">
        <f t="shared" si="160"/>
        <v>1870</v>
      </c>
      <c r="M785" s="12" t="str">
        <f t="shared" si="161"/>
        <v/>
      </c>
      <c r="N785" s="12">
        <f t="shared" si="162"/>
        <v>1830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16" customFormat="1" ht="28.5" customHeight="1">
      <c r="A786" s="11" t="str">
        <f t="shared" si="159"/>
        <v/>
      </c>
      <c r="B786" s="11" t="s">
        <v>8</v>
      </c>
      <c r="C786" s="11" t="s">
        <v>964</v>
      </c>
      <c r="D786" s="11" t="s">
        <v>71</v>
      </c>
      <c r="E786" s="11" t="s">
        <v>61</v>
      </c>
      <c r="F786" s="11" t="s">
        <v>965</v>
      </c>
      <c r="G786" s="12">
        <v>1870</v>
      </c>
      <c r="H786" s="12"/>
      <c r="I786" s="12"/>
      <c r="J786" s="12">
        <v>1850</v>
      </c>
      <c r="K786" s="12">
        <f t="shared" si="158"/>
        <v>0</v>
      </c>
      <c r="L786" s="12">
        <f t="shared" si="160"/>
        <v>1870</v>
      </c>
      <c r="M786" s="12" t="str">
        <f t="shared" si="161"/>
        <v/>
      </c>
      <c r="N786" s="12">
        <f t="shared" si="162"/>
        <v>1850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12</v>
      </c>
      <c r="C787" s="11" t="s">
        <v>1426</v>
      </c>
      <c r="D787" s="15" t="s">
        <v>45</v>
      </c>
      <c r="E787" s="11" t="s">
        <v>61</v>
      </c>
      <c r="F787" s="11" t="s">
        <v>1427</v>
      </c>
      <c r="G787" s="12">
        <v>1870</v>
      </c>
      <c r="H787" s="12"/>
      <c r="I787" s="12"/>
      <c r="J787" s="12">
        <v>1850</v>
      </c>
      <c r="K787" s="12">
        <f t="shared" si="158"/>
        <v>0</v>
      </c>
      <c r="L787" s="12">
        <f t="shared" si="160"/>
        <v>1870</v>
      </c>
      <c r="M787" s="12" t="str">
        <f t="shared" si="161"/>
        <v/>
      </c>
      <c r="N787" s="12">
        <f t="shared" si="162"/>
        <v>1850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10</v>
      </c>
      <c r="C788" s="11" t="s">
        <v>459</v>
      </c>
      <c r="D788" s="15" t="s">
        <v>80</v>
      </c>
      <c r="E788" s="11" t="s">
        <v>61</v>
      </c>
      <c r="F788" s="11" t="s">
        <v>460</v>
      </c>
      <c r="G788" s="12">
        <v>1870</v>
      </c>
      <c r="H788" s="12"/>
      <c r="I788" s="12"/>
      <c r="J788" s="12">
        <v>1860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1860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18</v>
      </c>
      <c r="C789" s="11" t="s">
        <v>1310</v>
      </c>
      <c r="D789" s="11" t="s">
        <v>71</v>
      </c>
      <c r="E789" s="11" t="s">
        <v>61</v>
      </c>
      <c r="F789" s="11" t="s">
        <v>1311</v>
      </c>
      <c r="G789" s="12">
        <v>1870</v>
      </c>
      <c r="H789" s="12"/>
      <c r="I789" s="12"/>
      <c r="J789" s="12">
        <v>1870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1870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18</v>
      </c>
      <c r="C790" s="11" t="s">
        <v>1581</v>
      </c>
      <c r="D790" s="11" t="s">
        <v>71</v>
      </c>
      <c r="E790" s="11" t="s">
        <v>61</v>
      </c>
      <c r="F790" s="11" t="s">
        <v>1582</v>
      </c>
      <c r="G790" s="12">
        <v>1870</v>
      </c>
      <c r="H790" s="12"/>
      <c r="I790" s="12"/>
      <c r="J790" s="12">
        <v>1870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1870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10</v>
      </c>
      <c r="C791" s="11" t="s">
        <v>220</v>
      </c>
      <c r="D791" s="15" t="s">
        <v>45</v>
      </c>
      <c r="E791" s="11" t="s">
        <v>61</v>
      </c>
      <c r="F791" s="11" t="s">
        <v>221</v>
      </c>
      <c r="G791" s="12">
        <v>1874</v>
      </c>
      <c r="H791" s="12"/>
      <c r="I791" s="12"/>
      <c r="J791" s="12">
        <v>1854</v>
      </c>
      <c r="K791" s="12">
        <v>0</v>
      </c>
      <c r="L791" s="12">
        <f t="shared" si="160"/>
        <v>1874</v>
      </c>
      <c r="M791" s="12" t="str">
        <f t="shared" si="161"/>
        <v/>
      </c>
      <c r="N791" s="12">
        <f t="shared" si="162"/>
        <v>1854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18</v>
      </c>
      <c r="C792" s="11" t="s">
        <v>541</v>
      </c>
      <c r="D792" s="15" t="s">
        <v>45</v>
      </c>
      <c r="E792" s="11" t="s">
        <v>26</v>
      </c>
      <c r="F792" s="11" t="s">
        <v>542</v>
      </c>
      <c r="G792" s="12">
        <v>1874</v>
      </c>
      <c r="H792" s="12"/>
      <c r="I792" s="12"/>
      <c r="J792" s="12">
        <v>1855</v>
      </c>
      <c r="K792" s="12">
        <f>IF(AND(IFERROR(SEARCH("현대오일뱅크",$C792),0)&gt;0,IFERROR(SEARCH("직영",$C792),0)&gt;0),$B$13,0)</f>
        <v>0</v>
      </c>
      <c r="L792" s="12">
        <f t="shared" si="160"/>
        <v>1874</v>
      </c>
      <c r="M792" s="12" t="str">
        <f t="shared" si="161"/>
        <v/>
      </c>
      <c r="N792" s="12">
        <f t="shared" si="162"/>
        <v>1855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7" customFormat="1" ht="28.5" customHeight="1">
      <c r="A793" s="11" t="str">
        <f t="shared" si="159"/>
        <v/>
      </c>
      <c r="B793" s="11" t="s">
        <v>8</v>
      </c>
      <c r="C793" s="11" t="s">
        <v>968</v>
      </c>
      <c r="D793" s="11" t="s">
        <v>71</v>
      </c>
      <c r="E793" s="11" t="s">
        <v>26</v>
      </c>
      <c r="F793" s="11" t="s">
        <v>969</v>
      </c>
      <c r="G793" s="12">
        <v>1875</v>
      </c>
      <c r="H793" s="12"/>
      <c r="I793" s="12"/>
      <c r="J793" s="12">
        <v>1855</v>
      </c>
      <c r="K793" s="12">
        <f>IF(AND(IFERROR(SEARCH("현대오일뱅크",$C793),0)&gt;0,IFERROR(SEARCH("직영",$C793),0)&gt;0),$B$13,0)</f>
        <v>0</v>
      </c>
      <c r="L793" s="12">
        <f t="shared" si="160"/>
        <v>1875</v>
      </c>
      <c r="M793" s="12" t="str">
        <f t="shared" si="161"/>
        <v/>
      </c>
      <c r="N793" s="12">
        <f t="shared" si="162"/>
        <v>1855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16" customFormat="1" ht="28.5" customHeight="1">
      <c r="A794" s="11" t="str">
        <f t="shared" si="159"/>
        <v/>
      </c>
      <c r="B794" s="11" t="s">
        <v>8</v>
      </c>
      <c r="C794" s="11" t="s">
        <v>655</v>
      </c>
      <c r="D794" s="11" t="s">
        <v>71</v>
      </c>
      <c r="E794" s="11" t="s">
        <v>61</v>
      </c>
      <c r="F794" s="11" t="s">
        <v>656</v>
      </c>
      <c r="G794" s="12">
        <v>1875</v>
      </c>
      <c r="H794" s="12"/>
      <c r="I794" s="12"/>
      <c r="J794" s="12">
        <v>1859</v>
      </c>
      <c r="K794" s="12">
        <f>IF(AND(IFERROR(SEARCH("현대오일뱅크",$C794),0)&gt;0,IFERROR(SEARCH("직영",$C794),0)&gt;0),$B$13,0)</f>
        <v>0</v>
      </c>
      <c r="L794" s="12">
        <f t="shared" si="160"/>
        <v>1875</v>
      </c>
      <c r="M794" s="12" t="str">
        <f t="shared" si="161"/>
        <v/>
      </c>
      <c r="N794" s="12">
        <f t="shared" si="162"/>
        <v>1859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16" customFormat="1" ht="28.5" customHeight="1">
      <c r="A795" s="11" t="str">
        <f t="shared" si="159"/>
        <v/>
      </c>
      <c r="B795" s="11" t="s">
        <v>16</v>
      </c>
      <c r="C795" s="11" t="s">
        <v>1211</v>
      </c>
      <c r="D795" s="11" t="s">
        <v>71</v>
      </c>
      <c r="E795" s="11" t="s">
        <v>26</v>
      </c>
      <c r="F795" s="11" t="s">
        <v>1212</v>
      </c>
      <c r="G795" s="12">
        <v>1875</v>
      </c>
      <c r="H795" s="12"/>
      <c r="I795" s="12"/>
      <c r="J795" s="12">
        <v>1865</v>
      </c>
      <c r="K795" s="12">
        <f>IF(AND(IFERROR(SEARCH("현대오일뱅크",$C795),0)&gt;0,IFERROR(SEARCH("직영",$C795),0)&gt;0),$B$13,0)</f>
        <v>0</v>
      </c>
      <c r="L795" s="12">
        <f t="shared" si="160"/>
        <v>1875</v>
      </c>
      <c r="M795" s="12" t="str">
        <f t="shared" si="161"/>
        <v/>
      </c>
      <c r="N795" s="12">
        <f t="shared" si="162"/>
        <v>1865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7" customFormat="1" ht="28.5" customHeight="1">
      <c r="A796" s="11" t="str">
        <f t="shared" si="159"/>
        <v/>
      </c>
      <c r="B796" s="11" t="s">
        <v>14</v>
      </c>
      <c r="C796" s="11" t="s">
        <v>1545</v>
      </c>
      <c r="D796" s="11" t="s">
        <v>57</v>
      </c>
      <c r="E796" s="11" t="s">
        <v>26</v>
      </c>
      <c r="F796" s="11" t="s">
        <v>1546</v>
      </c>
      <c r="G796" s="12">
        <v>1875</v>
      </c>
      <c r="H796" s="12"/>
      <c r="I796" s="12"/>
      <c r="J796" s="12">
        <v>1868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1868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2" customFormat="1" ht="28.5" customHeight="1">
      <c r="A797" s="11" t="str">
        <f t="shared" si="159"/>
        <v/>
      </c>
      <c r="B797" s="11" t="s">
        <v>12</v>
      </c>
      <c r="C797" s="11" t="s">
        <v>200</v>
      </c>
      <c r="D797" s="15" t="s">
        <v>45</v>
      </c>
      <c r="E797" s="11" t="s">
        <v>61</v>
      </c>
      <c r="F797" s="11" t="s">
        <v>201</v>
      </c>
      <c r="G797" s="12">
        <v>1875</v>
      </c>
      <c r="H797" s="12"/>
      <c r="I797" s="12"/>
      <c r="J797" s="12">
        <v>1870</v>
      </c>
      <c r="K797" s="12"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1870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2" customFormat="1" ht="28.5" customHeight="1">
      <c r="A798" s="11" t="str">
        <f t="shared" si="159"/>
        <v/>
      </c>
      <c r="B798" s="11" t="s">
        <v>12</v>
      </c>
      <c r="C798" s="11" t="s">
        <v>214</v>
      </c>
      <c r="D798" s="15" t="s">
        <v>45</v>
      </c>
      <c r="E798" s="11" t="s">
        <v>61</v>
      </c>
      <c r="F798" s="11" t="s">
        <v>215</v>
      </c>
      <c r="G798" s="12">
        <v>1875</v>
      </c>
      <c r="H798" s="12"/>
      <c r="I798" s="12"/>
      <c r="J798" s="12">
        <v>1870</v>
      </c>
      <c r="K798" s="12"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1870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7" customFormat="1" ht="28.5" customHeight="1">
      <c r="A799" s="11" t="str">
        <f t="shared" si="159"/>
        <v/>
      </c>
      <c r="B799" s="11" t="s">
        <v>12</v>
      </c>
      <c r="C799" s="11" t="s">
        <v>228</v>
      </c>
      <c r="D799" s="15" t="s">
        <v>45</v>
      </c>
      <c r="E799" s="11" t="s">
        <v>61</v>
      </c>
      <c r="F799" s="11" t="s">
        <v>229</v>
      </c>
      <c r="G799" s="12">
        <v>1875</v>
      </c>
      <c r="H799" s="12"/>
      <c r="I799" s="12"/>
      <c r="J799" s="12">
        <v>1870</v>
      </c>
      <c r="K799" s="12"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1870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2" customFormat="1" ht="28.5" customHeight="1">
      <c r="A800" s="11" t="str">
        <f t="shared" si="159"/>
        <v/>
      </c>
      <c r="B800" s="11" t="s">
        <v>6</v>
      </c>
      <c r="C800" s="11" t="s">
        <v>138</v>
      </c>
      <c r="D800" s="15" t="s">
        <v>45</v>
      </c>
      <c r="E800" s="11" t="s">
        <v>26</v>
      </c>
      <c r="F800" s="11" t="s">
        <v>139</v>
      </c>
      <c r="G800" s="12">
        <v>1875</v>
      </c>
      <c r="H800" s="12"/>
      <c r="I800" s="12"/>
      <c r="J800" s="12">
        <v>1875</v>
      </c>
      <c r="K800" s="12">
        <f t="shared" ref="K800:K831" si="171"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1875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254</v>
      </c>
      <c r="D801" s="15" t="s">
        <v>80</v>
      </c>
      <c r="E801" s="11" t="s">
        <v>61</v>
      </c>
      <c r="F801" s="11" t="s">
        <v>255</v>
      </c>
      <c r="G801" s="12">
        <v>1878</v>
      </c>
      <c r="H801" s="12"/>
      <c r="I801" s="12"/>
      <c r="J801" s="12">
        <v>1822</v>
      </c>
      <c r="K801" s="12">
        <f t="shared" si="171"/>
        <v>0</v>
      </c>
      <c r="L801" s="12">
        <f t="shared" si="160"/>
        <v>1878</v>
      </c>
      <c r="M801" s="12" t="str">
        <f t="shared" si="161"/>
        <v/>
      </c>
      <c r="N801" s="12">
        <f t="shared" si="162"/>
        <v>1822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7" customFormat="1" ht="28.5" customHeight="1">
      <c r="A802" s="11" t="str">
        <f t="shared" si="159"/>
        <v/>
      </c>
      <c r="B802" s="11" t="s">
        <v>14</v>
      </c>
      <c r="C802" s="11" t="s">
        <v>698</v>
      </c>
      <c r="D802" s="11" t="s">
        <v>57</v>
      </c>
      <c r="E802" s="11" t="s">
        <v>26</v>
      </c>
      <c r="F802" s="11" t="s">
        <v>699</v>
      </c>
      <c r="G802" s="12">
        <v>1878</v>
      </c>
      <c r="H802" s="12"/>
      <c r="I802" s="12"/>
      <c r="J802" s="12">
        <v>1878</v>
      </c>
      <c r="K802" s="12">
        <f t="shared" si="171"/>
        <v>0</v>
      </c>
      <c r="L802" s="12">
        <f t="shared" si="160"/>
        <v>1878</v>
      </c>
      <c r="M802" s="12" t="str">
        <f t="shared" si="161"/>
        <v/>
      </c>
      <c r="N802" s="12">
        <f t="shared" si="162"/>
        <v>1878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16" customFormat="1" ht="28.5" customHeight="1">
      <c r="A803" s="11" t="str">
        <f t="shared" si="159"/>
        <v/>
      </c>
      <c r="B803" s="11" t="s">
        <v>10</v>
      </c>
      <c r="C803" s="11" t="s">
        <v>378</v>
      </c>
      <c r="D803" s="15" t="s">
        <v>45</v>
      </c>
      <c r="E803" s="11" t="s">
        <v>26</v>
      </c>
      <c r="F803" s="11" t="s">
        <v>379</v>
      </c>
      <c r="G803" s="12">
        <v>1879</v>
      </c>
      <c r="H803" s="12"/>
      <c r="I803" s="12"/>
      <c r="J803" s="12">
        <v>1859</v>
      </c>
      <c r="K803" s="12">
        <f t="shared" si="171"/>
        <v>0</v>
      </c>
      <c r="L803" s="12">
        <f t="shared" si="160"/>
        <v>1879</v>
      </c>
      <c r="M803" s="12" t="str">
        <f t="shared" si="161"/>
        <v/>
      </c>
      <c r="N803" s="12">
        <f t="shared" si="162"/>
        <v>1859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14</v>
      </c>
      <c r="C804" s="11" t="s">
        <v>1084</v>
      </c>
      <c r="D804" s="11" t="s">
        <v>57</v>
      </c>
      <c r="E804" s="11" t="s">
        <v>26</v>
      </c>
      <c r="F804" s="11" t="s">
        <v>1085</v>
      </c>
      <c r="G804" s="12">
        <v>1879</v>
      </c>
      <c r="H804" s="12"/>
      <c r="I804" s="12"/>
      <c r="J804" s="12">
        <v>1865</v>
      </c>
      <c r="K804" s="12">
        <f t="shared" si="171"/>
        <v>0</v>
      </c>
      <c r="L804" s="12">
        <f t="shared" si="160"/>
        <v>1879</v>
      </c>
      <c r="M804" s="12" t="str">
        <f t="shared" si="161"/>
        <v/>
      </c>
      <c r="N804" s="12">
        <f t="shared" si="162"/>
        <v>1865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16" customFormat="1" ht="28.5" customHeight="1">
      <c r="A805" s="11" t="str">
        <f t="shared" si="159"/>
        <v/>
      </c>
      <c r="B805" s="11" t="s">
        <v>14</v>
      </c>
      <c r="C805" s="11" t="s">
        <v>1330</v>
      </c>
      <c r="D805" s="15" t="s">
        <v>60</v>
      </c>
      <c r="E805" s="11" t="s">
        <v>26</v>
      </c>
      <c r="F805" s="11" t="s">
        <v>1331</v>
      </c>
      <c r="G805" s="12">
        <v>1879</v>
      </c>
      <c r="H805" s="12"/>
      <c r="I805" s="12"/>
      <c r="J805" s="12">
        <v>1865</v>
      </c>
      <c r="K805" s="12">
        <f t="shared" si="171"/>
        <v>0</v>
      </c>
      <c r="L805" s="12">
        <f t="shared" si="160"/>
        <v>1879</v>
      </c>
      <c r="M805" s="12" t="str">
        <f t="shared" si="161"/>
        <v/>
      </c>
      <c r="N805" s="12">
        <f t="shared" si="162"/>
        <v>1865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18</v>
      </c>
      <c r="C806" s="11" t="s">
        <v>1421</v>
      </c>
      <c r="D806" s="15" t="s">
        <v>80</v>
      </c>
      <c r="E806" s="11" t="s">
        <v>26</v>
      </c>
      <c r="F806" s="11" t="s">
        <v>1422</v>
      </c>
      <c r="G806" s="12">
        <v>1879</v>
      </c>
      <c r="H806" s="12"/>
      <c r="I806" s="12"/>
      <c r="J806" s="12">
        <v>1869</v>
      </c>
      <c r="K806" s="12">
        <f t="shared" si="171"/>
        <v>0</v>
      </c>
      <c r="L806" s="12">
        <f t="shared" si="160"/>
        <v>1879</v>
      </c>
      <c r="M806" s="12" t="str">
        <f t="shared" si="161"/>
        <v/>
      </c>
      <c r="N806" s="12">
        <f t="shared" si="162"/>
        <v>1869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1344</v>
      </c>
      <c r="D807" s="15" t="s">
        <v>45</v>
      </c>
      <c r="E807" s="11" t="s">
        <v>61</v>
      </c>
      <c r="F807" s="11" t="s">
        <v>1345</v>
      </c>
      <c r="G807" s="12">
        <v>1879</v>
      </c>
      <c r="H807" s="12"/>
      <c r="I807" s="12"/>
      <c r="J807" s="12">
        <v>1869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1869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  <v/>
      </c>
      <c r="B808" s="11" t="s">
        <v>14</v>
      </c>
      <c r="C808" s="11" t="s">
        <v>1672</v>
      </c>
      <c r="D808" s="15" t="s">
        <v>80</v>
      </c>
      <c r="E808" s="11" t="s">
        <v>26</v>
      </c>
      <c r="F808" s="11" t="s">
        <v>1673</v>
      </c>
      <c r="G808" s="12">
        <v>1879</v>
      </c>
      <c r="H808" s="12"/>
      <c r="I808" s="12"/>
      <c r="J808" s="12">
        <v>1869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1869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14</v>
      </c>
      <c r="C809" s="11" t="s">
        <v>1092</v>
      </c>
      <c r="D809" s="15" t="s">
        <v>45</v>
      </c>
      <c r="E809" s="11" t="s">
        <v>61</v>
      </c>
      <c r="F809" s="11" t="s">
        <v>1093</v>
      </c>
      <c r="G809" s="12">
        <v>1879</v>
      </c>
      <c r="H809" s="12"/>
      <c r="I809" s="12"/>
      <c r="J809" s="12">
        <v>1879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1879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16" customFormat="1" ht="28.5" customHeight="1">
      <c r="A810" s="11" t="str">
        <f t="shared" si="159"/>
        <v/>
      </c>
      <c r="B810" s="11" t="s">
        <v>18</v>
      </c>
      <c r="C810" s="11" t="s">
        <v>1304</v>
      </c>
      <c r="D810" s="15" t="s">
        <v>45</v>
      </c>
      <c r="E810" s="11" t="s">
        <v>61</v>
      </c>
      <c r="F810" s="11" t="s">
        <v>1305</v>
      </c>
      <c r="G810" s="12">
        <v>1885</v>
      </c>
      <c r="H810" s="12"/>
      <c r="I810" s="12"/>
      <c r="J810" s="12">
        <v>1850</v>
      </c>
      <c r="K810" s="12">
        <f t="shared" si="171"/>
        <v>0</v>
      </c>
      <c r="L810" s="12">
        <f t="shared" si="160"/>
        <v>1885</v>
      </c>
      <c r="M810" s="12" t="str">
        <f t="shared" si="161"/>
        <v/>
      </c>
      <c r="N810" s="12">
        <f t="shared" si="162"/>
        <v>1850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8</v>
      </c>
      <c r="C811" s="11" t="s">
        <v>1161</v>
      </c>
      <c r="D811" s="15" t="s">
        <v>60</v>
      </c>
      <c r="E811" s="11" t="s">
        <v>61</v>
      </c>
      <c r="F811" s="11" t="s">
        <v>1162</v>
      </c>
      <c r="G811" s="12">
        <v>1885</v>
      </c>
      <c r="H811" s="12"/>
      <c r="I811" s="12"/>
      <c r="J811" s="12">
        <v>1875</v>
      </c>
      <c r="K811" s="12">
        <f t="shared" si="171"/>
        <v>0</v>
      </c>
      <c r="L811" s="12">
        <f t="shared" si="160"/>
        <v>1885</v>
      </c>
      <c r="M811" s="12" t="str">
        <f t="shared" si="161"/>
        <v/>
      </c>
      <c r="N811" s="12">
        <f t="shared" si="162"/>
        <v>1875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415</v>
      </c>
      <c r="D812" s="15" t="s">
        <v>45</v>
      </c>
      <c r="E812" s="11" t="s">
        <v>61</v>
      </c>
      <c r="F812" s="11" t="s">
        <v>416</v>
      </c>
      <c r="G812" s="12">
        <v>1886</v>
      </c>
      <c r="H812" s="12"/>
      <c r="I812" s="12"/>
      <c r="J812" s="12">
        <v>1856</v>
      </c>
      <c r="K812" s="12">
        <f t="shared" si="171"/>
        <v>0</v>
      </c>
      <c r="L812" s="12">
        <f t="shared" si="160"/>
        <v>1886</v>
      </c>
      <c r="M812" s="12" t="str">
        <f t="shared" si="161"/>
        <v/>
      </c>
      <c r="N812" s="12">
        <f t="shared" si="162"/>
        <v>1856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7" customFormat="1" ht="28.5" customHeight="1">
      <c r="A813" s="11" t="str">
        <f t="shared" si="159"/>
        <v/>
      </c>
      <c r="B813" s="11" t="s">
        <v>12</v>
      </c>
      <c r="C813" s="11" t="s">
        <v>814</v>
      </c>
      <c r="D813" s="15" t="s">
        <v>57</v>
      </c>
      <c r="E813" s="11" t="s">
        <v>26</v>
      </c>
      <c r="F813" s="11" t="s">
        <v>815</v>
      </c>
      <c r="G813" s="12">
        <v>1887</v>
      </c>
      <c r="H813" s="12"/>
      <c r="I813" s="12"/>
      <c r="J813" s="12">
        <v>1827</v>
      </c>
      <c r="K813" s="12">
        <f t="shared" si="171"/>
        <v>0</v>
      </c>
      <c r="L813" s="12">
        <f t="shared" si="160"/>
        <v>1887</v>
      </c>
      <c r="M813" s="12" t="str">
        <f t="shared" si="161"/>
        <v/>
      </c>
      <c r="N813" s="12">
        <f t="shared" si="162"/>
        <v>1827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18</v>
      </c>
      <c r="C814" s="11" t="s">
        <v>1280</v>
      </c>
      <c r="D814" s="11" t="s">
        <v>57</v>
      </c>
      <c r="E814" s="11" t="s">
        <v>61</v>
      </c>
      <c r="F814" s="11" t="s">
        <v>1281</v>
      </c>
      <c r="G814" s="12">
        <v>1887</v>
      </c>
      <c r="H814" s="12"/>
      <c r="I814" s="12"/>
      <c r="J814" s="12">
        <v>1857</v>
      </c>
      <c r="K814" s="12">
        <f t="shared" si="171"/>
        <v>0</v>
      </c>
      <c r="L814" s="12">
        <f t="shared" si="160"/>
        <v>1887</v>
      </c>
      <c r="M814" s="12" t="str">
        <f t="shared" si="161"/>
        <v/>
      </c>
      <c r="N814" s="12">
        <f t="shared" si="162"/>
        <v>1857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7" customFormat="1" ht="28.5" customHeight="1">
      <c r="A815" s="11" t="str">
        <f t="shared" si="159"/>
        <v/>
      </c>
      <c r="B815" s="11" t="s">
        <v>10</v>
      </c>
      <c r="C815" s="11" t="s">
        <v>553</v>
      </c>
      <c r="D815" s="15" t="s">
        <v>60</v>
      </c>
      <c r="E815" s="11" t="s">
        <v>61</v>
      </c>
      <c r="F815" s="11" t="s">
        <v>554</v>
      </c>
      <c r="G815" s="12">
        <v>1888</v>
      </c>
      <c r="H815" s="12"/>
      <c r="I815" s="12"/>
      <c r="J815" s="12">
        <v>1878</v>
      </c>
      <c r="K815" s="12">
        <f t="shared" si="171"/>
        <v>0</v>
      </c>
      <c r="L815" s="12">
        <f t="shared" si="160"/>
        <v>1888</v>
      </c>
      <c r="M815" s="12" t="str">
        <f t="shared" si="161"/>
        <v/>
      </c>
      <c r="N815" s="12">
        <f t="shared" si="162"/>
        <v>1878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16" customFormat="1" ht="28.5" customHeight="1">
      <c r="A816" s="11" t="str">
        <f t="shared" si="159"/>
        <v/>
      </c>
      <c r="B816" s="11" t="s">
        <v>10</v>
      </c>
      <c r="C816" s="11" t="s">
        <v>260</v>
      </c>
      <c r="D816" s="15" t="s">
        <v>80</v>
      </c>
      <c r="E816" s="11" t="s">
        <v>61</v>
      </c>
      <c r="F816" s="11" t="s">
        <v>261</v>
      </c>
      <c r="G816" s="12">
        <v>1889</v>
      </c>
      <c r="H816" s="12"/>
      <c r="I816" s="12"/>
      <c r="J816" s="12">
        <v>1828</v>
      </c>
      <c r="K816" s="12">
        <f t="shared" si="171"/>
        <v>0</v>
      </c>
      <c r="L816" s="12">
        <f t="shared" si="160"/>
        <v>1889</v>
      </c>
      <c r="M816" s="12" t="str">
        <f t="shared" si="161"/>
        <v/>
      </c>
      <c r="N816" s="12">
        <f t="shared" si="162"/>
        <v>1828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7" customFormat="1" ht="28.5" customHeight="1">
      <c r="A817" s="11" t="str">
        <f t="shared" si="159"/>
        <v/>
      </c>
      <c r="B817" s="11" t="s">
        <v>10</v>
      </c>
      <c r="C817" s="11" t="s">
        <v>1195</v>
      </c>
      <c r="D817" s="11" t="s">
        <v>57</v>
      </c>
      <c r="E817" s="11" t="s">
        <v>26</v>
      </c>
      <c r="F817" s="11" t="s">
        <v>1196</v>
      </c>
      <c r="G817" s="12">
        <v>1889</v>
      </c>
      <c r="H817" s="12"/>
      <c r="I817" s="12"/>
      <c r="J817" s="12">
        <v>1859</v>
      </c>
      <c r="K817" s="12">
        <f t="shared" si="171"/>
        <v>0</v>
      </c>
      <c r="L817" s="12">
        <f t="shared" si="160"/>
        <v>1889</v>
      </c>
      <c r="M817" s="12" t="str">
        <f t="shared" si="161"/>
        <v/>
      </c>
      <c r="N817" s="12">
        <f t="shared" si="162"/>
        <v>1859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14</v>
      </c>
      <c r="C818" s="11" t="s">
        <v>914</v>
      </c>
      <c r="D818" s="11" t="s">
        <v>71</v>
      </c>
      <c r="E818" s="11" t="s">
        <v>61</v>
      </c>
      <c r="F818" s="11" t="s">
        <v>915</v>
      </c>
      <c r="G818" s="12">
        <v>1889</v>
      </c>
      <c r="H818" s="12"/>
      <c r="I818" s="12"/>
      <c r="J818" s="12">
        <v>1869</v>
      </c>
      <c r="K818" s="12">
        <f t="shared" si="171"/>
        <v>0</v>
      </c>
      <c r="L818" s="12">
        <f t="shared" si="160"/>
        <v>1889</v>
      </c>
      <c r="M818" s="12" t="str">
        <f t="shared" si="161"/>
        <v/>
      </c>
      <c r="N818" s="12">
        <f t="shared" si="162"/>
        <v>1869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2" customFormat="1" ht="28.5" customHeight="1">
      <c r="A819" s="11" t="str">
        <f t="shared" si="159"/>
        <v/>
      </c>
      <c r="B819" s="11" t="s">
        <v>14</v>
      </c>
      <c r="C819" s="11" t="s">
        <v>1660</v>
      </c>
      <c r="D819" s="15" t="s">
        <v>45</v>
      </c>
      <c r="E819" s="11" t="s">
        <v>61</v>
      </c>
      <c r="F819" s="11" t="s">
        <v>1661</v>
      </c>
      <c r="G819" s="12">
        <v>1889</v>
      </c>
      <c r="H819" s="12"/>
      <c r="I819" s="12"/>
      <c r="J819" s="12">
        <v>1869</v>
      </c>
      <c r="K819" s="12">
        <f t="shared" si="171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1869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2" customFormat="1" ht="28.5" customHeight="1">
      <c r="A820" s="11" t="str">
        <f t="shared" si="159"/>
        <v/>
      </c>
      <c r="B820" s="11" t="s">
        <v>12</v>
      </c>
      <c r="C820" s="11" t="s">
        <v>649</v>
      </c>
      <c r="D820" s="15" t="s">
        <v>60</v>
      </c>
      <c r="E820" s="11" t="s">
        <v>61</v>
      </c>
      <c r="F820" s="11" t="s">
        <v>650</v>
      </c>
      <c r="G820" s="12">
        <v>1889</v>
      </c>
      <c r="H820" s="12"/>
      <c r="I820" s="12"/>
      <c r="J820" s="12">
        <v>1879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1879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16" customFormat="1" ht="28.5" customHeight="1">
      <c r="A821" s="11" t="str">
        <f t="shared" si="159"/>
        <v/>
      </c>
      <c r="B821" s="11" t="s">
        <v>10</v>
      </c>
      <c r="C821" s="11" t="s">
        <v>1187</v>
      </c>
      <c r="D821" s="15" t="s">
        <v>60</v>
      </c>
      <c r="E821" s="11" t="s">
        <v>61</v>
      </c>
      <c r="F821" s="11" t="s">
        <v>1188</v>
      </c>
      <c r="G821" s="12">
        <v>1889</v>
      </c>
      <c r="H821" s="12"/>
      <c r="I821" s="12"/>
      <c r="J821" s="12">
        <v>1879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1879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18</v>
      </c>
      <c r="C822" s="11" t="s">
        <v>411</v>
      </c>
      <c r="D822" s="11" t="s">
        <v>71</v>
      </c>
      <c r="E822" s="11" t="s">
        <v>61</v>
      </c>
      <c r="F822" s="11" t="s">
        <v>412</v>
      </c>
      <c r="G822" s="12">
        <v>1889</v>
      </c>
      <c r="H822" s="12"/>
      <c r="I822" s="12"/>
      <c r="J822" s="12">
        <v>1889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1889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10</v>
      </c>
      <c r="C823" s="11" t="s">
        <v>1243</v>
      </c>
      <c r="D823" s="15" t="s">
        <v>45</v>
      </c>
      <c r="E823" s="11" t="s">
        <v>26</v>
      </c>
      <c r="F823" s="11" t="s">
        <v>1244</v>
      </c>
      <c r="G823" s="12">
        <v>1889</v>
      </c>
      <c r="H823" s="12"/>
      <c r="I823" s="12"/>
      <c r="J823" s="12">
        <v>1899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1899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2" customFormat="1" ht="28.5" customHeight="1">
      <c r="A824" s="11" t="str">
        <f t="shared" si="159"/>
        <v/>
      </c>
      <c r="B824" s="11" t="s">
        <v>18</v>
      </c>
      <c r="C824" s="11" t="s">
        <v>547</v>
      </c>
      <c r="D824" s="15" t="s">
        <v>80</v>
      </c>
      <c r="E824" s="11" t="s">
        <v>26</v>
      </c>
      <c r="F824" s="11" t="s">
        <v>548</v>
      </c>
      <c r="G824" s="12">
        <v>1890</v>
      </c>
      <c r="H824" s="12"/>
      <c r="I824" s="12"/>
      <c r="J824" s="12">
        <v>1845</v>
      </c>
      <c r="K824" s="12">
        <f t="shared" si="171"/>
        <v>0</v>
      </c>
      <c r="L824" s="12">
        <f t="shared" si="160"/>
        <v>1890</v>
      </c>
      <c r="M824" s="12" t="str">
        <f t="shared" si="161"/>
        <v/>
      </c>
      <c r="N824" s="12">
        <f t="shared" si="162"/>
        <v>1845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16</v>
      </c>
      <c r="C825" s="11" t="s">
        <v>1493</v>
      </c>
      <c r="D825" s="11" t="s">
        <v>71</v>
      </c>
      <c r="E825" s="11" t="s">
        <v>26</v>
      </c>
      <c r="F825" s="11" t="s">
        <v>1494</v>
      </c>
      <c r="G825" s="12">
        <v>1890</v>
      </c>
      <c r="H825" s="12"/>
      <c r="I825" s="12"/>
      <c r="J825" s="12">
        <v>1870</v>
      </c>
      <c r="K825" s="12">
        <f t="shared" si="171"/>
        <v>0</v>
      </c>
      <c r="L825" s="12">
        <f t="shared" si="160"/>
        <v>1890</v>
      </c>
      <c r="M825" s="12" t="str">
        <f t="shared" si="161"/>
        <v/>
      </c>
      <c r="N825" s="12">
        <f t="shared" si="162"/>
        <v>1870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16" customFormat="1" ht="28.5" customHeight="1">
      <c r="A826" s="11" t="str">
        <f t="shared" si="159"/>
        <v/>
      </c>
      <c r="B826" s="11" t="s">
        <v>16</v>
      </c>
      <c r="C826" s="11" t="s">
        <v>1495</v>
      </c>
      <c r="D826" s="11" t="s">
        <v>71</v>
      </c>
      <c r="E826" s="11" t="s">
        <v>61</v>
      </c>
      <c r="F826" s="11" t="s">
        <v>1496</v>
      </c>
      <c r="G826" s="12">
        <v>1890</v>
      </c>
      <c r="H826" s="12"/>
      <c r="I826" s="12"/>
      <c r="J826" s="12">
        <v>1870</v>
      </c>
      <c r="K826" s="12">
        <f t="shared" si="171"/>
        <v>0</v>
      </c>
      <c r="L826" s="12">
        <f t="shared" si="160"/>
        <v>1890</v>
      </c>
      <c r="M826" s="12" t="str">
        <f t="shared" si="161"/>
        <v/>
      </c>
      <c r="N826" s="12">
        <f t="shared" si="162"/>
        <v>1870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16</v>
      </c>
      <c r="C827" s="11" t="s">
        <v>517</v>
      </c>
      <c r="D827" s="15" t="s">
        <v>80</v>
      </c>
      <c r="E827" s="11" t="s">
        <v>61</v>
      </c>
      <c r="F827" s="11" t="s">
        <v>518</v>
      </c>
      <c r="G827" s="12">
        <v>1890</v>
      </c>
      <c r="H827" s="12"/>
      <c r="I827" s="12"/>
      <c r="J827" s="12">
        <v>1880</v>
      </c>
      <c r="K827" s="12">
        <f t="shared" si="171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1880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16" customFormat="1" ht="28.5" customHeight="1">
      <c r="A828" s="11" t="str">
        <f t="shared" si="159"/>
        <v/>
      </c>
      <c r="B828" s="11" t="s">
        <v>16</v>
      </c>
      <c r="C828" s="11" t="s">
        <v>1262</v>
      </c>
      <c r="D828" s="11" t="s">
        <v>71</v>
      </c>
      <c r="E828" s="11" t="s">
        <v>61</v>
      </c>
      <c r="F828" s="11" t="s">
        <v>1263</v>
      </c>
      <c r="G828" s="12">
        <v>1890</v>
      </c>
      <c r="H828" s="12"/>
      <c r="I828" s="12"/>
      <c r="J828" s="12">
        <v>1880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1880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16</v>
      </c>
      <c r="C829" s="11" t="s">
        <v>1264</v>
      </c>
      <c r="D829" s="11" t="s">
        <v>71</v>
      </c>
      <c r="E829" s="11" t="s">
        <v>61</v>
      </c>
      <c r="F829" s="11" t="s">
        <v>1265</v>
      </c>
      <c r="G829" s="12">
        <v>1890</v>
      </c>
      <c r="H829" s="12"/>
      <c r="I829" s="12"/>
      <c r="J829" s="12">
        <v>1880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1880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1377</v>
      </c>
      <c r="D830" s="11" t="s">
        <v>71</v>
      </c>
      <c r="E830" s="11" t="s">
        <v>26</v>
      </c>
      <c r="F830" s="11" t="s">
        <v>1378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10</v>
      </c>
      <c r="C831" s="11" t="s">
        <v>1601</v>
      </c>
      <c r="D831" s="15" t="s">
        <v>80</v>
      </c>
      <c r="E831" s="11" t="s">
        <v>61</v>
      </c>
      <c r="F831" s="11" t="s">
        <v>1602</v>
      </c>
      <c r="G831" s="12">
        <v>1895</v>
      </c>
      <c r="H831" s="12"/>
      <c r="I831" s="12"/>
      <c r="J831" s="12">
        <v>1839</v>
      </c>
      <c r="K831" s="12">
        <f t="shared" si="171"/>
        <v>0</v>
      </c>
      <c r="L831" s="12">
        <f t="shared" si="160"/>
        <v>1895</v>
      </c>
      <c r="M831" s="12" t="str">
        <f t="shared" si="161"/>
        <v/>
      </c>
      <c r="N831" s="12">
        <f t="shared" si="162"/>
        <v>1839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16" customFormat="1" ht="28.5" customHeight="1">
      <c r="A832" s="11" t="str">
        <f t="shared" si="159"/>
        <v/>
      </c>
      <c r="B832" s="11" t="s">
        <v>18</v>
      </c>
      <c r="C832" s="11" t="s">
        <v>984</v>
      </c>
      <c r="D832" s="11" t="s">
        <v>57</v>
      </c>
      <c r="E832" s="11" t="s">
        <v>61</v>
      </c>
      <c r="F832" s="11" t="s">
        <v>985</v>
      </c>
      <c r="G832" s="12">
        <v>1895</v>
      </c>
      <c r="H832" s="12"/>
      <c r="I832" s="12"/>
      <c r="J832" s="12">
        <v>1869</v>
      </c>
      <c r="K832" s="12">
        <f t="shared" ref="K832:K863" si="172">IF(AND(IFERROR(SEARCH("현대오일뱅크",$C832),0)&gt;0,IFERROR(SEARCH("직영",$C832),0)&gt;0),$B$13,0)</f>
        <v>0</v>
      </c>
      <c r="L832" s="12">
        <f t="shared" si="160"/>
        <v>1895</v>
      </c>
      <c r="M832" s="12" t="str">
        <f t="shared" si="161"/>
        <v/>
      </c>
      <c r="N832" s="12">
        <f t="shared" si="162"/>
        <v>1869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7" customFormat="1" ht="28.5" customHeight="1">
      <c r="A833" s="11" t="str">
        <f t="shared" si="159"/>
        <v/>
      </c>
      <c r="B833" s="11" t="s">
        <v>6</v>
      </c>
      <c r="C833" s="11" t="s">
        <v>436</v>
      </c>
      <c r="D833" s="15" t="s">
        <v>45</v>
      </c>
      <c r="E833" s="11" t="s">
        <v>26</v>
      </c>
      <c r="F833" s="11" t="s">
        <v>437</v>
      </c>
      <c r="G833" s="12">
        <v>1895</v>
      </c>
      <c r="H833" s="12"/>
      <c r="I833" s="12"/>
      <c r="J833" s="12">
        <v>1875</v>
      </c>
      <c r="K833" s="12">
        <f t="shared" si="172"/>
        <v>0</v>
      </c>
      <c r="L833" s="12">
        <f t="shared" si="160"/>
        <v>1895</v>
      </c>
      <c r="M833" s="12" t="str">
        <f t="shared" si="161"/>
        <v/>
      </c>
      <c r="N833" s="12">
        <f t="shared" si="162"/>
        <v>1875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1754</v>
      </c>
      <c r="D834" s="11" t="s">
        <v>57</v>
      </c>
      <c r="E834" s="11" t="s">
        <v>26</v>
      </c>
      <c r="F834" s="11" t="s">
        <v>1755</v>
      </c>
      <c r="G834" s="12">
        <v>1895</v>
      </c>
      <c r="H834" s="12"/>
      <c r="I834" s="12"/>
      <c r="J834" s="12">
        <v>1875</v>
      </c>
      <c r="K834" s="12">
        <f t="shared" si="172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1875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  <v/>
      </c>
      <c r="B835" s="11" t="s">
        <v>12</v>
      </c>
      <c r="C835" s="11" t="s">
        <v>1096</v>
      </c>
      <c r="D835" s="15" t="s">
        <v>57</v>
      </c>
      <c r="E835" s="11" t="s">
        <v>61</v>
      </c>
      <c r="F835" s="11" t="s">
        <v>1097</v>
      </c>
      <c r="G835" s="12">
        <v>1895</v>
      </c>
      <c r="H835" s="12"/>
      <c r="I835" s="12"/>
      <c r="J835" s="12">
        <v>1875</v>
      </c>
      <c r="K835" s="12">
        <f t="shared" si="172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1875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7" customFormat="1" ht="28.5" customHeight="1">
      <c r="A836" s="11" t="str">
        <f t="shared" si="159"/>
        <v/>
      </c>
      <c r="B836" s="11" t="s">
        <v>10</v>
      </c>
      <c r="C836" s="11" t="s">
        <v>1589</v>
      </c>
      <c r="D836" s="15" t="s">
        <v>60</v>
      </c>
      <c r="E836" s="11" t="s">
        <v>61</v>
      </c>
      <c r="F836" s="11" t="s">
        <v>1592</v>
      </c>
      <c r="G836" s="12">
        <v>1895</v>
      </c>
      <c r="H836" s="12"/>
      <c r="I836" s="12"/>
      <c r="J836" s="12">
        <v>1875</v>
      </c>
      <c r="K836" s="12">
        <f t="shared" si="172"/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16" customFormat="1" ht="28.5" customHeight="1">
      <c r="A837" s="11" t="str">
        <f t="shared" si="159"/>
        <v/>
      </c>
      <c r="B837" s="11" t="s">
        <v>10</v>
      </c>
      <c r="C837" s="11" t="s">
        <v>1701</v>
      </c>
      <c r="D837" s="11" t="s">
        <v>57</v>
      </c>
      <c r="E837" s="11" t="s">
        <v>61</v>
      </c>
      <c r="F837" s="11" t="s">
        <v>1702</v>
      </c>
      <c r="G837" s="12">
        <v>1895</v>
      </c>
      <c r="H837" s="12"/>
      <c r="I837" s="12"/>
      <c r="J837" s="12">
        <v>1875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2" customFormat="1" ht="28.5" customHeight="1">
      <c r="A838" s="11" t="str">
        <f t="shared" si="159"/>
        <v/>
      </c>
      <c r="B838" s="11" t="s">
        <v>18</v>
      </c>
      <c r="C838" s="11" t="s">
        <v>832</v>
      </c>
      <c r="D838" s="15" t="s">
        <v>45</v>
      </c>
      <c r="E838" s="11" t="s">
        <v>61</v>
      </c>
      <c r="F838" s="11" t="s">
        <v>833</v>
      </c>
      <c r="G838" s="12">
        <v>1895</v>
      </c>
      <c r="H838" s="12"/>
      <c r="I838" s="12"/>
      <c r="J838" s="12">
        <v>1885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1885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2" customFormat="1" ht="28.5" customHeight="1">
      <c r="A839" s="11" t="str">
        <f t="shared" si="159"/>
        <v/>
      </c>
      <c r="B839" s="11" t="s">
        <v>10</v>
      </c>
      <c r="C839" s="11" t="s">
        <v>1541</v>
      </c>
      <c r="D839" s="15" t="s">
        <v>45</v>
      </c>
      <c r="E839" s="11" t="s">
        <v>61</v>
      </c>
      <c r="F839" s="11" t="s">
        <v>1542</v>
      </c>
      <c r="G839" s="12">
        <v>1895</v>
      </c>
      <c r="H839" s="12"/>
      <c r="I839" s="12"/>
      <c r="J839" s="12">
        <v>1885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1885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7" customFormat="1" ht="28.5" customHeight="1">
      <c r="A840" s="11" t="str">
        <f t="shared" si="159"/>
        <v/>
      </c>
      <c r="B840" s="11" t="s">
        <v>18</v>
      </c>
      <c r="C840" s="11" t="s">
        <v>1252</v>
      </c>
      <c r="D840" s="11" t="s">
        <v>71</v>
      </c>
      <c r="E840" s="11" t="s">
        <v>61</v>
      </c>
      <c r="F840" s="11" t="s">
        <v>1253</v>
      </c>
      <c r="G840" s="12">
        <v>1895</v>
      </c>
      <c r="H840" s="12"/>
      <c r="I840" s="12"/>
      <c r="J840" s="12">
        <v>1890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1890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16" customFormat="1" ht="28.5" customHeight="1">
      <c r="A841" s="11" t="str">
        <f t="shared" si="159"/>
        <v/>
      </c>
      <c r="B841" s="11" t="s">
        <v>12</v>
      </c>
      <c r="C841" s="11" t="s">
        <v>1385</v>
      </c>
      <c r="D841" s="15" t="s">
        <v>60</v>
      </c>
      <c r="E841" s="11" t="s">
        <v>61</v>
      </c>
      <c r="F841" s="11" t="s">
        <v>1386</v>
      </c>
      <c r="G841" s="12">
        <v>1897</v>
      </c>
      <c r="H841" s="12"/>
      <c r="I841" s="12"/>
      <c r="J841" s="12">
        <v>1877</v>
      </c>
      <c r="K841" s="12">
        <f t="shared" si="172"/>
        <v>0</v>
      </c>
      <c r="L841" s="12">
        <f t="shared" si="160"/>
        <v>1897</v>
      </c>
      <c r="M841" s="12" t="str">
        <f t="shared" si="161"/>
        <v/>
      </c>
      <c r="N841" s="12">
        <f t="shared" si="162"/>
        <v>1877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2" customFormat="1" ht="28.5" customHeight="1">
      <c r="A842" s="11" t="str">
        <f t="shared" si="159"/>
        <v/>
      </c>
      <c r="B842" s="11" t="s">
        <v>12</v>
      </c>
      <c r="C842" s="11" t="s">
        <v>757</v>
      </c>
      <c r="D842" s="15" t="s">
        <v>80</v>
      </c>
      <c r="E842" s="11" t="s">
        <v>61</v>
      </c>
      <c r="F842" s="11" t="s">
        <v>758</v>
      </c>
      <c r="G842" s="12">
        <v>1897</v>
      </c>
      <c r="H842" s="12"/>
      <c r="I842" s="12"/>
      <c r="J842" s="12">
        <v>1887</v>
      </c>
      <c r="K842" s="12">
        <f t="shared" si="172"/>
        <v>0</v>
      </c>
      <c r="L842" s="12">
        <f t="shared" si="160"/>
        <v>1897</v>
      </c>
      <c r="M842" s="12" t="str">
        <f t="shared" si="161"/>
        <v/>
      </c>
      <c r="N842" s="12">
        <f t="shared" si="162"/>
        <v>1887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14</v>
      </c>
      <c r="C843" s="11" t="s">
        <v>859</v>
      </c>
      <c r="D843" s="15" t="s">
        <v>80</v>
      </c>
      <c r="E843" s="11" t="s">
        <v>26</v>
      </c>
      <c r="F843" s="11" t="s">
        <v>860</v>
      </c>
      <c r="G843" s="12">
        <v>1898</v>
      </c>
      <c r="H843" s="12"/>
      <c r="I843" s="12"/>
      <c r="J843" s="12">
        <v>1858</v>
      </c>
      <c r="K843" s="12">
        <f t="shared" si="172"/>
        <v>0</v>
      </c>
      <c r="L843" s="12">
        <f t="shared" si="160"/>
        <v>1898</v>
      </c>
      <c r="M843" s="12" t="str">
        <f t="shared" si="161"/>
        <v/>
      </c>
      <c r="N843" s="12">
        <f t="shared" si="162"/>
        <v>1858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12</v>
      </c>
      <c r="C844" s="11" t="s">
        <v>1642</v>
      </c>
      <c r="D844" s="15" t="s">
        <v>45</v>
      </c>
      <c r="E844" s="11" t="s">
        <v>26</v>
      </c>
      <c r="F844" s="11" t="s">
        <v>1643</v>
      </c>
      <c r="G844" s="12">
        <v>1898</v>
      </c>
      <c r="H844" s="12"/>
      <c r="I844" s="12"/>
      <c r="J844" s="12">
        <v>1878</v>
      </c>
      <c r="K844" s="12">
        <f t="shared" si="172"/>
        <v>0</v>
      </c>
      <c r="L844" s="12">
        <f t="shared" si="160"/>
        <v>1898</v>
      </c>
      <c r="M844" s="12" t="str">
        <f t="shared" si="161"/>
        <v/>
      </c>
      <c r="N844" s="12">
        <f t="shared" si="162"/>
        <v>1878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14</v>
      </c>
      <c r="C845" s="11" t="s">
        <v>1691</v>
      </c>
      <c r="D845" s="11" t="s">
        <v>57</v>
      </c>
      <c r="E845" s="11" t="s">
        <v>61</v>
      </c>
      <c r="F845" s="11" t="s">
        <v>1692</v>
      </c>
      <c r="G845" s="12">
        <v>1898</v>
      </c>
      <c r="H845" s="12"/>
      <c r="I845" s="12"/>
      <c r="J845" s="12">
        <v>1881</v>
      </c>
      <c r="K845" s="12">
        <f t="shared" si="172"/>
        <v>0</v>
      </c>
      <c r="L845" s="12">
        <f t="shared" si="160"/>
        <v>1898</v>
      </c>
      <c r="M845" s="12" t="str">
        <f t="shared" si="161"/>
        <v/>
      </c>
      <c r="N845" s="12">
        <f t="shared" si="162"/>
        <v>1881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16</v>
      </c>
      <c r="C846" s="11" t="s">
        <v>1308</v>
      </c>
      <c r="D846" s="15" t="s">
        <v>45</v>
      </c>
      <c r="E846" s="11" t="s">
        <v>26</v>
      </c>
      <c r="F846" s="11" t="s">
        <v>1309</v>
      </c>
      <c r="G846" s="12">
        <v>1899</v>
      </c>
      <c r="H846" s="12"/>
      <c r="I846" s="12"/>
      <c r="J846" s="12">
        <v>1849</v>
      </c>
      <c r="K846" s="12">
        <f t="shared" si="172"/>
        <v>0</v>
      </c>
      <c r="L846" s="12">
        <f t="shared" si="160"/>
        <v>1899</v>
      </c>
      <c r="M846" s="12" t="str">
        <f t="shared" si="161"/>
        <v/>
      </c>
      <c r="N846" s="12">
        <f t="shared" si="162"/>
        <v>1849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7" customFormat="1" ht="28.5" customHeight="1">
      <c r="A847" s="11" t="str">
        <f t="shared" ref="A847:A883" si="173">IF($T847="","",1+COUNTIF($W$15:$W$883,"&lt;"&amp;W847))</f>
        <v/>
      </c>
      <c r="B847" s="11" t="s">
        <v>14</v>
      </c>
      <c r="C847" s="11" t="s">
        <v>780</v>
      </c>
      <c r="D847" s="11" t="s">
        <v>71</v>
      </c>
      <c r="E847" s="11" t="s">
        <v>26</v>
      </c>
      <c r="F847" s="11" t="s">
        <v>781</v>
      </c>
      <c r="G847" s="12">
        <v>1899</v>
      </c>
      <c r="H847" s="12"/>
      <c r="I847" s="12"/>
      <c r="J847" s="12">
        <v>1869</v>
      </c>
      <c r="K847" s="12">
        <f t="shared" si="172"/>
        <v>0</v>
      </c>
      <c r="L847" s="12">
        <f t="shared" ref="L847:L883" si="174">IF($G847="","",$G847+$K847)</f>
        <v>1899</v>
      </c>
      <c r="M847" s="12" t="str">
        <f t="shared" ref="M847:M883" si="175">IF($H847="","",$H847+$K847)</f>
        <v/>
      </c>
      <c r="N847" s="12">
        <f t="shared" ref="N847:N883" si="176">IF($J847="","",$J847+$K847)</f>
        <v>1869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14</v>
      </c>
      <c r="C848" s="11" t="s">
        <v>663</v>
      </c>
      <c r="D848" s="15" t="s">
        <v>80</v>
      </c>
      <c r="E848" s="11" t="s">
        <v>61</v>
      </c>
      <c r="F848" s="11" t="s">
        <v>664</v>
      </c>
      <c r="G848" s="12">
        <v>1899</v>
      </c>
      <c r="H848" s="12"/>
      <c r="I848" s="12"/>
      <c r="J848" s="12">
        <v>1870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1870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7" customFormat="1" ht="28.5" customHeight="1">
      <c r="A849" s="11" t="str">
        <f t="shared" si="173"/>
        <v/>
      </c>
      <c r="B849" s="11" t="s">
        <v>6</v>
      </c>
      <c r="C849" s="11" t="s">
        <v>428</v>
      </c>
      <c r="D849" s="15" t="s">
        <v>60</v>
      </c>
      <c r="E849" s="11" t="s">
        <v>61</v>
      </c>
      <c r="F849" s="11" t="s">
        <v>431</v>
      </c>
      <c r="G849" s="12">
        <v>1899</v>
      </c>
      <c r="H849" s="12"/>
      <c r="I849" s="12"/>
      <c r="J849" s="12">
        <v>1889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1889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350</v>
      </c>
      <c r="D850" s="15" t="s">
        <v>60</v>
      </c>
      <c r="E850" s="11" t="s">
        <v>26</v>
      </c>
      <c r="F850" s="11" t="s">
        <v>351</v>
      </c>
      <c r="G850" s="12">
        <v>1899</v>
      </c>
      <c r="H850" s="12"/>
      <c r="I850" s="12"/>
      <c r="J850" s="12">
        <v>1889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1889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851</v>
      </c>
      <c r="D851" s="11" t="s">
        <v>57</v>
      </c>
      <c r="E851" s="11" t="s">
        <v>26</v>
      </c>
      <c r="F851" s="11" t="s">
        <v>852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1221</v>
      </c>
      <c r="D852" s="11" t="s">
        <v>71</v>
      </c>
      <c r="E852" s="11" t="s">
        <v>61</v>
      </c>
      <c r="F852" s="11" t="s">
        <v>1222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16" customFormat="1" ht="28.5" customHeight="1">
      <c r="A853" s="11" t="str">
        <f t="shared" si="173"/>
        <v/>
      </c>
      <c r="B853" s="11" t="s">
        <v>6</v>
      </c>
      <c r="C853" s="11" t="s">
        <v>84</v>
      </c>
      <c r="D853" s="15" t="s">
        <v>45</v>
      </c>
      <c r="E853" s="11" t="s">
        <v>26</v>
      </c>
      <c r="F853" s="11" t="s">
        <v>85</v>
      </c>
      <c r="G853" s="12">
        <v>1899</v>
      </c>
      <c r="H853" s="12"/>
      <c r="I853" s="12"/>
      <c r="J853" s="12">
        <v>1894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1894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1117</v>
      </c>
      <c r="D854" s="11" t="s">
        <v>57</v>
      </c>
      <c r="E854" s="11" t="s">
        <v>26</v>
      </c>
      <c r="F854" s="11" t="s">
        <v>1118</v>
      </c>
      <c r="G854" s="12">
        <v>1899</v>
      </c>
      <c r="H854" s="12"/>
      <c r="I854" s="12"/>
      <c r="J854" s="12">
        <v>1895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1895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1328</v>
      </c>
      <c r="D855" s="15" t="s">
        <v>45</v>
      </c>
      <c r="E855" s="11" t="s">
        <v>26</v>
      </c>
      <c r="F855" s="11" t="s">
        <v>1329</v>
      </c>
      <c r="G855" s="12">
        <v>1899</v>
      </c>
      <c r="H855" s="12"/>
      <c r="I855" s="12"/>
      <c r="J855" s="12">
        <v>1895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1895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12</v>
      </c>
      <c r="C856" s="11" t="s">
        <v>996</v>
      </c>
      <c r="D856" s="15" t="s">
        <v>45</v>
      </c>
      <c r="E856" s="11" t="s">
        <v>61</v>
      </c>
      <c r="F856" s="11" t="s">
        <v>997</v>
      </c>
      <c r="G856" s="12">
        <v>1899</v>
      </c>
      <c r="H856" s="12"/>
      <c r="I856" s="12"/>
      <c r="J856" s="12">
        <v>1898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1898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10</v>
      </c>
      <c r="C857" s="11" t="s">
        <v>1165</v>
      </c>
      <c r="D857" s="15" t="s">
        <v>45</v>
      </c>
      <c r="E857" s="11" t="s">
        <v>26</v>
      </c>
      <c r="F857" s="11" t="s">
        <v>1166</v>
      </c>
      <c r="G857" s="12">
        <v>1899</v>
      </c>
      <c r="H857" s="12"/>
      <c r="I857" s="12"/>
      <c r="J857" s="12">
        <v>1898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1898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16" customFormat="1" ht="28.5" customHeight="1">
      <c r="A858" s="11" t="str">
        <f t="shared" si="173"/>
        <v/>
      </c>
      <c r="B858" s="11" t="s">
        <v>10</v>
      </c>
      <c r="C858" s="11" t="s">
        <v>168</v>
      </c>
      <c r="D858" s="15" t="s">
        <v>60</v>
      </c>
      <c r="E858" s="11" t="s">
        <v>26</v>
      </c>
      <c r="F858" s="11" t="s">
        <v>169</v>
      </c>
      <c r="G858" s="12">
        <v>1899</v>
      </c>
      <c r="H858" s="12"/>
      <c r="I858" s="12"/>
      <c r="J858" s="12">
        <v>1899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1899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521</v>
      </c>
      <c r="D859" s="15" t="s">
        <v>60</v>
      </c>
      <c r="E859" s="11" t="s">
        <v>61</v>
      </c>
      <c r="F859" s="11" t="s">
        <v>522</v>
      </c>
      <c r="G859" s="12">
        <v>1899</v>
      </c>
      <c r="H859" s="12"/>
      <c r="I859" s="12"/>
      <c r="J859" s="12">
        <v>1899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990</v>
      </c>
      <c r="D860" s="15" t="s">
        <v>60</v>
      </c>
      <c r="E860" s="11" t="s">
        <v>61</v>
      </c>
      <c r="F860" s="11" t="s">
        <v>991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1644</v>
      </c>
      <c r="D861" s="15" t="s">
        <v>80</v>
      </c>
      <c r="E861" s="11" t="s">
        <v>61</v>
      </c>
      <c r="F861" s="11" t="s">
        <v>1645</v>
      </c>
      <c r="G861" s="12">
        <v>1908</v>
      </c>
      <c r="H861" s="12"/>
      <c r="I861" s="12"/>
      <c r="J861" s="12">
        <v>1878</v>
      </c>
      <c r="K861" s="12">
        <f t="shared" si="172"/>
        <v>0</v>
      </c>
      <c r="L861" s="12">
        <f t="shared" si="174"/>
        <v>1908</v>
      </c>
      <c r="M861" s="12" t="str">
        <f t="shared" si="175"/>
        <v/>
      </c>
      <c r="N861" s="12">
        <f t="shared" si="176"/>
        <v>1878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14</v>
      </c>
      <c r="C862" s="11" t="s">
        <v>1125</v>
      </c>
      <c r="D862" s="15" t="s">
        <v>45</v>
      </c>
      <c r="E862" s="11" t="s">
        <v>26</v>
      </c>
      <c r="F862" s="11" t="s">
        <v>1126</v>
      </c>
      <c r="G862" s="12">
        <v>1909</v>
      </c>
      <c r="H862" s="12"/>
      <c r="I862" s="12"/>
      <c r="J862" s="12">
        <v>1860</v>
      </c>
      <c r="K862" s="12">
        <f t="shared" si="172"/>
        <v>0</v>
      </c>
      <c r="L862" s="12">
        <f t="shared" si="174"/>
        <v>1909</v>
      </c>
      <c r="M862" s="12" t="str">
        <f t="shared" si="175"/>
        <v/>
      </c>
      <c r="N862" s="12">
        <f t="shared" si="176"/>
        <v>1860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16" customFormat="1" ht="28.5" customHeight="1">
      <c r="A863" s="11" t="str">
        <f t="shared" si="173"/>
        <v/>
      </c>
      <c r="B863" s="11" t="s">
        <v>8</v>
      </c>
      <c r="C863" s="11" t="s">
        <v>174</v>
      </c>
      <c r="D863" s="15" t="s">
        <v>60</v>
      </c>
      <c r="E863" s="11" t="s">
        <v>61</v>
      </c>
      <c r="F863" s="11" t="s">
        <v>175</v>
      </c>
      <c r="G863" s="12">
        <v>1909</v>
      </c>
      <c r="H863" s="12"/>
      <c r="I863" s="12"/>
      <c r="J863" s="12">
        <v>1879</v>
      </c>
      <c r="K863" s="12">
        <f t="shared" si="172"/>
        <v>0</v>
      </c>
      <c r="L863" s="12">
        <f t="shared" si="174"/>
        <v>1909</v>
      </c>
      <c r="M863" s="12" t="str">
        <f t="shared" si="175"/>
        <v/>
      </c>
      <c r="N863" s="12">
        <f t="shared" si="176"/>
        <v>1879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10</v>
      </c>
      <c r="C864" s="11" t="s">
        <v>531</v>
      </c>
      <c r="D864" s="15" t="s">
        <v>80</v>
      </c>
      <c r="E864" s="11" t="s">
        <v>61</v>
      </c>
      <c r="F864" s="11" t="s">
        <v>532</v>
      </c>
      <c r="G864" s="12">
        <v>1919</v>
      </c>
      <c r="H864" s="12"/>
      <c r="I864" s="12"/>
      <c r="J864" s="12">
        <v>1906</v>
      </c>
      <c r="K864" s="12">
        <f t="shared" ref="K864:K883" si="185">IF(AND(IFERROR(SEARCH("현대오일뱅크",$C864),0)&gt;0,IFERROR(SEARCH("직영",$C864),0)&gt;0),$B$13,0)</f>
        <v>0</v>
      </c>
      <c r="L864" s="12">
        <f t="shared" si="174"/>
        <v>1919</v>
      </c>
      <c r="M864" s="12" t="str">
        <f t="shared" si="175"/>
        <v/>
      </c>
      <c r="N864" s="12">
        <f t="shared" si="176"/>
        <v>1906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7" customFormat="1" ht="28.5" customHeight="1">
      <c r="A865" s="11" t="str">
        <f t="shared" si="173"/>
        <v/>
      </c>
      <c r="B865" s="11" t="s">
        <v>14</v>
      </c>
      <c r="C865" s="11" t="s">
        <v>853</v>
      </c>
      <c r="D865" s="15" t="s">
        <v>60</v>
      </c>
      <c r="E865" s="11" t="s">
        <v>26</v>
      </c>
      <c r="F865" s="11" t="s">
        <v>854</v>
      </c>
      <c r="G865" s="12">
        <v>1928</v>
      </c>
      <c r="H865" s="12"/>
      <c r="I865" s="12"/>
      <c r="J865" s="12">
        <v>1918</v>
      </c>
      <c r="K865" s="12">
        <f t="shared" si="185"/>
        <v>0</v>
      </c>
      <c r="L865" s="12">
        <f t="shared" si="174"/>
        <v>1928</v>
      </c>
      <c r="M865" s="12" t="str">
        <f t="shared" si="175"/>
        <v/>
      </c>
      <c r="N865" s="12">
        <f t="shared" si="176"/>
        <v>1918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12</v>
      </c>
      <c r="C866" s="11" t="s">
        <v>741</v>
      </c>
      <c r="D866" s="15" t="s">
        <v>60</v>
      </c>
      <c r="E866" s="11" t="s">
        <v>61</v>
      </c>
      <c r="F866" s="11" t="s">
        <v>742</v>
      </c>
      <c r="G866" s="12">
        <v>1928</v>
      </c>
      <c r="H866" s="12"/>
      <c r="I866" s="12"/>
      <c r="J866" s="12">
        <v>1928</v>
      </c>
      <c r="K866" s="12">
        <f t="shared" si="185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1928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10</v>
      </c>
      <c r="C867" s="11" t="s">
        <v>721</v>
      </c>
      <c r="D867" s="15" t="s">
        <v>80</v>
      </c>
      <c r="E867" s="11" t="s">
        <v>61</v>
      </c>
      <c r="F867" s="11" t="s">
        <v>722</v>
      </c>
      <c r="G867" s="12">
        <v>1929</v>
      </c>
      <c r="H867" s="12"/>
      <c r="I867" s="12"/>
      <c r="J867" s="12">
        <v>1895</v>
      </c>
      <c r="K867" s="12">
        <f t="shared" si="185"/>
        <v>0</v>
      </c>
      <c r="L867" s="12">
        <f t="shared" si="174"/>
        <v>1929</v>
      </c>
      <c r="M867" s="12" t="str">
        <f t="shared" si="175"/>
        <v/>
      </c>
      <c r="N867" s="12">
        <f t="shared" si="176"/>
        <v>1895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16" customFormat="1" ht="28.5" customHeight="1">
      <c r="A868" s="11" t="str">
        <f t="shared" si="173"/>
        <v/>
      </c>
      <c r="B868" s="11" t="s">
        <v>12</v>
      </c>
      <c r="C868" s="11" t="s">
        <v>855</v>
      </c>
      <c r="D868" s="15" t="s">
        <v>45</v>
      </c>
      <c r="E868" s="11" t="s">
        <v>61</v>
      </c>
      <c r="F868" s="11" t="s">
        <v>856</v>
      </c>
      <c r="G868" s="12">
        <v>1929</v>
      </c>
      <c r="H868" s="12"/>
      <c r="I868" s="12"/>
      <c r="J868" s="12">
        <v>1928</v>
      </c>
      <c r="K868" s="12">
        <f t="shared" si="185"/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1928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18</v>
      </c>
      <c r="C869" s="11" t="s">
        <v>1356</v>
      </c>
      <c r="D869" s="11" t="s">
        <v>57</v>
      </c>
      <c r="E869" s="11" t="s">
        <v>61</v>
      </c>
      <c r="F869" s="11" t="s">
        <v>1357</v>
      </c>
      <c r="G869" s="12">
        <v>1929</v>
      </c>
      <c r="H869" s="12"/>
      <c r="I869" s="12"/>
      <c r="J869" s="12">
        <v>1929</v>
      </c>
      <c r="K869" s="12">
        <f t="shared" si="185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1929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2" customFormat="1" ht="28.5" customHeight="1">
      <c r="A870" s="11" t="str">
        <f t="shared" si="173"/>
        <v/>
      </c>
      <c r="B870" s="11" t="s">
        <v>10</v>
      </c>
      <c r="C870" s="11" t="s">
        <v>621</v>
      </c>
      <c r="D870" s="11" t="s">
        <v>57</v>
      </c>
      <c r="E870" s="11" t="s">
        <v>61</v>
      </c>
      <c r="F870" s="11" t="s">
        <v>622</v>
      </c>
      <c r="G870" s="12">
        <v>1939</v>
      </c>
      <c r="H870" s="12"/>
      <c r="I870" s="12"/>
      <c r="J870" s="12">
        <v>1919</v>
      </c>
      <c r="K870" s="12">
        <f t="shared" si="185"/>
        <v>0</v>
      </c>
      <c r="L870" s="12">
        <f t="shared" si="174"/>
        <v>1939</v>
      </c>
      <c r="M870" s="12" t="str">
        <f t="shared" si="175"/>
        <v/>
      </c>
      <c r="N870" s="12">
        <f t="shared" si="176"/>
        <v>1919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284</v>
      </c>
      <c r="D871" s="15" t="s">
        <v>80</v>
      </c>
      <c r="E871" s="11" t="s">
        <v>26</v>
      </c>
      <c r="F871" s="11" t="s">
        <v>285</v>
      </c>
      <c r="G871" s="12">
        <v>1945</v>
      </c>
      <c r="H871" s="12"/>
      <c r="I871" s="12"/>
      <c r="J871" s="12">
        <v>1945</v>
      </c>
      <c r="K871" s="12">
        <f t="shared" si="185"/>
        <v>0</v>
      </c>
      <c r="L871" s="12">
        <f t="shared" si="174"/>
        <v>1945</v>
      </c>
      <c r="M871" s="12" t="str">
        <f t="shared" si="175"/>
        <v/>
      </c>
      <c r="N871" s="12">
        <f t="shared" si="176"/>
        <v>1945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12</v>
      </c>
      <c r="C872" s="11" t="s">
        <v>1499</v>
      </c>
      <c r="D872" s="15" t="s">
        <v>57</v>
      </c>
      <c r="E872" s="11" t="s">
        <v>26</v>
      </c>
      <c r="F872" s="11" t="s">
        <v>1500</v>
      </c>
      <c r="G872" s="12">
        <v>1955</v>
      </c>
      <c r="H872" s="12"/>
      <c r="I872" s="12"/>
      <c r="J872" s="12">
        <v>1935</v>
      </c>
      <c r="K872" s="12">
        <f t="shared" si="185"/>
        <v>0</v>
      </c>
      <c r="L872" s="12">
        <f t="shared" si="174"/>
        <v>1955</v>
      </c>
      <c r="M872" s="12" t="str">
        <f t="shared" si="175"/>
        <v/>
      </c>
      <c r="N872" s="12">
        <f t="shared" si="176"/>
        <v>1935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7" customFormat="1" ht="28.5" customHeight="1">
      <c r="A873" s="11" t="str">
        <f t="shared" si="173"/>
        <v/>
      </c>
      <c r="B873" s="11" t="s">
        <v>6</v>
      </c>
      <c r="C873" s="11" t="s">
        <v>1722</v>
      </c>
      <c r="D873" s="15" t="s">
        <v>80</v>
      </c>
      <c r="E873" s="11" t="s">
        <v>26</v>
      </c>
      <c r="F873" s="11" t="s">
        <v>1724</v>
      </c>
      <c r="G873" s="12">
        <v>1977</v>
      </c>
      <c r="H873" s="12"/>
      <c r="I873" s="12"/>
      <c r="J873" s="12">
        <v>1977</v>
      </c>
      <c r="K873" s="12">
        <f t="shared" si="185"/>
        <v>0</v>
      </c>
      <c r="L873" s="12">
        <f t="shared" si="174"/>
        <v>1977</v>
      </c>
      <c r="M873" s="12" t="str">
        <f t="shared" si="175"/>
        <v/>
      </c>
      <c r="N873" s="12">
        <f t="shared" si="176"/>
        <v>1977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6</v>
      </c>
      <c r="C874" s="11" t="s">
        <v>788</v>
      </c>
      <c r="D874" s="15" t="s">
        <v>80</v>
      </c>
      <c r="E874" s="11" t="s">
        <v>26</v>
      </c>
      <c r="F874" s="11" t="s">
        <v>789</v>
      </c>
      <c r="G874" s="12">
        <v>2199</v>
      </c>
      <c r="H874" s="12"/>
      <c r="I874" s="12"/>
      <c r="J874" s="12">
        <v>2199</v>
      </c>
      <c r="K874" s="12">
        <f t="shared" si="185"/>
        <v>0</v>
      </c>
      <c r="L874" s="12">
        <f t="shared" si="174"/>
        <v>2199</v>
      </c>
      <c r="M874" s="12" t="str">
        <f t="shared" si="175"/>
        <v/>
      </c>
      <c r="N874" s="12">
        <f t="shared" si="176"/>
        <v>2199</v>
      </c>
      <c r="O874" s="12" t="str">
        <f t="shared" si="177"/>
        <v/>
      </c>
      <c r="P874" s="12" t="str">
        <f t="shared" si="178"/>
        <v/>
      </c>
      <c r="Q874" s="12" t="s">
        <v>63</v>
      </c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16" customFormat="1" ht="28.5" customHeight="1">
      <c r="A875" s="11" t="str">
        <f t="shared" si="173"/>
        <v/>
      </c>
      <c r="B875" s="11" t="s">
        <v>14</v>
      </c>
      <c r="C875" s="11" t="s">
        <v>671</v>
      </c>
      <c r="D875" s="15" t="s">
        <v>60</v>
      </c>
      <c r="E875" s="11" t="s">
        <v>61</v>
      </c>
      <c r="F875" s="11" t="s">
        <v>673</v>
      </c>
      <c r="G875" s="12">
        <v>1995</v>
      </c>
      <c r="H875" s="12"/>
      <c r="I875" s="12"/>
      <c r="J875" s="12">
        <v>1995</v>
      </c>
      <c r="K875" s="12">
        <f t="shared" si="185"/>
        <v>0</v>
      </c>
      <c r="L875" s="12">
        <f t="shared" si="174"/>
        <v>1995</v>
      </c>
      <c r="M875" s="12" t="str">
        <f t="shared" si="175"/>
        <v/>
      </c>
      <c r="N875" s="12">
        <f t="shared" si="176"/>
        <v>1995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14</v>
      </c>
      <c r="C876" s="11" t="s">
        <v>376</v>
      </c>
      <c r="D876" s="11" t="s">
        <v>57</v>
      </c>
      <c r="E876" s="11" t="s">
        <v>61</v>
      </c>
      <c r="F876" s="11" t="s">
        <v>377</v>
      </c>
      <c r="G876" s="12">
        <v>1999</v>
      </c>
      <c r="H876" s="12"/>
      <c r="I876" s="12"/>
      <c r="J876" s="12">
        <v>1989</v>
      </c>
      <c r="K876" s="12">
        <f t="shared" si="185"/>
        <v>0</v>
      </c>
      <c r="L876" s="12">
        <f t="shared" si="174"/>
        <v>1999</v>
      </c>
      <c r="M876" s="12" t="str">
        <f t="shared" si="175"/>
        <v/>
      </c>
      <c r="N876" s="12">
        <f t="shared" si="176"/>
        <v>1989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10</v>
      </c>
      <c r="C877" s="11" t="s">
        <v>282</v>
      </c>
      <c r="D877" s="15" t="s">
        <v>45</v>
      </c>
      <c r="E877" s="11" t="s">
        <v>26</v>
      </c>
      <c r="F877" s="11" t="s">
        <v>283</v>
      </c>
      <c r="G877" s="12">
        <v>2080</v>
      </c>
      <c r="H877" s="12"/>
      <c r="I877" s="12"/>
      <c r="J877" s="12">
        <v>1807</v>
      </c>
      <c r="K877" s="12">
        <f t="shared" si="185"/>
        <v>0</v>
      </c>
      <c r="L877" s="12">
        <f t="shared" si="174"/>
        <v>2080</v>
      </c>
      <c r="M877" s="12" t="str">
        <f t="shared" si="175"/>
        <v/>
      </c>
      <c r="N877" s="12">
        <f t="shared" si="176"/>
        <v>1807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12</v>
      </c>
      <c r="C878" s="11" t="s">
        <v>1593</v>
      </c>
      <c r="D878" s="15" t="s">
        <v>60</v>
      </c>
      <c r="E878" s="11" t="s">
        <v>61</v>
      </c>
      <c r="F878" s="11" t="s">
        <v>1594</v>
      </c>
      <c r="G878" s="12">
        <v>2098</v>
      </c>
      <c r="H878" s="12"/>
      <c r="I878" s="12"/>
      <c r="J878" s="12">
        <v>2095</v>
      </c>
      <c r="K878" s="12">
        <f t="shared" si="185"/>
        <v>0</v>
      </c>
      <c r="L878" s="12">
        <f t="shared" si="174"/>
        <v>2098</v>
      </c>
      <c r="M878" s="12" t="str">
        <f t="shared" si="175"/>
        <v/>
      </c>
      <c r="N878" s="12">
        <f t="shared" si="176"/>
        <v>2095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16" customFormat="1" ht="28.5" customHeight="1">
      <c r="A879" s="11" t="str">
        <f t="shared" si="173"/>
        <v/>
      </c>
      <c r="B879" s="11" t="s">
        <v>14</v>
      </c>
      <c r="C879" s="11" t="s">
        <v>144</v>
      </c>
      <c r="D879" s="11" t="s">
        <v>57</v>
      </c>
      <c r="E879" s="11" t="s">
        <v>61</v>
      </c>
      <c r="F879" s="11" t="s">
        <v>145</v>
      </c>
      <c r="G879" s="12"/>
      <c r="H879" s="12">
        <v>2357</v>
      </c>
      <c r="I879" s="12"/>
      <c r="J879" s="12">
        <v>1837</v>
      </c>
      <c r="K879" s="12">
        <f t="shared" si="185"/>
        <v>0</v>
      </c>
      <c r="L879" s="12" t="str">
        <f t="shared" si="174"/>
        <v/>
      </c>
      <c r="M879" s="12">
        <f t="shared" si="175"/>
        <v>2357</v>
      </c>
      <c r="N879" s="12">
        <f t="shared" si="176"/>
        <v>1837</v>
      </c>
      <c r="O879" s="12" t="str">
        <f t="shared" si="177"/>
        <v/>
      </c>
      <c r="P879" s="12" t="str">
        <f t="shared" si="178"/>
        <v/>
      </c>
      <c r="Q879" s="12" t="s">
        <v>63</v>
      </c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10</v>
      </c>
      <c r="C880" s="11" t="s">
        <v>160</v>
      </c>
      <c r="D880" s="15" t="s">
        <v>60</v>
      </c>
      <c r="E880" s="11" t="s">
        <v>26</v>
      </c>
      <c r="F880" s="11" t="s">
        <v>161</v>
      </c>
      <c r="G880" s="12"/>
      <c r="H880" s="12">
        <v>2459</v>
      </c>
      <c r="I880" s="12"/>
      <c r="J880" s="12">
        <v>1859</v>
      </c>
      <c r="K880" s="12">
        <f t="shared" si="185"/>
        <v>0</v>
      </c>
      <c r="L880" s="12" t="str">
        <f t="shared" si="174"/>
        <v/>
      </c>
      <c r="M880" s="12">
        <f t="shared" si="175"/>
        <v>2459</v>
      </c>
      <c r="N880" s="12">
        <f t="shared" si="176"/>
        <v>1859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6</v>
      </c>
      <c r="C881" s="11" t="s">
        <v>1000</v>
      </c>
      <c r="D881" s="11" t="s">
        <v>95</v>
      </c>
      <c r="E881" s="11" t="s">
        <v>26</v>
      </c>
      <c r="F881" s="11" t="s">
        <v>1001</v>
      </c>
      <c r="G881" s="12"/>
      <c r="H881" s="12"/>
      <c r="I881" s="12"/>
      <c r="J881" s="12">
        <v>1869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1869</v>
      </c>
      <c r="O881" s="12" t="str">
        <f t="shared" si="177"/>
        <v/>
      </c>
      <c r="P881" s="12" t="str">
        <f t="shared" si="178"/>
        <v/>
      </c>
      <c r="Q881" s="12" t="s">
        <v>63</v>
      </c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16" customFormat="1" ht="28.5" customHeight="1">
      <c r="A882" s="11" t="str">
        <f t="shared" si="173"/>
        <v/>
      </c>
      <c r="B882" s="11" t="s">
        <v>10</v>
      </c>
      <c r="C882" s="11" t="s">
        <v>569</v>
      </c>
      <c r="D882" s="15" t="s">
        <v>80</v>
      </c>
      <c r="E882" s="11" t="s">
        <v>61</v>
      </c>
      <c r="F882" s="11" t="s">
        <v>571</v>
      </c>
      <c r="G882" s="12"/>
      <c r="H882" s="12"/>
      <c r="I882" s="12"/>
      <c r="J882" s="12">
        <v>1899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1899</v>
      </c>
      <c r="O882" s="12" t="str">
        <f t="shared" si="177"/>
        <v/>
      </c>
      <c r="P882" s="12" t="str">
        <f t="shared" si="178"/>
        <v/>
      </c>
      <c r="Q882" s="12" t="s">
        <v>63</v>
      </c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94</v>
      </c>
      <c r="D883" s="11" t="s">
        <v>95</v>
      </c>
      <c r="E883" s="11" t="s">
        <v>61</v>
      </c>
      <c r="F883" s="11" t="s">
        <v>96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1763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1742</v>
      </c>
      <c r="E3" s="3" t="s">
        <v>1743</v>
      </c>
      <c r="F3" s="3" t="s">
        <v>1744</v>
      </c>
      <c r="G3" s="3" t="s">
        <v>1745</v>
      </c>
      <c r="H3" s="3" t="s">
        <v>1746</v>
      </c>
      <c r="I3" s="3" t="s">
        <v>1747</v>
      </c>
      <c r="J3" s="3" t="s">
        <v>1748</v>
      </c>
      <c r="K3" s="3" t="s">
        <v>1749</v>
      </c>
      <c r="L3" s="3" t="s">
        <v>1750</v>
      </c>
      <c r="M3" s="3" t="s">
        <v>1751</v>
      </c>
    </row>
    <row r="4" spans="1:13" s="16" customFormat="1" ht="25.5" customHeight="1">
      <c r="A4" s="19" t="s">
        <v>12</v>
      </c>
      <c r="B4" s="20" t="s">
        <v>1300</v>
      </c>
      <c r="C4" s="20" t="s">
        <v>1301</v>
      </c>
      <c r="D4" s="20" t="s">
        <v>1764</v>
      </c>
      <c r="E4" s="26">
        <v>1819</v>
      </c>
      <c r="F4" s="26">
        <v>1819</v>
      </c>
      <c r="G4" s="26">
        <f t="shared" ref="G4:G32" si="0">IF(OR(E4="",F4=""),"",F4-E4)</f>
        <v>0</v>
      </c>
      <c r="H4" s="26">
        <v>2259</v>
      </c>
      <c r="I4" s="26">
        <v>2259</v>
      </c>
      <c r="J4" s="26">
        <f t="shared" ref="J4:J32" si="1">IF(OR(H4="",I4=""),"",I4-H4)</f>
        <v>0</v>
      </c>
      <c r="K4" s="26">
        <v>1819</v>
      </c>
      <c r="L4" s="26">
        <v>1869</v>
      </c>
      <c r="M4" s="26">
        <f t="shared" ref="M4:M32" si="2">IF(OR(K4="",L4=""),"",L4-K4)</f>
        <v>50</v>
      </c>
    </row>
    <row r="5" spans="1:13" s="16" customFormat="1" ht="25.5" customHeight="1">
      <c r="A5" s="19" t="s">
        <v>10</v>
      </c>
      <c r="B5" s="20" t="s">
        <v>1491</v>
      </c>
      <c r="C5" s="20" t="s">
        <v>1492</v>
      </c>
      <c r="D5" s="20" t="s">
        <v>1764</v>
      </c>
      <c r="E5" s="26">
        <v>1814</v>
      </c>
      <c r="F5" s="26">
        <v>1814</v>
      </c>
      <c r="G5" s="26">
        <f t="shared" si="0"/>
        <v>0</v>
      </c>
      <c r="H5" s="26">
        <v>2299</v>
      </c>
      <c r="I5" s="26">
        <v>2229</v>
      </c>
      <c r="J5" s="26">
        <f t="shared" si="1"/>
        <v>-70</v>
      </c>
      <c r="K5" s="26">
        <v>1798</v>
      </c>
      <c r="L5" s="26">
        <v>1798</v>
      </c>
      <c r="M5" s="26">
        <f t="shared" si="2"/>
        <v>0</v>
      </c>
    </row>
    <row r="6" spans="1:13" s="16" customFormat="1" ht="25.5" customHeight="1">
      <c r="A6" s="19" t="s">
        <v>16</v>
      </c>
      <c r="B6" s="20" t="s">
        <v>614</v>
      </c>
      <c r="C6" s="20" t="s">
        <v>615</v>
      </c>
      <c r="D6" s="20" t="s">
        <v>1764</v>
      </c>
      <c r="E6" s="26">
        <v>1885</v>
      </c>
      <c r="F6" s="26">
        <v>1885</v>
      </c>
      <c r="G6" s="26">
        <f t="shared" si="0"/>
        <v>0</v>
      </c>
      <c r="H6" s="26">
        <v>2225</v>
      </c>
      <c r="I6" s="26">
        <v>2225</v>
      </c>
      <c r="J6" s="26">
        <f t="shared" si="1"/>
        <v>0</v>
      </c>
      <c r="K6" s="26">
        <v>1855</v>
      </c>
      <c r="L6" s="26">
        <v>1875</v>
      </c>
      <c r="M6" s="26">
        <f t="shared" si="2"/>
        <v>20</v>
      </c>
    </row>
    <row r="7" spans="1:13" s="16" customFormat="1" ht="25.5" customHeight="1">
      <c r="A7" s="19" t="s">
        <v>16</v>
      </c>
      <c r="B7" s="20" t="s">
        <v>1369</v>
      </c>
      <c r="C7" s="20" t="s">
        <v>1370</v>
      </c>
      <c r="D7" s="20" t="s">
        <v>1764</v>
      </c>
      <c r="E7" s="26">
        <v>1850</v>
      </c>
      <c r="F7" s="26">
        <v>1850</v>
      </c>
      <c r="G7" s="26">
        <f t="shared" si="0"/>
        <v>0</v>
      </c>
      <c r="H7" s="26"/>
      <c r="I7" s="26"/>
      <c r="J7" s="26" t="str">
        <f t="shared" si="1"/>
        <v/>
      </c>
      <c r="K7" s="26">
        <v>1820</v>
      </c>
      <c r="L7" s="26">
        <v>1840</v>
      </c>
      <c r="M7" s="26">
        <f t="shared" si="2"/>
        <v>20</v>
      </c>
    </row>
    <row r="8" spans="1:13" s="16" customFormat="1" ht="25.5" customHeight="1">
      <c r="A8" s="19" t="s">
        <v>16</v>
      </c>
      <c r="B8" s="20" t="s">
        <v>902</v>
      </c>
      <c r="C8" s="20" t="s">
        <v>903</v>
      </c>
      <c r="D8" s="20" t="s">
        <v>1764</v>
      </c>
      <c r="E8" s="26">
        <v>1859</v>
      </c>
      <c r="F8" s="26">
        <v>1859</v>
      </c>
      <c r="G8" s="26">
        <f t="shared" si="0"/>
        <v>0</v>
      </c>
      <c r="H8" s="26"/>
      <c r="I8" s="26"/>
      <c r="J8" s="26" t="str">
        <f t="shared" si="1"/>
        <v/>
      </c>
      <c r="K8" s="26">
        <v>1804</v>
      </c>
      <c r="L8" s="26">
        <v>1819</v>
      </c>
      <c r="M8" s="26">
        <f t="shared" si="2"/>
        <v>15</v>
      </c>
    </row>
    <row r="9" spans="1:13" s="16" customFormat="1" ht="25.5" customHeight="1">
      <c r="A9" s="19" t="s">
        <v>16</v>
      </c>
      <c r="B9" s="20" t="s">
        <v>1674</v>
      </c>
      <c r="C9" s="20" t="s">
        <v>1675</v>
      </c>
      <c r="D9" s="20" t="s">
        <v>1764</v>
      </c>
      <c r="E9" s="26">
        <v>1865</v>
      </c>
      <c r="F9" s="26">
        <v>1989</v>
      </c>
      <c r="G9" s="26">
        <f t="shared" si="0"/>
        <v>124</v>
      </c>
      <c r="H9" s="26"/>
      <c r="I9" s="26"/>
      <c r="J9" s="26" t="str">
        <f t="shared" si="1"/>
        <v/>
      </c>
      <c r="K9" s="26">
        <v>1825</v>
      </c>
      <c r="L9" s="26">
        <v>1985</v>
      </c>
      <c r="M9" s="26">
        <f t="shared" si="2"/>
        <v>160</v>
      </c>
    </row>
    <row r="10" spans="1:13" s="16" customFormat="1" ht="25.5" customHeight="1">
      <c r="A10" s="19" t="s">
        <v>12</v>
      </c>
      <c r="B10" s="20" t="s">
        <v>872</v>
      </c>
      <c r="C10" s="20" t="s">
        <v>873</v>
      </c>
      <c r="D10" s="20" t="s">
        <v>1764</v>
      </c>
      <c r="E10" s="26">
        <v>1828</v>
      </c>
      <c r="F10" s="26">
        <v>1828</v>
      </c>
      <c r="G10" s="26">
        <f t="shared" si="0"/>
        <v>0</v>
      </c>
      <c r="H10" s="26"/>
      <c r="I10" s="26"/>
      <c r="J10" s="26" t="str">
        <f t="shared" si="1"/>
        <v/>
      </c>
      <c r="K10" s="26">
        <v>1798</v>
      </c>
      <c r="L10" s="26">
        <v>1848</v>
      </c>
      <c r="M10" s="26">
        <f t="shared" si="2"/>
        <v>50</v>
      </c>
    </row>
    <row r="11" spans="1:13" s="16" customFormat="1" ht="25.5" customHeight="1">
      <c r="A11" s="19" t="s">
        <v>6</v>
      </c>
      <c r="B11" s="20" t="s">
        <v>1346</v>
      </c>
      <c r="C11" s="20" t="s">
        <v>1347</v>
      </c>
      <c r="D11" s="20" t="s">
        <v>1764</v>
      </c>
      <c r="E11" s="26">
        <v>1833</v>
      </c>
      <c r="F11" s="26">
        <v>1811</v>
      </c>
      <c r="G11" s="26">
        <f t="shared" si="0"/>
        <v>-22</v>
      </c>
      <c r="H11" s="26"/>
      <c r="I11" s="26"/>
      <c r="J11" s="26" t="str">
        <f t="shared" si="1"/>
        <v/>
      </c>
      <c r="K11" s="26">
        <v>1811</v>
      </c>
      <c r="L11" s="26">
        <v>1811</v>
      </c>
      <c r="M11" s="26">
        <f t="shared" si="2"/>
        <v>0</v>
      </c>
    </row>
    <row r="12" spans="1:13" s="16" customFormat="1" ht="25.5" customHeight="1">
      <c r="A12" s="19" t="s">
        <v>6</v>
      </c>
      <c r="B12" s="20" t="s">
        <v>686</v>
      </c>
      <c r="C12" s="20" t="s">
        <v>687</v>
      </c>
      <c r="D12" s="20" t="s">
        <v>1764</v>
      </c>
      <c r="E12" s="26">
        <v>1837</v>
      </c>
      <c r="F12" s="26">
        <v>1837</v>
      </c>
      <c r="G12" s="26">
        <f t="shared" si="0"/>
        <v>0</v>
      </c>
      <c r="H12" s="26"/>
      <c r="I12" s="26"/>
      <c r="J12" s="26" t="str">
        <f t="shared" si="1"/>
        <v/>
      </c>
      <c r="K12" s="26">
        <v>1793</v>
      </c>
      <c r="L12" s="26">
        <v>1808</v>
      </c>
      <c r="M12" s="26">
        <f t="shared" si="2"/>
        <v>15</v>
      </c>
    </row>
    <row r="13" spans="1:13" s="16" customFormat="1" ht="25.5" customHeight="1">
      <c r="A13" s="19" t="s">
        <v>10</v>
      </c>
      <c r="B13" s="20" t="s">
        <v>482</v>
      </c>
      <c r="C13" s="20" t="s">
        <v>483</v>
      </c>
      <c r="D13" s="20" t="s">
        <v>1764</v>
      </c>
      <c r="E13" s="26">
        <v>1845</v>
      </c>
      <c r="F13" s="26">
        <v>1845</v>
      </c>
      <c r="G13" s="26">
        <f t="shared" si="0"/>
        <v>0</v>
      </c>
      <c r="H13" s="26"/>
      <c r="I13" s="26"/>
      <c r="J13" s="26" t="str">
        <f t="shared" si="1"/>
        <v/>
      </c>
      <c r="K13" s="26">
        <v>1824</v>
      </c>
      <c r="L13" s="26">
        <v>1839</v>
      </c>
      <c r="M13" s="26">
        <f t="shared" si="2"/>
        <v>15</v>
      </c>
    </row>
    <row r="14" spans="1:13" s="16" customFormat="1" ht="25.5" customHeight="1">
      <c r="A14" s="19" t="s">
        <v>18</v>
      </c>
      <c r="B14" s="20" t="s">
        <v>868</v>
      </c>
      <c r="C14" s="20" t="s">
        <v>869</v>
      </c>
      <c r="D14" s="20" t="s">
        <v>1764</v>
      </c>
      <c r="E14" s="26">
        <v>1899</v>
      </c>
      <c r="F14" s="26">
        <v>1899</v>
      </c>
      <c r="G14" s="26">
        <f t="shared" si="0"/>
        <v>0</v>
      </c>
      <c r="H14" s="26"/>
      <c r="I14" s="26"/>
      <c r="J14" s="26" t="str">
        <f t="shared" si="1"/>
        <v/>
      </c>
      <c r="K14" s="26">
        <v>1849</v>
      </c>
      <c r="L14" s="26">
        <v>1834</v>
      </c>
      <c r="M14" s="26">
        <f t="shared" si="2"/>
        <v>-15</v>
      </c>
    </row>
    <row r="15" spans="1:13" s="16" customFormat="1" ht="25.5" customHeight="1">
      <c r="A15" s="19" t="s">
        <v>6</v>
      </c>
      <c r="B15" s="20" t="s">
        <v>863</v>
      </c>
      <c r="C15" s="20" t="s">
        <v>864</v>
      </c>
      <c r="D15" s="20" t="s">
        <v>1764</v>
      </c>
      <c r="E15" s="26">
        <v>1885</v>
      </c>
      <c r="F15" s="26">
        <v>1885</v>
      </c>
      <c r="G15" s="26">
        <f t="shared" si="0"/>
        <v>0</v>
      </c>
      <c r="H15" s="26"/>
      <c r="I15" s="26"/>
      <c r="J15" s="26" t="str">
        <f t="shared" si="1"/>
        <v/>
      </c>
      <c r="K15" s="26">
        <v>1845</v>
      </c>
      <c r="L15" s="26">
        <v>1875</v>
      </c>
      <c r="M15" s="26">
        <f t="shared" si="2"/>
        <v>30</v>
      </c>
    </row>
    <row r="16" spans="1:13" s="16" customFormat="1" ht="25.5" customHeight="1">
      <c r="A16" s="19" t="s">
        <v>14</v>
      </c>
      <c r="B16" s="20" t="s">
        <v>606</v>
      </c>
      <c r="C16" s="20" t="s">
        <v>607</v>
      </c>
      <c r="D16" s="20" t="s">
        <v>1764</v>
      </c>
      <c r="E16" s="26">
        <v>1889</v>
      </c>
      <c r="F16" s="26">
        <v>1889</v>
      </c>
      <c r="G16" s="26">
        <f t="shared" si="0"/>
        <v>0</v>
      </c>
      <c r="H16" s="26"/>
      <c r="I16" s="26"/>
      <c r="J16" s="26" t="str">
        <f t="shared" si="1"/>
        <v/>
      </c>
      <c r="K16" s="26">
        <v>1879</v>
      </c>
      <c r="L16" s="26">
        <v>2029</v>
      </c>
      <c r="M16" s="26">
        <f t="shared" si="2"/>
        <v>150</v>
      </c>
    </row>
    <row r="17" spans="1:13" s="16" customFormat="1" ht="25.5" customHeight="1">
      <c r="A17" s="19" t="s">
        <v>10</v>
      </c>
      <c r="B17" s="20" t="s">
        <v>1260</v>
      </c>
      <c r="C17" s="20" t="s">
        <v>1261</v>
      </c>
      <c r="D17" s="20" t="s">
        <v>1764</v>
      </c>
      <c r="E17" s="26">
        <v>1895</v>
      </c>
      <c r="F17" s="26">
        <v>1895</v>
      </c>
      <c r="G17" s="26">
        <f t="shared" si="0"/>
        <v>0</v>
      </c>
      <c r="H17" s="26"/>
      <c r="I17" s="26"/>
      <c r="J17" s="26" t="str">
        <f t="shared" si="1"/>
        <v/>
      </c>
      <c r="K17" s="26">
        <v>1875</v>
      </c>
      <c r="L17" s="26">
        <v>1895</v>
      </c>
      <c r="M17" s="26">
        <f t="shared" si="2"/>
        <v>20</v>
      </c>
    </row>
    <row r="18" spans="1:13" s="16" customFormat="1" ht="25.5" customHeight="1">
      <c r="A18" s="19" t="s">
        <v>10</v>
      </c>
      <c r="B18" s="20" t="s">
        <v>1611</v>
      </c>
      <c r="C18" s="20" t="s">
        <v>1612</v>
      </c>
      <c r="D18" s="20" t="s">
        <v>1764</v>
      </c>
      <c r="E18" s="26">
        <v>1899</v>
      </c>
      <c r="F18" s="26">
        <v>1899</v>
      </c>
      <c r="G18" s="26">
        <f t="shared" si="0"/>
        <v>0</v>
      </c>
      <c r="H18" s="26"/>
      <c r="I18" s="26"/>
      <c r="J18" s="26" t="str">
        <f t="shared" si="1"/>
        <v/>
      </c>
      <c r="K18" s="26">
        <v>1879</v>
      </c>
      <c r="L18" s="26">
        <v>1859</v>
      </c>
      <c r="M18" s="26">
        <f t="shared" si="2"/>
        <v>-20</v>
      </c>
    </row>
    <row r="19" spans="1:13" s="16" customFormat="1" ht="25.5" customHeight="1">
      <c r="A19" s="19" t="s">
        <v>10</v>
      </c>
      <c r="B19" s="20" t="s">
        <v>774</v>
      </c>
      <c r="C19" s="20" t="s">
        <v>775</v>
      </c>
      <c r="D19" s="20" t="s">
        <v>1764</v>
      </c>
      <c r="E19" s="26">
        <v>1899</v>
      </c>
      <c r="F19" s="26">
        <v>1899</v>
      </c>
      <c r="G19" s="26">
        <f t="shared" si="0"/>
        <v>0</v>
      </c>
      <c r="H19" s="26"/>
      <c r="I19" s="26"/>
      <c r="J19" s="26" t="str">
        <f t="shared" si="1"/>
        <v/>
      </c>
      <c r="K19" s="26">
        <v>1889</v>
      </c>
      <c r="L19" s="26">
        <v>1909</v>
      </c>
      <c r="M19" s="26">
        <f t="shared" si="2"/>
        <v>20</v>
      </c>
    </row>
    <row r="20" spans="1:13" s="16" customFormat="1" ht="25.5" customHeight="1">
      <c r="A20" s="19" t="s">
        <v>14</v>
      </c>
      <c r="B20" s="20" t="s">
        <v>1119</v>
      </c>
      <c r="C20" s="20" t="s">
        <v>1120</v>
      </c>
      <c r="D20" s="20" t="s">
        <v>1764</v>
      </c>
      <c r="E20" s="26">
        <v>1945</v>
      </c>
      <c r="F20" s="26">
        <v>1945</v>
      </c>
      <c r="G20" s="26">
        <f t="shared" si="0"/>
        <v>0</v>
      </c>
      <c r="H20" s="26"/>
      <c r="I20" s="26"/>
      <c r="J20" s="26" t="str">
        <f t="shared" si="1"/>
        <v/>
      </c>
      <c r="K20" s="26">
        <v>1895</v>
      </c>
      <c r="L20" s="26">
        <v>1880</v>
      </c>
      <c r="M20" s="26">
        <f t="shared" si="2"/>
        <v>-15</v>
      </c>
    </row>
    <row r="21" spans="1:13" s="16" customFormat="1" ht="25.5" customHeight="1">
      <c r="A21" s="19" t="s">
        <v>10</v>
      </c>
      <c r="B21" s="20" t="s">
        <v>1761</v>
      </c>
      <c r="C21" s="20" t="s">
        <v>1762</v>
      </c>
      <c r="D21" s="20" t="s">
        <v>1764</v>
      </c>
      <c r="E21" s="26">
        <v>1823</v>
      </c>
      <c r="F21" s="26">
        <v>1814</v>
      </c>
      <c r="G21" s="26">
        <f t="shared" si="0"/>
        <v>-9</v>
      </c>
      <c r="H21" s="26"/>
      <c r="I21" s="26"/>
      <c r="J21" s="26" t="str">
        <f t="shared" si="1"/>
        <v/>
      </c>
      <c r="K21" s="26">
        <v>1798</v>
      </c>
      <c r="L21" s="26">
        <v>1798</v>
      </c>
      <c r="M21" s="26">
        <f t="shared" si="2"/>
        <v>0</v>
      </c>
    </row>
    <row r="22" spans="1:13" s="16" customFormat="1" ht="25.5" customHeight="1">
      <c r="A22" s="19" t="s">
        <v>6</v>
      </c>
      <c r="B22" s="20" t="s">
        <v>130</v>
      </c>
      <c r="C22" s="20" t="s">
        <v>131</v>
      </c>
      <c r="D22" s="20" t="s">
        <v>1764</v>
      </c>
      <c r="E22" s="26">
        <v>1824</v>
      </c>
      <c r="F22" s="26">
        <v>1812</v>
      </c>
      <c r="G22" s="26">
        <f t="shared" si="0"/>
        <v>-12</v>
      </c>
      <c r="H22" s="26"/>
      <c r="I22" s="26"/>
      <c r="J22" s="26" t="str">
        <f t="shared" si="1"/>
        <v/>
      </c>
      <c r="K22" s="26">
        <v>1824</v>
      </c>
      <c r="L22" s="26">
        <v>1812</v>
      </c>
      <c r="M22" s="26">
        <f t="shared" si="2"/>
        <v>-12</v>
      </c>
    </row>
    <row r="23" spans="1:13" s="16" customFormat="1" ht="25.5" customHeight="1">
      <c r="A23" s="19" t="s">
        <v>10</v>
      </c>
      <c r="B23" s="20" t="s">
        <v>1193</v>
      </c>
      <c r="C23" s="20" t="s">
        <v>1194</v>
      </c>
      <c r="D23" s="20" t="s">
        <v>1764</v>
      </c>
      <c r="E23" s="26">
        <v>1838</v>
      </c>
      <c r="F23" s="26">
        <v>1838</v>
      </c>
      <c r="G23" s="26">
        <f t="shared" si="0"/>
        <v>0</v>
      </c>
      <c r="H23" s="26"/>
      <c r="I23" s="26"/>
      <c r="J23" s="26" t="str">
        <f t="shared" si="1"/>
        <v/>
      </c>
      <c r="K23" s="26">
        <v>1818</v>
      </c>
      <c r="L23" s="26">
        <v>1848</v>
      </c>
      <c r="M23" s="26">
        <f t="shared" si="2"/>
        <v>30</v>
      </c>
    </row>
    <row r="24" spans="1:13" s="16" customFormat="1" ht="25.5" customHeight="1">
      <c r="A24" s="19" t="s">
        <v>6</v>
      </c>
      <c r="B24" s="20" t="s">
        <v>120</v>
      </c>
      <c r="C24" s="20" t="s">
        <v>121</v>
      </c>
      <c r="D24" s="20" t="s">
        <v>1764</v>
      </c>
      <c r="E24" s="26">
        <v>1839</v>
      </c>
      <c r="F24" s="26">
        <v>1839</v>
      </c>
      <c r="G24" s="26">
        <f t="shared" si="0"/>
        <v>0</v>
      </c>
      <c r="H24" s="26"/>
      <c r="I24" s="26"/>
      <c r="J24" s="26" t="str">
        <f t="shared" si="1"/>
        <v/>
      </c>
      <c r="K24" s="26">
        <v>1839</v>
      </c>
      <c r="L24" s="26">
        <v>1849</v>
      </c>
      <c r="M24" s="26">
        <f t="shared" si="2"/>
        <v>10</v>
      </c>
    </row>
    <row r="25" spans="1:13" s="16" customFormat="1" ht="25.5" customHeight="1">
      <c r="A25" s="19" t="s">
        <v>12</v>
      </c>
      <c r="B25" s="20" t="s">
        <v>1609</v>
      </c>
      <c r="C25" s="20" t="s">
        <v>1610</v>
      </c>
      <c r="D25" s="20" t="s">
        <v>1764</v>
      </c>
      <c r="E25" s="26">
        <v>1848</v>
      </c>
      <c r="F25" s="26">
        <v>1848</v>
      </c>
      <c r="G25" s="26">
        <f t="shared" si="0"/>
        <v>0</v>
      </c>
      <c r="H25" s="26"/>
      <c r="I25" s="26"/>
      <c r="J25" s="26" t="str">
        <f t="shared" si="1"/>
        <v/>
      </c>
      <c r="K25" s="26">
        <v>1838</v>
      </c>
      <c r="L25" s="26">
        <v>1823</v>
      </c>
      <c r="M25" s="26">
        <f t="shared" si="2"/>
        <v>-15</v>
      </c>
    </row>
    <row r="26" spans="1:13" s="16" customFormat="1" ht="25.5" customHeight="1">
      <c r="A26" s="19" t="s">
        <v>14</v>
      </c>
      <c r="B26" s="20" t="s">
        <v>790</v>
      </c>
      <c r="C26" s="20" t="s">
        <v>791</v>
      </c>
      <c r="D26" s="20" t="s">
        <v>1764</v>
      </c>
      <c r="E26" s="26">
        <v>1869</v>
      </c>
      <c r="F26" s="26">
        <v>1869</v>
      </c>
      <c r="G26" s="26">
        <f t="shared" si="0"/>
        <v>0</v>
      </c>
      <c r="H26" s="26"/>
      <c r="I26" s="26"/>
      <c r="J26" s="26" t="str">
        <f t="shared" si="1"/>
        <v/>
      </c>
      <c r="K26" s="26">
        <v>1839</v>
      </c>
      <c r="L26" s="26">
        <v>1869</v>
      </c>
      <c r="M26" s="26">
        <f t="shared" si="2"/>
        <v>30</v>
      </c>
    </row>
    <row r="27" spans="1:13" s="16" customFormat="1" ht="25.5" customHeight="1">
      <c r="A27" s="19" t="s">
        <v>14</v>
      </c>
      <c r="B27" s="20" t="s">
        <v>1350</v>
      </c>
      <c r="C27" s="20" t="s">
        <v>1351</v>
      </c>
      <c r="D27" s="20" t="s">
        <v>1764</v>
      </c>
      <c r="E27" s="26">
        <v>1878</v>
      </c>
      <c r="F27" s="26">
        <v>1858</v>
      </c>
      <c r="G27" s="26">
        <f t="shared" si="0"/>
        <v>-20</v>
      </c>
      <c r="H27" s="26"/>
      <c r="I27" s="26"/>
      <c r="J27" s="26" t="str">
        <f t="shared" si="1"/>
        <v/>
      </c>
      <c r="K27" s="26">
        <v>1857</v>
      </c>
      <c r="L27" s="26">
        <v>1857</v>
      </c>
      <c r="M27" s="26">
        <f t="shared" si="2"/>
        <v>0</v>
      </c>
    </row>
    <row r="28" spans="1:13" s="16" customFormat="1" ht="25.5" customHeight="1">
      <c r="A28" s="19" t="s">
        <v>12</v>
      </c>
      <c r="B28" s="20" t="s">
        <v>649</v>
      </c>
      <c r="C28" s="20" t="s">
        <v>650</v>
      </c>
      <c r="D28" s="20" t="s">
        <v>1764</v>
      </c>
      <c r="E28" s="26">
        <v>1889</v>
      </c>
      <c r="F28" s="26">
        <v>1889</v>
      </c>
      <c r="G28" s="26">
        <f t="shared" si="0"/>
        <v>0</v>
      </c>
      <c r="H28" s="26"/>
      <c r="I28" s="26"/>
      <c r="J28" s="26" t="str">
        <f t="shared" si="1"/>
        <v/>
      </c>
      <c r="K28" s="26">
        <v>1859</v>
      </c>
      <c r="L28" s="26">
        <v>1879</v>
      </c>
      <c r="M28" s="26">
        <f t="shared" si="2"/>
        <v>20</v>
      </c>
    </row>
    <row r="29" spans="1:13" s="16" customFormat="1" ht="25.5" customHeight="1">
      <c r="A29" s="19" t="s">
        <v>16</v>
      </c>
      <c r="B29" s="20" t="s">
        <v>1493</v>
      </c>
      <c r="C29" s="20" t="s">
        <v>1494</v>
      </c>
      <c r="D29" s="20" t="s">
        <v>1764</v>
      </c>
      <c r="E29" s="26">
        <v>1890</v>
      </c>
      <c r="F29" s="26">
        <v>1890</v>
      </c>
      <c r="G29" s="26">
        <f t="shared" si="0"/>
        <v>0</v>
      </c>
      <c r="H29" s="26"/>
      <c r="I29" s="26"/>
      <c r="J29" s="26" t="str">
        <f t="shared" si="1"/>
        <v/>
      </c>
      <c r="K29" s="26">
        <v>1850</v>
      </c>
      <c r="L29" s="26">
        <v>1870</v>
      </c>
      <c r="M29" s="26">
        <f t="shared" si="2"/>
        <v>20</v>
      </c>
    </row>
    <row r="30" spans="1:13" s="16" customFormat="1" ht="25.5" customHeight="1">
      <c r="A30" s="19" t="s">
        <v>14</v>
      </c>
      <c r="B30" s="20" t="s">
        <v>1117</v>
      </c>
      <c r="C30" s="20" t="s">
        <v>1118</v>
      </c>
      <c r="D30" s="20" t="s">
        <v>1764</v>
      </c>
      <c r="E30" s="26">
        <v>1899</v>
      </c>
      <c r="F30" s="26">
        <v>1899</v>
      </c>
      <c r="G30" s="26">
        <f t="shared" si="0"/>
        <v>0</v>
      </c>
      <c r="H30" s="26"/>
      <c r="I30" s="26"/>
      <c r="J30" s="26" t="str">
        <f t="shared" si="1"/>
        <v/>
      </c>
      <c r="K30" s="26">
        <v>1929</v>
      </c>
      <c r="L30" s="26">
        <v>1895</v>
      </c>
      <c r="M30" s="26">
        <f t="shared" si="2"/>
        <v>-34</v>
      </c>
    </row>
    <row r="31" spans="1:13" s="16" customFormat="1" ht="25.5" customHeight="1">
      <c r="A31" s="19" t="s">
        <v>12</v>
      </c>
      <c r="B31" s="20" t="s">
        <v>996</v>
      </c>
      <c r="C31" s="20" t="s">
        <v>997</v>
      </c>
      <c r="D31" s="20" t="s">
        <v>1764</v>
      </c>
      <c r="E31" s="26">
        <v>1899</v>
      </c>
      <c r="F31" s="26">
        <v>1899</v>
      </c>
      <c r="G31" s="26">
        <f t="shared" si="0"/>
        <v>0</v>
      </c>
      <c r="H31" s="26"/>
      <c r="I31" s="26"/>
      <c r="J31" s="26" t="str">
        <f t="shared" si="1"/>
        <v/>
      </c>
      <c r="K31" s="26">
        <v>1948</v>
      </c>
      <c r="L31" s="26">
        <v>1898</v>
      </c>
      <c r="M31" s="26">
        <f t="shared" si="2"/>
        <v>-50</v>
      </c>
    </row>
    <row r="32" spans="1:13" s="16" customFormat="1" ht="25.5" customHeight="1">
      <c r="A32" s="19" t="s">
        <v>8</v>
      </c>
      <c r="B32" s="20" t="s">
        <v>1678</v>
      </c>
      <c r="C32" s="20" t="s">
        <v>1765</v>
      </c>
      <c r="D32" s="20" t="s">
        <v>1766</v>
      </c>
      <c r="E32" s="26"/>
      <c r="F32" s="26">
        <v>1824</v>
      </c>
      <c r="G32" s="26" t="str">
        <f t="shared" si="0"/>
        <v/>
      </c>
      <c r="H32" s="26"/>
      <c r="I32" s="26"/>
      <c r="J32" s="26" t="str">
        <f t="shared" si="1"/>
        <v/>
      </c>
      <c r="K32" s="26"/>
      <c r="L32" s="26">
        <v>1813</v>
      </c>
      <c r="M32" s="26" t="str">
        <f t="shared" si="2"/>
        <v/>
      </c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1"/>
      <c r="F58" s="21"/>
      <c r="G58" s="21"/>
      <c r="H58" s="21"/>
      <c r="I58" s="21"/>
      <c r="J58" s="21"/>
      <c r="K58" s="21"/>
      <c r="L58" s="21"/>
      <c r="M58" s="21"/>
    </row>
    <row r="59" spans="1:13" s="16" customFormat="1" ht="25.5" customHeight="1">
      <c r="A59" s="19"/>
      <c r="B59" s="20"/>
      <c r="C59" s="20"/>
      <c r="D59" s="20"/>
      <c r="E59" s="21"/>
      <c r="F59" s="21"/>
      <c r="G59" s="21"/>
      <c r="H59" s="21"/>
      <c r="I59" s="21"/>
      <c r="J59" s="21"/>
      <c r="K59" s="21"/>
      <c r="L59" s="21"/>
      <c r="M59" s="21"/>
    </row>
    <row r="60" spans="1:13" s="16" customFormat="1" ht="25.5" customHeight="1">
      <c r="A60" s="19"/>
      <c r="B60" s="20"/>
      <c r="C60" s="20"/>
      <c r="D60" s="20"/>
      <c r="E60" s="21"/>
      <c r="F60" s="21"/>
      <c r="G60" s="21"/>
      <c r="H60" s="21"/>
      <c r="I60" s="21"/>
      <c r="J60" s="21"/>
      <c r="K60" s="21"/>
      <c r="L60" s="21"/>
      <c r="M60" s="21"/>
    </row>
    <row r="61" spans="1:13" s="16" customFormat="1" ht="25.5" customHeight="1">
      <c r="A61" s="19"/>
      <c r="B61" s="20"/>
      <c r="C61" s="20"/>
      <c r="D61" s="20"/>
      <c r="E61" s="21"/>
      <c r="F61" s="21"/>
      <c r="G61" s="21"/>
      <c r="H61" s="21"/>
      <c r="I61" s="21"/>
      <c r="J61" s="21"/>
      <c r="K61" s="21"/>
      <c r="L61" s="21"/>
      <c r="M61" s="21"/>
    </row>
    <row r="62" spans="1:13" s="16" customFormat="1" ht="25.5" customHeight="1">
      <c r="A62" s="19"/>
      <c r="B62" s="20"/>
      <c r="C62" s="20"/>
      <c r="D62" s="20"/>
      <c r="E62" s="21"/>
      <c r="F62" s="21"/>
      <c r="G62" s="21"/>
      <c r="H62" s="21"/>
      <c r="I62" s="21"/>
      <c r="J62" s="21"/>
      <c r="K62" s="21"/>
      <c r="L62" s="21"/>
      <c r="M62" s="21"/>
    </row>
    <row r="63" spans="1:13" s="16" customFormat="1" ht="25.5" customHeight="1">
      <c r="A63" s="19"/>
      <c r="B63" s="20"/>
      <c r="C63" s="20"/>
      <c r="D63" s="20"/>
      <c r="E63" s="21"/>
      <c r="F63" s="21"/>
      <c r="G63" s="21"/>
      <c r="H63" s="21"/>
      <c r="I63" s="21"/>
      <c r="J63" s="21"/>
      <c r="K63" s="21"/>
      <c r="L63" s="21"/>
      <c r="M63" s="21"/>
    </row>
    <row r="64" spans="1:13" s="16" customFormat="1" ht="25.5" customHeight="1">
      <c r="A64" s="19"/>
      <c r="B64" s="20"/>
      <c r="C64" s="20"/>
      <c r="D64" s="20"/>
      <c r="E64" s="21"/>
      <c r="F64" s="21"/>
      <c r="G64" s="21"/>
      <c r="H64" s="21"/>
      <c r="I64" s="21"/>
      <c r="J64" s="21"/>
      <c r="K64" s="21"/>
      <c r="L64" s="21"/>
      <c r="M64" s="21"/>
    </row>
    <row r="65" spans="1:13" s="16" customFormat="1" ht="25.5" customHeight="1">
      <c r="A65" s="19"/>
      <c r="B65" s="20"/>
      <c r="C65" s="20"/>
      <c r="D65" s="20"/>
      <c r="E65" s="21"/>
      <c r="F65" s="21"/>
      <c r="G65" s="21"/>
      <c r="H65" s="21"/>
      <c r="I65" s="21"/>
      <c r="J65" s="21"/>
      <c r="K65" s="21"/>
      <c r="L65" s="21"/>
      <c r="M65" s="21"/>
    </row>
    <row r="66" spans="1:13" s="16" customFormat="1" ht="25.5" customHeight="1">
      <c r="A66" s="19"/>
      <c r="B66" s="20"/>
      <c r="C66" s="20"/>
      <c r="D66" s="20"/>
      <c r="E66" s="21"/>
      <c r="F66" s="21"/>
      <c r="G66" s="21"/>
      <c r="H66" s="21"/>
      <c r="I66" s="21"/>
      <c r="J66" s="21"/>
      <c r="K66" s="21"/>
      <c r="L66" s="21"/>
      <c r="M66" s="21"/>
    </row>
    <row r="67" spans="1:13" s="16" customFormat="1" ht="25.5" customHeight="1">
      <c r="A67" s="19"/>
      <c r="B67" s="20"/>
      <c r="C67" s="20"/>
      <c r="D67" s="20"/>
      <c r="E67" s="21"/>
      <c r="F67" s="21"/>
      <c r="G67" s="21"/>
      <c r="H67" s="21"/>
      <c r="I67" s="21"/>
      <c r="J67" s="21"/>
      <c r="K67" s="21"/>
      <c r="L67" s="21"/>
      <c r="M67" s="21"/>
    </row>
    <row r="68" spans="1:13" s="16" customFormat="1" ht="25.5" customHeight="1">
      <c r="A68" s="19"/>
      <c r="B68" s="20"/>
      <c r="C68" s="20"/>
      <c r="D68" s="20"/>
      <c r="E68" s="21"/>
      <c r="F68" s="21"/>
      <c r="G68" s="21"/>
      <c r="H68" s="21"/>
      <c r="I68" s="21"/>
      <c r="J68" s="21"/>
      <c r="K68" s="21"/>
      <c r="L68" s="21"/>
      <c r="M68" s="21"/>
    </row>
    <row r="69" spans="1:13" s="16" customFormat="1" ht="25.5" customHeight="1">
      <c r="A69" s="19"/>
      <c r="B69" s="20"/>
      <c r="C69" s="20"/>
      <c r="D69" s="20"/>
      <c r="E69" s="21"/>
      <c r="F69" s="21"/>
      <c r="G69" s="21"/>
      <c r="H69" s="21"/>
      <c r="I69" s="21"/>
      <c r="J69" s="21"/>
      <c r="K69" s="21"/>
      <c r="L69" s="21"/>
      <c r="M69" s="21"/>
    </row>
    <row r="70" spans="1:13" s="16" customFormat="1" ht="25.5" customHeight="1">
      <c r="A70" s="19"/>
      <c r="B70" s="20"/>
      <c r="C70" s="20"/>
      <c r="D70" s="20"/>
      <c r="E70" s="21"/>
      <c r="F70" s="21"/>
      <c r="G70" s="21"/>
      <c r="H70" s="21"/>
      <c r="I70" s="21"/>
      <c r="J70" s="21"/>
      <c r="K70" s="21"/>
      <c r="L70" s="21"/>
      <c r="M70" s="21"/>
    </row>
    <row r="71" spans="1:13" s="16" customFormat="1" ht="25.5" customHeight="1">
      <c r="A71" s="19"/>
      <c r="B71" s="20"/>
      <c r="C71" s="20"/>
      <c r="D71" s="20"/>
      <c r="E71" s="21"/>
      <c r="F71" s="21"/>
      <c r="G71" s="21"/>
      <c r="H71" s="21"/>
      <c r="I71" s="21"/>
      <c r="J71" s="21"/>
      <c r="K71" s="21"/>
      <c r="L71" s="21"/>
      <c r="M71" s="21"/>
    </row>
    <row r="72" spans="1:13" s="16" customFormat="1" ht="25.5" customHeight="1">
      <c r="A72" s="19"/>
      <c r="B72" s="20"/>
      <c r="C72" s="20"/>
      <c r="D72" s="20"/>
      <c r="E72" s="21"/>
      <c r="F72" s="21"/>
      <c r="G72" s="21"/>
      <c r="H72" s="21"/>
      <c r="I72" s="21"/>
      <c r="J72" s="21"/>
      <c r="K72" s="21"/>
      <c r="L72" s="21"/>
      <c r="M72" s="21"/>
    </row>
    <row r="73" spans="1:13" s="16" customFormat="1" ht="25.5" customHeight="1">
      <c r="A73" s="19"/>
      <c r="B73" s="20"/>
      <c r="C73" s="20"/>
      <c r="D73" s="20"/>
      <c r="E73" s="21"/>
      <c r="F73" s="21"/>
      <c r="G73" s="21"/>
      <c r="H73" s="21"/>
      <c r="I73" s="21"/>
      <c r="J73" s="21"/>
      <c r="K73" s="21"/>
      <c r="L73" s="21"/>
      <c r="M73" s="21"/>
    </row>
    <row r="74" spans="1:13" s="16" customFormat="1" ht="25.5" customHeight="1">
      <c r="A74" s="19"/>
      <c r="B74" s="20"/>
      <c r="C74" s="20"/>
      <c r="D74" s="20"/>
      <c r="E74" s="21"/>
      <c r="F74" s="21"/>
      <c r="G74" s="21"/>
      <c r="H74" s="21"/>
      <c r="I74" s="21"/>
      <c r="J74" s="21"/>
      <c r="K74" s="21"/>
      <c r="L74" s="21"/>
      <c r="M74" s="21"/>
    </row>
    <row r="75" spans="1:13" s="16" customFormat="1" ht="25.5" customHeight="1">
      <c r="A75" s="19"/>
      <c r="B75" s="20"/>
      <c r="C75" s="20"/>
      <c r="D75" s="20"/>
      <c r="E75" s="21"/>
      <c r="F75" s="21"/>
      <c r="G75" s="21"/>
      <c r="H75" s="21"/>
      <c r="I75" s="21"/>
      <c r="J75" s="21"/>
      <c r="K75" s="21"/>
      <c r="L75" s="21"/>
      <c r="M75" s="21"/>
    </row>
    <row r="76" spans="1:13" s="16" customFormat="1" ht="25.5" customHeight="1">
      <c r="A76" s="19"/>
      <c r="B76" s="20"/>
      <c r="C76" s="20"/>
      <c r="D76" s="20"/>
      <c r="E76" s="21"/>
      <c r="F76" s="21"/>
      <c r="G76" s="21"/>
      <c r="H76" s="21"/>
      <c r="I76" s="21"/>
      <c r="J76" s="21"/>
      <c r="K76" s="21"/>
      <c r="L76" s="21"/>
      <c r="M76" s="21"/>
    </row>
    <row r="77" spans="1:13" s="16" customFormat="1" ht="25.5" customHeight="1">
      <c r="A77" s="19"/>
      <c r="B77" s="20"/>
      <c r="C77" s="20"/>
      <c r="D77" s="20"/>
      <c r="E77" s="21"/>
      <c r="F77" s="21"/>
      <c r="G77" s="21"/>
      <c r="H77" s="21"/>
      <c r="I77" s="21"/>
      <c r="J77" s="21"/>
      <c r="K77" s="21"/>
      <c r="L77" s="21"/>
      <c r="M77" s="21"/>
    </row>
    <row r="78" spans="1:13" s="16" customFormat="1" ht="25.5" customHeight="1">
      <c r="A78" s="19"/>
      <c r="B78" s="20"/>
      <c r="C78" s="20"/>
      <c r="D78" s="20"/>
      <c r="E78" s="21"/>
      <c r="F78" s="21"/>
      <c r="G78" s="21"/>
      <c r="H78" s="21"/>
      <c r="I78" s="21"/>
      <c r="J78" s="21"/>
      <c r="K78" s="21"/>
      <c r="L78" s="21"/>
      <c r="M78" s="21"/>
    </row>
    <row r="79" spans="1:13" s="16" customFormat="1" ht="25.5" customHeight="1">
      <c r="A79" s="19"/>
      <c r="B79" s="20"/>
      <c r="C79" s="20"/>
      <c r="D79" s="20"/>
      <c r="E79" s="21"/>
      <c r="F79" s="21"/>
      <c r="G79" s="21"/>
      <c r="H79" s="21"/>
      <c r="I79" s="21"/>
      <c r="J79" s="21"/>
      <c r="K79" s="21"/>
      <c r="L79" s="21"/>
      <c r="M79" s="21"/>
    </row>
    <row r="80" spans="1:13" s="16" customFormat="1" ht="25.5" customHeight="1">
      <c r="A80" s="19"/>
      <c r="B80" s="20"/>
      <c r="C80" s="20"/>
      <c r="D80" s="20"/>
      <c r="E80" s="21"/>
      <c r="F80" s="21"/>
      <c r="G80" s="21"/>
      <c r="H80" s="21"/>
      <c r="I80" s="21"/>
      <c r="J80" s="21"/>
      <c r="K80" s="21"/>
      <c r="L80" s="21"/>
      <c r="M80" s="21"/>
    </row>
    <row r="81" spans="1:13" s="16" customFormat="1" ht="25.5" customHeight="1">
      <c r="A81" s="19"/>
      <c r="B81" s="20"/>
      <c r="C81" s="20"/>
      <c r="D81" s="20"/>
      <c r="E81" s="21"/>
      <c r="F81" s="21"/>
      <c r="G81" s="21"/>
      <c r="H81" s="21"/>
      <c r="I81" s="21"/>
      <c r="J81" s="21"/>
      <c r="K81" s="21"/>
      <c r="L81" s="21"/>
      <c r="M81" s="21"/>
    </row>
    <row r="82" spans="1:13" s="16" customFormat="1" ht="25.5" customHeight="1">
      <c r="A82" s="19"/>
      <c r="B82" s="20"/>
      <c r="C82" s="20"/>
      <c r="D82" s="20"/>
      <c r="E82" s="21"/>
      <c r="F82" s="21"/>
      <c r="G82" s="21"/>
      <c r="H82" s="21"/>
      <c r="I82" s="21"/>
      <c r="J82" s="21"/>
      <c r="K82" s="21"/>
      <c r="L82" s="21"/>
      <c r="M82" s="21"/>
    </row>
    <row r="83" spans="1:13" s="16" customFormat="1" ht="25.5" customHeight="1">
      <c r="A83" s="19"/>
      <c r="B83" s="20"/>
      <c r="C83" s="20"/>
      <c r="D83" s="20"/>
      <c r="E83" s="21"/>
      <c r="F83" s="21"/>
      <c r="G83" s="21"/>
      <c r="H83" s="21"/>
      <c r="I83" s="21"/>
      <c r="J83" s="21"/>
      <c r="K83" s="21"/>
      <c r="L83" s="21"/>
      <c r="M83" s="21"/>
    </row>
    <row r="84" spans="1:13" s="16" customFormat="1" ht="25.5" customHeight="1">
      <c r="A84" s="19"/>
      <c r="B84" s="20"/>
      <c r="C84" s="20"/>
      <c r="D84" s="20"/>
      <c r="E84" s="21"/>
      <c r="F84" s="21"/>
      <c r="G84" s="21"/>
      <c r="H84" s="21"/>
      <c r="I84" s="21"/>
      <c r="J84" s="21"/>
      <c r="K84" s="21"/>
      <c r="L84" s="21"/>
      <c r="M84" s="21"/>
    </row>
    <row r="85" spans="1:13" s="16" customFormat="1" ht="25.5" customHeight="1">
      <c r="A85" s="19"/>
      <c r="B85" s="20"/>
      <c r="C85" s="20"/>
      <c r="D85" s="20"/>
      <c r="E85" s="21"/>
      <c r="F85" s="21"/>
      <c r="G85" s="21"/>
      <c r="H85" s="21"/>
      <c r="I85" s="21"/>
      <c r="J85" s="21"/>
      <c r="K85" s="21"/>
      <c r="L85" s="21"/>
      <c r="M85" s="21"/>
    </row>
    <row r="86" spans="1:13" s="16" customFormat="1" ht="25.5" customHeight="1">
      <c r="A86" s="19"/>
      <c r="B86" s="20"/>
      <c r="C86" s="20"/>
      <c r="D86" s="20"/>
      <c r="E86" s="21"/>
      <c r="F86" s="21"/>
      <c r="G86" s="21"/>
      <c r="H86" s="21"/>
      <c r="I86" s="21"/>
      <c r="J86" s="21"/>
      <c r="K86" s="21"/>
      <c r="L86" s="21"/>
      <c r="M86" s="21"/>
    </row>
    <row r="87" spans="1:13" s="16" customFormat="1" ht="25.5" customHeight="1">
      <c r="A87" s="19"/>
      <c r="B87" s="20"/>
      <c r="C87" s="20"/>
      <c r="D87" s="20"/>
      <c r="E87" s="21"/>
      <c r="F87" s="21"/>
      <c r="G87" s="21"/>
      <c r="H87" s="21"/>
      <c r="I87" s="21"/>
      <c r="J87" s="21"/>
      <c r="K87" s="21"/>
      <c r="L87" s="21"/>
      <c r="M87" s="21"/>
    </row>
    <row r="88" spans="1:13" s="16" customFormat="1" ht="25.5" customHeight="1">
      <c r="A88" s="19"/>
      <c r="B88" s="20"/>
      <c r="C88" s="20"/>
      <c r="D88" s="20"/>
      <c r="E88" s="21"/>
      <c r="F88" s="21"/>
      <c r="G88" s="21"/>
      <c r="H88" s="21"/>
      <c r="I88" s="21"/>
      <c r="J88" s="21"/>
      <c r="K88" s="21"/>
      <c r="L88" s="21"/>
      <c r="M88" s="21"/>
    </row>
    <row r="89" spans="1:13" s="16" customFormat="1" ht="25.5" customHeight="1">
      <c r="A89" s="19"/>
      <c r="B89" s="20"/>
      <c r="C89" s="20"/>
      <c r="D89" s="20"/>
      <c r="E89" s="21"/>
      <c r="F89" s="21"/>
      <c r="G89" s="21"/>
      <c r="H89" s="21"/>
      <c r="I89" s="21"/>
      <c r="J89" s="21"/>
      <c r="K89" s="21"/>
      <c r="L89" s="21"/>
      <c r="M89" s="21"/>
    </row>
    <row r="90" spans="1:13" s="16" customFormat="1" ht="25.5" customHeight="1">
      <c r="A90" s="19"/>
      <c r="B90" s="20"/>
      <c r="C90" s="20"/>
      <c r="D90" s="20"/>
      <c r="E90" s="21"/>
      <c r="F90" s="21"/>
      <c r="G90" s="21"/>
      <c r="H90" s="21"/>
      <c r="I90" s="21"/>
      <c r="J90" s="21"/>
      <c r="K90" s="21"/>
      <c r="L90" s="21"/>
      <c r="M90" s="21"/>
    </row>
    <row r="91" spans="1:13" s="16" customFormat="1" ht="25.5" customHeight="1">
      <c r="A91" s="19"/>
      <c r="B91" s="20"/>
      <c r="C91" s="20"/>
      <c r="D91" s="20"/>
      <c r="E91" s="21"/>
      <c r="F91" s="21"/>
      <c r="G91" s="21"/>
      <c r="H91" s="21"/>
      <c r="I91" s="21"/>
      <c r="J91" s="21"/>
      <c r="K91" s="21"/>
      <c r="L91" s="21"/>
      <c r="M91" s="21"/>
    </row>
    <row r="92" spans="1:13" s="16" customFormat="1" ht="25.5" customHeight="1">
      <c r="A92" s="19"/>
      <c r="B92" s="20"/>
      <c r="C92" s="20"/>
      <c r="D92" s="20"/>
      <c r="E92" s="21"/>
      <c r="F92" s="21"/>
      <c r="G92" s="21"/>
      <c r="H92" s="21"/>
      <c r="I92" s="21"/>
      <c r="J92" s="21"/>
      <c r="K92" s="21"/>
      <c r="L92" s="21"/>
      <c r="M92" s="21"/>
    </row>
    <row r="93" spans="1:13" s="16" customFormat="1" ht="25.5" customHeight="1">
      <c r="A93" s="19"/>
      <c r="B93" s="20"/>
      <c r="C93" s="20"/>
      <c r="D93" s="20"/>
      <c r="E93" s="21"/>
      <c r="F93" s="21"/>
      <c r="G93" s="21"/>
      <c r="H93" s="21"/>
      <c r="I93" s="21"/>
      <c r="J93" s="21"/>
      <c r="K93" s="21"/>
      <c r="L93" s="21"/>
      <c r="M93" s="21"/>
    </row>
    <row r="94" spans="1:13" s="16" customFormat="1" ht="25.5" customHeight="1">
      <c r="A94" s="19"/>
      <c r="B94" s="20"/>
      <c r="C94" s="20"/>
      <c r="D94" s="20"/>
      <c r="E94" s="21"/>
      <c r="F94" s="21"/>
      <c r="G94" s="21"/>
      <c r="H94" s="21"/>
      <c r="I94" s="21"/>
      <c r="J94" s="21"/>
      <c r="K94" s="21"/>
      <c r="L94" s="21"/>
      <c r="M94" s="21"/>
    </row>
    <row r="95" spans="1:13" s="16" customFormat="1" ht="25.5" customHeight="1">
      <c r="A95" s="19"/>
      <c r="B95" s="20"/>
      <c r="C95" s="20"/>
      <c r="D95" s="20"/>
      <c r="E95" s="21"/>
      <c r="F95" s="21"/>
      <c r="G95" s="21"/>
      <c r="H95" s="21"/>
      <c r="I95" s="21"/>
      <c r="J95" s="21"/>
      <c r="K95" s="21"/>
      <c r="L95" s="21"/>
      <c r="M95" s="21"/>
    </row>
    <row r="96" spans="1:13" s="16" customFormat="1" ht="25.5" customHeight="1">
      <c r="A96" s="19"/>
      <c r="B96" s="20"/>
      <c r="C96" s="20"/>
      <c r="D96" s="20"/>
      <c r="E96" s="21"/>
      <c r="F96" s="21"/>
      <c r="G96" s="21"/>
      <c r="H96" s="21"/>
      <c r="I96" s="21"/>
      <c r="J96" s="21"/>
      <c r="K96" s="21"/>
      <c r="L96" s="21"/>
      <c r="M96" s="21"/>
    </row>
    <row r="97" spans="1:13" s="16" customFormat="1" ht="25.5" customHeight="1">
      <c r="A97" s="19"/>
      <c r="B97" s="20"/>
      <c r="C97" s="20"/>
      <c r="D97" s="20"/>
      <c r="E97" s="21"/>
      <c r="F97" s="21"/>
      <c r="G97" s="21"/>
      <c r="H97" s="21"/>
      <c r="I97" s="21"/>
      <c r="J97" s="21"/>
      <c r="K97" s="21"/>
      <c r="L97" s="21"/>
      <c r="M97" s="21"/>
    </row>
    <row r="98" spans="1:13" s="16" customFormat="1" ht="25.5" customHeight="1">
      <c r="A98" s="19"/>
      <c r="B98" s="20"/>
      <c r="C98" s="20"/>
      <c r="D98" s="20"/>
      <c r="E98" s="21"/>
      <c r="F98" s="21"/>
      <c r="G98" s="21"/>
      <c r="H98" s="21"/>
      <c r="I98" s="21"/>
      <c r="J98" s="21"/>
      <c r="K98" s="21"/>
      <c r="L98" s="21"/>
      <c r="M98" s="21"/>
    </row>
    <row r="99" spans="1:13" s="16" customFormat="1" ht="25.5" customHeight="1">
      <c r="A99" s="19"/>
      <c r="B99" s="20"/>
      <c r="C99" s="20"/>
      <c r="D99" s="20"/>
      <c r="E99" s="21"/>
      <c r="F99" s="21"/>
      <c r="G99" s="21"/>
      <c r="H99" s="21"/>
      <c r="I99" s="21"/>
      <c r="J99" s="21"/>
      <c r="K99" s="21"/>
      <c r="L99" s="21"/>
      <c r="M99" s="21"/>
    </row>
    <row r="100" spans="1:13" s="16" customFormat="1" ht="25.5" customHeight="1">
      <c r="A100" s="19"/>
      <c r="B100" s="20"/>
      <c r="C100" s="20"/>
      <c r="D100" s="20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 s="16" customFormat="1" ht="25.5" customHeight="1">
      <c r="A101" s="19"/>
      <c r="B101" s="20"/>
      <c r="C101" s="20"/>
      <c r="D101" s="20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 s="16" customFormat="1" ht="25.5" customHeight="1">
      <c r="A102" s="19"/>
      <c r="B102" s="20"/>
      <c r="C102" s="20"/>
      <c r="D102" s="20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 s="16" customFormat="1" ht="25.5" customHeight="1">
      <c r="A103" s="19"/>
      <c r="B103" s="20"/>
      <c r="C103" s="20"/>
      <c r="D103" s="20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32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2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2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