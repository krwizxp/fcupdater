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유류비!$A$14:$W$730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<sst xmlns="http://schemas.openxmlformats.org/spreadsheetml/2006/main" count="4776" uniqueCount="2180">
  <si>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</si>
  <si>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</si>
  <si>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</si>
  <si>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</si>
  <si>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</si>
  <si>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</si>
  <si>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</si>
  <si>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</si>
  <si>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</si>
  <si>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</si>
  <si>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</si>
  <si>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</si>
  <si>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</si>
  <si>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</si>
  <si>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</si>
  <si>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</si>
  <si>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</si>
  <si>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</si>
  <si>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</si>
  <si>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</si>
  <si>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</si>
  <si>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</si>
  <si>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</si>
  <si>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</si>
  <si>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</si>
  <si>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</si>
  <si>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</si>
  <si>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</si>
  <si>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</si>
  <si>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</si>
  <si>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</si>
  <si>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</si>
  <si>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</si>
  <si>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</si>
  <si>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</si>
  <si>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</si>
  <si>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</si>
  <si>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</si>
  <si>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</si>
  <si>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</si>
  <si>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</si>
  <si>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</si>
  <si>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㈜다모아주유소</t>
  </si>
  <si>
    <t xml:space="preserve">HD현대오일뱅크</t>
  </si>
  <si>
    <t xml:space="preserve">Y</t>
  </si>
  <si>
    <t xml:space="preserve">충남 공주시 금벽로 809</t>
  </si>
  <si>
    <t xml:space="preserve">041-853-5289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</si>
  <si>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</si>
  <si>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</si>
  <si>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</si>
  <si>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042-861-7766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</si>
  <si>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</si>
  <si>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</si>
  <si>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</si>
  <si>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지에스칼텍스㈜구봉산셀프주유소</t>
  </si>
  <si>
    <t xml:space="preserve">대전 서구 구봉로 208</t>
  </si>
  <si>
    <t xml:space="preserve">042-256-8333</t>
  </si>
  <si>
    <t xml:space="preserve">지에스칼텍스(주)대덕밸리주유소</t>
  </si>
  <si>
    <t xml:space="preserve">N</t>
  </si>
  <si>
    <t xml:space="preserve">대전 유성구 대덕대로 938</t>
  </si>
  <si>
    <t xml:space="preserve">042-863-0020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</si>
  <si>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</si>
  <si>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</si>
  <si>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</si>
  <si>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</si>
  <si>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</si>
  <si>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</si>
  <si>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</si>
  <si>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</si>
  <si>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</si>
  <si>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</si>
  <si>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</si>
  <si>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</si>
  <si>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</si>
  <si>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</si>
  <si>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</si>
  <si>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</si>
  <si>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</si>
  <si>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</si>
  <si>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</si>
  <si>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</si>
  <si>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</si>
  <si>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</si>
  <si>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</si>
  <si>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</si>
  <si>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</si>
  <si>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</si>
  <si>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</si>
  <si>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</si>
  <si>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</si>
  <si>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</si>
  <si>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HD현대오일뱅크㈜직영 동원주유소</t>
  </si>
  <si>
    <t xml:space="preserve">대전 동구 옥천로 355-3</t>
  </si>
  <si>
    <t xml:space="preserve">042-282-5155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</si>
  <si>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</si>
  <si>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</si>
  <si>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</si>
  <si>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중도석유(주)오정동주유소</t>
  </si>
  <si>
    <t xml:space="preserve">대전 대덕구 대전로 1144 (오정동)</t>
  </si>
  <si>
    <t xml:space="preserve">042-672-4843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</si>
  <si>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</si>
  <si>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</si>
  <si>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</si>
  <si>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</si>
  <si>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</si>
  <si>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</si>
  <si>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</si>
  <si>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</si>
  <si>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</si>
  <si>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호원셀프주유소</t>
  </si>
  <si>
    <t xml:space="preserve">대전 동구 한밭대로 1315 (용전동)</t>
  </si>
  <si>
    <t xml:space="preserve">042-672-2954</t>
  </si>
  <si>
    <t xml:space="preserve">주식회사대동현대셀프</t>
  </si>
  <si>
    <t xml:space="preserve">대전 동구 계족로 126</t>
  </si>
  <si>
    <t xml:space="preserve">010-4672-2452</t>
  </si>
  <si>
    <t xml:space="preserve">첨단셀프주유소</t>
  </si>
  <si>
    <t xml:space="preserve">대전 유성구 가정로 27</t>
  </si>
  <si>
    <t xml:space="preserve">010-9523-2452</t>
  </si>
  <si>
    <t xml:space="preserve">화암동셀프주유소</t>
  </si>
  <si>
    <t xml:space="preserve">대전 유성구 대덕대로 804 (화암동)</t>
  </si>
  <si>
    <t xml:space="preserve">042-863-6643</t>
  </si>
  <si>
    <t xml:space="preserve">서남부주유소</t>
  </si>
  <si>
    <t xml:space="preserve">대전 유성구 유성대로 44 (원내동)</t>
  </si>
  <si>
    <t xml:space="preserve">042-542-5189</t>
  </si>
  <si>
    <t xml:space="preserve">㈜서대전 IC self 주유소</t>
  </si>
  <si>
    <t xml:space="preserve">대전 유성구 계백로 476 (방동)</t>
  </si>
  <si>
    <t xml:space="preserve">042-544-8811</t>
  </si>
  <si>
    <t xml:space="preserve">상서현대셀프</t>
  </si>
  <si>
    <t xml:space="preserve">대전 대덕구 신탄진로 519 (상서동)</t>
  </si>
  <si>
    <t xml:space="preserve">042-931-8097</t>
  </si>
  <si>
    <t xml:space="preserve">㈜진성 가람Self주유소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</si>
  <si>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</si>
  <si>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세종특별자치시 금송로 589</t>
  </si>
  <si>
    <t xml:space="preserve">044-868-5117</t>
  </si>
  <si>
    <t xml:space="preserve">대전북부새마을금고주유소</t>
  </si>
  <si>
    <t xml:space="preserve">대전 대덕구 신탄진로 792</t>
  </si>
  <si>
    <t xml:space="preserve">042-933-5182</t>
  </si>
  <si>
    <t xml:space="preserve">대양석유㈜ 엑스포주유소</t>
  </si>
  <si>
    <t xml:space="preserve">대전 유성구 대덕대로 542</t>
  </si>
  <si>
    <t xml:space="preserve">042-863-6692</t>
  </si>
  <si>
    <t xml:space="preserve">(주)문의IC주유소</t>
  </si>
  <si>
    <t xml:space="preserve">S-OIL</t>
  </si>
  <si>
    <t xml:space="preserve">충북 청주시 상당구 문의면 미천고은로 63</t>
  </si>
  <si>
    <t xml:space="preserve">043-295-3733</t>
  </si>
  <si>
    <t xml:space="preserve">대평주유소</t>
  </si>
  <si>
    <t xml:space="preserve">세종특별자치시 금남면 용포로 109</t>
  </si>
  <si>
    <t xml:space="preserve">044-866-7061</t>
  </si>
  <si>
    <t xml:space="preserve">진영주유가스충전소</t>
  </si>
  <si>
    <t xml:space="preserve">충북 청주시 상당구 미천고은로 152</t>
  </si>
  <si>
    <t xml:space="preserve">043-291-0542</t>
  </si>
  <si>
    <t xml:space="preserve">신관주유소</t>
  </si>
  <si>
    <t xml:space="preserve">충남 공주시 관골1길 34-1</t>
  </si>
  <si>
    <t xml:space="preserve">041-856-5181</t>
  </si>
  <si>
    <t xml:space="preserve">그린주유소</t>
  </si>
  <si>
    <t xml:space="preserve">세종 조치원읍 세종로 2706</t>
  </si>
  <si>
    <t xml:space="preserve">044-866-5142</t>
  </si>
  <si>
    <t xml:space="preserve">오월드주유소</t>
  </si>
  <si>
    <t xml:space="preserve">대전 중구 대둔산로 359 (사정동)</t>
  </si>
  <si>
    <t xml:space="preserve">042-583-5151</t>
  </si>
  <si>
    <t xml:space="preserve">신일주유소</t>
  </si>
  <si>
    <t xml:space="preserve">대전 대덕구 산업단지로 112</t>
  </si>
  <si>
    <t xml:space="preserve">042-936-5145</t>
  </si>
  <si>
    <t xml:space="preserve">㈜남강 중앙로셀프주유소</t>
  </si>
  <si>
    <t xml:space="preserve">대전 중구 중앙로 64</t>
  </si>
  <si>
    <t xml:space="preserve">042-256-0238</t>
  </si>
  <si>
    <t xml:space="preserve">햇빛주유소</t>
  </si>
  <si>
    <t xml:space="preserve">대전 유성구 계백로 87 (송정동)</t>
  </si>
  <si>
    <t xml:space="preserve">042-825-6266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</si>
  <si>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</si>
  <si>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</si>
  <si>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</si>
  <si>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㈜연정 농수산주유소</t>
  </si>
  <si>
    <t xml:space="preserve">대전 대덕구 한밭대로 1014</t>
  </si>
  <si>
    <t xml:space="preserve">042-635-1587</t>
  </si>
  <si>
    <t xml:space="preserve">신흥주유소</t>
  </si>
  <si>
    <t xml:space="preserve">충북 청주시 청원구 2순환로 96 (율량동)</t>
  </si>
  <si>
    <t xml:space="preserve">043-241-5182</t>
  </si>
  <si>
    <t xml:space="preserve">KK㈜ 대전중앙주유소</t>
  </si>
  <si>
    <t xml:space="preserve">대전 유성구 유성대로 1647</t>
  </si>
  <si>
    <t xml:space="preserve">042-862-2631</t>
  </si>
  <si>
    <t xml:space="preserve">서원경주유소</t>
  </si>
  <si>
    <t xml:space="preserve">충북 청주시 흥덕구 직지대로 579 (봉명동)</t>
  </si>
  <si>
    <t xml:space="preserve">043-274-2505</t>
  </si>
  <si>
    <t xml:space="preserve">하나로주유소</t>
  </si>
  <si>
    <t xml:space="preserve">대전 중구 대둔산로 211 (안영동)</t>
  </si>
  <si>
    <t xml:space="preserve">042-581-5189</t>
  </si>
  <si>
    <t xml:space="preserve">구도일태전주유소</t>
  </si>
  <si>
    <t xml:space="preserve">대전 유성구 엑스포로 259 (원촌동)</t>
  </si>
  <si>
    <t xml:space="preserve">042-863-5104</t>
  </si>
  <si>
    <t xml:space="preserve">KH에너지㈜직영 둔산주유소</t>
  </si>
  <si>
    <t xml:space="preserve">대전 서구 둔산로 139</t>
  </si>
  <si>
    <t xml:space="preserve">042-484-5531</t>
  </si>
  <si>
    <t xml:space="preserve">금빛주유소</t>
  </si>
  <si>
    <t xml:space="preserve">세종특별자치시 조치원읍 새내로 182</t>
  </si>
  <si>
    <t xml:space="preserve">044-865-2251</t>
  </si>
  <si>
    <t xml:space="preserve">아원주유소</t>
  </si>
  <si>
    <t xml:space="preserve">대전 동구 계족로 326</t>
  </si>
  <si>
    <t xml:space="preserve">042-625-2928</t>
  </si>
  <si>
    <t xml:space="preserve">골든벨주유소</t>
  </si>
  <si>
    <t xml:space="preserve">충북 청주시 상당구 용담동 산성로183</t>
  </si>
  <si>
    <t xml:space="preserve">043-287-5149</t>
  </si>
  <si>
    <t xml:space="preserve">KK㈜ 천안중앙2주유소</t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</si>
  <si>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</si>
  <si>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</si>
  <si>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</si>
  <si>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</si>
  <si>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</si>
  <si>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</si>
  <si>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</si>
  <si>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</si>
  <si>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041-622-5189</t>
  </si>
  <si>
    <t xml:space="preserve">은성주유소</t>
  </si>
  <si>
    <t xml:space="preserve">충남 천안시 서북구 성거읍 망향로 819</t>
  </si>
  <si>
    <t xml:space="preserve">041-522-1886</t>
  </si>
  <si>
    <t xml:space="preserve">죽림주유소</t>
  </si>
  <si>
    <t xml:space="preserve">충북 청주시 서원구 대림로 451 (죽림동)</t>
  </si>
  <si>
    <t xml:space="preserve">043-239-5151</t>
  </si>
  <si>
    <t xml:space="preserve">(유)용명에너지 신대전셀프주유소</t>
  </si>
  <si>
    <t xml:space="preserve">대전 서구 도산로 213</t>
  </si>
  <si>
    <t xml:space="preserve">042-533-6045</t>
  </si>
  <si>
    <t xml:space="preserve">판암하늘셀프주유소</t>
  </si>
  <si>
    <t xml:space="preserve">대전 동구 옥천로 77</t>
  </si>
  <si>
    <t xml:space="preserve">042-286-5189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</si>
  <si>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</si>
  <si>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</si>
  <si>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</si>
  <si>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신가오주유소</t>
  </si>
  <si>
    <t xml:space="preserve">대전 동구 은어송로 38 (가오동)</t>
  </si>
  <si>
    <t xml:space="preserve">042-272-7171</t>
  </si>
  <si>
    <t xml:space="preserve">대양석유㈜ 덕성셀프주유소</t>
  </si>
  <si>
    <t xml:space="preserve">대전 동구 대전로 287</t>
  </si>
  <si>
    <t xml:space="preserve">042-286-5151</t>
  </si>
  <si>
    <t xml:space="preserve">대성셀프주유소</t>
  </si>
  <si>
    <t xml:space="preserve">대전 동구 대전로 292 (대성동)</t>
  </si>
  <si>
    <t xml:space="preserve">042-286-9505</t>
  </si>
  <si>
    <t xml:space="preserve">(주)에너비즈 명품주유소</t>
  </si>
  <si>
    <t xml:space="preserve">대전 서구 배재로 218 (도마동)</t>
  </si>
  <si>
    <t xml:space="preserve">042-521-0051</t>
  </si>
  <si>
    <t xml:space="preserve">용전셀프주유소</t>
  </si>
  <si>
    <t xml:space="preserve">대전 동구 동서대로 1627(홍도동)</t>
  </si>
  <si>
    <t xml:space="preserve">042-637-8838</t>
  </si>
  <si>
    <t xml:space="preserve">장모님셀프주유소</t>
  </si>
  <si>
    <t xml:space="preserve">충남 천안시 동남구 서부대로 69</t>
  </si>
  <si>
    <t xml:space="preserve">041-573-2277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</si>
  <si>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</si>
  <si>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</si>
  <si>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</si>
  <si>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</si>
  <si>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</si>
  <si>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</si>
  <si>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㈜서부탑주유소</t>
  </si>
  <si>
    <t xml:space="preserve">충남 천안시 서북구 서부대로 596</t>
  </si>
  <si>
    <t xml:space="preserve">041-577-8951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</si>
  <si>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</si>
  <si>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</si>
  <si>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</si>
  <si>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</si>
  <si>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</si>
  <si>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</si>
  <si>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코리아에너지(주)</t>
  </si>
  <si>
    <t xml:space="preserve">충북 청주시 청원구 공항로 235</t>
  </si>
  <si>
    <t xml:space="preserve">043-241-5145</t>
  </si>
  <si>
    <t xml:space="preserve">SK에너지(주) 소담self주유소</t>
  </si>
  <si>
    <t xml:space="preserve">세종특별자치시 소담로 40</t>
  </si>
  <si>
    <t xml:space="preserve">044-864-5145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</si>
  <si>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</si>
  <si>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</si>
  <si>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</si>
  <si>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</si>
  <si>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</si>
  <si>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</si>
  <si>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</si>
  <si>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</si>
  <si>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</si>
  <si>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</si>
  <si>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</si>
  <si>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</si>
  <si>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</si>
  <si>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</si>
  <si>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</si>
  <si>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</si>
  <si>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</si>
  <si>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</si>
  <si>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043-264-5151</t>
  </si>
  <si>
    <t xml:space="preserve">창현주유소</t>
  </si>
  <si>
    <t xml:space="preserve">충북 청주시 흥덕구 강내면 가로수로 567-9</t>
  </si>
  <si>
    <t xml:space="preserve">043-234-5331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</si>
  <si>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</si>
  <si>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</si>
  <si>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</si>
  <si>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</si>
  <si>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</si>
  <si>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</si>
  <si>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</si>
  <si>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</si>
  <si>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</si>
  <si>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</si>
  <si>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</si>
  <si>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</si>
  <si>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</si>
  <si>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</si>
  <si>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</si>
  <si>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</si>
  <si>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</si>
  <si>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</si>
  <si>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</si>
  <si>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</si>
  <si>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</si>
  <si>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</si>
  <si>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</si>
  <si>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</si>
  <si>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</si>
  <si>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</si>
  <si>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</si>
  <si>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</si>
  <si>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지에스칼텍스(주)21세기주유소</t>
  </si>
  <si>
    <t xml:space="preserve">대전 유성구 유성대로 845</t>
  </si>
  <si>
    <t xml:space="preserve">042-825-2800</t>
  </si>
  <si>
    <t xml:space="preserve">HD현대오일뱅크㈜직영 교대셀프주유소</t>
  </si>
  <si>
    <t xml:space="preserve">충북 청주시 서원구 청남로 2005번길 2</t>
  </si>
  <si>
    <t xml:space="preserve">043-284-7001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</si>
  <si>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</si>
  <si>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</si>
  <si>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</si>
  <si>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SK에너지㈜ 예성주유소</t>
  </si>
  <si>
    <t xml:space="preserve">대전 유성구 도안동로 488</t>
  </si>
  <si>
    <t xml:space="preserve">042-822-6556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</si>
  <si>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</si>
  <si>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</si>
  <si>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</si>
  <si>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</si>
  <si>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</si>
  <si>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</si>
  <si>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</si>
  <si>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</si>
  <si>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</si>
  <si>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</si>
  <si>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</si>
  <si>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</si>
  <si>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</si>
  <si>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명품주유소</t>
  </si>
  <si>
    <t xml:space="preserve">충북 청주시 서원구 산미로 39 (미평동)</t>
  </si>
  <si>
    <t xml:space="preserve">043-223-7000</t>
  </si>
  <si>
    <t xml:space="preserve">SK에너지㈜ 훼미리주유소</t>
  </si>
  <si>
    <t xml:space="preserve">충남 천안시 서북구 망향로 244</t>
  </si>
  <si>
    <t xml:space="preserve">041-564-5158</t>
  </si>
  <si>
    <t xml:space="preserve">강서행복주유소</t>
  </si>
  <si>
    <t xml:space="preserve">충북 청주시 흥덕구 서현로 16 (가경동)</t>
  </si>
  <si>
    <t xml:space="preserve">043-238-0051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</si>
  <si>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</si>
  <si>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</si>
  <si>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</si>
  <si>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</si>
  <si>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</si>
  <si>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</si>
  <si>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</si>
  <si>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</si>
  <si>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</si>
  <si>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(주)청주관문주유소</t>
  </si>
  <si>
    <t xml:space="preserve">충북 청주시 서원구 청남로 1894</t>
  </si>
  <si>
    <t xml:space="preserve">043-292-1710</t>
  </si>
  <si>
    <t xml:space="preserve">신성주유소</t>
  </si>
  <si>
    <t xml:space="preserve">대전 유성구 가정북로 163</t>
  </si>
  <si>
    <t xml:space="preserve">042-861-0896</t>
  </si>
  <si>
    <t xml:space="preserve">주식회사 가수원주유소</t>
  </si>
  <si>
    <t xml:space="preserve">대전 서구 계백로 1176 (가수원동)</t>
  </si>
  <si>
    <t xml:space="preserve">042-543-5189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</si>
  <si>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</si>
  <si>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</si>
  <si>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</si>
  <si>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(주)행복주유소</t>
  </si>
  <si>
    <t xml:space="preserve">충북 청주시 청원구 충청대로 258</t>
  </si>
  <si>
    <t xml:space="preserve">043-218-5140</t>
  </si>
  <si>
    <t xml:space="preserve">성진주유소</t>
  </si>
  <si>
    <t xml:space="preserve">충북 청주시 서원구 남이면 대림로 325</t>
  </si>
  <si>
    <t xml:space="preserve">043-234-5185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</si>
  <si>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</si>
  <si>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</si>
  <si>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</si>
  <si>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강남셀프주유소</t>
  </si>
  <si>
    <t xml:space="preserve">충남 공주시 우금티로 745 (옥룡동)</t>
  </si>
  <si>
    <t xml:space="preserve">041-856-1250</t>
  </si>
  <si>
    <t xml:space="preserve">대성</t>
  </si>
  <si>
    <t xml:space="preserve">충북 청주시 상당구 용담로 101</t>
  </si>
  <si>
    <t xml:space="preserve">043-222-0999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</si>
  <si>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</si>
  <si>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</si>
  <si>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</si>
  <si>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</si>
  <si>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</si>
  <si>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</si>
  <si>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고운self주유소</t>
  </si>
  <si>
    <t xml:space="preserve">세종특별자치시 마음안로 136  (고운동)</t>
  </si>
  <si>
    <t xml:space="preserve">044-867-5188</t>
  </si>
  <si>
    <t xml:space="preserve">서청주주유소</t>
  </si>
  <si>
    <t xml:space="preserve">충북 청주시 흥덕구 1순환로 572 (봉명동)</t>
  </si>
  <si>
    <t xml:space="preserve">043-268-5151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</si>
  <si>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</si>
  <si>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</si>
  <si>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</si>
  <si>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양궁장주유소</t>
  </si>
  <si>
    <t xml:space="preserve">충북 청주시 상당구 1순환로 1500 (용정동)</t>
  </si>
  <si>
    <t xml:space="preserve">043-287-5151</t>
  </si>
  <si>
    <t xml:space="preserve">승덕주유소</t>
  </si>
  <si>
    <t xml:space="preserve">세종특별자치시 소정면 세종로 4317</t>
  </si>
  <si>
    <t xml:space="preserve">044-566-8351</t>
  </si>
  <si>
    <t xml:space="preserve">KK㈜ 청주중앙1주유소</t>
  </si>
  <si>
    <t xml:space="preserve">충북 청주시 상당구 중고개로 295</t>
  </si>
  <si>
    <t xml:space="preserve">043-252-0334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</si>
  <si>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</si>
  <si>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</si>
  <si>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</si>
  <si>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행복주유소</t>
  </si>
  <si>
    <t xml:space="preserve">충북 청주시 흥덕구 엘지로 11</t>
  </si>
  <si>
    <t xml:space="preserve">043-272-7779</t>
  </si>
  <si>
    <t xml:space="preserve">㈜해우 동세종주유소</t>
  </si>
  <si>
    <t xml:space="preserve">세종 부강면 세종청주로 205</t>
  </si>
  <si>
    <t xml:space="preserve">044-867-3447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</si>
  <si>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</si>
  <si>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</si>
  <si>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</si>
  <si>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서천안 ㈜오일컴퍼니</t>
  </si>
  <si>
    <t xml:space="preserve">충남 천안시 동남구 풍세로 689</t>
  </si>
  <si>
    <t xml:space="preserve">041-574-5188</t>
  </si>
  <si>
    <t xml:space="preserve">신광명주유소</t>
  </si>
  <si>
    <t xml:space="preserve">충남 천안시 동남구 천안대로 220 (삼룡동)</t>
  </si>
  <si>
    <t xml:space="preserve">041-555-5149</t>
  </si>
  <si>
    <t xml:space="preserve">장암주유소</t>
  </si>
  <si>
    <t xml:space="preserve">충남 공주시 금벽로 1083</t>
  </si>
  <si>
    <t xml:space="preserve">041-856-5189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</si>
  <si>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</si>
  <si>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</si>
  <si>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</si>
  <si>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</si>
  <si>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</si>
  <si>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</si>
  <si>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</si>
  <si>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</si>
  <si>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</si>
  <si>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㈜바이미 아름셀프주유소</t>
  </si>
  <si>
    <t xml:space="preserve">세종특별자치시 세종로 1328</t>
  </si>
  <si>
    <t xml:space="preserve">044-864-5184</t>
  </si>
  <si>
    <t xml:space="preserve">(주)동인청사 구도일주유소 세종</t>
  </si>
  <si>
    <t xml:space="preserve">세종 시청대로 669</t>
  </si>
  <si>
    <t xml:space="preserve">044-864-5182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</si>
  <si>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</si>
  <si>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</si>
  <si>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</si>
  <si>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</si>
  <si>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</si>
  <si>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</si>
  <si>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드림Self주유소</t>
  </si>
  <si>
    <t xml:space="preserve">충남 공주시 정안면 차령로 3600</t>
  </si>
  <si>
    <t xml:space="preserve">041-858-5104</t>
  </si>
  <si>
    <t xml:space="preserve">대양셀프주유소</t>
  </si>
  <si>
    <t xml:space="preserve">충남 천안시 서북구 충무로 166 (쌍용동)</t>
  </si>
  <si>
    <t xml:space="preserve">041-572-4905</t>
  </si>
  <si>
    <t xml:space="preserve">쌍용셀프주유소</t>
  </si>
  <si>
    <t xml:space="preserve">충남 천안시 서북구 불당대로 294</t>
  </si>
  <si>
    <t xml:space="preserve">041-577-5185</t>
  </si>
  <si>
    <t xml:space="preserve">두정탑주유소</t>
  </si>
  <si>
    <t xml:space="preserve">충남 천안시 서북구 동서대로 61</t>
  </si>
  <si>
    <t xml:space="preserve">041-588-5189</t>
  </si>
  <si>
    <t xml:space="preserve">계룡주유소</t>
  </si>
  <si>
    <t xml:space="preserve">대전 유성구 현충원로 177</t>
  </si>
  <si>
    <t xml:space="preserve">042-822-5111</t>
  </si>
  <si>
    <t xml:space="preserve">동신셀프주유소</t>
  </si>
  <si>
    <t xml:space="preserve">충남 천안시 동남구 풍세로 907 (다가동)</t>
  </si>
  <si>
    <t xml:space="preserve">041-554-8848</t>
  </si>
  <si>
    <t xml:space="preserve">맘모스주유소</t>
  </si>
  <si>
    <t xml:space="preserve">충남 천안시 동남구 만남로 126 (신부동)</t>
  </si>
  <si>
    <t xml:space="preserve">041-563-7001</t>
  </si>
  <si>
    <t xml:space="preserve">㈜비타민셀프주유소</t>
  </si>
  <si>
    <t xml:space="preserve">충남 천안시 동남구 망향로 53</t>
  </si>
  <si>
    <t xml:space="preserve">041-622-1175</t>
  </si>
  <si>
    <t xml:space="preserve">대성주유소</t>
  </si>
  <si>
    <t xml:space="preserve">대전 유성구 아리랑로 12</t>
  </si>
  <si>
    <t xml:space="preserve">042-864-5155</t>
  </si>
  <si>
    <t xml:space="preserve">워터파크주유소</t>
  </si>
  <si>
    <t xml:space="preserve">충남 천안시 동남구 목천읍 충절로 1140</t>
  </si>
  <si>
    <t xml:space="preserve">041-568-5152</t>
  </si>
  <si>
    <t xml:space="preserve">아평주유소</t>
  </si>
  <si>
    <t xml:space="preserve">충남 천안시 동남구 천안대로 784</t>
  </si>
  <si>
    <t xml:space="preserve">041-000-0000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</si>
  <si>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</si>
  <si>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</si>
  <si>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</si>
  <si>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</si>
  <si>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</si>
  <si>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</si>
  <si>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</si>
  <si>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</si>
  <si>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</si>
  <si>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진우11주유소</t>
  </si>
  <si>
    <t xml:space="preserve">충남 천안시 동남구 쌍용대로 175</t>
  </si>
  <si>
    <t xml:space="preserve">041-578-9918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</si>
  <si>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</si>
  <si>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</si>
  <si>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</si>
  <si>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중도석유(주)금성주유소</t>
  </si>
  <si>
    <t xml:space="preserve">충북 청주시 흥덕구 직지대로 650</t>
  </si>
  <si>
    <t xml:space="preserve">043-263-8526</t>
  </si>
  <si>
    <t xml:space="preserve">햇님주유소</t>
  </si>
  <si>
    <t xml:space="preserve">충남 천안시 동남구 충절로 461</t>
  </si>
  <si>
    <t xml:space="preserve">041-551-0051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</si>
  <si>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</si>
  <si>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</si>
  <si>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</si>
  <si>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다온주유소</t>
  </si>
  <si>
    <t xml:space="preserve">충남 천안시 동남구 풍세로 930</t>
  </si>
  <si>
    <t xml:space="preserve">041-553-5189</t>
  </si>
  <si>
    <t xml:space="preserve">대성제5주유소</t>
  </si>
  <si>
    <t xml:space="preserve">충남 천안시 동남구 청수로 135</t>
  </si>
  <si>
    <t xml:space="preserve">041-555-5660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</si>
  <si>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</si>
  <si>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</si>
  <si>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</si>
  <si>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</si>
  <si>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</si>
  <si>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</si>
  <si>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</si>
  <si>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</si>
  <si>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</si>
  <si>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(주)대륙주유소</t>
  </si>
  <si>
    <t xml:space="preserve">충남 천안시 동남구 천안대로 782</t>
  </si>
  <si>
    <t xml:space="preserve">041-522-5156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</si>
  <si>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</si>
  <si>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</si>
  <si>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</si>
  <si>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</si>
  <si>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</si>
  <si>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</si>
  <si>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선영셀프주유소</t>
  </si>
  <si>
    <t xml:space="preserve">충남 천안시 서북구 백석로 248</t>
  </si>
  <si>
    <t xml:space="preserve">041-577-5533</t>
  </si>
  <si>
    <t xml:space="preserve">쌍용주유소 선인에너지</t>
  </si>
  <si>
    <t xml:space="preserve">대전 대덕구 신탄진로 83 (연축동)</t>
  </si>
  <si>
    <t xml:space="preserve">042-628-0088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</si>
  <si>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</si>
  <si>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</si>
  <si>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</si>
  <si>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</si>
  <si>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</si>
  <si>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</si>
  <si>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</si>
  <si>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</si>
  <si>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</si>
  <si>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세종로주유소</t>
  </si>
  <si>
    <t xml:space="preserve">세종 전의면 세종로 3880</t>
  </si>
  <si>
    <t xml:space="preserve">044-863-4508</t>
  </si>
  <si>
    <t xml:space="preserve">세종대왕주유소</t>
  </si>
  <si>
    <t xml:space="preserve">세종 전의면 세종로 3907</t>
  </si>
  <si>
    <t xml:space="preserve">044-272-0906</t>
  </si>
  <si>
    <t xml:space="preserve">강산주유소</t>
  </si>
  <si>
    <t xml:space="preserve">충북 청주시 상당구 가덕면 단재로 1377</t>
  </si>
  <si>
    <t xml:space="preserve">043-291-5185</t>
  </si>
  <si>
    <t xml:space="preserve">우리원셀프주유소</t>
  </si>
  <si>
    <t xml:space="preserve">대전 대덕구 신탄진로 383</t>
  </si>
  <si>
    <t xml:space="preserve">042-621-5185</t>
  </si>
  <si>
    <t xml:space="preserve">㈜삼화에너지 일월</t>
  </si>
  <si>
    <t xml:space="preserve">충남 공주시 정안면 차령로 3953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</si>
  <si>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</si>
  <si>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</si>
  <si>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</si>
  <si>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천지인주유소</t>
  </si>
  <si>
    <t xml:space="preserve">대전 중구 대종로 44</t>
  </si>
  <si>
    <t xml:space="preserve">042-272-6100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</si>
  <si>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</si>
  <si>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</si>
  <si>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</si>
  <si>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태양셀프주유소</t>
  </si>
  <si>
    <t xml:space="preserve">충남 공주시 정안면 차령로 3737</t>
  </si>
  <si>
    <t xml:space="preserve">041-881-2855</t>
  </si>
  <si>
    <t xml:space="preserve">신탄진농협주유소</t>
  </si>
  <si>
    <t xml:space="preserve">NH-OIL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</si>
  <si>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</si>
  <si>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</si>
  <si>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</si>
  <si>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</si>
  <si>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</si>
  <si>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일등주유소</t>
  </si>
  <si>
    <t xml:space="preserve">자가상표</t>
  </si>
  <si>
    <t xml:space="preserve">대전 대덕구 신탄진로 636 (평촌동)</t>
  </si>
  <si>
    <t xml:space="preserve">042-933-1346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</si>
  <si>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</si>
  <si>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</si>
  <si>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</si>
  <si>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</si>
  <si>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</si>
  <si>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㈜삼화에너지 차령</t>
  </si>
  <si>
    <t xml:space="preserve">충남 공주시 정안면 차령로 3952-18</t>
  </si>
  <si>
    <t xml:space="preserve">041-852-5180</t>
  </si>
  <si>
    <t xml:space="preserve">OK주유소</t>
  </si>
  <si>
    <t xml:space="preserve">대전 대덕구 대전로 1312 (읍내동)</t>
  </si>
  <si>
    <t xml:space="preserve">042-633-8757</t>
  </si>
  <si>
    <t xml:space="preserve">청룡휴게주유소</t>
  </si>
  <si>
    <t xml:space="preserve">충남 공주시 의당면 차령로 2218</t>
  </si>
  <si>
    <t xml:space="preserve">041-853-5189</t>
  </si>
  <si>
    <t xml:space="preserve">두바이주유소 도안씨티㈜</t>
  </si>
  <si>
    <t xml:space="preserve">대전 중구 보문로 117</t>
  </si>
  <si>
    <t xml:space="preserve">042-242-5250</t>
  </si>
  <si>
    <t xml:space="preserve">우리주유소</t>
  </si>
  <si>
    <t xml:space="preserve">충남 천안시 동남구 풍세로 895 (다가동)</t>
  </si>
  <si>
    <t xml:space="preserve">041-523-5100</t>
  </si>
  <si>
    <t xml:space="preserve">등고개주유소</t>
  </si>
  <si>
    <t xml:space="preserve">충북 청주시 상당구 남일면 교육원로 9</t>
  </si>
  <si>
    <t xml:space="preserve">043-298-5145</t>
  </si>
  <si>
    <t xml:space="preserve">평양주유소</t>
  </si>
  <si>
    <t xml:space="preserve">충북 청주시 서원구  사운로 69 (사직동)</t>
  </si>
  <si>
    <t xml:space="preserve">043-263-8287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</si>
  <si>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</si>
  <si>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</si>
  <si>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</si>
  <si>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강내농협주유소</t>
  </si>
  <si>
    <t xml:space="preserve">충북 청주시 흥덕구 강내면 가로수로 570</t>
  </si>
  <si>
    <t xml:space="preserve">043-238-9250</t>
  </si>
  <si>
    <t xml:space="preserve">원성깨비셀프</t>
  </si>
  <si>
    <t xml:space="preserve">충남 천안시 동남구 천안대로 653</t>
  </si>
  <si>
    <t xml:space="preserve">041-567-7983</t>
  </si>
  <si>
    <t xml:space="preserve">(주)이선 광장셀프주유소</t>
  </si>
  <si>
    <t xml:space="preserve">대전 동구 계족로 305</t>
  </si>
  <si>
    <t xml:space="preserve">042-623-2368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</si>
  <si>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</si>
  <si>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</si>
  <si>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</si>
  <si>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</si>
  <si>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</si>
  <si>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</si>
  <si>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신천안스테이션</t>
  </si>
  <si>
    <t xml:space="preserve">충남 천안시 동남구 목천읍 삼성4길 43</t>
  </si>
  <si>
    <t xml:space="preserve">000-000-0000</t>
  </si>
  <si>
    <t xml:space="preserve">아리랑주유소</t>
  </si>
  <si>
    <t xml:space="preserve">충북 청주시 흥덕구 1순환로 582 (봉명동)</t>
  </si>
  <si>
    <t xml:space="preserve">043-266-5150</t>
  </si>
  <si>
    <t xml:space="preserve">(주)김여사네 대전지점</t>
  </si>
  <si>
    <t xml:space="preserve">대전 중구 대종로 558 (선화동)</t>
  </si>
  <si>
    <t xml:space="preserve">042-254-5189</t>
  </si>
  <si>
    <t xml:space="preserve">신탄진(상)주유소/충전소</t>
  </si>
  <si>
    <t xml:space="preserve">대전 대덕구 산업단지로 27</t>
  </si>
  <si>
    <t xml:space="preserve">042-934-2445</t>
  </si>
  <si>
    <t xml:space="preserve">우리셋주유소</t>
  </si>
  <si>
    <t xml:space="preserve">대전 중구 대둔산로 150</t>
  </si>
  <si>
    <t xml:space="preserve">042-581-0678</t>
  </si>
  <si>
    <t xml:space="preserve">㈜상일주유소</t>
  </si>
  <si>
    <t xml:space="preserve">충청북도 청주시 서원구 남이면 청남로 1164</t>
  </si>
  <si>
    <t xml:space="preserve">043-269-3383</t>
  </si>
  <si>
    <t xml:space="preserve">남청주농협주유소</t>
  </si>
  <si>
    <t xml:space="preserve">충북 청주시 서원구 남이면 청남로 1228</t>
  </si>
  <si>
    <t xml:space="preserve">043-260-6003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</si>
  <si>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</si>
  <si>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</si>
  <si>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</si>
  <si>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</si>
  <si>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</si>
  <si>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</si>
  <si>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</si>
  <si>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</si>
  <si>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</si>
  <si>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재하주유소</t>
  </si>
  <si>
    <t xml:space="preserve">대전 동구 동서대로 1664 (성남동)</t>
  </si>
  <si>
    <t xml:space="preserve">042-626-6626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</si>
  <si>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</si>
  <si>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</si>
  <si>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</si>
  <si>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</si>
  <si>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</si>
  <si>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</si>
  <si>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대덕주유소</t>
  </si>
  <si>
    <t xml:space="preserve">대전 대덕구 신탄진로 470</t>
  </si>
  <si>
    <t xml:space="preserve">042-936-9934</t>
  </si>
  <si>
    <t xml:space="preserve">금강주유소</t>
  </si>
  <si>
    <t xml:space="preserve">대전 대덕구 신탄진로 536</t>
  </si>
  <si>
    <t xml:space="preserve">042-931-6633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</si>
  <si>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</si>
  <si>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</si>
  <si>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</si>
  <si>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</si>
  <si>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</si>
  <si>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</si>
  <si>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소태산주유소</t>
  </si>
  <si>
    <t xml:space="preserve">대전 대덕구 신탄진로 163 (신대동)</t>
  </si>
  <si>
    <t xml:space="preserve">042-636-4438</t>
  </si>
  <si>
    <t xml:space="preserve">내트럭(주)남대전사업소</t>
  </si>
  <si>
    <t xml:space="preserve">대전 동구 대전로 15</t>
  </si>
  <si>
    <t xml:space="preserve">042-271-5673</t>
  </si>
  <si>
    <t xml:space="preserve">㈜용운주유소</t>
  </si>
  <si>
    <t xml:space="preserve">대전 동구 백룡로 77 (용운동)</t>
  </si>
  <si>
    <t xml:space="preserve">042-471-6699</t>
  </si>
  <si>
    <t xml:space="preserve">두두림주유소</t>
  </si>
  <si>
    <t xml:space="preserve">충남 천안시 서북구 번영로 525</t>
  </si>
  <si>
    <t xml:space="preserve">041-522-5188</t>
  </si>
  <si>
    <t xml:space="preserve">소망주유소</t>
  </si>
  <si>
    <t xml:space="preserve">대전 중구 보문산로 307 (문화동)</t>
  </si>
  <si>
    <t xml:space="preserve">042-584-0413</t>
  </si>
  <si>
    <t xml:space="preserve">도서관셀프주유소</t>
  </si>
  <si>
    <t xml:space="preserve">대전 광역시 중구 보문산로 353</t>
  </si>
  <si>
    <t xml:space="preserve">042-581-2148</t>
  </si>
  <si>
    <t xml:space="preserve">에이스주유소</t>
  </si>
  <si>
    <t xml:space="preserve">대전 동구 동대전로 253</t>
  </si>
  <si>
    <t xml:space="preserve">042-632-5289</t>
  </si>
  <si>
    <t xml:space="preserve">공단주유소</t>
  </si>
  <si>
    <t xml:space="preserve">충북 청주시 흥덕구 가로수로 1315</t>
  </si>
  <si>
    <t xml:space="preserve">043-233-5028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</si>
  <si>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</si>
  <si>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</si>
  <si>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</si>
  <si>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</si>
  <si>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</si>
  <si>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</si>
  <si>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KH에너지㈜직영 하이웨이주유소</t>
  </si>
  <si>
    <t xml:space="preserve">대전 유성구 현충원로 531</t>
  </si>
  <si>
    <t xml:space="preserve">042-822-5100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</si>
  <si>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</si>
  <si>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</si>
  <si>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</si>
  <si>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장성주유소</t>
  </si>
  <si>
    <t xml:space="preserve">충북 청주시 서원구 남이면 양촌4길 3</t>
  </si>
  <si>
    <t xml:space="preserve">043-286-5189</t>
  </si>
  <si>
    <t xml:space="preserve">(주)대성주유소</t>
  </si>
  <si>
    <t xml:space="preserve">충남 천안시 서북구 성거읍 망향로 697</t>
  </si>
  <si>
    <t xml:space="preserve">041-523-2244</t>
  </si>
  <si>
    <t xml:space="preserve">삼흥주유소</t>
  </si>
  <si>
    <t xml:space="preserve">충남 천안시 동남구 충절로 395 (삼룡동)</t>
  </si>
  <si>
    <t xml:space="preserve">041-564-5100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</si>
  <si>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</si>
  <si>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</si>
  <si>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</si>
  <si>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자이언트에너지</t>
  </si>
  <si>
    <t xml:space="preserve">충남 천안시 서북구 성거읍 망향로 904</t>
  </si>
  <si>
    <t xml:space="preserve">041-417-3006</t>
  </si>
  <si>
    <t xml:space="preserve">모충주유소</t>
  </si>
  <si>
    <t xml:space="preserve">충북 청주시 서원구 모충로 112 (모충동)</t>
  </si>
  <si>
    <t xml:space="preserve">043-269-2001</t>
  </si>
  <si>
    <t xml:space="preserve">동현주유소</t>
  </si>
  <si>
    <t xml:space="preserve">충남 공주시 장기면 차령로 1851</t>
  </si>
  <si>
    <t xml:space="preserve">041-858-5188</t>
  </si>
  <si>
    <t xml:space="preserve">복대동주유소</t>
  </si>
  <si>
    <t xml:space="preserve">충북 청주시 흥덕구 복대로 206</t>
  </si>
  <si>
    <t xml:space="preserve">043-237-6213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</si>
  <si>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</si>
  <si>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</si>
  <si>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</si>
  <si>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</si>
  <si>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</si>
  <si>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</si>
  <si>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(주)석교주유소</t>
  </si>
  <si>
    <t xml:space="preserve">대전 중구 대종로 207 (석교동)</t>
  </si>
  <si>
    <t xml:space="preserve">042-273-7755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</si>
  <si>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</si>
  <si>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</si>
  <si>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</si>
  <si>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행운주유소</t>
  </si>
  <si>
    <t xml:space="preserve">충북 청주시 상당구 낭성면 단재로 1778</t>
  </si>
  <si>
    <t xml:space="preserve">043-297-0611</t>
  </si>
  <si>
    <t xml:space="preserve">㈜대성바이오</t>
  </si>
  <si>
    <t xml:space="preserve">대전 대덕구 한밭대로 1180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</si>
  <si>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</si>
  <si>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</si>
  <si>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</si>
  <si>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</si>
  <si>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</si>
  <si>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</si>
  <si>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무궁화주유소</t>
  </si>
  <si>
    <t xml:space="preserve">충북 청주시 흥덕구 가로수로 1372 (복대동)</t>
  </si>
  <si>
    <t xml:space="preserve">043-234-5189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</si>
  <si>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</si>
  <si>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</si>
  <si>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</si>
  <si>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</si>
  <si>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</si>
  <si>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</si>
  <si>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</si>
  <si>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</si>
  <si>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</si>
  <si>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</si>
  <si>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</si>
  <si>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</si>
  <si>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제일셀프주유소</t>
  </si>
  <si>
    <t xml:space="preserve">대전 대덕구  동서대로 1750 (비래동)</t>
  </si>
  <si>
    <t xml:space="preserve">042-638-4255</t>
  </si>
  <si>
    <t xml:space="preserve">천안대로셀프</t>
  </si>
  <si>
    <t xml:space="preserve">충남 천안시 동남구 천안대로 727</t>
  </si>
  <si>
    <t xml:space="preserve">041-569-1191</t>
  </si>
  <si>
    <t xml:space="preserve">주식회사 월드홀딩스</t>
  </si>
  <si>
    <t xml:space="preserve">충남 천안시 서북구 서부대로 421</t>
  </si>
  <si>
    <t xml:space="preserve">041-900-5151</t>
  </si>
  <si>
    <t xml:space="preserve">부자주유소</t>
  </si>
  <si>
    <t xml:space="preserve">충북 청주시 흥덕구 1순환로 391</t>
  </si>
  <si>
    <t xml:space="preserve">043-277-5198</t>
  </si>
  <si>
    <t xml:space="preserve">세종시 부강면 시목부강로 423</t>
  </si>
  <si>
    <t xml:space="preserve">044-863-5187</t>
  </si>
  <si>
    <t xml:space="preserve">산내제일주유소</t>
  </si>
  <si>
    <t xml:space="preserve">대전 동구 대전로 269 (대성동)</t>
  </si>
  <si>
    <t xml:space="preserve">042-282-5189</t>
  </si>
  <si>
    <t xml:space="preserve">현대셀프주유소</t>
  </si>
  <si>
    <t xml:space="preserve">대전 서구 변동로 114 (변동)</t>
  </si>
  <si>
    <t xml:space="preserve">042-535-0885</t>
  </si>
  <si>
    <t xml:space="preserve">강녕주유소</t>
  </si>
  <si>
    <t xml:space="preserve">충남 공주시 금벽로 1004-49</t>
  </si>
  <si>
    <t xml:space="preserve">041-854-2157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</si>
  <si>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</si>
  <si>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</si>
  <si>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</si>
  <si>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</si>
  <si>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</si>
  <si>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</si>
  <si>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동일석유㈜대전주유소</t>
  </si>
  <si>
    <t xml:space="preserve">대전 동구 계족로 436 (용전동)</t>
  </si>
  <si>
    <t xml:space="preserve">042-673-8880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</si>
  <si>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</si>
  <si>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</si>
  <si>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</si>
  <si>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남선석유㈜ 계백셀프주유소</t>
  </si>
  <si>
    <t xml:space="preserve">대전 서구 계백로 1327</t>
  </si>
  <si>
    <t xml:space="preserve">042-523-5184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</si>
  <si>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</si>
  <si>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</si>
  <si>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</si>
  <si>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동아주유소</t>
  </si>
  <si>
    <t xml:space="preserve">대전 동구 동대전로 118 (대동)</t>
  </si>
  <si>
    <t xml:space="preserve">042-626-3333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</si>
  <si>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</si>
  <si>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</si>
  <si>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</si>
  <si>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</si>
  <si>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</si>
  <si>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</si>
  <si>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(주)농협대전유통 하나로주유소</t>
  </si>
  <si>
    <t xml:space="preserve">대전 중구 대둔산로199번길 43</t>
  </si>
  <si>
    <t xml:space="preserve">042-580-5083</t>
  </si>
  <si>
    <t xml:space="preserve">안영IC주유소</t>
  </si>
  <si>
    <t xml:space="preserve">대전 중구 대둔산로 188 (안영동)</t>
  </si>
  <si>
    <t xml:space="preserve">042-584-5145</t>
  </si>
  <si>
    <t xml:space="preserve">원촌주유소</t>
  </si>
  <si>
    <t xml:space="preserve">대전 대덕구 아리랑로 55 (읍내동)</t>
  </si>
  <si>
    <t xml:space="preserve">042-633-6330</t>
  </si>
  <si>
    <t xml:space="preserve">유원주유소</t>
  </si>
  <si>
    <t xml:space="preserve">대전 동구 계족로 513 ``</t>
  </si>
  <si>
    <t xml:space="preserve">042-672-3613</t>
  </si>
  <si>
    <t xml:space="preserve">토지주유소</t>
  </si>
  <si>
    <t xml:space="preserve">대전 동구 계족로 249</t>
  </si>
  <si>
    <t xml:space="preserve">거북이주유소</t>
  </si>
  <si>
    <t xml:space="preserve">충북 청주시 청원구 북이면 팔결신대로 517</t>
  </si>
  <si>
    <t xml:space="preserve">043-215-8112</t>
  </si>
  <si>
    <t xml:space="preserve">선인에너지㈜강변주유소</t>
  </si>
  <si>
    <t xml:space="preserve">대전 유성구 엑스포로 293</t>
  </si>
  <si>
    <t xml:space="preserve">042-862-5778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</si>
  <si>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</si>
  <si>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</si>
  <si>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</si>
  <si>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</si>
  <si>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</si>
  <si>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</si>
  <si>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은빛주유소</t>
  </si>
  <si>
    <t xml:space="preserve">대전 대덕구 아리랑로 70 (읍내동)</t>
  </si>
  <si>
    <t xml:space="preserve">042-631-5104</t>
  </si>
  <si>
    <t xml:space="preserve">대림주유소</t>
  </si>
  <si>
    <t xml:space="preserve">대전 서구 계백로 1290 (정림동)</t>
  </si>
  <si>
    <t xml:space="preserve">042-586-5102</t>
  </si>
  <si>
    <t xml:space="preserve">대전 대덕구 동서대로 1756</t>
  </si>
  <si>
    <t xml:space="preserve">042-636-5151</t>
  </si>
  <si>
    <t xml:space="preserve">(주)하늘셀프주유소</t>
  </si>
  <si>
    <t xml:space="preserve">대전 동구 대전로 549</t>
  </si>
  <si>
    <t xml:space="preserve">042-283-5151</t>
  </si>
  <si>
    <t xml:space="preserve">굿모닝주유소</t>
  </si>
  <si>
    <t xml:space="preserve">대전 서구 계백로 1376</t>
  </si>
  <si>
    <t xml:space="preserve">042-583-5182</t>
  </si>
  <si>
    <t xml:space="preserve">송정주유소</t>
  </si>
  <si>
    <t xml:space="preserve">충청남도 천안시 동남구 병천면 매봉로 244</t>
  </si>
  <si>
    <t xml:space="preserve">041-561-9540</t>
  </si>
  <si>
    <t xml:space="preserve">선녀주유소</t>
  </si>
  <si>
    <t xml:space="preserve">충남 천안시 서북구 천안대로 1394 (신당동)</t>
  </si>
  <si>
    <t xml:space="preserve">041-581-0979</t>
  </si>
  <si>
    <t xml:space="preserve">한옥마을주유소</t>
  </si>
  <si>
    <t xml:space="preserve">충남 공주시 전진배길 283</t>
  </si>
  <si>
    <t xml:space="preserve">041-855-3332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</si>
  <si>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</si>
  <si>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</si>
  <si>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</si>
  <si>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</si>
  <si>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</si>
  <si>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</si>
  <si>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</si>
  <si>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</si>
  <si>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</si>
  <si>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</si>
  <si>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</si>
  <si>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</si>
  <si>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</si>
  <si>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</si>
  <si>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</si>
  <si>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세일주유소</t>
  </si>
  <si>
    <t xml:space="preserve">충남 천안시 서북구 천안대로 1201</t>
  </si>
  <si>
    <t xml:space="preserve">041-522-5149</t>
  </si>
  <si>
    <t xml:space="preserve">DH천안주유소</t>
  </si>
  <si>
    <t xml:space="preserve">충남 천안시 서북구 천안대로 1166</t>
  </si>
  <si>
    <t xml:space="preserve">041-557-5179</t>
  </si>
  <si>
    <t xml:space="preserve">판정주유소</t>
  </si>
  <si>
    <t xml:space="preserve">충남 천안시 서북구 직산읍 성진로 328</t>
  </si>
  <si>
    <t xml:space="preserve">041-581-1836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</si>
  <si>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</si>
  <si>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</si>
  <si>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</si>
  <si>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남부주유소</t>
  </si>
  <si>
    <t xml:space="preserve">충남 천안시 동남구 남부대로 84 (신방동)</t>
  </si>
  <si>
    <t xml:space="preserve">041-577-7900</t>
  </si>
  <si>
    <t xml:space="preserve">청주농협북부주유소</t>
  </si>
  <si>
    <t xml:space="preserve">충북 청주시 청원구 공항로 97</t>
  </si>
  <si>
    <t xml:space="preserve">043-211-7560</t>
  </si>
  <si>
    <t xml:space="preserve">충남 천안시 서북구 봉정로 246</t>
  </si>
  <si>
    <t xml:space="preserve">041-571-5159</t>
  </si>
  <si>
    <t xml:space="preserve">신탄진IC주유소</t>
  </si>
  <si>
    <t xml:space="preserve">대전 대덕구 신탄진로 665</t>
  </si>
  <si>
    <t xml:space="preserve">042-932-7888</t>
  </si>
  <si>
    <t xml:space="preserve">새청주주유소</t>
  </si>
  <si>
    <t xml:space="preserve">충북 청주시 흥덕구 사운로 302(신봉동)</t>
  </si>
  <si>
    <t xml:space="preserve">043-271-4473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</si>
  <si>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</si>
  <si>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</si>
  <si>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</si>
  <si>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세종예운주유소</t>
  </si>
  <si>
    <t xml:space="preserve">세종 부강면 부강외천로 301</t>
  </si>
  <si>
    <t xml:space="preserve">044-275-5150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</si>
  <si>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</si>
  <si>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</si>
  <si>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</si>
  <si>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엔젤주유소</t>
  </si>
  <si>
    <t xml:space="preserve">충남 공주시 무령로 345  (옥룡동)</t>
  </si>
  <si>
    <t xml:space="preserve">041-853-2222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</si>
  <si>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</si>
  <si>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</si>
  <si>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</si>
  <si>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</si>
  <si>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</si>
  <si>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</si>
  <si>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</si>
  <si>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</si>
  <si>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</si>
  <si>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</si>
  <si>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</si>
  <si>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</si>
  <si>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</si>
  <si>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</si>
  <si>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</si>
  <si>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</si>
  <si>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</si>
  <si>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</si>
  <si>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동성주유소</t>
  </si>
  <si>
    <t xml:space="preserve">충남 천안시 서북구 차돌로 14</t>
  </si>
  <si>
    <t xml:space="preserve">041-572-8730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</si>
  <si>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</si>
  <si>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</si>
  <si>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</si>
  <si>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위성주유소</t>
  </si>
  <si>
    <t xml:space="preserve">대전 유성구 현충원로 489</t>
  </si>
  <si>
    <t xml:space="preserve">042-825-5145</t>
  </si>
  <si>
    <t xml:space="preserve">㈜제트에너지서대전주유소</t>
  </si>
  <si>
    <t xml:space="preserve">대전 유성구 계백로 212(방동)</t>
  </si>
  <si>
    <t xml:space="preserve">042-825-5123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</si>
  <si>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</si>
  <si>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</si>
  <si>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</si>
  <si>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명진에너지</t>
  </si>
  <si>
    <t xml:space="preserve">충남 천안시 동남구 망향로 52 (신부동)</t>
  </si>
  <si>
    <t xml:space="preserve">041-555-5188</t>
  </si>
  <si>
    <t xml:space="preserve">청주주유소</t>
  </si>
  <si>
    <t xml:space="preserve">충북 청주시 청원구 직지대로 830</t>
  </si>
  <si>
    <t xml:space="preserve">043-223-3323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</si>
  <si>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</si>
  <si>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</si>
  <si>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</si>
  <si>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</si>
  <si>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</si>
  <si>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</si>
  <si>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</si>
  <si>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</si>
  <si>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</si>
  <si>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</si>
  <si>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</si>
  <si>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</si>
  <si>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오창농협주유소</t>
  </si>
  <si>
    <t xml:space="preserve">충북 청주시 청원구 오창읍 중부로 1022</t>
  </si>
  <si>
    <t xml:space="preserve">043-217-5133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</si>
  <si>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</si>
  <si>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</si>
  <si>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</si>
  <si>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</si>
  <si>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</si>
  <si>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</si>
  <si>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</si>
  <si>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</si>
  <si>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</si>
  <si>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</si>
  <si>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</si>
  <si>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</si>
  <si>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중촌셀프주유소</t>
  </si>
  <si>
    <t xml:space="preserve">대전 중구 동서대로 1434 (선화동)</t>
  </si>
  <si>
    <t xml:space="preserve">010-4102-7649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</si>
  <si>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</si>
  <si>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</si>
  <si>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</si>
  <si>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㈜행복가득셀프</t>
  </si>
  <si>
    <t xml:space="preserve">대전 유성구 대덕대로 887  (화암동)</t>
  </si>
  <si>
    <t xml:space="preserve">010-4683-2452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</si>
  <si>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</si>
  <si>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</si>
  <si>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</si>
  <si>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신안주유소</t>
  </si>
  <si>
    <t xml:space="preserve">세종특별자치시 조치원읍 세종로 2678</t>
  </si>
  <si>
    <t xml:space="preserve">044-865-2321</t>
  </si>
  <si>
    <t xml:space="preserve">세종특별자치시 조치원읍 세종로 2712</t>
  </si>
  <si>
    <t xml:space="preserve">044-862-7712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</si>
  <si>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</si>
  <si>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</si>
  <si>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</si>
  <si>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</si>
  <si>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</si>
  <si>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</si>
  <si>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용문주유소</t>
  </si>
  <si>
    <t xml:space="preserve">충북 청주시 서원구 현도면 청남로 457</t>
  </si>
  <si>
    <t xml:space="preserve">043-269-0949</t>
  </si>
  <si>
    <t xml:space="preserve">안영셀프주유소</t>
  </si>
  <si>
    <t xml:space="preserve">대전 중구 대둔산로 241 (안영동)</t>
  </si>
  <si>
    <t xml:space="preserve">042-585-6001</t>
  </si>
  <si>
    <t xml:space="preserve">진영주유소</t>
  </si>
  <si>
    <t xml:space="preserve">세종 소정면 세종로 4732</t>
  </si>
  <si>
    <t xml:space="preserve">044-866-0220</t>
  </si>
  <si>
    <t xml:space="preserve">대전알찬주유소</t>
  </si>
  <si>
    <t xml:space="preserve">대전 동구 우암로 316 (가양동)</t>
  </si>
  <si>
    <t xml:space="preserve">042-633-7975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</si>
  <si>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</si>
  <si>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</si>
  <si>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</si>
  <si>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</si>
  <si>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</si>
  <si>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</si>
  <si>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우리하나셀프주유소</t>
  </si>
  <si>
    <t xml:space="preserve">대전 서구 동서대로 1120</t>
  </si>
  <si>
    <t xml:space="preserve">042-522-5179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</si>
  <si>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</si>
  <si>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</si>
  <si>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</si>
  <si>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대전IC주유소 ㈜동서로</t>
  </si>
  <si>
    <t xml:space="preserve">대전 대덕구 동서대로 1787</t>
  </si>
  <si>
    <t xml:space="preserve">042-628-5185</t>
  </si>
  <si>
    <t xml:space="preserve">동물원주유소</t>
  </si>
  <si>
    <t xml:space="preserve">대전 중구 대둔산로 270 (사정동)</t>
  </si>
  <si>
    <t xml:space="preserve">042-587-5151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</si>
  <si>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</si>
  <si>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</si>
  <si>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</si>
  <si>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</si>
  <si>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</si>
  <si>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</si>
  <si>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입장농협주유소</t>
  </si>
  <si>
    <t xml:space="preserve">충남 천안시 서북구 입장면 입장로 113</t>
  </si>
  <si>
    <t xml:space="preserve">041-585-8368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</si>
  <si>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</si>
  <si>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</si>
  <si>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</si>
  <si>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정림주유소</t>
  </si>
  <si>
    <t xml:space="preserve">충북 청주시 청원구 북이면 충청대로 1517</t>
  </si>
  <si>
    <t xml:space="preserve">043-214-5106</t>
  </si>
  <si>
    <t xml:space="preserve">㈜연정 에스에스주유소</t>
  </si>
  <si>
    <t xml:space="preserve">대전 대덕구 한밭대로 1020</t>
  </si>
  <si>
    <t xml:space="preserve">042-627-8575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</si>
  <si>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</si>
  <si>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</si>
  <si>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</si>
  <si>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</si>
  <si>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</si>
  <si>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</si>
  <si>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가양셀프주유소</t>
  </si>
  <si>
    <t xml:space="preserve">대전 동구 우암로 365 (가양동)</t>
  </si>
  <si>
    <t xml:space="preserve">042-632-3838</t>
  </si>
  <si>
    <t xml:space="preserve">대전 서구 동서대로 953</t>
  </si>
  <si>
    <t xml:space="preserve">042-534-5301</t>
  </si>
  <si>
    <t xml:space="preserve">대전 대덕구 동서대로 1811</t>
  </si>
  <si>
    <t xml:space="preserve">042-627-5632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</si>
  <si>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</si>
  <si>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</si>
  <si>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</si>
  <si>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코끼리셀프주유소</t>
  </si>
  <si>
    <t xml:space="preserve">대전 서구 도산로 446 (용문동)</t>
  </si>
  <si>
    <t xml:space="preserve">042-522-3240</t>
  </si>
  <si>
    <t xml:space="preserve">오창공단IC주유소</t>
  </si>
  <si>
    <t xml:space="preserve">충북 청주시 청원구 오창읍 농소길 6-3</t>
  </si>
  <si>
    <t xml:space="preserve">043-218-3032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</si>
  <si>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</si>
  <si>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</si>
  <si>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</si>
  <si>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주홍셀프</t>
  </si>
  <si>
    <t xml:space="preserve">대전 서구 도산로 475 (탄방동)</t>
  </si>
  <si>
    <t xml:space="preserve">042-485-8363</t>
  </si>
  <si>
    <t xml:space="preserve">탄방주유소</t>
  </si>
  <si>
    <t xml:space="preserve">대전 서구 유등로 659</t>
  </si>
  <si>
    <t xml:space="preserve">042-487-9005</t>
  </si>
  <si>
    <t xml:space="preserve">(주)에너비즈 둔산주유소</t>
  </si>
  <si>
    <t xml:space="preserve">대전 서구 유등로 667 (탄방동)</t>
  </si>
  <si>
    <t xml:space="preserve">042-487-7090</t>
  </si>
  <si>
    <t xml:space="preserve">매봉주유소</t>
  </si>
  <si>
    <t xml:space="preserve">대전 동구 우암로 247 (가양동)</t>
  </si>
  <si>
    <t xml:space="preserve">042-636-6086</t>
  </si>
  <si>
    <t xml:space="preserve">유성IC메가허브점</t>
  </si>
  <si>
    <t xml:space="preserve">대전 유성구 현충원로 545</t>
  </si>
  <si>
    <t xml:space="preserve">042-825-3351</t>
  </si>
  <si>
    <t xml:space="preserve">동학사주유소</t>
  </si>
  <si>
    <t xml:space="preserve">충남 공주시 반포면 금벽로 1963</t>
  </si>
  <si>
    <t xml:space="preserve">041-857-0809</t>
  </si>
  <si>
    <t xml:space="preserve">SK자운셀프주유소</t>
  </si>
  <si>
    <t xml:space="preserve">대전 유성구 자운로157번길 122</t>
  </si>
  <si>
    <t xml:space="preserve">042-867-5189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</si>
  <si>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</si>
  <si>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</si>
  <si>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</si>
  <si>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(주)황제주유소</t>
  </si>
  <si>
    <t xml:space="preserve">대전 유성구 대덕대로 934 (화암동)</t>
  </si>
  <si>
    <t xml:space="preserve">042-861-5558</t>
  </si>
  <si>
    <t xml:space="preserve">마스터셀프주유소</t>
  </si>
  <si>
    <t xml:space="preserve">충남 천안시 서북구 성거읍 망향로 251</t>
  </si>
  <si>
    <t xml:space="preserve">041-553-7701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</si>
  <si>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</si>
  <si>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</si>
  <si>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</si>
  <si>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</si>
  <si>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</si>
  <si>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</si>
  <si>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신원주유소</t>
  </si>
  <si>
    <t xml:space="preserve">충남 천안시 동남구 충무로 60 (신방동)</t>
  </si>
  <si>
    <t xml:space="preserve">041-573-2011</t>
  </si>
  <si>
    <t xml:space="preserve">순우리주유소</t>
  </si>
  <si>
    <t xml:space="preserve">대전 대덕구 신탄진로 533 (상서동)</t>
  </si>
  <si>
    <t xml:space="preserve">042-931-5182</t>
  </si>
  <si>
    <t xml:space="preserve">충북 청주시 청원구 오창읍 두릉유리로 204</t>
  </si>
  <si>
    <t xml:space="preserve">043-215-5125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</si>
  <si>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</si>
  <si>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</si>
  <si>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</si>
  <si>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</si>
  <si>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</si>
  <si>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</si>
  <si>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메이저주유소</t>
  </si>
  <si>
    <t xml:space="preserve">충북 청주시 청원구 오창읍 두릉유리로 207</t>
  </si>
  <si>
    <t xml:space="preserve">043-212-7898</t>
  </si>
  <si>
    <t xml:space="preserve">이화주유소</t>
  </si>
  <si>
    <t xml:space="preserve">대전 중구 대종로 166</t>
  </si>
  <si>
    <t xml:space="preserve">042-274-5189</t>
  </si>
  <si>
    <t xml:space="preserve">sk대동주유소</t>
  </si>
  <si>
    <t xml:space="preserve">대전 동구 계족로140번길 73 (용운동)</t>
  </si>
  <si>
    <t xml:space="preserve">042-283-5333</t>
  </si>
  <si>
    <t xml:space="preserve">입장주유소</t>
  </si>
  <si>
    <t xml:space="preserve">충남 천안시 서북구 입장면 망향로 1082</t>
  </si>
  <si>
    <t xml:space="preserve">041-584-5189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</si>
  <si>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</si>
  <si>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</si>
  <si>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</si>
  <si>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</si>
  <si>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</si>
  <si>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</si>
  <si>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오창주유소</t>
  </si>
  <si>
    <t xml:space="preserve">충북 청주시 청원구 오창읍 두릉유리로 974</t>
  </si>
  <si>
    <t xml:space="preserve">043-217-5245</t>
  </si>
  <si>
    <t xml:space="preserve">봉명셀프주유소</t>
  </si>
  <si>
    <t xml:space="preserve">충남 천안시 동남구 차돌로 97</t>
  </si>
  <si>
    <t xml:space="preserve">041-575-1151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</si>
  <si>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</si>
  <si>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</si>
  <si>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</si>
  <si>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으뜸회덕주유소</t>
  </si>
  <si>
    <t xml:space="preserve">대전 대덕구 신탄진로 222</t>
  </si>
  <si>
    <t xml:space="preserve">042-628-1496</t>
  </si>
  <si>
    <t xml:space="preserve">서대전농협주유소</t>
  </si>
  <si>
    <t xml:space="preserve">대전 중구 계백로 1555 (유천동)</t>
  </si>
  <si>
    <t xml:space="preserve">042-535-9251</t>
  </si>
  <si>
    <t xml:space="preserve">(주)에너비즈 삼성주유소</t>
  </si>
  <si>
    <t xml:space="preserve">대전 중구 계룡로 778 (오류동)</t>
  </si>
  <si>
    <t xml:space="preserve">042-537-5189</t>
  </si>
  <si>
    <t xml:space="preserve">번개셀프2주유소</t>
  </si>
  <si>
    <t xml:space="preserve">충북 청주시 상당구 단재로 391 (지북동)</t>
  </si>
  <si>
    <t xml:space="preserve">043-297-6874</t>
  </si>
  <si>
    <t xml:space="preserve">와동셀프주유소</t>
  </si>
  <si>
    <t xml:space="preserve">대전 대덕구 신탄진로 386 (와동)</t>
  </si>
  <si>
    <t xml:space="preserve">042-721-0607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</si>
  <si>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</si>
  <si>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</si>
  <si>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</si>
  <si>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</si>
  <si>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</si>
  <si>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</si>
  <si>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㈜굿에너지</t>
  </si>
  <si>
    <t xml:space="preserve">충북 청주시 청원구 오창읍 두릉유리로 18</t>
  </si>
  <si>
    <t xml:space="preserve">043-212-5182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</si>
  <si>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</si>
  <si>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</si>
  <si>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</si>
  <si>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세종중앙농협주유소</t>
  </si>
  <si>
    <t xml:space="preserve">세종특별자치시 연기면 잣띠길 4</t>
  </si>
  <si>
    <t xml:space="preserve">044-867-9036</t>
  </si>
  <si>
    <t xml:space="preserve">태성주유소</t>
  </si>
  <si>
    <t xml:space="preserve">대전 중구 동서대로 1459 (중촌동)</t>
  </si>
  <si>
    <t xml:space="preserve">042-252-5189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</si>
  <si>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</si>
  <si>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</si>
  <si>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</si>
  <si>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</si>
  <si>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</si>
  <si>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</si>
  <si>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도마진실주유소</t>
  </si>
  <si>
    <t xml:space="preserve">대전 서구 도산로 123</t>
  </si>
  <si>
    <t xml:space="preserve">042-522-3764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</si>
  <si>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</si>
  <si>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</si>
  <si>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</si>
  <si>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</si>
  <si>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</si>
  <si>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</si>
  <si>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</si>
  <si>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</si>
  <si>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</si>
  <si>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</si>
  <si>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</si>
  <si>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</si>
  <si>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청룡셀프주유소</t>
  </si>
  <si>
    <t xml:space="preserve">충남 천안시 동남구 대흥로 22</t>
  </si>
  <si>
    <t xml:space="preserve">010-9757-5020</t>
  </si>
  <si>
    <t xml:space="preserve">흥진셀프주유소</t>
  </si>
  <si>
    <t xml:space="preserve">세종시 조치원읍 세종로 2563</t>
  </si>
  <si>
    <t xml:space="preserve">044-866-5104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</si>
  <si>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</si>
  <si>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</si>
  <si>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</si>
  <si>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</si>
  <si>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</si>
  <si>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</si>
  <si>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</si>
  <si>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</si>
  <si>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</si>
  <si>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</si>
  <si>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</si>
  <si>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</si>
  <si>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성원에너지</t>
  </si>
  <si>
    <t xml:space="preserve">충북 청주시 서원구 남이면 연청로 1288-7</t>
  </si>
  <si>
    <t xml:space="preserve">043-272-5149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</si>
  <si>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</si>
  <si>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</si>
  <si>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</si>
  <si>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</si>
  <si>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</si>
  <si>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</si>
  <si>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중리셀프주유소</t>
  </si>
  <si>
    <t xml:space="preserve">대전 대덕구 한밭대로 1186</t>
  </si>
  <si>
    <t xml:space="preserve">042-627-1020</t>
  </si>
  <si>
    <t xml:space="preserve">오정동SM셀프주유소</t>
  </si>
  <si>
    <t xml:space="preserve">대전 대덕구 오정로 123 (오정동)</t>
  </si>
  <si>
    <t xml:space="preserve">042-621-2997</t>
  </si>
  <si>
    <t xml:space="preserve">봉암주유소</t>
  </si>
  <si>
    <t xml:space="preserve">세종시 연서면 세종로 1899</t>
  </si>
  <si>
    <t xml:space="preserve">044-868-5153</t>
  </si>
  <si>
    <t xml:space="preserve">배재주유소</t>
  </si>
  <si>
    <t xml:space="preserve">대전 서구 도솔로 57 (도마동)</t>
  </si>
  <si>
    <t xml:space="preserve">042-532-5700</t>
  </si>
  <si>
    <t xml:space="preserve">가은주유소</t>
  </si>
  <si>
    <t xml:space="preserve">충남 천안시 서북구 성환읍 천안대로 1899</t>
  </si>
  <si>
    <t xml:space="preserve">041-583-1228</t>
  </si>
  <si>
    <t xml:space="preserve">신풍주유소</t>
  </si>
  <si>
    <t xml:space="preserve">충북 청주시 상당구 낭성면 단재로 2079</t>
  </si>
  <si>
    <t xml:space="preserve">043-297-1578</t>
  </si>
  <si>
    <t xml:space="preserve">북천안IC주유소</t>
  </si>
  <si>
    <t xml:space="preserve">충남 천안시 서북구 직산읍 직산로 214</t>
  </si>
  <si>
    <t xml:space="preserve">041-583-0051</t>
  </si>
  <si>
    <t xml:space="preserve">대홍주유소</t>
  </si>
  <si>
    <t xml:space="preserve">충남 천안시 서북구 성환읍 천안대로 2356</t>
  </si>
  <si>
    <t xml:space="preserve">041-581-7052</t>
  </si>
  <si>
    <t xml:space="preserve">약수주유소</t>
  </si>
  <si>
    <t xml:space="preserve">충북 청주시 상당구 미원면 단재로 2864</t>
  </si>
  <si>
    <t xml:space="preserve">043-223-7575</t>
  </si>
  <si>
    <t xml:space="preserve">신달주유소</t>
  </si>
  <si>
    <t xml:space="preserve">충남 공주시 유구읍 금계산로 687</t>
  </si>
  <si>
    <t xml:space="preserve">041-841-6607</t>
  </si>
  <si>
    <t xml:space="preserve">가덕주유소</t>
  </si>
  <si>
    <t xml:space="preserve">충북 청주시 상당구 가덕면 상장인차로 570</t>
  </si>
  <si>
    <t xml:space="preserve">043-288-6777</t>
  </si>
  <si>
    <t xml:space="preserve">기령주유소</t>
  </si>
  <si>
    <t xml:space="preserve">충북 청주시 상당구 남일면 단재로 1009</t>
  </si>
  <si>
    <t xml:space="preserve">043-291-2990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</si>
  <si>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</si>
  <si>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</si>
  <si>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</si>
  <si>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흥진주유소</t>
  </si>
  <si>
    <t xml:space="preserve">충북 청주시 청원구 북이면 충청대로 1293</t>
  </si>
  <si>
    <t xml:space="preserve">043-211-5554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</si>
  <si>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</si>
  <si>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</si>
  <si>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</si>
  <si>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</si>
  <si>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</si>
  <si>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</si>
  <si>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남청주 양지주유소</t>
  </si>
  <si>
    <t xml:space="preserve">충북 청주시 서원구 현도면 청남로 80</t>
  </si>
  <si>
    <t xml:space="preserve">042-932-2000</t>
  </si>
  <si>
    <t xml:space="preserve">정현2주유소</t>
  </si>
  <si>
    <t xml:space="preserve">충북 청주시 청원구 1순환로 350</t>
  </si>
  <si>
    <t xml:space="preserve">043-221-1950</t>
  </si>
  <si>
    <t xml:space="preserve">(주)제트 동서로주유소</t>
  </si>
  <si>
    <t xml:space="preserve">대전 중구 동서대로 1293</t>
  </si>
  <si>
    <t xml:space="preserve">042-532-5050</t>
  </si>
  <si>
    <t xml:space="preserve">신광주유소</t>
  </si>
  <si>
    <t xml:space="preserve">충남 천안시 동남구 망향로 42</t>
  </si>
  <si>
    <t xml:space="preserve">041-553-0407</t>
  </si>
  <si>
    <t xml:space="preserve">서천안IC주유소</t>
  </si>
  <si>
    <t xml:space="preserve">충남 천안시 동남구 광풍로 1687</t>
  </si>
  <si>
    <t xml:space="preserve">041-567-5105</t>
  </si>
  <si>
    <t xml:space="preserve">세종주유소</t>
  </si>
  <si>
    <t xml:space="preserve">충북 청주시 서원구 사운로180번길 32</t>
  </si>
  <si>
    <t xml:space="preserve">043-255-8020</t>
  </si>
  <si>
    <t xml:space="preserve">여천주유소</t>
  </si>
  <si>
    <t xml:space="preserve">충북 청주시 청원구 오창읍 여천3길 257</t>
  </si>
  <si>
    <t xml:space="preserve">043-218-5189</t>
  </si>
  <si>
    <t xml:space="preserve">세종전의농협주유소</t>
  </si>
  <si>
    <t xml:space="preserve">세종 전의면 매실로 6</t>
  </si>
  <si>
    <t xml:space="preserve">044-863-6521</t>
  </si>
  <si>
    <t xml:space="preserve">금영주유소</t>
  </si>
  <si>
    <t xml:space="preserve">충남 공주시 소학동길 125</t>
  </si>
  <si>
    <t xml:space="preserve">041-856-4290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</si>
  <si>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</si>
  <si>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</si>
  <si>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</si>
  <si>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충남주유소</t>
  </si>
  <si>
    <t xml:space="preserve">대전 중구 대흥로 80 (대흥동)</t>
  </si>
  <si>
    <t xml:space="preserve">042-256-0101</t>
  </si>
  <si>
    <t xml:space="preserve">충남 공주시 미나리1길 18-10 (금성동)</t>
  </si>
  <si>
    <t xml:space="preserve">041-855-4222</t>
  </si>
  <si>
    <t xml:space="preserve">중동주유소</t>
  </si>
  <si>
    <t xml:space="preserve">대전 서구 계룡로 344 (갈마동)</t>
  </si>
  <si>
    <t xml:space="preserve">042-533-7088</t>
  </si>
  <si>
    <t xml:space="preserve">라자로주유소</t>
  </si>
  <si>
    <t xml:space="preserve">대전 대덕구 대전로 1390</t>
  </si>
  <si>
    <t xml:space="preserve">042-632-5151</t>
  </si>
  <si>
    <t xml:space="preserve">남양대영주유소</t>
  </si>
  <si>
    <t xml:space="preserve">세종시 장군면 장기로 842</t>
  </si>
  <si>
    <t xml:space="preserve">044-856-5175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</si>
  <si>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</si>
  <si>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</si>
  <si>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</si>
  <si>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</si>
  <si>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충남 공주시 소학동길 179</t>
  </si>
  <si>
    <t xml:space="preserve">041-961-9300</t>
  </si>
  <si>
    <t xml:space="preserve">흑성주유소</t>
  </si>
  <si>
    <t xml:space="preserve">충남 천안시 동남구 목천읍 충절로 1175</t>
  </si>
  <si>
    <t xml:space="preserve">041-557-3000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</si>
  <si>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</si>
  <si>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</si>
  <si>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</si>
  <si>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</si>
  <si>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</si>
  <si>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</si>
  <si>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(주)학하 삼성셀프주유소</t>
  </si>
  <si>
    <t xml:space="preserve">대전 동구 대전로 908 (삼성동)</t>
  </si>
  <si>
    <t xml:space="preserve">042-637-5566</t>
  </si>
  <si>
    <t xml:space="preserve">세종Self주유소</t>
  </si>
  <si>
    <t xml:space="preserve">대전 대덕구 대덕대로 1494 (목상동)</t>
  </si>
  <si>
    <t xml:space="preserve">042-934-5189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</si>
  <si>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</si>
  <si>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</si>
  <si>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</si>
  <si>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씨앤에스유통㈜도안신도시주유소</t>
  </si>
  <si>
    <t xml:space="preserve">대전 서구 도안동로 277</t>
  </si>
  <si>
    <t xml:space="preserve">042-545-2227</t>
  </si>
  <si>
    <t xml:space="preserve">김여사주유소</t>
  </si>
  <si>
    <t xml:space="preserve">충남 천안시 서북구 성거읍 봉주로 202</t>
  </si>
  <si>
    <t xml:space="preserve">041-585-5155</t>
  </si>
  <si>
    <t xml:space="preserve">GS4공단주유소</t>
  </si>
  <si>
    <t xml:space="preserve">충남 천안시 서북구 직산읍 4산단3로 69</t>
  </si>
  <si>
    <t xml:space="preserve">041-587-5189</t>
  </si>
  <si>
    <t xml:space="preserve">대박주유소</t>
  </si>
  <si>
    <t xml:space="preserve">충북 청주시 상당구  쇠내로 133 (금천동)</t>
  </si>
  <si>
    <t xml:space="preserve">043-223-3845</t>
  </si>
  <si>
    <t xml:space="preserve">천지주유소</t>
  </si>
  <si>
    <t xml:space="preserve">충남 공주시 정안면 차령로 3270</t>
  </si>
  <si>
    <t xml:space="preserve">041-858-2324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</si>
  <si>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</si>
  <si>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</si>
  <si>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</si>
  <si>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</si>
  <si>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</si>
  <si>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</si>
  <si>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</si>
  <si>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</si>
  <si>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</si>
  <si>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</si>
  <si>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</si>
  <si>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</si>
  <si>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조은기름주유소</t>
  </si>
  <si>
    <t xml:space="preserve">충남 천안시 서북구 입장면 망향로 1237</t>
  </si>
  <si>
    <t xml:space="preserve">041-581-5199</t>
  </si>
  <si>
    <t xml:space="preserve">황금주유소</t>
  </si>
  <si>
    <t xml:space="preserve">대전 서구 동서대로 1081</t>
  </si>
  <si>
    <t xml:space="preserve">042-533-2838</t>
  </si>
  <si>
    <t xml:space="preserve">탑주유소</t>
  </si>
  <si>
    <t xml:space="preserve">충북 청주시 상당구 대성로 169-1</t>
  </si>
  <si>
    <t xml:space="preserve">043-223-4335</t>
  </si>
  <si>
    <t xml:space="preserve">세종 부강면 부강외천로 271</t>
  </si>
  <si>
    <t xml:space="preserve">044-277-5179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</si>
  <si>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</si>
  <si>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</si>
  <si>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</si>
  <si>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우리나라주유소</t>
  </si>
  <si>
    <t xml:space="preserve">충남 천안시 동남구 북면 충절로 1284</t>
  </si>
  <si>
    <t xml:space="preserve">041-522-2051</t>
  </si>
  <si>
    <t xml:space="preserve">보람self주유소</t>
  </si>
  <si>
    <t xml:space="preserve">세종시 금남구즉로 19 (대평동)</t>
  </si>
  <si>
    <t xml:space="preserve">044-868-7250</t>
  </si>
  <si>
    <t xml:space="preserve">충북 청주시 상당구 대성로 92</t>
  </si>
  <si>
    <t xml:space="preserve">043-225-5189</t>
  </si>
  <si>
    <t xml:space="preserve">갑천주유소</t>
  </si>
  <si>
    <t xml:space="preserve">대전 대덕구 아리랑로55번길 189 (신대동)</t>
  </si>
  <si>
    <t xml:space="preserve">042-635-4062</t>
  </si>
  <si>
    <t xml:space="preserve">실광주유소</t>
  </si>
  <si>
    <t xml:space="preserve">세종특별자치시 연기면 당산로 239</t>
  </si>
  <si>
    <t xml:space="preserve">044-863-7000</t>
  </si>
  <si>
    <t xml:space="preserve">금성주유소</t>
  </si>
  <si>
    <t xml:space="preserve">대전 중구 동서대로 1183 (태평동)</t>
  </si>
  <si>
    <t xml:space="preserve">042-525-1183</t>
  </si>
  <si>
    <t xml:space="preserve">부성에너지</t>
  </si>
  <si>
    <t xml:space="preserve">충남 천안시 서북구 업성2길 21 (업성동)</t>
  </si>
  <si>
    <t xml:space="preserve">041-562-5155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</si>
  <si>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</si>
  <si>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</si>
  <si>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</si>
  <si>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농협하나로 주유소</t>
  </si>
  <si>
    <t xml:space="preserve">충남 공주시 미나리2길 4 (금성동)</t>
  </si>
  <si>
    <t xml:space="preserve">041-854-7890</t>
  </si>
  <si>
    <t xml:space="preserve">성일주유소</t>
  </si>
  <si>
    <t xml:space="preserve">충북 청주시 서원구 남이면 청남로 871</t>
  </si>
  <si>
    <t xml:space="preserve">043-904-9641</t>
  </si>
  <si>
    <t xml:space="preserve">GS목천IC주유소</t>
  </si>
  <si>
    <t xml:space="preserve">충남 천안시 동남구 목천읍 남부대로 983</t>
  </si>
  <si>
    <t xml:space="preserve">041-555-5185</t>
  </si>
  <si>
    <t xml:space="preserve">미래주유소</t>
  </si>
  <si>
    <t xml:space="preserve">충북 청주시 서원구 성봉로 234-2</t>
  </si>
  <si>
    <t xml:space="preserve">043-276-0073</t>
  </si>
  <si>
    <t xml:space="preserve">5공단셀프주유소</t>
  </si>
  <si>
    <t xml:space="preserve">충남 천안시 동남구 수신면 5산단로 196</t>
  </si>
  <si>
    <t xml:space="preserve">041-565-5189</t>
  </si>
  <si>
    <t xml:space="preserve">도림주유소</t>
  </si>
  <si>
    <t xml:space="preserve">충남 천안시 서북구 입장면 성진로 1123</t>
  </si>
  <si>
    <t xml:space="preserve">041-584-4300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</si>
  <si>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</si>
  <si>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</si>
  <si>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</si>
  <si>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신정현주유소</t>
  </si>
  <si>
    <t xml:space="preserve">충북 청주시 서원구 사운로 118</t>
  </si>
  <si>
    <t xml:space="preserve">043-266-5180</t>
  </si>
  <si>
    <t xml:space="preserve">대전 중구 문화로 35</t>
  </si>
  <si>
    <t xml:space="preserve">042-584-8251</t>
  </si>
  <si>
    <t xml:space="preserve">고향주유소</t>
  </si>
  <si>
    <t xml:space="preserve">대전 동구 산내로 562</t>
  </si>
  <si>
    <t xml:space="preserve">042-273-1998</t>
  </si>
  <si>
    <t xml:space="preserve">주식회사 방동주유소</t>
  </si>
  <si>
    <t xml:space="preserve">대전 유성구 계백로 139</t>
  </si>
  <si>
    <t xml:space="preserve">042-825-5007</t>
  </si>
  <si>
    <t xml:space="preserve">극동유화(주) 한밭주유소</t>
  </si>
  <si>
    <t xml:space="preserve">대전 서구 문정로 3 (둔산2동)</t>
  </si>
  <si>
    <t xml:space="preserve">042-471-5189</t>
  </si>
  <si>
    <t xml:space="preserve">영당주유소</t>
  </si>
  <si>
    <t xml:space="preserve">세종 전의면 의당전의로 718</t>
  </si>
  <si>
    <t xml:space="preserve">044-867-3066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</si>
  <si>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</si>
  <si>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</si>
  <si>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</si>
  <si>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기성농협주유소</t>
  </si>
  <si>
    <t xml:space="preserve">대전 서구 세점길 7</t>
  </si>
  <si>
    <t xml:space="preserve">042-581-4615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</si>
  <si>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</si>
  <si>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</si>
  <si>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</si>
  <si>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</si>
  <si>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</si>
  <si>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</si>
  <si>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(주)하나주유소</t>
  </si>
  <si>
    <t xml:space="preserve">대전 유성구 유성대로 1127 (하기동)</t>
  </si>
  <si>
    <t xml:space="preserve">042-867-5151</t>
  </si>
  <si>
    <t xml:space="preserve">서청주IC주유소</t>
  </si>
  <si>
    <t xml:space="preserve">충북 청주시 흥덕구 직지대로 183</t>
  </si>
  <si>
    <t xml:space="preserve">043-234-5151</t>
  </si>
  <si>
    <t xml:space="preserve">북대전주유소</t>
  </si>
  <si>
    <t xml:space="preserve">대전 유성구 유성대로 1495</t>
  </si>
  <si>
    <t xml:space="preserve">042-864-2207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</si>
  <si>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</si>
  <si>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</si>
  <si>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</si>
  <si>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</si>
  <si>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</si>
  <si>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</si>
  <si>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세종연서농협주유소</t>
  </si>
  <si>
    <t xml:space="preserve">세종 연서면 함박로 122</t>
  </si>
  <si>
    <t xml:space="preserve">044-867-2124</t>
  </si>
  <si>
    <t xml:space="preserve">동세종농협주유소</t>
  </si>
  <si>
    <t xml:space="preserve">세종특별자치시 연동면 청연로 490</t>
  </si>
  <si>
    <t xml:space="preserve">044-864-0701</t>
  </si>
  <si>
    <t xml:space="preserve">청주농협주유소</t>
  </si>
  <si>
    <t xml:space="preserve">충북 청주시 상당구 월평로184번길 136</t>
  </si>
  <si>
    <t xml:space="preserve">043-294-1117</t>
  </si>
  <si>
    <t xml:space="preserve">이인농협주유소</t>
  </si>
  <si>
    <t xml:space="preserve">충남 공주시 이인면 검바위로 434</t>
  </si>
  <si>
    <t xml:space="preserve">041-857-6095</t>
  </si>
  <si>
    <t xml:space="preserve">갑사주유소</t>
  </si>
  <si>
    <t xml:space="preserve">충남 공주시 계룡면 영규대사로 585</t>
  </si>
  <si>
    <t xml:space="preserve">041-857-5542</t>
  </si>
  <si>
    <t xml:space="preserve">명성self주유소</t>
  </si>
  <si>
    <t xml:space="preserve">세종 조치원읍 세종로 2210</t>
  </si>
  <si>
    <t xml:space="preserve">044-863-3885</t>
  </si>
  <si>
    <t xml:space="preserve">홍대셀프주유소</t>
  </si>
  <si>
    <t xml:space="preserve">세종특별자치시 조치원읍 세종로 2654</t>
  </si>
  <si>
    <t xml:space="preserve">044-865-9966</t>
  </si>
  <si>
    <t xml:space="preserve">선경셀프주유소</t>
  </si>
  <si>
    <t xml:space="preserve">충북 청주시 흥덕구 강내면 서부로 106</t>
  </si>
  <si>
    <t xml:space="preserve">043-232-5189</t>
  </si>
  <si>
    <t xml:space="preserve">루트40주유소</t>
  </si>
  <si>
    <t xml:space="preserve">충남 공주시 이인면 잣골길 52-11 (이인면)</t>
  </si>
  <si>
    <t xml:space="preserve">041-855-0040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</si>
  <si>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</si>
  <si>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</si>
  <si>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</si>
  <si>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병천주유소</t>
  </si>
  <si>
    <t xml:space="preserve">충남 천안시 동남구 목천읍 충절로 1758</t>
  </si>
  <si>
    <t xml:space="preserve">041-564-1105</t>
  </si>
  <si>
    <t xml:space="preserve">은광주유소</t>
  </si>
  <si>
    <t xml:space="preserve">충남 천안시 동남구 풍세면 풍세로 477</t>
  </si>
  <si>
    <t xml:space="preserve">041-574-1868</t>
  </si>
  <si>
    <t xml:space="preserve">중앙주유소</t>
  </si>
  <si>
    <t xml:space="preserve">세종 조치원읍 새내로 201</t>
  </si>
  <si>
    <t xml:space="preserve">044-865-7789</t>
  </si>
  <si>
    <t xml:space="preserve">충남 공주시 신풍면 차동로 2144</t>
  </si>
  <si>
    <t xml:space="preserve">041-841-5551</t>
  </si>
  <si>
    <t xml:space="preserve">단비주유소</t>
  </si>
  <si>
    <t xml:space="preserve">충북 청주시 청원구 상당로 281 (내덕동)</t>
  </si>
  <si>
    <t xml:space="preserve">043-221-5189</t>
  </si>
  <si>
    <t xml:space="preserve">신화주유소</t>
  </si>
  <si>
    <t xml:space="preserve">충북 청주시 청원구 오창읍 호죽성재로 284</t>
  </si>
  <si>
    <t xml:space="preserve">043-225-3500</t>
  </si>
  <si>
    <t xml:space="preserve">대도주유소</t>
  </si>
  <si>
    <t xml:space="preserve">대전 대덕구 신탄진로756번길 2 (신탄진동)</t>
  </si>
  <si>
    <t xml:space="preserve">042-931-7600</t>
  </si>
  <si>
    <t xml:space="preserve">성남주유소</t>
  </si>
  <si>
    <t xml:space="preserve">충북 청주시 상당구 문의면 미천고은로 153</t>
  </si>
  <si>
    <t xml:space="preserve">043-297-5151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</si>
  <si>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</si>
  <si>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</si>
  <si>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</si>
  <si>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방동제일주유소</t>
  </si>
  <si>
    <t xml:space="preserve">대전 유성구 계백로 324</t>
  </si>
  <si>
    <t xml:space="preserve">042-825-0020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</si>
  <si>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</si>
  <si>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</si>
  <si>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</si>
  <si>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</si>
  <si>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</si>
  <si>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</si>
  <si>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</si>
  <si>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</si>
  <si>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</si>
  <si>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충북 청주시 상당구 미원면 구방5길 2</t>
  </si>
  <si>
    <t xml:space="preserve">043-223-0479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</si>
  <si>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</si>
  <si>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</si>
  <si>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</si>
  <si>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세종반곡주유소</t>
  </si>
  <si>
    <t xml:space="preserve">세종특별자치시 국책연구원3로 9</t>
  </si>
  <si>
    <t xml:space="preserve">044-868-6013</t>
  </si>
  <si>
    <t xml:space="preserve">태호건설㈜ 천안지점</t>
  </si>
  <si>
    <t xml:space="preserve">충남 천안시 서북구 천안대로 1685</t>
  </si>
  <si>
    <t xml:space="preserve">041-582-2375</t>
  </si>
  <si>
    <t xml:space="preserve">대원주유소</t>
  </si>
  <si>
    <t xml:space="preserve">충남 천안시 동남구 충절로 261 (구성동)</t>
  </si>
  <si>
    <t xml:space="preserve">041-563-0052</t>
  </si>
  <si>
    <t xml:space="preserve">정안농협주유소</t>
  </si>
  <si>
    <t xml:space="preserve">충남 공주시 정안면 활원길 48-10</t>
  </si>
  <si>
    <t xml:space="preserve">041-858-8324</t>
  </si>
  <si>
    <t xml:space="preserve">형제주유소</t>
  </si>
  <si>
    <t xml:space="preserve">충북 청주시 서원구 직지대로 738 (사직동)</t>
  </si>
  <si>
    <t xml:space="preserve">043-272-5189</t>
  </si>
  <si>
    <t xml:space="preserve">다복주유소</t>
  </si>
  <si>
    <t xml:space="preserve">충북 청주시 서원구 현도면 시목부강로 199</t>
  </si>
  <si>
    <t xml:space="preserve">043-262-5145</t>
  </si>
  <si>
    <t xml:space="preserve">남일주유소</t>
  </si>
  <si>
    <t xml:space="preserve">충북 청주시 상당구 남일면 단재로 828</t>
  </si>
  <si>
    <t xml:space="preserve">043-298-7700</t>
  </si>
  <si>
    <t xml:space="preserve">청정주유소</t>
  </si>
  <si>
    <t xml:space="preserve">대전 중구 오류로 120 (오류동)</t>
  </si>
  <si>
    <t xml:space="preserve">042-536-5151</t>
  </si>
  <si>
    <t xml:space="preserve">장기주유소</t>
  </si>
  <si>
    <t xml:space="preserve">세종특별자치시 장군면 장척로 408-7</t>
  </si>
  <si>
    <t xml:space="preserve">044-857-3334</t>
  </si>
  <si>
    <t xml:space="preserve">새빛주유소</t>
  </si>
  <si>
    <t xml:space="preserve">충북 청주시 상당구 남일면 단재로 466-5</t>
  </si>
  <si>
    <t xml:space="preserve">043-293-3078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</si>
  <si>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</si>
  <si>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</si>
  <si>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</si>
  <si>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</si>
  <si>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</si>
  <si>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</si>
  <si>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갈마주유소</t>
  </si>
  <si>
    <t xml:space="preserve">대전 서구 신갈마로 130</t>
  </si>
  <si>
    <t xml:space="preserve">042-526-0890</t>
  </si>
  <si>
    <t xml:space="preserve">대광주유소</t>
  </si>
  <si>
    <t xml:space="preserve">대전 유성구 금남구즉로 1355 (봉산동)</t>
  </si>
  <si>
    <t xml:space="preserve">042-935-6667</t>
  </si>
  <si>
    <t xml:space="preserve">세종 소정면 세종로 4313</t>
  </si>
  <si>
    <t xml:space="preserve">044-552-5185</t>
  </si>
  <si>
    <t xml:space="preserve">현대신원주유소</t>
  </si>
  <si>
    <t xml:space="preserve">충남 공주시 계룡면 영규대사로 143</t>
  </si>
  <si>
    <t xml:space="preserve">041-854-5111</t>
  </si>
  <si>
    <t xml:space="preserve">설성주유소</t>
  </si>
  <si>
    <t xml:space="preserve">충남 공주시 탄천면 통산로 137</t>
  </si>
  <si>
    <t xml:space="preserve">041-853-6787</t>
  </si>
  <si>
    <t xml:space="preserve">탄천농협주유소</t>
  </si>
  <si>
    <t xml:space="preserve">충남 공주시 탄천면 통산로 232</t>
  </si>
  <si>
    <t xml:space="preserve">041-852-1862</t>
  </si>
  <si>
    <t xml:space="preserve">청송주유소</t>
  </si>
  <si>
    <t xml:space="preserve">충남 공주시 신풍면 충의로 2317</t>
  </si>
  <si>
    <t xml:space="preserve">041-841-5766</t>
  </si>
  <si>
    <t xml:space="preserve">동건셀프주유소</t>
  </si>
  <si>
    <t xml:space="preserve">충남 공주시 무령로 492</t>
  </si>
  <si>
    <t xml:space="preserve">041-854-0347</t>
  </si>
  <si>
    <t xml:space="preserve">(주)동건에너지 만년교셀프주유소</t>
  </si>
  <si>
    <t xml:space="preserve">대전 서구 계룡로 202</t>
  </si>
  <si>
    <t xml:space="preserve">042-525-6643</t>
  </si>
  <si>
    <t xml:space="preserve">오성주유소</t>
  </si>
  <si>
    <t xml:space="preserve">충남 공주시 우금티로 424 (금학동)</t>
  </si>
  <si>
    <t xml:space="preserve">041-856-0058</t>
  </si>
  <si>
    <t xml:space="preserve">백룡주유소</t>
  </si>
  <si>
    <t xml:space="preserve">충남 공주시 신풍면 차동로 1789</t>
  </si>
  <si>
    <t xml:space="preserve">041-841-8246</t>
  </si>
  <si>
    <t xml:space="preserve">삼진self주유소</t>
  </si>
  <si>
    <t xml:space="preserve">충남 공주시 의당면 의당로 287</t>
  </si>
  <si>
    <t xml:space="preserve">041-857-5189</t>
  </si>
  <si>
    <t xml:space="preserve">의당농협주유소</t>
  </si>
  <si>
    <t xml:space="preserve">충남 공주시 의당면 의당전의로 9</t>
  </si>
  <si>
    <t xml:space="preserve">041-852-7890</t>
  </si>
  <si>
    <t xml:space="preserve">충남 천안시 서북구 성거읍 성진로 588</t>
  </si>
  <si>
    <t xml:space="preserve">041-584-8363</t>
  </si>
  <si>
    <t xml:space="preserve">미니주유소</t>
  </si>
  <si>
    <t xml:space="preserve">충남 천안시 동남구 다가7길 18 (다가동)</t>
  </si>
  <si>
    <t xml:space="preserve">041-573-1402</t>
  </si>
  <si>
    <t xml:space="preserve">옥녀봉주유소</t>
  </si>
  <si>
    <t xml:space="preserve">충북 청주시 청원구 북이면 충청대로 1376</t>
  </si>
  <si>
    <t xml:space="preserve">043-212-8787</t>
  </si>
  <si>
    <t xml:space="preserve">운암주유소</t>
  </si>
  <si>
    <t xml:space="preserve">충북 청주시 상당구 미원면 남부로 6605</t>
  </si>
  <si>
    <t xml:space="preserve">043-298-8211</t>
  </si>
  <si>
    <t xml:space="preserve">송곡주유소</t>
  </si>
  <si>
    <t xml:space="preserve">충남 공주시 반포면 송곡로 217</t>
  </si>
  <si>
    <t xml:space="preserve">041-857-9333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</si>
  <si>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</si>
  <si>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</si>
  <si>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</si>
  <si>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</si>
  <si>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</si>
  <si>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</si>
  <si>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신방주유소</t>
  </si>
  <si>
    <t xml:space="preserve">충남 천안시 서북구 성환읍 신방로 41</t>
  </si>
  <si>
    <t xml:space="preserve">041-581-1474</t>
  </si>
  <si>
    <t xml:space="preserve">유계주유소</t>
  </si>
  <si>
    <t xml:space="preserve">충남 공주시 의당면 의당전의로 467</t>
  </si>
  <si>
    <t xml:space="preserve">041-853-4546</t>
  </si>
  <si>
    <t xml:space="preserve">동찬주유소</t>
  </si>
  <si>
    <t xml:space="preserve">충북 청주시 흥덕구 오송읍 서평길 22-1</t>
  </si>
  <si>
    <t xml:space="preserve">043-238-8808</t>
  </si>
  <si>
    <t xml:space="preserve">신계주유소</t>
  </si>
  <si>
    <t xml:space="preserve">충남 천안시 동남구 목천읍 충절로 833</t>
  </si>
  <si>
    <t xml:space="preserve">041-556-5151</t>
  </si>
  <si>
    <t xml:space="preserve">솔티주유소</t>
  </si>
  <si>
    <t xml:space="preserve">충남 공주시 충의로 2092</t>
  </si>
  <si>
    <t xml:space="preserve">041-841-3666</t>
  </si>
  <si>
    <t xml:space="preserve">매봉셀프주유소</t>
  </si>
  <si>
    <t xml:space="preserve">충남 천안시 동남구 병천면 충절로 1532</t>
  </si>
  <si>
    <t xml:space="preserve">041-523-3367</t>
  </si>
  <si>
    <t xml:space="preserve">동천주유소</t>
  </si>
  <si>
    <t xml:space="preserve">충남 공주시 정안면 차령로 2948</t>
  </si>
  <si>
    <t xml:space="preserve">041-858-8138</t>
  </si>
  <si>
    <t xml:space="preserve">충남 천안시 동남구 목천읍 충절로 779</t>
  </si>
  <si>
    <t xml:space="preserve">041-557-6004</t>
  </si>
  <si>
    <t xml:space="preserve">자연주유소</t>
  </si>
  <si>
    <t xml:space="preserve">충남 공주시 계룡면 차령로 1064</t>
  </si>
  <si>
    <t xml:space="preserve">041-858-5151</t>
  </si>
  <si>
    <t xml:space="preserve">(주)광명주유소</t>
  </si>
  <si>
    <t xml:space="preserve">충남 천안시 동남구 충절로 451</t>
  </si>
  <si>
    <t xml:space="preserve">041-567-6066</t>
  </si>
  <si>
    <t xml:space="preserve">선명주유소</t>
  </si>
  <si>
    <t xml:space="preserve">충북 청주시 상당구 미원면 단재로 2670</t>
  </si>
  <si>
    <t xml:space="preserve">043-297-0144</t>
  </si>
  <si>
    <t xml:space="preserve">연일주유소</t>
  </si>
  <si>
    <t xml:space="preserve">충북 청주시 상당구 남일면 단재로 515</t>
  </si>
  <si>
    <t xml:space="preserve">043-298-5337</t>
  </si>
  <si>
    <t xml:space="preserve">성환주유소</t>
  </si>
  <si>
    <t xml:space="preserve">충남 천안시 서북구 성환읍 연암율금로 103</t>
  </si>
  <si>
    <t xml:space="preserve">041-581-9768</t>
  </si>
  <si>
    <t xml:space="preserve">영호주유소</t>
  </si>
  <si>
    <t xml:space="preserve">충남 천안시 동남구 풍세로 857 (용곡동)</t>
  </si>
  <si>
    <t xml:space="preserve">041-555-2931</t>
  </si>
  <si>
    <t xml:space="preserve">하나주유소</t>
  </si>
  <si>
    <t xml:space="preserve">충남 천안시 동남구 성남면 성남로 260</t>
  </si>
  <si>
    <t xml:space="preserve">041-554-8090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</si>
  <si>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</si>
  <si>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</si>
  <si>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</si>
  <si>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</si>
  <si>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</si>
  <si>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</si>
  <si>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광덕셀프주유소</t>
  </si>
  <si>
    <t xml:space="preserve">충남 천안시 동남구 광덕면 광풍로 240</t>
  </si>
  <si>
    <t xml:space="preserve">041-553-7732</t>
  </si>
  <si>
    <t xml:space="preserve">호반주유소</t>
  </si>
  <si>
    <t xml:space="preserve">충북 청주시 상당구 가덕면 미천고은로 118</t>
  </si>
  <si>
    <t xml:space="preserve">043-297-3668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</si>
  <si>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</si>
  <si>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</si>
  <si>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</si>
  <si>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천안동남주유소</t>
  </si>
  <si>
    <t xml:space="preserve">충남 천안시 동남구 동면 충절로 2720</t>
  </si>
  <si>
    <t xml:space="preserve">041-523-5151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</si>
  <si>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</si>
  <si>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</si>
  <si>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</si>
  <si>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청솔주유소</t>
  </si>
  <si>
    <t xml:space="preserve">충남 천안시 동남구 성남면 성남로 413</t>
  </si>
  <si>
    <t xml:space="preserve">041-553-8132</t>
  </si>
  <si>
    <t xml:space="preserve">충북 청주시 서원구 현도면 청남로 193</t>
  </si>
  <si>
    <t xml:space="preserve">043-260-8878</t>
  </si>
  <si>
    <t xml:space="preserve">여로주유소</t>
  </si>
  <si>
    <t xml:space="preserve">충남 공주시  전진배길 413 (소학동)</t>
  </si>
  <si>
    <t xml:space="preserve">041-855-3999</t>
  </si>
  <si>
    <t xml:space="preserve">청기와주유소</t>
  </si>
  <si>
    <t xml:space="preserve">충남 공주시 신기안길 142</t>
  </si>
  <si>
    <t xml:space="preserve">041-857-7400</t>
  </si>
  <si>
    <t xml:space="preserve">보산원주유소</t>
  </si>
  <si>
    <t xml:space="preserve">충남 천안시 동남구 광덕면 보산원로 55</t>
  </si>
  <si>
    <t xml:space="preserve">041-567-0373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</si>
  <si>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</si>
  <si>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</si>
  <si>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</si>
  <si>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동방주유소</t>
  </si>
  <si>
    <t xml:space="preserve">충남 천안시 동남구 성남면 5산단로 236</t>
  </si>
  <si>
    <t xml:space="preserve">041-553-6542</t>
  </si>
  <si>
    <t xml:space="preserve">신영주유소</t>
  </si>
  <si>
    <t xml:space="preserve">충남 공주시 유구읍 금계산로 424</t>
  </si>
  <si>
    <t xml:space="preserve">041-841-5553</t>
  </si>
  <si>
    <t xml:space="preserve">중부제3셀프주유소</t>
  </si>
  <si>
    <t xml:space="preserve">충남 공주시 무령로 466 (신관동)</t>
  </si>
  <si>
    <t xml:space="preserve">041-881-8851</t>
  </si>
  <si>
    <t xml:space="preserve">충북 청주시 흥덕구 강내면 저산태성로 289-4</t>
  </si>
  <si>
    <t xml:space="preserve">043-237-6280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</si>
  <si>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</si>
  <si>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</si>
  <si>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</si>
  <si>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대명주유소</t>
  </si>
  <si>
    <t xml:space="preserve">충북 청주시 흥덕구 직지대로 674</t>
  </si>
  <si>
    <t xml:space="preserve">043-264-9988</t>
  </si>
  <si>
    <t xml:space="preserve">대전 중구 문화로 97</t>
  </si>
  <si>
    <t xml:space="preserve">01023136643</t>
  </si>
  <si>
    <t xml:space="preserve">괴정주유소</t>
  </si>
  <si>
    <t xml:space="preserve">대전 서구 괴정로 113</t>
  </si>
  <si>
    <t xml:space="preserve">042-525-1551</t>
  </si>
  <si>
    <t xml:space="preserve">동광장주유소</t>
  </si>
  <si>
    <t xml:space="preserve">대전 동구 중앙로 280</t>
  </si>
  <si>
    <t xml:space="preserve">000-0000-0000</t>
  </si>
  <si>
    <t xml:space="preserve">태산주유소</t>
  </si>
  <si>
    <t xml:space="preserve">세종특별자치시 소정면 세종로 4274</t>
  </si>
  <si>
    <t xml:space="preserve">044-523-6565</t>
  </si>
  <si>
    <t xml:space="preserve">백제주유소</t>
  </si>
  <si>
    <t xml:space="preserve">세종 소정면 차령고개로 1087</t>
  </si>
  <si>
    <t xml:space="preserve">유구농협주유소/충전소</t>
  </si>
  <si>
    <t xml:space="preserve">충남 공주시 유구읍 금계산로 477</t>
  </si>
  <si>
    <t xml:space="preserve">041-841-9533</t>
  </si>
  <si>
    <t xml:space="preserve">홍익주유소</t>
  </si>
  <si>
    <t xml:space="preserve">충남 천안시 서북구 직산읍 상덕로 155</t>
  </si>
  <si>
    <t xml:space="preserve">041-584-5151</t>
  </si>
  <si>
    <t xml:space="preserve">이인주유소</t>
  </si>
  <si>
    <t xml:space="preserve">충남 공주시 이인면 검바위로 205</t>
  </si>
  <si>
    <t xml:space="preserve">041-857-0118</t>
  </si>
  <si>
    <t xml:space="preserve">명화제일주유소</t>
  </si>
  <si>
    <t xml:space="preserve">세종특별자치시 전동면 운주산로 224</t>
  </si>
  <si>
    <t xml:space="preserve">044-862-6233</t>
  </si>
  <si>
    <t xml:space="preserve">내판주유소</t>
  </si>
  <si>
    <t xml:space="preserve">세종특별자치시 연동면 청연로 639</t>
  </si>
  <si>
    <t xml:space="preserve">044-864-9229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</si>
  <si>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</si>
  <si>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</si>
  <si>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</si>
  <si>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충북 청주시 청원구 오창읍 두릉유리로 1129</t>
  </si>
  <si>
    <t xml:space="preserve">043-217-1159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</si>
  <si>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</si>
  <si>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</si>
  <si>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</si>
  <si>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우성주유소</t>
  </si>
  <si>
    <t xml:space="preserve">충남 공주시 우성면 동대리길 93</t>
  </si>
  <si>
    <t xml:space="preserve">041-853-6025</t>
  </si>
  <si>
    <t xml:space="preserve">신사주유소</t>
  </si>
  <si>
    <t xml:space="preserve">충남 공주시 사곡면 차동로 1431</t>
  </si>
  <si>
    <t xml:space="preserve">041-841-4422</t>
  </si>
  <si>
    <t xml:space="preserve">학봉주유소</t>
  </si>
  <si>
    <t xml:space="preserve">충남 공주시 반포면 동학사1로 105</t>
  </si>
  <si>
    <t xml:space="preserve">042-825-8989</t>
  </si>
  <si>
    <t xml:space="preserve">스마트주유소</t>
  </si>
  <si>
    <t xml:space="preserve">충북 청주시 흥덕구 청주역로 563</t>
  </si>
  <si>
    <t xml:space="preserve">043-267-7350</t>
  </si>
  <si>
    <t xml:space="preserve">충남 공주시 우금티로 475 (금학동)</t>
  </si>
  <si>
    <t xml:space="preserve">041-855-0051</t>
  </si>
  <si>
    <t xml:space="preserve">그린이에스</t>
  </si>
  <si>
    <t xml:space="preserve">충북 청주시 흥덕구 청주역로 284 (정봉동)</t>
  </si>
  <si>
    <t xml:space="preserve">043-237-2000</t>
  </si>
  <si>
    <t xml:space="preserve">평산주유소</t>
  </si>
  <si>
    <t xml:space="preserve">세종특별자치시 조치원읍 허만석로 84</t>
  </si>
  <si>
    <t xml:space="preserve">044-867-5189</t>
  </si>
  <si>
    <t xml:space="preserve">평강주유소</t>
  </si>
  <si>
    <t xml:space="preserve">충북 청주시 서원구 사운로145번길 4 (사직동)</t>
  </si>
  <si>
    <t xml:space="preserve">043-266-5155</t>
  </si>
  <si>
    <t xml:space="preserve">석화주유소</t>
  </si>
  <si>
    <t xml:space="preserve">충북 청주시 청원구 내수읍 충청대로 849-5</t>
  </si>
  <si>
    <t xml:space="preserve">043-213-0541</t>
  </si>
  <si>
    <t xml:space="preserve">남산주유소</t>
  </si>
  <si>
    <t xml:space="preserve">충남 천안시 동남구 천안천공원3길 27-10</t>
  </si>
  <si>
    <t xml:space="preserve">041-563-0068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</si>
  <si>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</si>
  <si>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</si>
  <si>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</si>
  <si>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</si>
  <si>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</si>
  <si>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삼보주유소</t>
  </si>
  <si>
    <t xml:space="preserve">충북 청주시 청원구 북이면 충청대로 1524</t>
  </si>
  <si>
    <t xml:space="preserve">043-211-0033</t>
  </si>
  <si>
    <t xml:space="preserve">평온주유소</t>
  </si>
  <si>
    <t xml:space="preserve">충남 천안시 서북구 성환18길 11-124</t>
  </si>
  <si>
    <t xml:space="preserve">041-585-7075</t>
  </si>
  <si>
    <t xml:space="preserve">상록주유소</t>
  </si>
  <si>
    <t xml:space="preserve">충남 천안시 동남구 수신면 수신로 642</t>
  </si>
  <si>
    <t xml:space="preserve">041-622-9199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</si>
  <si>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</si>
  <si>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</si>
  <si>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</si>
  <si>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대련주유소</t>
  </si>
  <si>
    <t xml:space="preserve">충북 청주시 서원구 남이면 대림로 148</t>
  </si>
  <si>
    <t xml:space="preserve">043-260-2433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</si>
  <si>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</si>
  <si>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</si>
  <si>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</si>
  <si>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삼원주유소</t>
  </si>
  <si>
    <t xml:space="preserve">충남 천안시 서북구 4산단로 217</t>
  </si>
  <si>
    <t xml:space="preserve">041-555-3151</t>
  </si>
  <si>
    <t xml:space="preserve">초정주유소</t>
  </si>
  <si>
    <t xml:space="preserve">충북 청주시 청원구 내수읍 청암로 457</t>
  </si>
  <si>
    <t xml:space="preserve">043-213-6683</t>
  </si>
  <si>
    <t xml:space="preserve">신촌주유소</t>
  </si>
  <si>
    <t xml:space="preserve">충북 청주시 흥덕구 옥산면 오송가락로 545</t>
  </si>
  <si>
    <t xml:space="preserve">043-260-0183</t>
  </si>
  <si>
    <t xml:space="preserve">전동주유소</t>
  </si>
  <si>
    <t xml:space="preserve">세종특별자치시 전동면 운주산로 355</t>
  </si>
  <si>
    <t xml:space="preserve">044-863-1300</t>
  </si>
  <si>
    <t xml:space="preserve">가로수주유소</t>
  </si>
  <si>
    <t xml:space="preserve">충북 청주시 흥덕구 가로수로 797 (석소동)</t>
  </si>
  <si>
    <t xml:space="preserve">043-232-4466</t>
  </si>
  <si>
    <t xml:space="preserve">유구셀프주유소</t>
  </si>
  <si>
    <t xml:space="preserve">충남 공주시 유구읍 중앙1길 66</t>
  </si>
  <si>
    <t xml:space="preserve">041-841-5151</t>
  </si>
  <si>
    <t xml:space="preserve">녹천주유소</t>
  </si>
  <si>
    <t xml:space="preserve">충남 공주시 유구읍 유구외곽로 34</t>
  </si>
  <si>
    <t xml:space="preserve">041-841-0555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</si>
  <si>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</si>
  <si>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</si>
  <si>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</si>
  <si>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</si>
  <si>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</si>
  <si>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</si>
  <si>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</si>
  <si>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</si>
  <si>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</si>
  <si>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내수주유소</t>
  </si>
  <si>
    <t xml:space="preserve">충북 청주시 청원구 내수읍 충청대로 934</t>
  </si>
  <si>
    <t xml:space="preserve">043-213-8287</t>
  </si>
  <si>
    <t xml:space="preserve">계룡농협주유소</t>
  </si>
  <si>
    <t xml:space="preserve">충남 공주시 계룡면 영규대사로 365</t>
  </si>
  <si>
    <t xml:space="preserve">041-857-3432</t>
  </si>
  <si>
    <t xml:space="preserve">송학주유소</t>
  </si>
  <si>
    <t xml:space="preserve">세종특별자치시 장군면 의당전의로 677</t>
  </si>
  <si>
    <t xml:space="preserve">044-854-1835</t>
  </si>
  <si>
    <t xml:space="preserve">내수농업협동조합</t>
  </si>
  <si>
    <t xml:space="preserve">충북 청주시 청원구 내수읍 내수로 751</t>
  </si>
  <si>
    <t xml:space="preserve">043-214-7043</t>
  </si>
  <si>
    <t xml:space="preserve">월미공단주유소</t>
  </si>
  <si>
    <t xml:space="preserve">충남 공주시 차동로 239</t>
  </si>
  <si>
    <t xml:space="preserve">041-854-6276</t>
  </si>
  <si>
    <t xml:space="preserve">중부주유소</t>
  </si>
  <si>
    <t xml:space="preserve">충남 공주시 우성면 우성길 112</t>
  </si>
  <si>
    <t xml:space="preserve">041-852-5536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</si>
  <si>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</si>
  <si>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</si>
  <si>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</si>
  <si>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</si>
  <si>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</si>
  <si>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</si>
  <si>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</si>
  <si>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</si>
  <si>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</si>
  <si>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</si>
  <si>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</si>
  <si>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</si>
  <si>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달산주유소</t>
  </si>
  <si>
    <t xml:space="preserve">충남 공주시 이인면 검바위로 71</t>
  </si>
  <si>
    <t xml:space="preserve">041-852-3566</t>
  </si>
  <si>
    <t xml:space="preserve">세종특별자치시 부강면 청연로 71</t>
  </si>
  <si>
    <t xml:space="preserve">044-275-5522</t>
  </si>
  <si>
    <t xml:space="preserve">삼육주유소</t>
  </si>
  <si>
    <t xml:space="preserve">대전 중구 대전천서로 757</t>
  </si>
  <si>
    <t xml:space="preserve">042-257-3636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</si>
  <si>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</si>
  <si>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</si>
  <si>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</si>
  <si>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</si>
  <si>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</si>
  <si>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</si>
  <si>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</si>
  <si>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</si>
  <si>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</si>
  <si>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남양주유소</t>
  </si>
  <si>
    <t xml:space="preserve">충남 천안시 동남구 광덕면 광풍로 987</t>
  </si>
  <si>
    <t xml:space="preserve">041-558-5185</t>
  </si>
  <si>
    <t xml:space="preserve">공원주유소</t>
  </si>
  <si>
    <t xml:space="preserve">충남 천안시 동남구 광덕면 광덕로 225</t>
  </si>
  <si>
    <t xml:space="preserve">041-567-2298</t>
  </si>
  <si>
    <t xml:space="preserve">옻샘주유소</t>
  </si>
  <si>
    <t xml:space="preserve">충북 청주시 상당구 미원면 남부로 6864</t>
  </si>
  <si>
    <t xml:space="preserve">043-297-0779</t>
  </si>
  <si>
    <t xml:space="preserve">미평주유소</t>
  </si>
  <si>
    <t xml:space="preserve">충북 청주시 서원구 청남로 1911</t>
  </si>
  <si>
    <t xml:space="preserve">043-292-5150</t>
  </si>
  <si>
    <t xml:space="preserve">친절한주유소</t>
  </si>
  <si>
    <t xml:space="preserve">충남 천안시 동남구 중앙로 289</t>
  </si>
  <si>
    <t xml:space="preserve">041-562-5151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</si>
  <si>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</si>
  <si>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</si>
  <si>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</si>
  <si>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삼정주유소</t>
  </si>
  <si>
    <t xml:space="preserve">세종 조치원읍 충현로 53</t>
  </si>
  <si>
    <t xml:space="preserve">044-865-2472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</si>
  <si>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</si>
  <si>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</si>
  <si>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</si>
  <si>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송절주유소</t>
  </si>
  <si>
    <t xml:space="preserve">충북 청주시 흥덕구 월명로 278</t>
  </si>
  <si>
    <t xml:space="preserve">043-278-5188</t>
  </si>
  <si>
    <t xml:space="preserve">형제복지주유소</t>
  </si>
  <si>
    <t xml:space="preserve">충청남도 공주시 이인면 백제큰길 1178</t>
  </si>
  <si>
    <t xml:space="preserve">041-856-8951</t>
  </si>
  <si>
    <t xml:space="preserve">유진주유소</t>
  </si>
  <si>
    <t xml:space="preserve">충북 청주시 서원구 남이면 남석로 402</t>
  </si>
  <si>
    <t xml:space="preserve">043-237-8884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</si>
  <si>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</si>
  <si>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</si>
  <si>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</si>
  <si>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</si>
  <si>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</si>
  <si>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</si>
  <si>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석곡주유소</t>
  </si>
  <si>
    <t xml:space="preserve">충북 청주시 흥덕구 남석로 615</t>
  </si>
  <si>
    <t xml:space="preserve">043-233-7800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</si>
  <si>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</si>
  <si>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</si>
  <si>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</si>
  <si>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</si>
  <si>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</si>
  <si>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</si>
  <si>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</si>
  <si>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</si>
  <si>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</si>
  <si>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신고개주유소</t>
  </si>
  <si>
    <t xml:space="preserve">대전 동구 새울로 38 (용운동)</t>
  </si>
  <si>
    <t xml:space="preserve">042-285-6700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</si>
  <si>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</si>
  <si>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</si>
  <si>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</si>
  <si>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황용주유소</t>
  </si>
  <si>
    <t xml:space="preserve">세종 금남면 황용1길 40</t>
  </si>
  <si>
    <t xml:space="preserve">044-867-8554</t>
  </si>
  <si>
    <t xml:space="preserve">보성주유소</t>
  </si>
  <si>
    <t xml:space="preserve">충남 천안시 동남구 풍세면 광풍로 1333</t>
  </si>
  <si>
    <t xml:space="preserve">041-561-5133</t>
  </si>
  <si>
    <t xml:space="preserve">당산주유소</t>
  </si>
  <si>
    <t xml:space="preserve">대전 대덕구 아리랑로 135 (읍내동)</t>
  </si>
  <si>
    <t xml:space="preserve">042-622-2133</t>
  </si>
  <si>
    <t xml:space="preserve">충남 천안시 서북구 성환읍 천안대로 2021</t>
  </si>
  <si>
    <t xml:space="preserve">041-581-2418</t>
  </si>
  <si>
    <t xml:space="preserve">천안IC주유소</t>
  </si>
  <si>
    <t xml:space="preserve">충남 천안시 동남구 만남로 150 (신부동)</t>
  </si>
  <si>
    <t xml:space="preserve">041-622-3377</t>
  </si>
  <si>
    <t xml:space="preserve">지산주유소</t>
  </si>
  <si>
    <t xml:space="preserve">충북 청주시 상당구 낭성면 산성로 1143</t>
  </si>
  <si>
    <t xml:space="preserve">043-225-6554</t>
  </si>
  <si>
    <t xml:space="preserve">태양주유소</t>
  </si>
  <si>
    <t xml:space="preserve">충북 청주시 청원구 오창읍 중부로 1559</t>
  </si>
  <si>
    <t xml:space="preserve">043-217-9346</t>
  </si>
  <si>
    <t xml:space="preserve">주성주유소</t>
  </si>
  <si>
    <t xml:space="preserve">충북 청주시 청원구 충청대로 295</t>
  </si>
  <si>
    <t xml:space="preserve">043-212-1288</t>
  </si>
  <si>
    <t xml:space="preserve">SK오창주유소</t>
  </si>
  <si>
    <t xml:space="preserve">충북 청주시 청원구 오창읍 팔결로 579</t>
  </si>
  <si>
    <t xml:space="preserve">043-217-6060</t>
  </si>
  <si>
    <t xml:space="preserve">동유주유소</t>
  </si>
  <si>
    <t xml:space="preserve">세종시 조치원읍 새내로 142</t>
  </si>
  <si>
    <t xml:space="preserve">044-865-2961</t>
  </si>
  <si>
    <t xml:space="preserve">연흥2주유소</t>
  </si>
  <si>
    <t xml:space="preserve">충북 청주시 청원구 내수읍 내수로 293</t>
  </si>
  <si>
    <t xml:space="preserve">043-216-5189</t>
  </si>
  <si>
    <t xml:space="preserve">서공주IC주유소</t>
  </si>
  <si>
    <t xml:space="preserve">충청남도 공주시 우성면 공수원로 251</t>
  </si>
  <si>
    <t xml:space="preserve">041-852-5144</t>
  </si>
  <si>
    <t xml:space="preserve">흥인주유소</t>
  </si>
  <si>
    <t xml:space="preserve">충북 청주시 청원구 오창읍 두릉유리로 755</t>
  </si>
  <si>
    <t xml:space="preserve">043-211-7633</t>
  </si>
  <si>
    <t xml:space="preserve">연기주유소</t>
  </si>
  <si>
    <t xml:space="preserve">세종특별자치시 연기면 당산로 116</t>
  </si>
  <si>
    <t xml:space="preserve">044-863-7600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</si>
  <si>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</si>
  <si>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</si>
  <si>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</si>
  <si>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우정주유소</t>
  </si>
  <si>
    <t xml:space="preserve">대전 동구 옥천로 418 (삼정동)</t>
  </si>
  <si>
    <t xml:space="preserve">042-284-0235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</si>
  <si>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</si>
  <si>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</si>
  <si>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</si>
  <si>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하이웨이주유소</t>
  </si>
  <si>
    <t xml:space="preserve">충북 청주시 서원구 남이면 청남로 1775</t>
  </si>
  <si>
    <t xml:space="preserve">043-295-0001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</si>
  <si>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</si>
  <si>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</si>
  <si>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</si>
  <si>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충북 청주시 흥덕구 사운로 392-2 (신봉동)</t>
  </si>
  <si>
    <t xml:space="preserve">043-272-2468</t>
  </si>
  <si>
    <t xml:space="preserve">오산리주유소</t>
  </si>
  <si>
    <t xml:space="preserve">충북 청주시 흥덕구 옥산면 오송가락로 759</t>
  </si>
  <si>
    <t xml:space="preserve">043-260-3123</t>
  </si>
  <si>
    <t xml:space="preserve">영광Self주유소</t>
  </si>
  <si>
    <t xml:space="preserve">충남 공주시 정안면 정안중앙길 198</t>
  </si>
  <si>
    <t xml:space="preserve">041-858-6509</t>
  </si>
  <si>
    <t xml:space="preserve">(주)한유에너지 중부주유소</t>
  </si>
  <si>
    <t xml:space="preserve">세종시 조치원읍 세종로 2167</t>
  </si>
  <si>
    <t xml:space="preserve">044-866-5151</t>
  </si>
  <si>
    <t xml:space="preserve">아성주유소</t>
  </si>
  <si>
    <t xml:space="preserve">충남 공주시 무령로 424 (신관동)</t>
  </si>
  <si>
    <t xml:space="preserve">041-856-5179</t>
  </si>
  <si>
    <t xml:space="preserve">팔봉주유소</t>
  </si>
  <si>
    <t xml:space="preserve">충북 청주시 서원구 남이면 남석로 239</t>
  </si>
  <si>
    <t xml:space="preserve">043-274-6677</t>
  </si>
  <si>
    <t xml:space="preserve">대현주유소</t>
  </si>
  <si>
    <t xml:space="preserve">충북 청주시 청원구 오창읍 농소길 17-1</t>
  </si>
  <si>
    <t xml:space="preserve">043-241-5566</t>
  </si>
  <si>
    <t xml:space="preserve">신은성주유소</t>
  </si>
  <si>
    <t xml:space="preserve">충남 천안시 동남구 병천면 매봉로 243</t>
  </si>
  <si>
    <t xml:space="preserve">041-556-4951</t>
  </si>
  <si>
    <t xml:space="preserve">신나라주유소</t>
  </si>
  <si>
    <t xml:space="preserve">충북 청주시 청원구 새터로 53 (내덕동)</t>
  </si>
  <si>
    <t xml:space="preserve">043-222-8959</t>
  </si>
  <si>
    <t xml:space="preserve">터미널주유소</t>
  </si>
  <si>
    <t xml:space="preserve">충북 청주시 흥덕구 가로수로1086번길 1</t>
  </si>
  <si>
    <t xml:space="preserve">043-232-4257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</si>
  <si>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</si>
  <si>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</si>
  <si>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</si>
  <si>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</si>
  <si>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</si>
  <si>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</si>
  <si>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</si>
  <si>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</si>
  <si>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</si>
  <si>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아람주유소</t>
  </si>
  <si>
    <t xml:space="preserve">충남 천안시 동남구 풍세면 풍세로 161</t>
  </si>
  <si>
    <t xml:space="preserve">041-553-1377</t>
  </si>
  <si>
    <t xml:space="preserve">우리에너지</t>
  </si>
  <si>
    <t xml:space="preserve">충북 청주시 청원구 오창읍 중부로 1642</t>
  </si>
  <si>
    <t xml:space="preserve">043-241-3377</t>
  </si>
  <si>
    <t xml:space="preserve">대전 대덕구 대전로 1285 (대화동)</t>
  </si>
  <si>
    <t xml:space="preserve">042-634-0225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</si>
  <si>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</si>
  <si>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</si>
  <si>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</si>
  <si>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테크노주유소</t>
  </si>
  <si>
    <t xml:space="preserve">충북 청주시 흥덕구 옥산면 중부로 532</t>
  </si>
  <si>
    <t xml:space="preserve">043-217-5130</t>
  </si>
  <si>
    <t xml:space="preserve">관저주유소</t>
  </si>
  <si>
    <t xml:space="preserve">대전 유성구 계백로 975  (원내동)</t>
  </si>
  <si>
    <t xml:space="preserve">042-541-4202</t>
  </si>
  <si>
    <t xml:space="preserve">개나리주유소오일뱅크</t>
  </si>
  <si>
    <t xml:space="preserve">대전 대덕구 오정로 53 (오정동)</t>
  </si>
  <si>
    <t xml:space="preserve">042-631-4466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</si>
  <si>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</si>
  <si>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</si>
  <si>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</si>
  <si>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(주)차세대주유소</t>
  </si>
  <si>
    <t xml:space="preserve">대전광역시 대덕구  아리랑로 73</t>
  </si>
  <si>
    <t xml:space="preserve">042-626-5051</t>
  </si>
  <si>
    <t xml:space="preserve">충북 청주시 흥덕구 월명로48번길 3</t>
  </si>
  <si>
    <t xml:space="preserve">043-260-3923</t>
  </si>
  <si>
    <t xml:space="preserve">조이오토주유소</t>
  </si>
  <si>
    <t xml:space="preserve">충남 공주시  우금티로 157 (태봉동)</t>
  </si>
  <si>
    <t xml:space="preserve">041-854-0477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</si>
  <si>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</si>
  <si>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</si>
  <si>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</si>
  <si>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대율주유소</t>
  </si>
  <si>
    <t xml:space="preserve">충북 청주시 청원구 북이면 신대석성로 163</t>
  </si>
  <si>
    <t xml:space="preserve">043-214-7060</t>
  </si>
  <si>
    <t xml:space="preserve">만남주유소</t>
  </si>
  <si>
    <t xml:space="preserve">충북 청주시 흥덕구 직지대로 126 (지동동)</t>
  </si>
  <si>
    <t xml:space="preserve">043-232-5140</t>
  </si>
  <si>
    <t xml:space="preserve">충남 천안시 동남구 성황로 93 (원성동)</t>
  </si>
  <si>
    <t xml:space="preserve">041-522-5141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</si>
  <si>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</si>
  <si>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</si>
  <si>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</si>
  <si>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</si>
  <si>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</si>
  <si>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</si>
  <si>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대전 서구 대덕대로 384 (만년동)</t>
  </si>
  <si>
    <t xml:space="preserve">042-488-3326</t>
  </si>
  <si>
    <t xml:space="preserve">비전운수(주)산업단지주유소</t>
  </si>
  <si>
    <t xml:space="preserve">대전 대덕구 산업단지로 107</t>
  </si>
  <si>
    <t xml:space="preserve">042-935-5111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</si>
  <si>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</si>
  <si>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</si>
  <si>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</si>
  <si>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태조산주유소</t>
  </si>
  <si>
    <t xml:space="preserve">충남 천안시 동남구 각원사길 111 (안서동)</t>
  </si>
  <si>
    <t xml:space="preserve">041-567-0052</t>
  </si>
  <si>
    <t xml:space="preserve">북면주유소</t>
  </si>
  <si>
    <t xml:space="preserve">충청남도 천안시 동남구 북면 위례성로 715</t>
  </si>
  <si>
    <t xml:space="preserve">041-554-8060</t>
  </si>
  <si>
    <t xml:space="preserve">㈜구룡에너지</t>
  </si>
  <si>
    <t xml:space="preserve">충북 청주시 청원구 오창읍 오창대로 149</t>
  </si>
  <si>
    <t xml:space="preserve">043-216-9263</t>
  </si>
  <si>
    <t xml:space="preserve">창성주유소</t>
  </si>
  <si>
    <t xml:space="preserve">충남 천안시 서북구 성환읍 성환1로 201</t>
  </si>
  <si>
    <t xml:space="preserve">041-581-5151</t>
  </si>
  <si>
    <t xml:space="preserve">태양주유소/충전소</t>
  </si>
  <si>
    <t xml:space="preserve">충남 천안시 서북구 번영로 613</t>
  </si>
  <si>
    <t xml:space="preserve">041-621-5185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</si>
  <si>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</si>
  <si>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</si>
  <si>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</si>
  <si>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</si>
  <si>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</si>
  <si>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</si>
  <si>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충북 청주시 흥덕구 강내면 태성탑연로 68</t>
  </si>
  <si>
    <t xml:space="preserve">043-234-6565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</si>
  <si>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</si>
  <si>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</si>
  <si>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</si>
  <si>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</si>
  <si>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</si>
  <si>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</si>
  <si>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대길주유소</t>
  </si>
  <si>
    <t xml:space="preserve">충남 공주시 백제큰길 1384 (검상동)</t>
  </si>
  <si>
    <t xml:space="preserve">041-853-4541</t>
  </si>
  <si>
    <t xml:space="preserve">옥계주유소</t>
  </si>
  <si>
    <t xml:space="preserve">대전 중구 대종로 103</t>
  </si>
  <si>
    <t xml:space="preserve">042-285-1297</t>
  </si>
  <si>
    <t xml:space="preserve">주유소 가격 현행화 변경내역</t>
  </si>
  <si>
    <t xml:space="preserve">현행화 일자: 2026-03-06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</si>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</sst>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22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17.7</v>
      </c>
      <c r="C5" s="11" t="s">
        <v>8</v>
      </c>
      <c r="D5" s="12" t="n">
        <v>0.1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0.15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/>
      <c r="D9" s="12"/>
      <c r="X9" s="6"/>
      <c r="XFC9" s="6"/>
    </row>
    <row r="10" s="5" customFormat="true" ht="27" hidden="false" customHeight="true" outlineLevel="0" collapsed="false">
      <c r="A10" s="10" t="s">
        <v>16</v>
      </c>
      <c r="B10" s="11" t="n">
        <f aca="false">B4+B5+B6</f>
        <v>39.7</v>
      </c>
      <c r="C10" s="11"/>
      <c r="D10" s="12"/>
      <c r="X10" s="2"/>
      <c r="XFC10" s="6"/>
    </row>
    <row r="11" s="5" customFormat="true" ht="27" hidden="false" customHeight="true" outlineLevel="0" collapsed="false">
      <c r="A11" s="10" t="s">
        <v>17</v>
      </c>
      <c r="B11" s="13" t="n">
        <f aca="false">IF(B4+B5=0,"",(B4*B7+B5*B8)/(B4+B5))</f>
        <v>95.0125944584383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18</v>
      </c>
      <c r="B12" s="13" t="n">
        <f aca="false">IF(B5+B6=0,"",(B4*B7+B5*B9)/(B4+B5))</f>
        <v>95.904282115869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19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20</v>
      </c>
      <c r="B14" s="9" t="s">
        <v>21</v>
      </c>
      <c r="C14" s="9" t="s">
        <v>22</v>
      </c>
      <c r="D14" s="9" t="s">
        <v>23</v>
      </c>
      <c r="E14" s="9" t="s">
        <v>24</v>
      </c>
      <c r="F14" s="9" t="s">
        <v>25</v>
      </c>
      <c r="G14" s="9" t="s">
        <v>26</v>
      </c>
      <c r="H14" s="9" t="s">
        <v>27</v>
      </c>
      <c r="I14" s="9" t="s">
        <v>28</v>
      </c>
      <c r="J14" s="14" t="s">
        <v>29</v>
      </c>
      <c r="K14" s="9" t="s">
        <v>30</v>
      </c>
      <c r="L14" s="9" t="s">
        <v>19</v>
      </c>
      <c r="M14" s="9" t="s">
        <v>31</v>
      </c>
      <c r="N14" s="9" t="s">
        <v>32</v>
      </c>
      <c r="O14" s="9" t="s">
        <v>33</v>
      </c>
      <c r="P14" s="9" t="s">
        <v>34</v>
      </c>
      <c r="Q14" s="9" t="s">
        <v>35</v>
      </c>
      <c r="R14" s="9" t="s">
        <v>36</v>
      </c>
      <c r="S14" s="9" t="s">
        <v>37</v>
      </c>
      <c r="T14" s="9" t="s">
        <v>38</v>
      </c>
      <c r="U14" s="9" t="s">
        <v>39</v>
      </c>
      <c r="V14" s="14" t="s">
        <v>40</v>
      </c>
      <c r="W14" s="15" t="s">
        <v>41</v>
      </c>
      <c r="X14" s="2"/>
      <c r="XFC14" s="6"/>
    </row>
    <row r="15" s="5" customFormat="true" ht="28.5" hidden="false" customHeight="true" outlineLevel="0" collapsed="false">
      <c r="A15" s="16" t="n">
        <f aca="false">IF($T15="","",1+COUNTIF($W$15:$W$728,"&lt;"&amp;W15))</f>
        <v>1</v>
      </c>
      <c r="B15" s="16" t="s">
        <v>14</v>
      </c>
      <c r="C15" s="16" t="s">
        <v>42</v>
      </c>
      <c r="D15" s="16" t="s">
        <v>43</v>
      </c>
      <c r="E15" s="16" t="s">
        <v>44</v>
      </c>
      <c r="F15" s="16" t="s">
        <v>45</v>
      </c>
      <c r="G15" s="16" t="s">
        <v>46</v>
      </c>
      <c r="H15" s="17" t="n">
        <v>1832</v>
      </c>
      <c r="I15" s="17" t="n">
        <v>2049</v>
      </c>
      <c r="J15" s="17"/>
      <c r="K15" s="17" t="n">
        <v>1932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1832</v>
      </c>
      <c r="N15" s="17" t="n">
        <f aca="false">IF($I15="","",$I15+$L15)</f>
        <v>2049</v>
      </c>
      <c r="O15" s="17" t="n">
        <f aca="false">IF($K15="","",$K15+$L15)</f>
        <v>1932</v>
      </c>
      <c r="P15" s="17" t="n">
        <f aca="false">IF($B$10=0,"",IFERROR(IF($B$4&gt;0,IF($M15="",1/0,$M15*$B$4),0)+IF($B$5&gt;0,IF($N15="",1/0,$N15*$B$5),0)+IF($B$6&gt;0,IF($O15="",1/0,$O15*$B$6),0),""))</f>
        <v>76571.3</v>
      </c>
      <c r="Q15" s="17" t="s">
        <v>44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11485</v>
      </c>
      <c r="T15" s="17" t="n">
        <f aca="false">IF($P15="","",$P15-$S15)</f>
        <v>65086.3</v>
      </c>
      <c r="U15" s="17" t="n">
        <f aca="false">IF($T15="","",IF($B$10=0,"",$T15/$B$10))</f>
        <v>1639.45340050378</v>
      </c>
      <c r="V15" s="17" t="n">
        <f aca="false">IF($P15="","",IF($B$10=0,"",$P15/$B$10))</f>
        <v>1928.74811083123</v>
      </c>
      <c r="W15" s="19" t="n">
        <f aca="false">IF($T15="",1000000000000000,$T15)</f>
        <v>65086.3</v>
      </c>
      <c r="X15" s="2"/>
      <c r="XFC15" s="6"/>
    </row>
    <row r="16" s="5" customFormat="true" ht="28.5" hidden="false" customHeight="true" outlineLevel="0" collapsed="false">
      <c r="A16" s="16" t="n">
        <f aca="false">IF($T16="","",1+COUNTIF($W$15:$W$728,"&lt;"&amp;W16))</f>
        <v>2</v>
      </c>
      <c r="B16" s="16" t="s">
        <v>6</v>
      </c>
      <c r="C16" s="16" t="s">
        <v>47</v>
      </c>
      <c r="D16" s="16" t="s">
        <v>48</v>
      </c>
      <c r="E16" s="16" t="s">
        <v>44</v>
      </c>
      <c r="F16" s="16" t="s">
        <v>49</v>
      </c>
      <c r="G16" s="16" t="s">
        <v>50</v>
      </c>
      <c r="H16" s="17" t="n">
        <v>1774</v>
      </c>
      <c r="I16" s="17" t="n">
        <v>1954</v>
      </c>
      <c r="J16" s="17"/>
      <c r="K16" s="17" t="n">
        <v>1774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1774</v>
      </c>
      <c r="N16" s="17" t="n">
        <f aca="false">IF($I16="","",$I16+$L16)</f>
        <v>1954</v>
      </c>
      <c r="O16" s="17" t="n">
        <f aca="false">IF($K16="","",$K16+$L16)</f>
        <v>1774</v>
      </c>
      <c r="P16" s="17" t="n">
        <f aca="false">IF($B$10=0,"",IFERROR(IF($B$4&gt;0,IF($M16="",1/0,$M16*$B$4),0)+IF($B$5&gt;0,IF($N16="",1/0,$N16*$B$5),0)+IF($B$6&gt;0,IF($O16="",1/0,$O16*$B$6),0),""))</f>
        <v>73613.8</v>
      </c>
      <c r="Q16" s="17" t="s">
        <v>44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7361</v>
      </c>
      <c r="T16" s="17" t="n">
        <f aca="false">IF($P16="","",$P16-$S16)</f>
        <v>66252.8</v>
      </c>
      <c r="U16" s="17" t="n">
        <f aca="false">IF($T16="","",IF($B$10=0,"",$T16/$B$10))</f>
        <v>1668.8362720403</v>
      </c>
      <c r="V16" s="17" t="n">
        <f aca="false">IF($P16="","",IF($B$10=0,"",$P16/$B$10))</f>
        <v>1854.25188916877</v>
      </c>
      <c r="W16" s="19" t="n">
        <f aca="false">IF($T16="",1000000000000000,$T16)</f>
        <v>66252.8</v>
      </c>
      <c r="X16" s="2"/>
      <c r="XFC16" s="6"/>
    </row>
    <row r="17" s="5" customFormat="true" ht="28.5" hidden="false" customHeight="true" outlineLevel="0" collapsed="false">
      <c r="A17" s="16" t="n">
        <f aca="false">IF($T17="","",1+COUNTIF($W$15:$W$728,"&lt;"&amp;W17))</f>
        <v>3</v>
      </c>
      <c r="B17" s="16" t="s">
        <v>6</v>
      </c>
      <c r="C17" s="16" t="s">
        <v>51</v>
      </c>
      <c r="D17" s="16" t="s">
        <v>48</v>
      </c>
      <c r="E17" s="16" t="s">
        <v>44</v>
      </c>
      <c r="F17" s="16" t="s">
        <v>52</v>
      </c>
      <c r="G17" s="16" t="s">
        <v>53</v>
      </c>
      <c r="H17" s="17" t="n">
        <v>1769</v>
      </c>
      <c r="I17" s="17" t="n">
        <v>1976</v>
      </c>
      <c r="J17" s="17"/>
      <c r="K17" s="17" t="n">
        <v>1755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1769</v>
      </c>
      <c r="N17" s="17" t="n">
        <f aca="false">IF($I17="","",$I17+$L17)</f>
        <v>1976</v>
      </c>
      <c r="O17" s="17" t="n">
        <f aca="false">IF($K17="","",$K17+$L17)</f>
        <v>1755</v>
      </c>
      <c r="P17" s="17" t="n">
        <f aca="false">IF($B$10=0,"",IFERROR(IF($B$4&gt;0,IF($M17="",1/0,$M17*$B$4),0)+IF($B$5&gt;0,IF($N17="",1/0,$N17*$B$5),0)+IF($B$6&gt;0,IF($O17="",1/0,$O17*$B$6),0),""))</f>
        <v>73893.2</v>
      </c>
      <c r="Q17" s="17" t="s">
        <v>44</v>
      </c>
      <c r="R17" s="18" t="n">
        <f aca="false">IF($P17="","",IF($Q17="Y",IFERROR(VLOOKUP($B17,$C$4:$D$13,2,FALSE()),0),0))</f>
        <v>0.1</v>
      </c>
      <c r="S17" s="17" t="n">
        <f aca="false">IF($P17="","",ROUNDDOWN($P17*$R17,0))</f>
        <v>7389</v>
      </c>
      <c r="T17" s="17" t="n">
        <f aca="false">IF($P17="","",$P17-$S17)</f>
        <v>66504.2</v>
      </c>
      <c r="U17" s="17" t="n">
        <f aca="false">IF($T17="","",IF($B$10=0,"",$T17/$B$10))</f>
        <v>1675.16876574307</v>
      </c>
      <c r="V17" s="17" t="n">
        <f aca="false">IF($P17="","",IF($B$10=0,"",$P17/$B$10))</f>
        <v>1861.28967254408</v>
      </c>
      <c r="W17" s="19" t="n">
        <f aca="false">IF($T17="",1000000000000000,$T17)</f>
        <v>66504.2</v>
      </c>
      <c r="X17" s="2"/>
      <c r="XFC17" s="6"/>
    </row>
    <row r="18" s="5" customFormat="true" ht="28.5" hidden="false" customHeight="true" outlineLevel="0" collapsed="false">
      <c r="A18" s="16" t="n">
        <f aca="false">IF($T18="","",1+COUNTIF($W$15:$W$728,"&lt;"&amp;W18))</f>
        <v>4</v>
      </c>
      <c r="B18" s="16" t="s">
        <v>6</v>
      </c>
      <c r="C18" s="16" t="s">
        <v>54</v>
      </c>
      <c r="D18" s="16" t="s">
        <v>48</v>
      </c>
      <c r="E18" s="16" t="s">
        <v>44</v>
      </c>
      <c r="F18" s="16" t="s">
        <v>55</v>
      </c>
      <c r="G18" s="16" t="s">
        <v>56</v>
      </c>
      <c r="H18" s="17" t="n">
        <v>1799</v>
      </c>
      <c r="I18" s="17" t="n">
        <v>1949</v>
      </c>
      <c r="J18" s="17"/>
      <c r="K18" s="17" t="n">
        <v>1799</v>
      </c>
      <c r="L18" s="17" t="n">
        <f aca="false">IF(AND(IFERROR(SEARCH("현대오일뱅크",$C18),0)&gt;0,IFERROR(SEARCH("직영",$C18),0)&gt;0),$B$13,0)</f>
        <v>0</v>
      </c>
      <c r="M18" s="17" t="n">
        <f aca="false">IF($H18="","",$H18+$L18)</f>
        <v>1799</v>
      </c>
      <c r="N18" s="17" t="n">
        <f aca="false">IF($I18="","",$I18+$L18)</f>
        <v>1949</v>
      </c>
      <c r="O18" s="17" t="n">
        <f aca="false">IF($K18="","",$K18+$L18)</f>
        <v>1799</v>
      </c>
      <c r="P18" s="17" t="n">
        <f aca="false">IF($B$10=0,"",IFERROR(IF($B$4&gt;0,IF($M18="",1/0,$M18*$B$4),0)+IF($B$5&gt;0,IF($N18="",1/0,$N18*$B$5),0)+IF($B$6&gt;0,IF($O18="",1/0,$O18*$B$6),0),""))</f>
        <v>74075.3</v>
      </c>
      <c r="Q18" s="17" t="s">
        <v>44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7407</v>
      </c>
      <c r="T18" s="17" t="n">
        <f aca="false">IF($P18="","",$P18-$S18)</f>
        <v>66668.3</v>
      </c>
      <c r="U18" s="17" t="n">
        <f aca="false">IF($T18="","",IF($B$10=0,"",$T18/$B$10))</f>
        <v>1679.30226700252</v>
      </c>
      <c r="V18" s="17" t="n">
        <f aca="false">IF($P18="","",IF($B$10=0,"",$P18/$B$10))</f>
        <v>1865.8765743073</v>
      </c>
      <c r="W18" s="19" t="n">
        <f aca="false">IF($T18="",1000000000000000,$T18)</f>
        <v>66668.3</v>
      </c>
      <c r="X18" s="2"/>
      <c r="XFC18" s="6"/>
    </row>
    <row r="19" s="5" customFormat="true" ht="28.5" hidden="false" customHeight="true" outlineLevel="0" collapsed="false">
      <c r="A19" s="16" t="n">
        <f aca="false">IF($T19="","",1+COUNTIF($W$15:$W$728,"&lt;"&amp;W19))</f>
        <v>5</v>
      </c>
      <c r="B19" s="16" t="s">
        <v>6</v>
      </c>
      <c r="C19" s="16" t="s">
        <v>57</v>
      </c>
      <c r="D19" s="16" t="s">
        <v>48</v>
      </c>
      <c r="E19" s="16" t="s">
        <v>58</v>
      </c>
      <c r="F19" s="16" t="s">
        <v>59</v>
      </c>
      <c r="G19" s="16" t="s">
        <v>60</v>
      </c>
      <c r="H19" s="17" t="n">
        <v>1788</v>
      </c>
      <c r="I19" s="17" t="n">
        <v>1968</v>
      </c>
      <c r="J19" s="17"/>
      <c r="K19" s="17" t="n">
        <v>1825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1788</v>
      </c>
      <c r="N19" s="17" t="n">
        <f aca="false">IF($I19="","",$I19+$L19)</f>
        <v>1968</v>
      </c>
      <c r="O19" s="17" t="n">
        <f aca="false">IF($K19="","",$K19+$L19)</f>
        <v>1825</v>
      </c>
      <c r="P19" s="17" t="n">
        <f aca="false">IF($B$10=0,"",IFERROR(IF($B$4&gt;0,IF($M19="",1/0,$M19*$B$4),0)+IF($B$5&gt;0,IF($N19="",1/0,$N19*$B$5),0)+IF($B$6&gt;0,IF($O19="",1/0,$O19*$B$6),0),""))</f>
        <v>74169.6</v>
      </c>
      <c r="Q19" s="17" t="s">
        <v>44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7416</v>
      </c>
      <c r="T19" s="17" t="n">
        <f aca="false">IF($P19="","",$P19-$S19)</f>
        <v>66753.6</v>
      </c>
      <c r="U19" s="17" t="n">
        <f aca="false">IF($T19="","",IF($B$10=0,"",$T19/$B$10))</f>
        <v>1681.45088161209</v>
      </c>
      <c r="V19" s="17" t="n">
        <f aca="false">IF($P19="","",IF($B$10=0,"",$P19/$B$10))</f>
        <v>1868.25188916877</v>
      </c>
      <c r="W19" s="19" t="n">
        <f aca="false">IF($T19="",1000000000000000,$T19)</f>
        <v>66753.6</v>
      </c>
      <c r="X19" s="2"/>
      <c r="XFC19" s="6"/>
    </row>
    <row r="20" s="5" customFormat="true" ht="28.5" hidden="false" customHeight="true" outlineLevel="0" collapsed="false">
      <c r="A20" s="16" t="n">
        <f aca="false">IF($T20="","",1+COUNTIF($W$15:$W$728,"&lt;"&amp;W20))</f>
        <v>6</v>
      </c>
      <c r="B20" s="16" t="s">
        <v>6</v>
      </c>
      <c r="C20" s="16" t="s">
        <v>61</v>
      </c>
      <c r="D20" s="16" t="s">
        <v>48</v>
      </c>
      <c r="E20" s="16" t="s">
        <v>44</v>
      </c>
      <c r="F20" s="16" t="s">
        <v>62</v>
      </c>
      <c r="G20" s="16" t="s">
        <v>63</v>
      </c>
      <c r="H20" s="17" t="n">
        <v>1794</v>
      </c>
      <c r="I20" s="17" t="n">
        <v>1974</v>
      </c>
      <c r="J20" s="17"/>
      <c r="K20" s="17" t="n">
        <v>1753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1794</v>
      </c>
      <c r="N20" s="17" t="n">
        <f aca="false">IF($I20="","",$I20+$L20)</f>
        <v>1974</v>
      </c>
      <c r="O20" s="17" t="n">
        <f aca="false">IF($K20="","",$K20+$L20)</f>
        <v>1753</v>
      </c>
      <c r="P20" s="17" t="n">
        <f aca="false">IF($B$10=0,"",IFERROR(IF($B$4&gt;0,IF($M20="",1/0,$M20*$B$4),0)+IF($B$5&gt;0,IF($N20="",1/0,$N20*$B$5),0)+IF($B$6&gt;0,IF($O20="",1/0,$O20*$B$6),0),""))</f>
        <v>74407.8</v>
      </c>
      <c r="Q20" s="17" t="s">
        <v>44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7440</v>
      </c>
      <c r="T20" s="17" t="n">
        <f aca="false">IF($P20="","",$P20-$S20)</f>
        <v>66967.8</v>
      </c>
      <c r="U20" s="17" t="n">
        <f aca="false">IF($T20="","",IF($B$10=0,"",$T20/$B$10))</f>
        <v>1686.84634760705</v>
      </c>
      <c r="V20" s="17" t="n">
        <f aca="false">IF($P20="","",IF($B$10=0,"",$P20/$B$10))</f>
        <v>1874.25188916877</v>
      </c>
      <c r="W20" s="19" t="n">
        <f aca="false">IF($T20="",1000000000000000,$T20)</f>
        <v>66967.8</v>
      </c>
      <c r="X20" s="2"/>
      <c r="XFC20" s="6"/>
    </row>
    <row r="21" s="5" customFormat="true" ht="28.5" hidden="false" customHeight="true" outlineLevel="0" collapsed="false">
      <c r="A21" s="16" t="n">
        <f aca="false">IF($T21="","",1+COUNTIF($W$15:$W$728,"&lt;"&amp;W21))</f>
        <v>7</v>
      </c>
      <c r="B21" s="16" t="s">
        <v>6</v>
      </c>
      <c r="C21" s="16" t="s">
        <v>64</v>
      </c>
      <c r="D21" s="16" t="s">
        <v>48</v>
      </c>
      <c r="E21" s="16" t="s">
        <v>44</v>
      </c>
      <c r="F21" s="16" t="s">
        <v>65</v>
      </c>
      <c r="G21" s="16" t="s">
        <v>66</v>
      </c>
      <c r="H21" s="17" t="n">
        <v>1792</v>
      </c>
      <c r="I21" s="17" t="n">
        <v>1992</v>
      </c>
      <c r="J21" s="17"/>
      <c r="K21" s="17" t="n">
        <v>1805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1792</v>
      </c>
      <c r="N21" s="17" t="n">
        <f aca="false">IF($I21="","",$I21+$L21)</f>
        <v>1992</v>
      </c>
      <c r="O21" s="17" t="n">
        <f aca="false">IF($K21="","",$K21+$L21)</f>
        <v>1805</v>
      </c>
      <c r="P21" s="17" t="n">
        <f aca="false">IF($B$10=0,"",IFERROR(IF($B$4&gt;0,IF($M21="",1/0,$M21*$B$4),0)+IF($B$5&gt;0,IF($N21="",1/0,$N21*$B$5),0)+IF($B$6&gt;0,IF($O21="",1/0,$O21*$B$6),0),""))</f>
        <v>74682.4</v>
      </c>
      <c r="Q21" s="17" t="s">
        <v>44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7468</v>
      </c>
      <c r="T21" s="17" t="n">
        <f aca="false">IF($P21="","",$P21-$S21)</f>
        <v>67214.4</v>
      </c>
      <c r="U21" s="17" t="n">
        <f aca="false">IF($T21="","",IF($B$10=0,"",$T21/$B$10))</f>
        <v>1693.05793450882</v>
      </c>
      <c r="V21" s="17" t="n">
        <f aca="false">IF($P21="","",IF($B$10=0,"",$P21/$B$10))</f>
        <v>1881.16876574307</v>
      </c>
      <c r="W21" s="19" t="n">
        <f aca="false">IF($T21="",1000000000000000,$T21)</f>
        <v>67214.4</v>
      </c>
      <c r="X21" s="2"/>
      <c r="XFC21" s="6"/>
    </row>
    <row r="22" s="5" customFormat="true" ht="28.5" hidden="false" customHeight="true" outlineLevel="0" collapsed="false">
      <c r="A22" s="16" t="n">
        <f aca="false">IF($T22="","",1+COUNTIF($W$15:$W$728,"&lt;"&amp;W22))</f>
        <v>8</v>
      </c>
      <c r="B22" s="16" t="s">
        <v>6</v>
      </c>
      <c r="C22" s="16" t="s">
        <v>67</v>
      </c>
      <c r="D22" s="16" t="s">
        <v>43</v>
      </c>
      <c r="E22" s="16" t="s">
        <v>58</v>
      </c>
      <c r="F22" s="16" t="s">
        <v>68</v>
      </c>
      <c r="G22" s="16" t="s">
        <v>69</v>
      </c>
      <c r="H22" s="17" t="n">
        <v>1794</v>
      </c>
      <c r="I22" s="17" t="n">
        <v>2019</v>
      </c>
      <c r="J22" s="17"/>
      <c r="K22" s="17" t="n">
        <v>1839</v>
      </c>
      <c r="L22" s="17" t="n">
        <f aca="false">IF(AND(IFERROR(SEARCH("현대오일뱅크",$C22),0)&gt;0,IFERROR(SEARCH("직영",$C22),0)&gt;0),$B$13,0)</f>
        <v>-10</v>
      </c>
      <c r="M22" s="17" t="n">
        <f aca="false">IF($H22="","",$H22+$L22)</f>
        <v>1784</v>
      </c>
      <c r="N22" s="17" t="n">
        <f aca="false">IF($I22="","",$I22+$L22)</f>
        <v>2009</v>
      </c>
      <c r="O22" s="17" t="n">
        <f aca="false">IF($K22="","",$K22+$L22)</f>
        <v>1829</v>
      </c>
      <c r="P22" s="17" t="n">
        <f aca="false">IF($B$10=0,"",IFERROR(IF($B$4&gt;0,IF($M22="",1/0,$M22*$B$4),0)+IF($B$5&gt;0,IF($N22="",1/0,$N22*$B$5),0)+IF($B$6&gt;0,IF($O22="",1/0,$O22*$B$6),0),""))</f>
        <v>74807.3</v>
      </c>
      <c r="Q22" s="17" t="s">
        <v>44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7480</v>
      </c>
      <c r="T22" s="17" t="n">
        <f aca="false">IF($P22="","",$P22-$S22)</f>
        <v>67327.3</v>
      </c>
      <c r="U22" s="17" t="n">
        <f aca="false">IF($T22="","",IF($B$10=0,"",$T22/$B$10))</f>
        <v>1695.90176322418</v>
      </c>
      <c r="V22" s="17" t="n">
        <f aca="false">IF($P22="","",IF($B$10=0,"",$P22/$B$10))</f>
        <v>1884.31486146096</v>
      </c>
      <c r="W22" s="19" t="n">
        <f aca="false">IF($T22="",1000000000000000,$T22)</f>
        <v>67327.3</v>
      </c>
      <c r="X22" s="2"/>
      <c r="XFC22" s="6"/>
    </row>
    <row r="23" s="5" customFormat="true" ht="28.5" hidden="false" customHeight="true" outlineLevel="0" collapsed="false">
      <c r="A23" s="16" t="n">
        <f aca="false">IF($T23="","",1+COUNTIF($W$15:$W$728,"&lt;"&amp;W23))</f>
        <v>9</v>
      </c>
      <c r="B23" s="16" t="s">
        <v>6</v>
      </c>
      <c r="C23" s="16" t="s">
        <v>70</v>
      </c>
      <c r="D23" s="16" t="s">
        <v>43</v>
      </c>
      <c r="E23" s="16" t="s">
        <v>44</v>
      </c>
      <c r="F23" s="16" t="s">
        <v>71</v>
      </c>
      <c r="G23" s="16" t="s">
        <v>72</v>
      </c>
      <c r="H23" s="17" t="n">
        <v>1785</v>
      </c>
      <c r="I23" s="17" t="n">
        <v>2038</v>
      </c>
      <c r="J23" s="17" t="s">
        <v>44</v>
      </c>
      <c r="K23" s="17" t="n">
        <v>1755</v>
      </c>
      <c r="L23" s="17" t="n">
        <f aca="false">IF(AND(IFERROR(SEARCH("현대오일뱅크",$C23),0)&gt;0,IFERROR(SEARCH("직영",$C23),0)&gt;0),$B$13,0)</f>
        <v>-10</v>
      </c>
      <c r="M23" s="17" t="n">
        <f aca="false">IF($H23="","",$H23+$L23)</f>
        <v>1775</v>
      </c>
      <c r="N23" s="17" t="n">
        <f aca="false">IF($I23="","",$I23+$L23)</f>
        <v>2028</v>
      </c>
      <c r="O23" s="17" t="n">
        <f aca="false">IF($K23="","",$K23+$L23)</f>
        <v>1745</v>
      </c>
      <c r="P23" s="17" t="n">
        <f aca="false">IF($B$10=0,"",IFERROR(IF($B$4&gt;0,IF($M23="",1/0,$M23*$B$4),0)+IF($B$5&gt;0,IF($N23="",1/0,$N23*$B$5),0)+IF($B$6&gt;0,IF($O23="",1/0,$O23*$B$6),0),""))</f>
        <v>74945.6</v>
      </c>
      <c r="Q23" s="17" t="s">
        <v>44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7494</v>
      </c>
      <c r="T23" s="17" t="n">
        <f aca="false">IF($P23="","",$P23-$S23)</f>
        <v>67451.6</v>
      </c>
      <c r="U23" s="17" t="n">
        <f aca="false">IF($T23="","",IF($B$10=0,"",$T23/$B$10))</f>
        <v>1699.03274559194</v>
      </c>
      <c r="V23" s="17" t="n">
        <f aca="false">IF($P23="","",IF($B$10=0,"",$P23/$B$10))</f>
        <v>1887.79848866499</v>
      </c>
      <c r="W23" s="19" t="n">
        <f aca="false">IF($T23="",1000000000000000,$T23)</f>
        <v>67451.6</v>
      </c>
      <c r="X23" s="2"/>
      <c r="XFC23" s="6"/>
    </row>
    <row r="24" s="5" customFormat="true" ht="28.5" hidden="false" customHeight="true" outlineLevel="0" collapsed="false">
      <c r="A24" s="16" t="n">
        <f aca="false">IF($T24="","",1+COUNTIF($W$15:$W$728,"&lt;"&amp;W24))</f>
        <v>10</v>
      </c>
      <c r="B24" s="16" t="s">
        <v>6</v>
      </c>
      <c r="C24" s="16" t="s">
        <v>73</v>
      </c>
      <c r="D24" s="16" t="s">
        <v>43</v>
      </c>
      <c r="E24" s="16" t="s">
        <v>44</v>
      </c>
      <c r="F24" s="16" t="s">
        <v>74</v>
      </c>
      <c r="G24" s="16" t="s">
        <v>75</v>
      </c>
      <c r="H24" s="17" t="n">
        <v>1794</v>
      </c>
      <c r="I24" s="17" t="n">
        <v>2038</v>
      </c>
      <c r="J24" s="17" t="s">
        <v>44</v>
      </c>
      <c r="K24" s="17" t="n">
        <v>1754</v>
      </c>
      <c r="L24" s="17" t="n">
        <f aca="false">IF(AND(IFERROR(SEARCH("현대오일뱅크",$C24),0)&gt;0,IFERROR(SEARCH("직영",$C24),0)&gt;0),$B$13,0)</f>
        <v>-10</v>
      </c>
      <c r="M24" s="17" t="n">
        <f aca="false">IF($H24="","",$H24+$L24)</f>
        <v>1784</v>
      </c>
      <c r="N24" s="17" t="n">
        <f aca="false">IF($I24="","",$I24+$L24)</f>
        <v>2028</v>
      </c>
      <c r="O24" s="17" t="n">
        <f aca="false">IF($K24="","",$K24+$L24)</f>
        <v>1744</v>
      </c>
      <c r="P24" s="17" t="n">
        <f aca="false">IF($B$10=0,"",IFERROR(IF($B$4&gt;0,IF($M24="",1/0,$M24*$B$4),0)+IF($B$5&gt;0,IF($N24="",1/0,$N24*$B$5),0)+IF($B$6&gt;0,IF($O24="",1/0,$O24*$B$6),0),""))</f>
        <v>75143.6</v>
      </c>
      <c r="Q24" s="17" t="s">
        <v>44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7514</v>
      </c>
      <c r="T24" s="17" t="n">
        <f aca="false">IF($P24="","",$P24-$S24)</f>
        <v>67629.6</v>
      </c>
      <c r="U24" s="17" t="n">
        <f aca="false">IF($T24="","",IF($B$10=0,"",$T24/$B$10))</f>
        <v>1703.51637279597</v>
      </c>
      <c r="V24" s="17" t="n">
        <f aca="false">IF($P24="","",IF($B$10=0,"",$P24/$B$10))</f>
        <v>1892.78589420655</v>
      </c>
      <c r="W24" s="19" t="n">
        <f aca="false">IF($T24="",1000000000000000,$T24)</f>
        <v>67629.6</v>
      </c>
      <c r="X24" s="2"/>
      <c r="XFC24" s="6"/>
    </row>
    <row r="25" s="5" customFormat="true" ht="28.5" hidden="false" customHeight="true" outlineLevel="0" collapsed="false">
      <c r="A25" s="16" t="n">
        <f aca="false">IF($T25="","",1+COUNTIF($W$15:$W$728,"&lt;"&amp;W25))</f>
        <v>10</v>
      </c>
      <c r="B25" s="16" t="s">
        <v>6</v>
      </c>
      <c r="C25" s="16" t="s">
        <v>76</v>
      </c>
      <c r="D25" s="16" t="s">
        <v>43</v>
      </c>
      <c r="E25" s="16" t="s">
        <v>58</v>
      </c>
      <c r="F25" s="16" t="s">
        <v>77</v>
      </c>
      <c r="G25" s="16" t="s">
        <v>78</v>
      </c>
      <c r="H25" s="17" t="n">
        <v>1794</v>
      </c>
      <c r="I25" s="17" t="n">
        <v>2038</v>
      </c>
      <c r="J25" s="17" t="s">
        <v>44</v>
      </c>
      <c r="K25" s="17" t="n">
        <v>1749</v>
      </c>
      <c r="L25" s="17" t="n">
        <f aca="false">IF(AND(IFERROR(SEARCH("현대오일뱅크",$C25),0)&gt;0,IFERROR(SEARCH("직영",$C25),0)&gt;0),$B$13,0)</f>
        <v>-10</v>
      </c>
      <c r="M25" s="17" t="n">
        <f aca="false">IF($H25="","",$H25+$L25)</f>
        <v>1784</v>
      </c>
      <c r="N25" s="17" t="n">
        <f aca="false">IF($I25="","",$I25+$L25)</f>
        <v>2028</v>
      </c>
      <c r="O25" s="17" t="n">
        <f aca="false">IF($K25="","",$K25+$L25)</f>
        <v>1739</v>
      </c>
      <c r="P25" s="17" t="n">
        <f aca="false">IF($B$10=0,"",IFERROR(IF($B$4&gt;0,IF($M25="",1/0,$M25*$B$4),0)+IF($B$5&gt;0,IF($N25="",1/0,$N25*$B$5),0)+IF($B$6&gt;0,IF($O25="",1/0,$O25*$B$6),0),""))</f>
        <v>75143.6</v>
      </c>
      <c r="Q25" s="17" t="s">
        <v>44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7514</v>
      </c>
      <c r="T25" s="17" t="n">
        <f aca="false">IF($P25="","",$P25-$S25)</f>
        <v>67629.6</v>
      </c>
      <c r="U25" s="17" t="n">
        <f aca="false">IF($T25="","",IF($B$10=0,"",$T25/$B$10))</f>
        <v>1703.51637279597</v>
      </c>
      <c r="V25" s="17" t="n">
        <f aca="false">IF($P25="","",IF($B$10=0,"",$P25/$B$10))</f>
        <v>1892.78589420655</v>
      </c>
      <c r="W25" s="19" t="n">
        <f aca="false">IF($T25="",1000000000000000,$T25)</f>
        <v>67629.6</v>
      </c>
      <c r="X25" s="2"/>
      <c r="XFC25" s="6"/>
    </row>
    <row r="26" s="5" customFormat="true" ht="28.5" hidden="false" customHeight="true" outlineLevel="0" collapsed="false">
      <c r="A26" s="16" t="n">
        <f aca="false">IF($T26="","",1+COUNTIF($W$15:$W$728,"&lt;"&amp;W26))</f>
        <v>12</v>
      </c>
      <c r="B26" s="16" t="s">
        <v>6</v>
      </c>
      <c r="C26" s="16" t="s">
        <v>79</v>
      </c>
      <c r="D26" s="16" t="s">
        <v>43</v>
      </c>
      <c r="E26" s="16" t="s">
        <v>58</v>
      </c>
      <c r="F26" s="16" t="s">
        <v>80</v>
      </c>
      <c r="G26" s="16" t="s">
        <v>81</v>
      </c>
      <c r="H26" s="17" t="n">
        <v>1804</v>
      </c>
      <c r="I26" s="17" t="n">
        <v>2030</v>
      </c>
      <c r="J26" s="17"/>
      <c r="K26" s="17" t="n">
        <v>1759</v>
      </c>
      <c r="L26" s="17" t="n">
        <f aca="false">IF(AND(IFERROR(SEARCH("현대오일뱅크",$C26),0)&gt;0,IFERROR(SEARCH("직영",$C26),0)&gt;0),$B$13,0)</f>
        <v>-10</v>
      </c>
      <c r="M26" s="17" t="n">
        <f aca="false">IF($H26="","",$H26+$L26)</f>
        <v>1794</v>
      </c>
      <c r="N26" s="17" t="n">
        <f aca="false">IF($I26="","",$I26+$L26)</f>
        <v>2020</v>
      </c>
      <c r="O26" s="17" t="n">
        <f aca="false">IF($K26="","",$K26+$L26)</f>
        <v>1749</v>
      </c>
      <c r="P26" s="17" t="n">
        <f aca="false">IF($B$10=0,"",IFERROR(IF($B$4&gt;0,IF($M26="",1/0,$M26*$B$4),0)+IF($B$5&gt;0,IF($N26="",1/0,$N26*$B$5),0)+IF($B$6&gt;0,IF($O26="",1/0,$O26*$B$6),0),""))</f>
        <v>75222</v>
      </c>
      <c r="Q26" s="17" t="s">
        <v>44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7522</v>
      </c>
      <c r="T26" s="17" t="n">
        <f aca="false">IF($P26="","",$P26-$S26)</f>
        <v>67700</v>
      </c>
      <c r="U26" s="17" t="n">
        <f aca="false">IF($T26="","",IF($B$10=0,"",$T26/$B$10))</f>
        <v>1705.28967254408</v>
      </c>
      <c r="V26" s="17" t="n">
        <f aca="false">IF($P26="","",IF($B$10=0,"",$P26/$B$10))</f>
        <v>1894.76070528967</v>
      </c>
      <c r="W26" s="19" t="n">
        <f aca="false">IF($T26="",1000000000000000,$T26)</f>
        <v>67700</v>
      </c>
      <c r="X26" s="2"/>
      <c r="XFC26" s="6"/>
    </row>
    <row r="27" s="5" customFormat="true" ht="28.5" hidden="false" customHeight="true" outlineLevel="0" collapsed="false">
      <c r="A27" s="16" t="n">
        <f aca="false">IF($T27="","",1+COUNTIF($W$15:$W$728,"&lt;"&amp;W27))</f>
        <v>13</v>
      </c>
      <c r="B27" s="16" t="s">
        <v>6</v>
      </c>
      <c r="C27" s="16" t="s">
        <v>82</v>
      </c>
      <c r="D27" s="16" t="s">
        <v>43</v>
      </c>
      <c r="E27" s="16" t="s">
        <v>44</v>
      </c>
      <c r="F27" s="16" t="s">
        <v>83</v>
      </c>
      <c r="G27" s="16" t="s">
        <v>84</v>
      </c>
      <c r="H27" s="17" t="n">
        <v>1799</v>
      </c>
      <c r="I27" s="17" t="n">
        <v>2039</v>
      </c>
      <c r="J27" s="17" t="s">
        <v>44</v>
      </c>
      <c r="K27" s="17" t="n">
        <v>1729</v>
      </c>
      <c r="L27" s="17" t="n">
        <f aca="false">IF(AND(IFERROR(SEARCH("현대오일뱅크",$C27),0)&gt;0,IFERROR(SEARCH("직영",$C27),0)&gt;0),$B$13,0)</f>
        <v>-10</v>
      </c>
      <c r="M27" s="17" t="n">
        <f aca="false">IF($H27="","",$H27+$L27)</f>
        <v>1789</v>
      </c>
      <c r="N27" s="17" t="n">
        <f aca="false">IF($I27="","",$I27+$L27)</f>
        <v>2029</v>
      </c>
      <c r="O27" s="17" t="n">
        <f aca="false">IF($K27="","",$K27+$L27)</f>
        <v>1719</v>
      </c>
      <c r="P27" s="17" t="n">
        <f aca="false">IF($B$10=0,"",IFERROR(IF($B$4&gt;0,IF($M27="",1/0,$M27*$B$4),0)+IF($B$5&gt;0,IF($N27="",1/0,$N27*$B$5),0)+IF($B$6&gt;0,IF($O27="",1/0,$O27*$B$6),0),""))</f>
        <v>75271.3</v>
      </c>
      <c r="Q27" s="17" t="s">
        <v>44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7527</v>
      </c>
      <c r="T27" s="17" t="n">
        <f aca="false">IF($P27="","",$P27-$S27)</f>
        <v>67744.3</v>
      </c>
      <c r="U27" s="17" t="n">
        <f aca="false">IF($T27="","",IF($B$10=0,"",$T27/$B$10))</f>
        <v>1706.40554156171</v>
      </c>
      <c r="V27" s="17" t="n">
        <f aca="false">IF($P27="","",IF($B$10=0,"",$P27/$B$10))</f>
        <v>1896.00251889169</v>
      </c>
      <c r="W27" s="19" t="n">
        <f aca="false">IF($T27="",1000000000000000,$T27)</f>
        <v>67744.3</v>
      </c>
      <c r="X27" s="2"/>
      <c r="XFC27" s="6"/>
    </row>
    <row r="28" s="5" customFormat="true" ht="28.5" hidden="false" customHeight="true" outlineLevel="0" collapsed="false">
      <c r="A28" s="16" t="n">
        <f aca="false">IF($T28="","",1+COUNTIF($W$15:$W$728,"&lt;"&amp;W28))</f>
        <v>14</v>
      </c>
      <c r="B28" s="16" t="s">
        <v>6</v>
      </c>
      <c r="C28" s="16" t="s">
        <v>85</v>
      </c>
      <c r="D28" s="16" t="s">
        <v>48</v>
      </c>
      <c r="E28" s="16" t="s">
        <v>44</v>
      </c>
      <c r="F28" s="16" t="s">
        <v>86</v>
      </c>
      <c r="G28" s="16" t="s">
        <v>87</v>
      </c>
      <c r="H28" s="17" t="n">
        <v>1825</v>
      </c>
      <c r="I28" s="17" t="n">
        <v>1985</v>
      </c>
      <c r="J28" s="17"/>
      <c r="K28" s="17" t="n">
        <v>1865</v>
      </c>
      <c r="L28" s="17" t="n">
        <f aca="false">IF(AND(IFERROR(SEARCH("현대오일뱅크",$C28),0)&gt;0,IFERROR(SEARCH("직영",$C28),0)&gt;0),$B$13,0)</f>
        <v>0</v>
      </c>
      <c r="M28" s="17" t="n">
        <f aca="false">IF($H28="","",$H28+$L28)</f>
        <v>1825</v>
      </c>
      <c r="N28" s="17" t="n">
        <f aca="false">IF($I28="","",$I28+$L28)</f>
        <v>1985</v>
      </c>
      <c r="O28" s="17" t="n">
        <f aca="false">IF($K28="","",$K28+$L28)</f>
        <v>1865</v>
      </c>
      <c r="P28" s="17" t="n">
        <f aca="false">IF($B$10=0,"",IFERROR(IF($B$4&gt;0,IF($M28="",1/0,$M28*$B$4),0)+IF($B$5&gt;0,IF($N28="",1/0,$N28*$B$5),0)+IF($B$6&gt;0,IF($O28="",1/0,$O28*$B$6),0),""))</f>
        <v>75284.5</v>
      </c>
      <c r="Q28" s="17" t="s">
        <v>44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7528</v>
      </c>
      <c r="T28" s="17" t="n">
        <f aca="false">IF($P28="","",$P28-$S28)</f>
        <v>67756.5</v>
      </c>
      <c r="U28" s="17" t="n">
        <f aca="false">IF($T28="","",IF($B$10=0,"",$T28/$B$10))</f>
        <v>1706.71284634761</v>
      </c>
      <c r="V28" s="17" t="n">
        <f aca="false">IF($P28="","",IF($B$10=0,"",$P28/$B$10))</f>
        <v>1896.33501259446</v>
      </c>
      <c r="W28" s="19" t="n">
        <f aca="false">IF($T28="",1000000000000000,$T28)</f>
        <v>67756.5</v>
      </c>
      <c r="X28" s="2"/>
      <c r="XFC28" s="6"/>
    </row>
    <row r="29" s="5" customFormat="true" ht="28.5" hidden="false" customHeight="true" outlineLevel="0" collapsed="false">
      <c r="A29" s="16" t="n">
        <f aca="false">IF($T29="","",1+COUNTIF($W$15:$W$728,"&lt;"&amp;W29))</f>
        <v>14</v>
      </c>
      <c r="B29" s="16" t="s">
        <v>6</v>
      </c>
      <c r="C29" s="16" t="s">
        <v>88</v>
      </c>
      <c r="D29" s="16" t="s">
        <v>48</v>
      </c>
      <c r="E29" s="16" t="s">
        <v>44</v>
      </c>
      <c r="F29" s="16" t="s">
        <v>89</v>
      </c>
      <c r="G29" s="16" t="s">
        <v>90</v>
      </c>
      <c r="H29" s="17" t="n">
        <v>1825</v>
      </c>
      <c r="I29" s="17" t="n">
        <v>1985</v>
      </c>
      <c r="J29" s="17"/>
      <c r="K29" s="17" t="n">
        <v>1865</v>
      </c>
      <c r="L29" s="17" t="n">
        <f aca="false">IF(AND(IFERROR(SEARCH("현대오일뱅크",$C29),0)&gt;0,IFERROR(SEARCH("직영",$C29),0)&gt;0),$B$13,0)</f>
        <v>0</v>
      </c>
      <c r="M29" s="17" t="n">
        <f aca="false">IF($H29="","",$H29+$L29)</f>
        <v>1825</v>
      </c>
      <c r="N29" s="17" t="n">
        <f aca="false">IF($I29="","",$I29+$L29)</f>
        <v>1985</v>
      </c>
      <c r="O29" s="17" t="n">
        <f aca="false">IF($K29="","",$K29+$L29)</f>
        <v>1865</v>
      </c>
      <c r="P29" s="17" t="n">
        <f aca="false">IF($B$10=0,"",IFERROR(IF($B$4&gt;0,IF($M29="",1/0,$M29*$B$4),0)+IF($B$5&gt;0,IF($N29="",1/0,$N29*$B$5),0)+IF($B$6&gt;0,IF($O29="",1/0,$O29*$B$6),0),""))</f>
        <v>75284.5</v>
      </c>
      <c r="Q29" s="17" t="s">
        <v>44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7528</v>
      </c>
      <c r="T29" s="17" t="n">
        <f aca="false">IF($P29="","",$P29-$S29)</f>
        <v>67756.5</v>
      </c>
      <c r="U29" s="17" t="n">
        <f aca="false">IF($T29="","",IF($B$10=0,"",$T29/$B$10))</f>
        <v>1706.71284634761</v>
      </c>
      <c r="V29" s="17" t="n">
        <f aca="false">IF($P29="","",IF($B$10=0,"",$P29/$B$10))</f>
        <v>1896.33501259446</v>
      </c>
      <c r="W29" s="19" t="n">
        <f aca="false">IF($T29="",1000000000000000,$T29)</f>
        <v>67756.5</v>
      </c>
      <c r="X29" s="2"/>
      <c r="XFC29" s="6"/>
    </row>
    <row r="30" s="5" customFormat="true" ht="28.5" hidden="false" customHeight="true" outlineLevel="0" collapsed="false">
      <c r="A30" s="16" t="n">
        <f aca="false">IF($T30="","",1+COUNTIF($W$15:$W$728,"&lt;"&amp;W30))</f>
        <v>16</v>
      </c>
      <c r="B30" s="16" t="s">
        <v>6</v>
      </c>
      <c r="C30" s="16" t="s">
        <v>91</v>
      </c>
      <c r="D30" s="16" t="s">
        <v>43</v>
      </c>
      <c r="E30" s="16" t="s">
        <v>58</v>
      </c>
      <c r="F30" s="16" t="s">
        <v>92</v>
      </c>
      <c r="G30" s="16" t="s">
        <v>93</v>
      </c>
      <c r="H30" s="17" t="n">
        <v>1804</v>
      </c>
      <c r="I30" s="17" t="n">
        <v>2039</v>
      </c>
      <c r="J30" s="17"/>
      <c r="K30" s="17" t="n">
        <v>1885</v>
      </c>
      <c r="L30" s="17" t="n">
        <f aca="false">IF(AND(IFERROR(SEARCH("현대오일뱅크",$C30),0)&gt;0,IFERROR(SEARCH("직영",$C30),0)&gt;0),$B$13,0)</f>
        <v>-10</v>
      </c>
      <c r="M30" s="17" t="n">
        <f aca="false">IF($H30="","",$H30+$L30)</f>
        <v>1794</v>
      </c>
      <c r="N30" s="17" t="n">
        <f aca="false">IF($I30="","",$I30+$L30)</f>
        <v>2029</v>
      </c>
      <c r="O30" s="17" t="n">
        <f aca="false">IF($K30="","",$K30+$L30)</f>
        <v>1875</v>
      </c>
      <c r="P30" s="17" t="n">
        <f aca="false">IF($B$10=0,"",IFERROR(IF($B$4&gt;0,IF($M30="",1/0,$M30*$B$4),0)+IF($B$5&gt;0,IF($N30="",1/0,$N30*$B$5),0)+IF($B$6&gt;0,IF($O30="",1/0,$O30*$B$6),0),""))</f>
        <v>75381.3</v>
      </c>
      <c r="Q30" s="17" t="s">
        <v>44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7538</v>
      </c>
      <c r="T30" s="17" t="n">
        <f aca="false">IF($P30="","",$P30-$S30)</f>
        <v>67843.3</v>
      </c>
      <c r="U30" s="17" t="n">
        <f aca="false">IF($T30="","",IF($B$10=0,"",$T30/$B$10))</f>
        <v>1708.89924433249</v>
      </c>
      <c r="V30" s="17" t="n">
        <f aca="false">IF($P30="","",IF($B$10=0,"",$P30/$B$10))</f>
        <v>1898.77329974811</v>
      </c>
      <c r="W30" s="19" t="n">
        <f aca="false">IF($T30="",1000000000000000,$T30)</f>
        <v>67843.3</v>
      </c>
      <c r="X30" s="2"/>
      <c r="XFC30" s="6"/>
    </row>
    <row r="31" s="5" customFormat="true" ht="28.5" hidden="false" customHeight="true" outlineLevel="0" collapsed="false">
      <c r="A31" s="16" t="n">
        <f aca="false">IF($T31="","",1+COUNTIF($W$15:$W$728,"&lt;"&amp;W31))</f>
        <v>17</v>
      </c>
      <c r="B31" s="16" t="s">
        <v>6</v>
      </c>
      <c r="C31" s="16" t="s">
        <v>94</v>
      </c>
      <c r="D31" s="16" t="s">
        <v>43</v>
      </c>
      <c r="E31" s="16" t="s">
        <v>58</v>
      </c>
      <c r="F31" s="16" t="s">
        <v>95</v>
      </c>
      <c r="G31" s="16" t="s">
        <v>96</v>
      </c>
      <c r="H31" s="17" t="n">
        <v>1809</v>
      </c>
      <c r="I31" s="17" t="n">
        <v>2048</v>
      </c>
      <c r="J31" s="17" t="s">
        <v>44</v>
      </c>
      <c r="K31" s="17" t="n">
        <v>1754</v>
      </c>
      <c r="L31" s="17" t="n">
        <f aca="false">IF(AND(IFERROR(SEARCH("현대오일뱅크",$C31),0)&gt;0,IFERROR(SEARCH("직영",$C31),0)&gt;0),$B$13,0)</f>
        <v>-10</v>
      </c>
      <c r="M31" s="17" t="n">
        <f aca="false">IF($H31="","",$H31+$L31)</f>
        <v>1799</v>
      </c>
      <c r="N31" s="17" t="n">
        <f aca="false">IF($I31="","",$I31+$L31)</f>
        <v>2038</v>
      </c>
      <c r="O31" s="17" t="n">
        <f aca="false">IF($K31="","",$K31+$L31)</f>
        <v>1744</v>
      </c>
      <c r="P31" s="17" t="n">
        <f aca="false">IF($B$10=0,"",IFERROR(IF($B$4&gt;0,IF($M31="",1/0,$M31*$B$4),0)+IF($B$5&gt;0,IF($N31="",1/0,$N31*$B$5),0)+IF($B$6&gt;0,IF($O31="",1/0,$O31*$B$6),0),""))</f>
        <v>75650.6</v>
      </c>
      <c r="Q31" s="17" t="s">
        <v>44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7565</v>
      </c>
      <c r="T31" s="17" t="n">
        <f aca="false">IF($P31="","",$P31-$S31)</f>
        <v>68085.6</v>
      </c>
      <c r="U31" s="17" t="n">
        <f aca="false">IF($T31="","",IF($B$10=0,"",$T31/$B$10))</f>
        <v>1715.00251889169</v>
      </c>
      <c r="V31" s="17" t="n">
        <f aca="false">IF($P31="","",IF($B$10=0,"",$P31/$B$10))</f>
        <v>1905.55667506297</v>
      </c>
      <c r="W31" s="19" t="n">
        <f aca="false">IF($T31="",1000000000000000,$T31)</f>
        <v>68085.6</v>
      </c>
      <c r="X31" s="2"/>
      <c r="XFC31" s="6"/>
    </row>
    <row r="32" s="5" customFormat="true" ht="28.5" hidden="false" customHeight="true" outlineLevel="0" collapsed="false">
      <c r="A32" s="16" t="n">
        <f aca="false">IF($T32="","",1+COUNTIF($W$15:$W$728,"&lt;"&amp;W32))</f>
        <v>18</v>
      </c>
      <c r="B32" s="16" t="s">
        <v>6</v>
      </c>
      <c r="C32" s="16" t="s">
        <v>97</v>
      </c>
      <c r="D32" s="16" t="s">
        <v>48</v>
      </c>
      <c r="E32" s="16" t="s">
        <v>58</v>
      </c>
      <c r="F32" s="16" t="s">
        <v>98</v>
      </c>
      <c r="G32" s="16" t="s">
        <v>99</v>
      </c>
      <c r="H32" s="17" t="n">
        <v>1845</v>
      </c>
      <c r="I32" s="17" t="n">
        <v>1985</v>
      </c>
      <c r="J32" s="17"/>
      <c r="K32" s="17" t="n">
        <v>1865</v>
      </c>
      <c r="L32" s="17" t="n">
        <f aca="false">IF(AND(IFERROR(SEARCH("현대오일뱅크",$C32),0)&gt;0,IFERROR(SEARCH("직영",$C32),0)&gt;0),$B$13,0)</f>
        <v>0</v>
      </c>
      <c r="M32" s="17" t="n">
        <f aca="false">IF($H32="","",$H32+$L32)</f>
        <v>1845</v>
      </c>
      <c r="N32" s="17" t="n">
        <f aca="false">IF($I32="","",$I32+$L32)</f>
        <v>1985</v>
      </c>
      <c r="O32" s="17" t="n">
        <f aca="false">IF($K32="","",$K32+$L32)</f>
        <v>1865</v>
      </c>
      <c r="P32" s="17" t="n">
        <f aca="false">IF($B$10=0,"",IFERROR(IF($B$4&gt;0,IF($M32="",1/0,$M32*$B$4),0)+IF($B$5&gt;0,IF($N32="",1/0,$N32*$B$5),0)+IF($B$6&gt;0,IF($O32="",1/0,$O32*$B$6),0),""))</f>
        <v>75724.5</v>
      </c>
      <c r="Q32" s="17" t="s">
        <v>44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7572</v>
      </c>
      <c r="T32" s="17" t="n">
        <f aca="false">IF($P32="","",$P32-$S32)</f>
        <v>68152.5</v>
      </c>
      <c r="U32" s="17" t="n">
        <f aca="false">IF($T32="","",IF($B$10=0,"",$T32/$B$10))</f>
        <v>1716.68765743073</v>
      </c>
      <c r="V32" s="17" t="n">
        <f aca="false">IF($P32="","",IF($B$10=0,"",$P32/$B$10))</f>
        <v>1907.41813602015</v>
      </c>
      <c r="W32" s="19" t="n">
        <f aca="false">IF($T32="",1000000000000000,$T32)</f>
        <v>68152.5</v>
      </c>
      <c r="X32" s="2"/>
      <c r="XFC32" s="6"/>
    </row>
    <row r="33" s="5" customFormat="true" ht="28.5" hidden="false" customHeight="true" outlineLevel="0" collapsed="false">
      <c r="A33" s="16" t="n">
        <f aca="false">IF($T33="","",1+COUNTIF($W$15:$W$728,"&lt;"&amp;W33))</f>
        <v>19</v>
      </c>
      <c r="B33" s="16" t="s">
        <v>6</v>
      </c>
      <c r="C33" s="16" t="s">
        <v>100</v>
      </c>
      <c r="D33" s="16" t="s">
        <v>43</v>
      </c>
      <c r="E33" s="16" t="s">
        <v>44</v>
      </c>
      <c r="F33" s="16" t="s">
        <v>101</v>
      </c>
      <c r="G33" s="16" t="s">
        <v>102</v>
      </c>
      <c r="H33" s="17" t="n">
        <v>1875</v>
      </c>
      <c r="I33" s="17" t="n">
        <v>1974</v>
      </c>
      <c r="J33" s="17"/>
      <c r="K33" s="17" t="n">
        <v>1999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1875</v>
      </c>
      <c r="N33" s="17" t="n">
        <f aca="false">IF($I33="","",$I33+$L33)</f>
        <v>1974</v>
      </c>
      <c r="O33" s="17" t="n">
        <f aca="false">IF($K33="","",$K33+$L33)</f>
        <v>1999</v>
      </c>
      <c r="P33" s="17" t="n">
        <f aca="false">IF($B$10=0,"",IFERROR(IF($B$4&gt;0,IF($M33="",1/0,$M33*$B$4),0)+IF($B$5&gt;0,IF($N33="",1/0,$N33*$B$5),0)+IF($B$6&gt;0,IF($O33="",1/0,$O33*$B$6),0),""))</f>
        <v>76189.8</v>
      </c>
      <c r="Q33" s="17" t="s">
        <v>44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7618</v>
      </c>
      <c r="T33" s="17" t="n">
        <f aca="false">IF($P33="","",$P33-$S33)</f>
        <v>68571.8</v>
      </c>
      <c r="U33" s="17" t="n">
        <f aca="false">IF($T33="","",IF($B$10=0,"",$T33/$B$10))</f>
        <v>1727.24937027708</v>
      </c>
      <c r="V33" s="17" t="n">
        <f aca="false">IF($P33="","",IF($B$10=0,"",$P33/$B$10))</f>
        <v>1919.13853904282</v>
      </c>
      <c r="W33" s="19" t="n">
        <f aca="false">IF($T33="",1000000000000000,$T33)</f>
        <v>68571.8</v>
      </c>
      <c r="X33" s="2"/>
      <c r="XFC33" s="6"/>
    </row>
    <row r="34" s="5" customFormat="true" ht="28.5" hidden="false" customHeight="true" outlineLevel="0" collapsed="false">
      <c r="A34" s="16" t="n">
        <f aca="false">IF($T34="","",1+COUNTIF($W$15:$W$728,"&lt;"&amp;W34))</f>
        <v>19</v>
      </c>
      <c r="B34" s="16" t="s">
        <v>6</v>
      </c>
      <c r="C34" s="16" t="s">
        <v>103</v>
      </c>
      <c r="D34" s="16" t="s">
        <v>43</v>
      </c>
      <c r="E34" s="16" t="s">
        <v>44</v>
      </c>
      <c r="F34" s="16" t="s">
        <v>104</v>
      </c>
      <c r="G34" s="16" t="s">
        <v>105</v>
      </c>
      <c r="H34" s="17" t="n">
        <v>1875</v>
      </c>
      <c r="I34" s="17" t="n">
        <v>1974</v>
      </c>
      <c r="J34" s="17"/>
      <c r="K34" s="17" t="n">
        <v>1945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1875</v>
      </c>
      <c r="N34" s="17" t="n">
        <f aca="false">IF($I34="","",$I34+$L34)</f>
        <v>1974</v>
      </c>
      <c r="O34" s="17" t="n">
        <f aca="false">IF($K34="","",$K34+$L34)</f>
        <v>1945</v>
      </c>
      <c r="P34" s="17" t="n">
        <f aca="false">IF($B$10=0,"",IFERROR(IF($B$4&gt;0,IF($M34="",1/0,$M34*$B$4),0)+IF($B$5&gt;0,IF($N34="",1/0,$N34*$B$5),0)+IF($B$6&gt;0,IF($O34="",1/0,$O34*$B$6),0),""))</f>
        <v>76189.8</v>
      </c>
      <c r="Q34" s="17" t="s">
        <v>44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7618</v>
      </c>
      <c r="T34" s="17" t="n">
        <f aca="false">IF($P34="","",$P34-$S34)</f>
        <v>68571.8</v>
      </c>
      <c r="U34" s="17" t="n">
        <f aca="false">IF($T34="","",IF($B$10=0,"",$T34/$B$10))</f>
        <v>1727.24937027708</v>
      </c>
      <c r="V34" s="17" t="n">
        <f aca="false">IF($P34="","",IF($B$10=0,"",$P34/$B$10))</f>
        <v>1919.13853904282</v>
      </c>
      <c r="W34" s="19" t="n">
        <f aca="false">IF($T34="",1000000000000000,$T34)</f>
        <v>68571.8</v>
      </c>
      <c r="X34" s="2"/>
      <c r="XFC34" s="6"/>
    </row>
    <row r="35" s="5" customFormat="true" ht="28.5" hidden="false" customHeight="true" outlineLevel="0" collapsed="false">
      <c r="A35" s="16" t="n">
        <f aca="false">IF($T35="","",1+COUNTIF($W$15:$W$728,"&lt;"&amp;W35))</f>
        <v>21</v>
      </c>
      <c r="B35" s="16" t="s">
        <v>6</v>
      </c>
      <c r="C35" s="16" t="s">
        <v>106</v>
      </c>
      <c r="D35" s="16" t="s">
        <v>48</v>
      </c>
      <c r="E35" s="16" t="s">
        <v>44</v>
      </c>
      <c r="F35" s="16" t="s">
        <v>107</v>
      </c>
      <c r="G35" s="16" t="s">
        <v>108</v>
      </c>
      <c r="H35" s="17" t="n">
        <v>1843</v>
      </c>
      <c r="I35" s="17" t="n">
        <v>2023</v>
      </c>
      <c r="J35" s="17"/>
      <c r="K35" s="17" t="n">
        <v>1859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1843</v>
      </c>
      <c r="N35" s="17" t="n">
        <f aca="false">IF($I35="","",$I35+$L35)</f>
        <v>2023</v>
      </c>
      <c r="O35" s="17" t="n">
        <f aca="false">IF($K35="","",$K35+$L35)</f>
        <v>1859</v>
      </c>
      <c r="P35" s="17" t="n">
        <f aca="false">IF($B$10=0,"",IFERROR(IF($B$4&gt;0,IF($M35="",1/0,$M35*$B$4),0)+IF($B$5&gt;0,IF($N35="",1/0,$N35*$B$5),0)+IF($B$6&gt;0,IF($O35="",1/0,$O35*$B$6),0),""))</f>
        <v>76353.1</v>
      </c>
      <c r="Q35" s="17" t="s">
        <v>44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7635</v>
      </c>
      <c r="T35" s="17" t="n">
        <f aca="false">IF($P35="","",$P35-$S35)</f>
        <v>68718.1</v>
      </c>
      <c r="U35" s="17" t="n">
        <f aca="false">IF($T35="","",IF($B$10=0,"",$T35/$B$10))</f>
        <v>1730.93450881612</v>
      </c>
      <c r="V35" s="17" t="n">
        <f aca="false">IF($P35="","",IF($B$10=0,"",$P35/$B$10))</f>
        <v>1923.25188916877</v>
      </c>
      <c r="W35" s="19" t="n">
        <f aca="false">IF($T35="",1000000000000000,$T35)</f>
        <v>68718.1</v>
      </c>
      <c r="X35" s="2"/>
      <c r="XFC35" s="6"/>
    </row>
    <row r="36" s="5" customFormat="true" ht="28.5" hidden="false" customHeight="true" outlineLevel="0" collapsed="false">
      <c r="A36" s="16" t="n">
        <f aca="false">IF($T36="","",1+COUNTIF($W$15:$W$728,"&lt;"&amp;W36))</f>
        <v>22</v>
      </c>
      <c r="B36" s="16" t="s">
        <v>6</v>
      </c>
      <c r="C36" s="16" t="s">
        <v>109</v>
      </c>
      <c r="D36" s="16" t="s">
        <v>43</v>
      </c>
      <c r="E36" s="16" t="s">
        <v>44</v>
      </c>
      <c r="F36" s="16" t="s">
        <v>110</v>
      </c>
      <c r="G36" s="16" t="s">
        <v>111</v>
      </c>
      <c r="H36" s="17" t="n">
        <v>1875</v>
      </c>
      <c r="I36" s="17" t="n">
        <v>1999</v>
      </c>
      <c r="J36" s="17"/>
      <c r="K36" s="17" t="n">
        <v>1875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1875</v>
      </c>
      <c r="N36" s="17" t="n">
        <f aca="false">IF($I36="","",$I36+$L36)</f>
        <v>1999</v>
      </c>
      <c r="O36" s="17" t="n">
        <f aca="false">IF($K36="","",$K36+$L36)</f>
        <v>1875</v>
      </c>
      <c r="P36" s="17" t="n">
        <f aca="false">IF($B$10=0,"",IFERROR(IF($B$4&gt;0,IF($M36="",1/0,$M36*$B$4),0)+IF($B$5&gt;0,IF($N36="",1/0,$N36*$B$5),0)+IF($B$6&gt;0,IF($O36="",1/0,$O36*$B$6),0),""))</f>
        <v>76632.3</v>
      </c>
      <c r="Q36" s="17" t="s">
        <v>44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7663</v>
      </c>
      <c r="T36" s="17" t="n">
        <f aca="false">IF($P36="","",$P36-$S36)</f>
        <v>68969.3</v>
      </c>
      <c r="U36" s="17" t="n">
        <f aca="false">IF($T36="","",IF($B$10=0,"",$T36/$B$10))</f>
        <v>1737.26196473552</v>
      </c>
      <c r="V36" s="17" t="n">
        <f aca="false">IF($P36="","",IF($B$10=0,"",$P36/$B$10))</f>
        <v>1930.2846347607</v>
      </c>
      <c r="W36" s="19" t="n">
        <f aca="false">IF($T36="",1000000000000000,$T36)</f>
        <v>68969.3</v>
      </c>
      <c r="X36" s="2"/>
      <c r="XFC36" s="6"/>
    </row>
    <row r="37" s="5" customFormat="true" ht="28.5" hidden="false" customHeight="true" outlineLevel="0" collapsed="false">
      <c r="A37" s="16" t="n">
        <f aca="false">IF($T37="","",1+COUNTIF($W$15:$W$728,"&lt;"&amp;W37))</f>
        <v>23</v>
      </c>
      <c r="B37" s="16" t="s">
        <v>6</v>
      </c>
      <c r="C37" s="16" t="s">
        <v>112</v>
      </c>
      <c r="D37" s="16" t="s">
        <v>43</v>
      </c>
      <c r="E37" s="16" t="s">
        <v>44</v>
      </c>
      <c r="F37" s="16" t="s">
        <v>113</v>
      </c>
      <c r="G37" s="16" t="s">
        <v>114</v>
      </c>
      <c r="H37" s="17" t="n">
        <v>1875</v>
      </c>
      <c r="I37" s="17" t="n">
        <v>2010</v>
      </c>
      <c r="J37" s="17"/>
      <c r="K37" s="17" t="n">
        <v>1945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1875</v>
      </c>
      <c r="N37" s="17" t="n">
        <f aca="false">IF($I37="","",$I37+$L37)</f>
        <v>2010</v>
      </c>
      <c r="O37" s="17" t="n">
        <f aca="false">IF($K37="","",$K37+$L37)</f>
        <v>1945</v>
      </c>
      <c r="P37" s="17" t="n">
        <f aca="false">IF($B$10=0,"",IFERROR(IF($B$4&gt;0,IF($M37="",1/0,$M37*$B$4),0)+IF($B$5&gt;0,IF($N37="",1/0,$N37*$B$5),0)+IF($B$6&gt;0,IF($O37="",1/0,$O37*$B$6),0),""))</f>
        <v>76827</v>
      </c>
      <c r="Q37" s="17" t="s">
        <v>44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7682</v>
      </c>
      <c r="T37" s="17" t="n">
        <f aca="false">IF($P37="","",$P37-$S37)</f>
        <v>69145</v>
      </c>
      <c r="U37" s="17" t="n">
        <f aca="false">IF($T37="","",IF($B$10=0,"",$T37/$B$10))</f>
        <v>1741.68765743073</v>
      </c>
      <c r="V37" s="17" t="n">
        <f aca="false">IF($P37="","",IF($B$10=0,"",$P37/$B$10))</f>
        <v>1935.18891687657</v>
      </c>
      <c r="W37" s="19" t="n">
        <f aca="false">IF($T37="",1000000000000000,$T37)</f>
        <v>69145</v>
      </c>
      <c r="X37" s="2"/>
      <c r="XFC37" s="6"/>
    </row>
    <row r="38" s="5" customFormat="true" ht="28.5" hidden="false" customHeight="true" outlineLevel="0" collapsed="false">
      <c r="A38" s="16" t="n">
        <f aca="false">IF($T38="","",1+COUNTIF($W$15:$W$728,"&lt;"&amp;W38))</f>
        <v>24</v>
      </c>
      <c r="B38" s="16" t="s">
        <v>6</v>
      </c>
      <c r="C38" s="16" t="s">
        <v>115</v>
      </c>
      <c r="D38" s="16" t="s">
        <v>43</v>
      </c>
      <c r="E38" s="16" t="s">
        <v>44</v>
      </c>
      <c r="F38" s="16" t="s">
        <v>116</v>
      </c>
      <c r="G38" s="16" t="s">
        <v>117</v>
      </c>
      <c r="H38" s="17" t="n">
        <v>1875</v>
      </c>
      <c r="I38" s="17" t="n">
        <v>2014</v>
      </c>
      <c r="J38" s="17"/>
      <c r="K38" s="17" t="n">
        <v>1945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1875</v>
      </c>
      <c r="N38" s="17" t="n">
        <f aca="false">IF($I38="","",$I38+$L38)</f>
        <v>2014</v>
      </c>
      <c r="O38" s="17" t="n">
        <f aca="false">IF($K38="","",$K38+$L38)</f>
        <v>1945</v>
      </c>
      <c r="P38" s="17" t="n">
        <f aca="false">IF($B$10=0,"",IFERROR(IF($B$4&gt;0,IF($M38="",1/0,$M38*$B$4),0)+IF($B$5&gt;0,IF($N38="",1/0,$N38*$B$5),0)+IF($B$6&gt;0,IF($O38="",1/0,$O38*$B$6),0),""))</f>
        <v>76897.8</v>
      </c>
      <c r="Q38" s="17" t="s">
        <v>44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7689</v>
      </c>
      <c r="T38" s="17" t="n">
        <f aca="false">IF($P38="","",$P38-$S38)</f>
        <v>69208.8</v>
      </c>
      <c r="U38" s="17" t="n">
        <f aca="false">IF($T38="","",IF($B$10=0,"",$T38/$B$10))</f>
        <v>1743.29471032746</v>
      </c>
      <c r="V38" s="17" t="n">
        <f aca="false">IF($P38="","",IF($B$10=0,"",$P38/$B$10))</f>
        <v>1936.97229219144</v>
      </c>
      <c r="W38" s="19" t="n">
        <f aca="false">IF($T38="",1000000000000000,$T38)</f>
        <v>69208.8</v>
      </c>
      <c r="X38" s="2"/>
      <c r="XFC38" s="6"/>
    </row>
    <row r="39" s="5" customFormat="true" ht="28.5" hidden="false" customHeight="true" outlineLevel="0" collapsed="false">
      <c r="A39" s="16" t="n">
        <f aca="false">IF($T39="","",1+COUNTIF($W$15:$W$728,"&lt;"&amp;W39))</f>
        <v>25</v>
      </c>
      <c r="B39" s="16" t="s">
        <v>6</v>
      </c>
      <c r="C39" s="16" t="s">
        <v>118</v>
      </c>
      <c r="D39" s="16" t="s">
        <v>43</v>
      </c>
      <c r="E39" s="16" t="s">
        <v>44</v>
      </c>
      <c r="F39" s="16" t="s">
        <v>119</v>
      </c>
      <c r="G39" s="16" t="s">
        <v>120</v>
      </c>
      <c r="H39" s="17" t="n">
        <v>1894</v>
      </c>
      <c r="I39" s="17" t="n">
        <v>1994</v>
      </c>
      <c r="J39" s="17"/>
      <c r="K39" s="17" t="n">
        <v>1934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1894</v>
      </c>
      <c r="N39" s="17" t="n">
        <f aca="false">IF($I39="","",$I39+$L39)</f>
        <v>1994</v>
      </c>
      <c r="O39" s="17" t="n">
        <f aca="false">IF($K39="","",$K39+$L39)</f>
        <v>1934</v>
      </c>
      <c r="P39" s="17" t="n">
        <f aca="false">IF($B$10=0,"",IFERROR(IF($B$4&gt;0,IF($M39="",1/0,$M39*$B$4),0)+IF($B$5&gt;0,IF($N39="",1/0,$N39*$B$5),0)+IF($B$6&gt;0,IF($O39="",1/0,$O39*$B$6),0),""))</f>
        <v>76961.8</v>
      </c>
      <c r="Q39" s="17" t="s">
        <v>44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7696</v>
      </c>
      <c r="T39" s="17" t="n">
        <f aca="false">IF($P39="","",$P39-$S39)</f>
        <v>69265.8</v>
      </c>
      <c r="U39" s="17" t="n">
        <f aca="false">IF($T39="","",IF($B$10=0,"",$T39/$B$10))</f>
        <v>1744.73047858942</v>
      </c>
      <c r="V39" s="17" t="n">
        <f aca="false">IF($P39="","",IF($B$10=0,"",$P39/$B$10))</f>
        <v>1938.58438287154</v>
      </c>
      <c r="W39" s="19" t="n">
        <f aca="false">IF($T39="",1000000000000000,$T39)</f>
        <v>69265.8</v>
      </c>
      <c r="X39" s="2"/>
      <c r="XFC39" s="6"/>
    </row>
    <row r="40" s="5" customFormat="true" ht="28.5" hidden="false" customHeight="true" outlineLevel="0" collapsed="false">
      <c r="A40" s="16" t="n">
        <f aca="false">IF($T40="","",1+COUNTIF($W$15:$W$728,"&lt;"&amp;W40))</f>
        <v>26</v>
      </c>
      <c r="B40" s="16" t="s">
        <v>6</v>
      </c>
      <c r="C40" s="16" t="s">
        <v>121</v>
      </c>
      <c r="D40" s="16" t="s">
        <v>48</v>
      </c>
      <c r="E40" s="16" t="s">
        <v>44</v>
      </c>
      <c r="F40" s="16" t="s">
        <v>122</v>
      </c>
      <c r="G40" s="16" t="s">
        <v>123</v>
      </c>
      <c r="H40" s="17" t="n">
        <v>1899</v>
      </c>
      <c r="I40" s="17" t="n">
        <v>1989</v>
      </c>
      <c r="J40" s="17"/>
      <c r="K40" s="17" t="n">
        <v>1909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1899</v>
      </c>
      <c r="N40" s="17" t="n">
        <f aca="false">IF($I40="","",$I40+$L40)</f>
        <v>1989</v>
      </c>
      <c r="O40" s="17" t="n">
        <f aca="false">IF($K40="","",$K40+$L40)</f>
        <v>1909</v>
      </c>
      <c r="P40" s="17" t="n">
        <f aca="false">IF($B$10=0,"",IFERROR(IF($B$4&gt;0,IF($M40="",1/0,$M40*$B$4),0)+IF($B$5&gt;0,IF($N40="",1/0,$N40*$B$5),0)+IF($B$6&gt;0,IF($O40="",1/0,$O40*$B$6),0),""))</f>
        <v>76983.3</v>
      </c>
      <c r="Q40" s="17" t="s">
        <v>44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7698</v>
      </c>
      <c r="T40" s="17" t="n">
        <f aca="false">IF($P40="","",$P40-$S40)</f>
        <v>69285.3</v>
      </c>
      <c r="U40" s="17" t="n">
        <f aca="false">IF($T40="","",IF($B$10=0,"",$T40/$B$10))</f>
        <v>1745.22166246851</v>
      </c>
      <c r="V40" s="17" t="n">
        <f aca="false">IF($P40="","",IF($B$10=0,"",$P40/$B$10))</f>
        <v>1939.12594458438</v>
      </c>
      <c r="W40" s="19" t="n">
        <f aca="false">IF($T40="",1000000000000000,$T40)</f>
        <v>69285.3</v>
      </c>
      <c r="X40" s="2"/>
      <c r="XFC40" s="6"/>
    </row>
    <row r="41" s="5" customFormat="true" ht="28.5" hidden="false" customHeight="true" outlineLevel="0" collapsed="false">
      <c r="A41" s="16" t="n">
        <f aca="false">IF($T41="","",1+COUNTIF($W$15:$W$728,"&lt;"&amp;W41))</f>
        <v>26</v>
      </c>
      <c r="B41" s="16" t="s">
        <v>6</v>
      </c>
      <c r="C41" s="16" t="s">
        <v>124</v>
      </c>
      <c r="D41" s="16" t="s">
        <v>48</v>
      </c>
      <c r="E41" s="16" t="s">
        <v>44</v>
      </c>
      <c r="F41" s="16" t="s">
        <v>125</v>
      </c>
      <c r="G41" s="16" t="s">
        <v>126</v>
      </c>
      <c r="H41" s="17" t="n">
        <v>1899</v>
      </c>
      <c r="I41" s="17" t="n">
        <v>1989</v>
      </c>
      <c r="J41" s="17"/>
      <c r="K41" s="17" t="n">
        <v>1899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1899</v>
      </c>
      <c r="N41" s="17" t="n">
        <f aca="false">IF($I41="","",$I41+$L41)</f>
        <v>1989</v>
      </c>
      <c r="O41" s="17" t="n">
        <f aca="false">IF($K41="","",$K41+$L41)</f>
        <v>1899</v>
      </c>
      <c r="P41" s="17" t="n">
        <f aca="false">IF($B$10=0,"",IFERROR(IF($B$4&gt;0,IF($M41="",1/0,$M41*$B$4),0)+IF($B$5&gt;0,IF($N41="",1/0,$N41*$B$5),0)+IF($B$6&gt;0,IF($O41="",1/0,$O41*$B$6),0),""))</f>
        <v>76983.3</v>
      </c>
      <c r="Q41" s="17" t="s">
        <v>44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7698</v>
      </c>
      <c r="T41" s="17" t="n">
        <f aca="false">IF($P41="","",$P41-$S41)</f>
        <v>69285.3</v>
      </c>
      <c r="U41" s="17" t="n">
        <f aca="false">IF($T41="","",IF($B$10=0,"",$T41/$B$10))</f>
        <v>1745.22166246851</v>
      </c>
      <c r="V41" s="17" t="n">
        <f aca="false">IF($P41="","",IF($B$10=0,"",$P41/$B$10))</f>
        <v>1939.12594458438</v>
      </c>
      <c r="W41" s="19" t="n">
        <f aca="false">IF($T41="",1000000000000000,$T41)</f>
        <v>69285.3</v>
      </c>
      <c r="X41" s="2"/>
      <c r="XFC41" s="6"/>
    </row>
    <row r="42" s="5" customFormat="true" ht="28.5" hidden="false" customHeight="true" outlineLevel="0" collapsed="false">
      <c r="A42" s="16" t="n">
        <f aca="false">IF($T42="","",1+COUNTIF($W$15:$W$728,"&lt;"&amp;W42))</f>
        <v>28</v>
      </c>
      <c r="B42" s="16" t="s">
        <v>6</v>
      </c>
      <c r="C42" s="16" t="s">
        <v>127</v>
      </c>
      <c r="D42" s="16" t="s">
        <v>43</v>
      </c>
      <c r="E42" s="16" t="s">
        <v>58</v>
      </c>
      <c r="F42" s="16" t="s">
        <v>128</v>
      </c>
      <c r="G42" s="16" t="s">
        <v>129</v>
      </c>
      <c r="H42" s="17" t="n">
        <v>1875</v>
      </c>
      <c r="I42" s="17" t="n">
        <v>2020</v>
      </c>
      <c r="J42" s="17"/>
      <c r="K42" s="17" t="n">
        <v>1945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1875</v>
      </c>
      <c r="N42" s="17" t="n">
        <f aca="false">IF($I42="","",$I42+$L42)</f>
        <v>2020</v>
      </c>
      <c r="O42" s="17" t="n">
        <f aca="false">IF($K42="","",$K42+$L42)</f>
        <v>1945</v>
      </c>
      <c r="P42" s="17" t="n">
        <f aca="false">IF($B$10=0,"",IFERROR(IF($B$4&gt;0,IF($M42="",1/0,$M42*$B$4),0)+IF($B$5&gt;0,IF($N42="",1/0,$N42*$B$5),0)+IF($B$6&gt;0,IF($O42="",1/0,$O42*$B$6),0),""))</f>
        <v>77004</v>
      </c>
      <c r="Q42" s="17" t="s">
        <v>44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7700</v>
      </c>
      <c r="T42" s="17" t="n">
        <f aca="false">IF($P42="","",$P42-$S42)</f>
        <v>69304</v>
      </c>
      <c r="U42" s="17" t="n">
        <f aca="false">IF($T42="","",IF($B$10=0,"",$T42/$B$10))</f>
        <v>1745.69269521411</v>
      </c>
      <c r="V42" s="17" t="n">
        <f aca="false">IF($P42="","",IF($B$10=0,"",$P42/$B$10))</f>
        <v>1939.64735516373</v>
      </c>
      <c r="W42" s="19" t="n">
        <f aca="false">IF($T42="",1000000000000000,$T42)</f>
        <v>69304</v>
      </c>
      <c r="X42" s="2"/>
      <c r="XFC42" s="6"/>
    </row>
    <row r="43" s="5" customFormat="true" ht="28.5" hidden="false" customHeight="true" outlineLevel="0" collapsed="false">
      <c r="A43" s="16" t="n">
        <f aca="false">IF($T43="","",1+COUNTIF($W$15:$W$728,"&lt;"&amp;W43))</f>
        <v>29</v>
      </c>
      <c r="B43" s="16" t="s">
        <v>8</v>
      </c>
      <c r="C43" s="16" t="s">
        <v>130</v>
      </c>
      <c r="D43" s="20" t="s">
        <v>131</v>
      </c>
      <c r="E43" s="16" t="s">
        <v>44</v>
      </c>
      <c r="F43" s="16" t="s">
        <v>132</v>
      </c>
      <c r="G43" s="16" t="s">
        <v>133</v>
      </c>
      <c r="H43" s="17" t="n">
        <v>1852</v>
      </c>
      <c r="I43" s="17" t="n">
        <v>2049</v>
      </c>
      <c r="J43" s="17"/>
      <c r="K43" s="17" t="n">
        <v>1892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1852</v>
      </c>
      <c r="N43" s="17" t="n">
        <f aca="false">IF($I43="","",$I43+$L43)</f>
        <v>2049</v>
      </c>
      <c r="O43" s="17" t="n">
        <f aca="false">IF($K43="","",$K43+$L43)</f>
        <v>1892</v>
      </c>
      <c r="P43" s="17" t="n">
        <f aca="false">IF($B$10=0,"",IFERROR(IF($B$4&gt;0,IF($M43="",1/0,$M43*$B$4),0)+IF($B$5&gt;0,IF($N43="",1/0,$N43*$B$5),0)+IF($B$6&gt;0,IF($O43="",1/0,$O43*$B$6),0),""))</f>
        <v>77011.3</v>
      </c>
      <c r="Q43" s="17" t="s">
        <v>44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7701</v>
      </c>
      <c r="T43" s="17" t="n">
        <f aca="false">IF($P43="","",$P43-$S43)</f>
        <v>69310.3</v>
      </c>
      <c r="U43" s="17" t="n">
        <f aca="false">IF($T43="","",IF($B$10=0,"",$T43/$B$10))</f>
        <v>1745.85138539043</v>
      </c>
      <c r="V43" s="17" t="n">
        <f aca="false">IF($P43="","",IF($B$10=0,"",$P43/$B$10))</f>
        <v>1939.83123425693</v>
      </c>
      <c r="W43" s="19" t="n">
        <f aca="false">IF($T43="",1000000000000000,$T43)</f>
        <v>69310.3</v>
      </c>
      <c r="X43" s="2"/>
      <c r="XFC43" s="6"/>
    </row>
    <row r="44" s="5" customFormat="true" ht="28.5" hidden="false" customHeight="true" outlineLevel="0" collapsed="false">
      <c r="A44" s="16" t="n">
        <f aca="false">IF($T44="","",1+COUNTIF($W$15:$W$728,"&lt;"&amp;W44))</f>
        <v>30</v>
      </c>
      <c r="B44" s="16" t="s">
        <v>6</v>
      </c>
      <c r="C44" s="16" t="s">
        <v>134</v>
      </c>
      <c r="D44" s="20" t="s">
        <v>131</v>
      </c>
      <c r="E44" s="16" t="s">
        <v>44</v>
      </c>
      <c r="F44" s="16" t="s">
        <v>135</v>
      </c>
      <c r="G44" s="16" t="s">
        <v>136</v>
      </c>
      <c r="H44" s="17" t="n">
        <v>1894</v>
      </c>
      <c r="I44" s="17" t="n">
        <v>1999</v>
      </c>
      <c r="J44" s="17"/>
      <c r="K44" s="17" t="n">
        <v>1894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1894</v>
      </c>
      <c r="N44" s="17" t="n">
        <f aca="false">IF($I44="","",$I44+$L44)</f>
        <v>1999</v>
      </c>
      <c r="O44" s="17" t="n">
        <f aca="false">IF($K44="","",$K44+$L44)</f>
        <v>1894</v>
      </c>
      <c r="P44" s="17" t="n">
        <f aca="false">IF($B$10=0,"",IFERROR(IF($B$4&gt;0,IF($M44="",1/0,$M44*$B$4),0)+IF($B$5&gt;0,IF($N44="",1/0,$N44*$B$5),0)+IF($B$6&gt;0,IF($O44="",1/0,$O44*$B$6),0),""))</f>
        <v>77050.3</v>
      </c>
      <c r="Q44" s="17" t="s">
        <v>44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7705</v>
      </c>
      <c r="T44" s="17" t="n">
        <f aca="false">IF($P44="","",$P44-$S44)</f>
        <v>69345.3</v>
      </c>
      <c r="U44" s="17" t="n">
        <f aca="false">IF($T44="","",IF($B$10=0,"",$T44/$B$10))</f>
        <v>1746.73299748111</v>
      </c>
      <c r="V44" s="17" t="n">
        <f aca="false">IF($P44="","",IF($B$10=0,"",$P44/$B$10))</f>
        <v>1940.81360201511</v>
      </c>
      <c r="W44" s="19" t="n">
        <f aca="false">IF($T44="",1000000000000000,$T44)</f>
        <v>69345.3</v>
      </c>
      <c r="X44" s="2"/>
      <c r="XFC44" s="6"/>
    </row>
    <row r="45" s="5" customFormat="true" ht="28.5" hidden="false" customHeight="true" outlineLevel="0" collapsed="false">
      <c r="A45" s="16" t="n">
        <f aca="false">IF($T45="","",1+COUNTIF($W$15:$W$728,"&lt;"&amp;W45))</f>
        <v>31</v>
      </c>
      <c r="B45" s="16" t="s">
        <v>6</v>
      </c>
      <c r="C45" s="16" t="s">
        <v>137</v>
      </c>
      <c r="D45" s="20" t="s">
        <v>131</v>
      </c>
      <c r="E45" s="16" t="s">
        <v>58</v>
      </c>
      <c r="F45" s="16" t="s">
        <v>138</v>
      </c>
      <c r="G45" s="16" t="s">
        <v>139</v>
      </c>
      <c r="H45" s="17" t="n">
        <v>1898</v>
      </c>
      <c r="I45" s="17" t="n">
        <v>1999</v>
      </c>
      <c r="J45" s="17"/>
      <c r="K45" s="17" t="n">
        <v>1940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1898</v>
      </c>
      <c r="N45" s="17" t="n">
        <f aca="false">IF($I45="","",$I45+$L45)</f>
        <v>1999</v>
      </c>
      <c r="O45" s="17" t="n">
        <f aca="false">IF($K45="","",$K45+$L45)</f>
        <v>1940</v>
      </c>
      <c r="P45" s="17" t="n">
        <f aca="false">IF($B$10=0,"",IFERROR(IF($B$4&gt;0,IF($M45="",1/0,$M45*$B$4),0)+IF($B$5&gt;0,IF($N45="",1/0,$N45*$B$5),0)+IF($B$6&gt;0,IF($O45="",1/0,$O45*$B$6),0),""))</f>
        <v>77138.3</v>
      </c>
      <c r="Q45" s="17" t="s">
        <v>44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7713</v>
      </c>
      <c r="T45" s="17" t="n">
        <f aca="false">IF($P45="","",$P45-$S45)</f>
        <v>69425.3</v>
      </c>
      <c r="U45" s="17" t="n">
        <f aca="false">IF($T45="","",IF($B$10=0,"",$T45/$B$10))</f>
        <v>1748.74811083123</v>
      </c>
      <c r="V45" s="17" t="n">
        <f aca="false">IF($P45="","",IF($B$10=0,"",$P45/$B$10))</f>
        <v>1943.03022670025</v>
      </c>
      <c r="W45" s="19" t="n">
        <f aca="false">IF($T45="",1000000000000000,$T45)</f>
        <v>69425.3</v>
      </c>
      <c r="X45" s="2"/>
      <c r="XFC45" s="6"/>
    </row>
    <row r="46" s="5" customFormat="true" ht="28.5" hidden="false" customHeight="true" outlineLevel="0" collapsed="false">
      <c r="A46" s="16" t="n">
        <f aca="false">IF($T46="","",1+COUNTIF($W$15:$W$728,"&lt;"&amp;W46))</f>
        <v>32</v>
      </c>
      <c r="B46" s="16" t="s">
        <v>10</v>
      </c>
      <c r="C46" s="16" t="s">
        <v>140</v>
      </c>
      <c r="D46" s="16" t="s">
        <v>141</v>
      </c>
      <c r="E46" s="16" t="s">
        <v>44</v>
      </c>
      <c r="F46" s="16" t="s">
        <v>142</v>
      </c>
      <c r="G46" s="16" t="s">
        <v>143</v>
      </c>
      <c r="H46" s="17" t="n">
        <v>1899</v>
      </c>
      <c r="I46" s="17" t="n">
        <v>1998</v>
      </c>
      <c r="J46" s="17"/>
      <c r="K46" s="17" t="n">
        <v>1899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1899</v>
      </c>
      <c r="N46" s="17" t="n">
        <f aca="false">IF($I46="","",$I46+$L46)</f>
        <v>1998</v>
      </c>
      <c r="O46" s="17" t="n">
        <f aca="false">IF($K46="","",$K46+$L46)</f>
        <v>1899</v>
      </c>
      <c r="P46" s="17" t="n">
        <f aca="false">IF($B$10=0,"",IFERROR(IF($B$4&gt;0,IF($M46="",1/0,$M46*$B$4),0)+IF($B$5&gt;0,IF($N46="",1/0,$N46*$B$5),0)+IF($B$6&gt;0,IF($O46="",1/0,$O46*$B$6),0),""))</f>
        <v>77142.6</v>
      </c>
      <c r="Q46" s="17" t="s">
        <v>44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7714</v>
      </c>
      <c r="T46" s="17" t="n">
        <f aca="false">IF($P46="","",$P46-$S46)</f>
        <v>69428.6</v>
      </c>
      <c r="U46" s="17" t="n">
        <f aca="false">IF($T46="","",IF($B$10=0,"",$T46/$B$10))</f>
        <v>1748.83123425693</v>
      </c>
      <c r="V46" s="17" t="n">
        <f aca="false">IF($P46="","",IF($B$10=0,"",$P46/$B$10))</f>
        <v>1943.13853904282</v>
      </c>
      <c r="W46" s="19" t="n">
        <f aca="false">IF($T46="",1000000000000000,$T46)</f>
        <v>69428.6</v>
      </c>
      <c r="X46" s="2"/>
      <c r="XFC46" s="6"/>
    </row>
    <row r="47" s="5" customFormat="true" ht="28.5" hidden="false" customHeight="true" outlineLevel="0" collapsed="false">
      <c r="A47" s="16" t="n">
        <f aca="false">IF($T47="","",1+COUNTIF($W$15:$W$728,"&lt;"&amp;W47))</f>
        <v>33</v>
      </c>
      <c r="B47" s="16" t="s">
        <v>8</v>
      </c>
      <c r="C47" s="16" t="s">
        <v>144</v>
      </c>
      <c r="D47" s="16" t="s">
        <v>43</v>
      </c>
      <c r="E47" s="16" t="s">
        <v>44</v>
      </c>
      <c r="F47" s="16" t="s">
        <v>145</v>
      </c>
      <c r="G47" s="16" t="s">
        <v>146</v>
      </c>
      <c r="H47" s="17" t="n">
        <v>1845</v>
      </c>
      <c r="I47" s="17" t="n">
        <v>2070</v>
      </c>
      <c r="J47" s="17"/>
      <c r="K47" s="17" t="n">
        <v>1895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1845</v>
      </c>
      <c r="N47" s="17" t="n">
        <f aca="false">IF($I47="","",$I47+$L47)</f>
        <v>2070</v>
      </c>
      <c r="O47" s="17" t="n">
        <f aca="false">IF($K47="","",$K47+$L47)</f>
        <v>1895</v>
      </c>
      <c r="P47" s="17" t="n">
        <f aca="false">IF($B$10=0,"",IFERROR(IF($B$4&gt;0,IF($M47="",1/0,$M47*$B$4),0)+IF($B$5&gt;0,IF($N47="",1/0,$N47*$B$5),0)+IF($B$6&gt;0,IF($O47="",1/0,$O47*$B$6),0),""))</f>
        <v>77229</v>
      </c>
      <c r="Q47" s="17" t="s">
        <v>44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7722</v>
      </c>
      <c r="T47" s="17" t="n">
        <f aca="false">IF($P47="","",$P47-$S47)</f>
        <v>69507</v>
      </c>
      <c r="U47" s="17" t="n">
        <f aca="false">IF($T47="","",IF($B$10=0,"",$T47/$B$10))</f>
        <v>1750.80604534005</v>
      </c>
      <c r="V47" s="17" t="n">
        <f aca="false">IF($P47="","",IF($B$10=0,"",$P47/$B$10))</f>
        <v>1945.31486146096</v>
      </c>
      <c r="W47" s="19" t="n">
        <f aca="false">IF($T47="",1000000000000000,$T47)</f>
        <v>69507</v>
      </c>
      <c r="X47" s="2"/>
      <c r="XFC47" s="6"/>
    </row>
    <row r="48" s="5" customFormat="true" ht="28.5" hidden="false" customHeight="true" outlineLevel="0" collapsed="false">
      <c r="A48" s="16" t="n">
        <f aca="false">IF($T48="","",1+COUNTIF($W$15:$W$728,"&lt;"&amp;W48))</f>
        <v>34</v>
      </c>
      <c r="B48" s="16" t="s">
        <v>10</v>
      </c>
      <c r="C48" s="16" t="s">
        <v>147</v>
      </c>
      <c r="D48" s="16" t="s">
        <v>48</v>
      </c>
      <c r="E48" s="16" t="s">
        <v>44</v>
      </c>
      <c r="F48" s="16" t="s">
        <v>148</v>
      </c>
      <c r="G48" s="16" t="s">
        <v>149</v>
      </c>
      <c r="H48" s="17" t="n">
        <v>1858</v>
      </c>
      <c r="I48" s="17" t="n">
        <v>2058</v>
      </c>
      <c r="J48" s="17"/>
      <c r="K48" s="17" t="n">
        <v>1918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1858</v>
      </c>
      <c r="N48" s="17" t="n">
        <f aca="false">IF($I48="","",$I48+$L48)</f>
        <v>2058</v>
      </c>
      <c r="O48" s="17" t="n">
        <f aca="false">IF($K48="","",$K48+$L48)</f>
        <v>1918</v>
      </c>
      <c r="P48" s="17" t="n">
        <f aca="false">IF($B$10=0,"",IFERROR(IF($B$4&gt;0,IF($M48="",1/0,$M48*$B$4),0)+IF($B$5&gt;0,IF($N48="",1/0,$N48*$B$5),0)+IF($B$6&gt;0,IF($O48="",1/0,$O48*$B$6),0),""))</f>
        <v>77302.6</v>
      </c>
      <c r="Q48" s="17" t="s">
        <v>44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7730</v>
      </c>
      <c r="T48" s="17" t="n">
        <f aca="false">IF($P48="","",$P48-$S48)</f>
        <v>69572.6</v>
      </c>
      <c r="U48" s="17" t="n">
        <f aca="false">IF($T48="","",IF($B$10=0,"",$T48/$B$10))</f>
        <v>1752.45843828715</v>
      </c>
      <c r="V48" s="17" t="n">
        <f aca="false">IF($P48="","",IF($B$10=0,"",$P48/$B$10))</f>
        <v>1947.16876574307</v>
      </c>
      <c r="W48" s="19" t="n">
        <f aca="false">IF($T48="",1000000000000000,$T48)</f>
        <v>69572.6</v>
      </c>
      <c r="X48" s="2"/>
      <c r="XFC48" s="6"/>
    </row>
    <row r="49" s="5" customFormat="true" ht="28.5" hidden="false" customHeight="true" outlineLevel="0" collapsed="false">
      <c r="A49" s="16" t="n">
        <f aca="false">IF($T49="","",1+COUNTIF($W$15:$W$728,"&lt;"&amp;W49))</f>
        <v>35</v>
      </c>
      <c r="B49" s="16" t="s">
        <v>14</v>
      </c>
      <c r="C49" s="16" t="s">
        <v>150</v>
      </c>
      <c r="D49" s="16" t="s">
        <v>48</v>
      </c>
      <c r="E49" s="16" t="s">
        <v>44</v>
      </c>
      <c r="F49" s="16" t="s">
        <v>151</v>
      </c>
      <c r="G49" s="16" t="s">
        <v>152</v>
      </c>
      <c r="H49" s="17" t="n">
        <v>1955</v>
      </c>
      <c r="I49" s="17" t="n">
        <v>2195</v>
      </c>
      <c r="J49" s="17"/>
      <c r="K49" s="17" t="n">
        <v>1975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1955</v>
      </c>
      <c r="N49" s="17" t="n">
        <f aca="false">IF($I49="","",$I49+$L49)</f>
        <v>2195</v>
      </c>
      <c r="O49" s="17" t="n">
        <f aca="false">IF($K49="","",$K49+$L49)</f>
        <v>1975</v>
      </c>
      <c r="P49" s="17" t="n">
        <f aca="false">IF($B$10=0,"",IFERROR(IF($B$4&gt;0,IF($M49="",1/0,$M49*$B$4),0)+IF($B$5&gt;0,IF($N49="",1/0,$N49*$B$5),0)+IF($B$6&gt;0,IF($O49="",1/0,$O49*$B$6),0),""))</f>
        <v>81861.5</v>
      </c>
      <c r="Q49" s="17" t="s">
        <v>44</v>
      </c>
      <c r="R49" s="18" t="n">
        <f aca="false">IF($P49="","",IF($Q49="Y",IFERROR(VLOOKUP($B49,$C$4:$D$13,2,FALSE()),0),0))</f>
        <v>0.15</v>
      </c>
      <c r="S49" s="17" t="n">
        <f aca="false">IF($P49="","",ROUNDDOWN($P49*$R49,0))</f>
        <v>12279</v>
      </c>
      <c r="T49" s="17" t="n">
        <f aca="false">IF($P49="","",$P49-$S49)</f>
        <v>69582.5</v>
      </c>
      <c r="U49" s="17" t="n">
        <f aca="false">IF($T49="","",IF($B$10=0,"",$T49/$B$10))</f>
        <v>1752.70780856423</v>
      </c>
      <c r="V49" s="17" t="n">
        <f aca="false">IF($P49="","",IF($B$10=0,"",$P49/$B$10))</f>
        <v>2062.00251889169</v>
      </c>
      <c r="W49" s="19" t="n">
        <f aca="false">IF($T49="",1000000000000000,$T49)</f>
        <v>69582.5</v>
      </c>
      <c r="X49" s="2"/>
      <c r="XFC49" s="6"/>
    </row>
    <row r="50" s="5" customFormat="true" ht="28.5" hidden="false" customHeight="true" outlineLevel="0" collapsed="false">
      <c r="A50" s="16" t="n">
        <f aca="false">IF($T50="","",1+COUNTIF($W$15:$W$728,"&lt;"&amp;W50))</f>
        <v>36</v>
      </c>
      <c r="B50" s="16" t="s">
        <v>8</v>
      </c>
      <c r="C50" s="16" t="s">
        <v>153</v>
      </c>
      <c r="D50" s="16" t="s">
        <v>43</v>
      </c>
      <c r="E50" s="16" t="s">
        <v>44</v>
      </c>
      <c r="F50" s="16" t="s">
        <v>154</v>
      </c>
      <c r="G50" s="16" t="s">
        <v>155</v>
      </c>
      <c r="H50" s="17" t="n">
        <v>1873</v>
      </c>
      <c r="I50" s="17" t="n">
        <v>2050</v>
      </c>
      <c r="J50" s="17"/>
      <c r="K50" s="17" t="n">
        <v>1893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1873</v>
      </c>
      <c r="N50" s="17" t="n">
        <f aca="false">IF($I50="","",$I50+$L50)</f>
        <v>2050</v>
      </c>
      <c r="O50" s="17" t="n">
        <f aca="false">IF($K50="","",$K50+$L50)</f>
        <v>1893</v>
      </c>
      <c r="P50" s="17" t="n">
        <f aca="false">IF($B$10=0,"",IFERROR(IF($B$4&gt;0,IF($M50="",1/0,$M50*$B$4),0)+IF($B$5&gt;0,IF($N50="",1/0,$N50*$B$5),0)+IF($B$6&gt;0,IF($O50="",1/0,$O50*$B$6),0),""))</f>
        <v>77491</v>
      </c>
      <c r="Q50" s="17" t="s">
        <v>44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7749</v>
      </c>
      <c r="T50" s="17" t="n">
        <f aca="false">IF($P50="","",$P50-$S50)</f>
        <v>69742</v>
      </c>
      <c r="U50" s="17" t="n">
        <f aca="false">IF($T50="","",IF($B$10=0,"",$T50/$B$10))</f>
        <v>1756.72544080605</v>
      </c>
      <c r="V50" s="17" t="n">
        <f aca="false">IF($P50="","",IF($B$10=0,"",$P50/$B$10))</f>
        <v>1951.91435768262</v>
      </c>
      <c r="W50" s="19" t="n">
        <f aca="false">IF($T50="",1000000000000000,$T50)</f>
        <v>69742</v>
      </c>
      <c r="X50" s="2"/>
      <c r="XFC50" s="6"/>
    </row>
    <row r="51" s="5" customFormat="true" ht="28.5" hidden="false" customHeight="true" outlineLevel="0" collapsed="false">
      <c r="A51" s="16" t="n">
        <f aca="false">IF($T51="","",1+COUNTIF($W$15:$W$728,"&lt;"&amp;W51))</f>
        <v>37</v>
      </c>
      <c r="B51" s="16" t="s">
        <v>6</v>
      </c>
      <c r="C51" s="16" t="s">
        <v>156</v>
      </c>
      <c r="D51" s="16" t="s">
        <v>43</v>
      </c>
      <c r="E51" s="16" t="s">
        <v>44</v>
      </c>
      <c r="F51" s="16" t="s">
        <v>157</v>
      </c>
      <c r="G51" s="16" t="s">
        <v>158</v>
      </c>
      <c r="H51" s="17" t="n">
        <v>1899</v>
      </c>
      <c r="I51" s="17" t="n">
        <v>2018</v>
      </c>
      <c r="J51" s="17"/>
      <c r="K51" s="17" t="n">
        <v>1959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1899</v>
      </c>
      <c r="N51" s="17" t="n">
        <f aca="false">IF($I51="","",$I51+$L51)</f>
        <v>2018</v>
      </c>
      <c r="O51" s="17" t="n">
        <f aca="false">IF($K51="","",$K51+$L51)</f>
        <v>1959</v>
      </c>
      <c r="P51" s="17" t="n">
        <f aca="false">IF($B$10=0,"",IFERROR(IF($B$4&gt;0,IF($M51="",1/0,$M51*$B$4),0)+IF($B$5&gt;0,IF($N51="",1/0,$N51*$B$5),0)+IF($B$6&gt;0,IF($O51="",1/0,$O51*$B$6),0),""))</f>
        <v>77496.6</v>
      </c>
      <c r="Q51" s="17" t="s">
        <v>44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7749</v>
      </c>
      <c r="T51" s="17" t="n">
        <f aca="false">IF($P51="","",$P51-$S51)</f>
        <v>69747.6</v>
      </c>
      <c r="U51" s="17" t="n">
        <f aca="false">IF($T51="","",IF($B$10=0,"",$T51/$B$10))</f>
        <v>1756.86649874055</v>
      </c>
      <c r="V51" s="17" t="n">
        <f aca="false">IF($P51="","",IF($B$10=0,"",$P51/$B$10))</f>
        <v>1952.05541561713</v>
      </c>
      <c r="W51" s="19" t="n">
        <f aca="false">IF($T51="",1000000000000000,$T51)</f>
        <v>69747.6</v>
      </c>
      <c r="X51" s="2"/>
      <c r="XFC51" s="6"/>
    </row>
    <row r="52" s="5" customFormat="true" ht="28.5" hidden="false" customHeight="true" outlineLevel="0" collapsed="false">
      <c r="A52" s="16" t="n">
        <f aca="false">IF($T52="","",1+COUNTIF($W$15:$W$728,"&lt;"&amp;W52))</f>
        <v>38</v>
      </c>
      <c r="B52" s="16" t="s">
        <v>6</v>
      </c>
      <c r="C52" s="16" t="s">
        <v>159</v>
      </c>
      <c r="D52" s="16" t="s">
        <v>43</v>
      </c>
      <c r="E52" s="16" t="s">
        <v>44</v>
      </c>
      <c r="F52" s="16" t="s">
        <v>160</v>
      </c>
      <c r="G52" s="16" t="s">
        <v>161</v>
      </c>
      <c r="H52" s="17" t="n">
        <v>1899</v>
      </c>
      <c r="I52" s="17" t="n">
        <v>2019</v>
      </c>
      <c r="J52" s="17"/>
      <c r="K52" s="17" t="n">
        <v>1945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1899</v>
      </c>
      <c r="N52" s="17" t="n">
        <f aca="false">IF($I52="","",$I52+$L52)</f>
        <v>2019</v>
      </c>
      <c r="O52" s="17" t="n">
        <f aca="false">IF($K52="","",$K52+$L52)</f>
        <v>1945</v>
      </c>
      <c r="P52" s="17" t="n">
        <f aca="false">IF($B$10=0,"",IFERROR(IF($B$4&gt;0,IF($M52="",1/0,$M52*$B$4),0)+IF($B$5&gt;0,IF($N52="",1/0,$N52*$B$5),0)+IF($B$6&gt;0,IF($O52="",1/0,$O52*$B$6),0),""))</f>
        <v>77514.3</v>
      </c>
      <c r="Q52" s="17" t="s">
        <v>44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7751</v>
      </c>
      <c r="T52" s="17" t="n">
        <f aca="false">IF($P52="","",$P52-$S52)</f>
        <v>69763.3</v>
      </c>
      <c r="U52" s="17" t="n">
        <f aca="false">IF($T52="","",IF($B$10=0,"",$T52/$B$10))</f>
        <v>1757.26196473552</v>
      </c>
      <c r="V52" s="17" t="n">
        <f aca="false">IF($P52="","",IF($B$10=0,"",$P52/$B$10))</f>
        <v>1952.50125944584</v>
      </c>
      <c r="W52" s="19" t="n">
        <f aca="false">IF($T52="",1000000000000000,$T52)</f>
        <v>69763.3</v>
      </c>
      <c r="X52" s="2"/>
      <c r="XFC52" s="6"/>
    </row>
    <row r="53" s="5" customFormat="true" ht="28.5" hidden="false" customHeight="true" outlineLevel="0" collapsed="false">
      <c r="A53" s="16" t="n">
        <f aca="false">IF($T53="","",1+COUNTIF($W$15:$W$728,"&lt;"&amp;W53))</f>
        <v>38</v>
      </c>
      <c r="B53" s="16" t="s">
        <v>6</v>
      </c>
      <c r="C53" s="16" t="s">
        <v>162</v>
      </c>
      <c r="D53" s="16" t="s">
        <v>43</v>
      </c>
      <c r="E53" s="16" t="s">
        <v>44</v>
      </c>
      <c r="F53" s="16" t="s">
        <v>163</v>
      </c>
      <c r="G53" s="16" t="s">
        <v>164</v>
      </c>
      <c r="H53" s="17" t="n">
        <v>1899</v>
      </c>
      <c r="I53" s="17" t="n">
        <v>2019</v>
      </c>
      <c r="J53" s="17"/>
      <c r="K53" s="17" t="n">
        <v>1939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1899</v>
      </c>
      <c r="N53" s="17" t="n">
        <f aca="false">IF($I53="","",$I53+$L53)</f>
        <v>2019</v>
      </c>
      <c r="O53" s="17" t="n">
        <f aca="false">IF($K53="","",$K53+$L53)</f>
        <v>1939</v>
      </c>
      <c r="P53" s="17" t="n">
        <f aca="false">IF($B$10=0,"",IFERROR(IF($B$4&gt;0,IF($M53="",1/0,$M53*$B$4),0)+IF($B$5&gt;0,IF($N53="",1/0,$N53*$B$5),0)+IF($B$6&gt;0,IF($O53="",1/0,$O53*$B$6),0),""))</f>
        <v>77514.3</v>
      </c>
      <c r="Q53" s="17" t="s">
        <v>44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7751</v>
      </c>
      <c r="T53" s="17" t="n">
        <f aca="false">IF($P53="","",$P53-$S53)</f>
        <v>69763.3</v>
      </c>
      <c r="U53" s="17" t="n">
        <f aca="false">IF($T53="","",IF($B$10=0,"",$T53/$B$10))</f>
        <v>1757.26196473552</v>
      </c>
      <c r="V53" s="17" t="n">
        <f aca="false">IF($P53="","",IF($B$10=0,"",$P53/$B$10))</f>
        <v>1952.50125944584</v>
      </c>
      <c r="W53" s="19" t="n">
        <f aca="false">IF($T53="",1000000000000000,$T53)</f>
        <v>69763.3</v>
      </c>
      <c r="X53" s="2"/>
      <c r="XFC53" s="6"/>
    </row>
    <row r="54" s="5" customFormat="true" ht="28.5" hidden="false" customHeight="true" outlineLevel="0" collapsed="false">
      <c r="A54" s="16" t="n">
        <f aca="false">IF($T54="","",1+COUNTIF($W$15:$W$728,"&lt;"&amp;W54))</f>
        <v>40</v>
      </c>
      <c r="B54" s="16" t="s">
        <v>6</v>
      </c>
      <c r="C54" s="16" t="s">
        <v>165</v>
      </c>
      <c r="D54" s="20" t="s">
        <v>131</v>
      </c>
      <c r="E54" s="16" t="s">
        <v>44</v>
      </c>
      <c r="F54" s="16" t="s">
        <v>166</v>
      </c>
      <c r="G54" s="16" t="s">
        <v>167</v>
      </c>
      <c r="H54" s="17" t="n">
        <v>1859</v>
      </c>
      <c r="I54" s="17" t="n">
        <v>2069</v>
      </c>
      <c r="J54" s="17"/>
      <c r="K54" s="17" t="n">
        <v>1899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1859</v>
      </c>
      <c r="N54" s="17" t="n">
        <f aca="false">IF($I54="","",$I54+$L54)</f>
        <v>2069</v>
      </c>
      <c r="O54" s="17" t="n">
        <f aca="false">IF($K54="","",$K54+$L54)</f>
        <v>1899</v>
      </c>
      <c r="P54" s="17" t="n">
        <f aca="false">IF($B$10=0,"",IFERROR(IF($B$4&gt;0,IF($M54="",1/0,$M54*$B$4),0)+IF($B$5&gt;0,IF($N54="",1/0,$N54*$B$5),0)+IF($B$6&gt;0,IF($O54="",1/0,$O54*$B$6),0),""))</f>
        <v>77519.3</v>
      </c>
      <c r="Q54" s="17" t="s">
        <v>44</v>
      </c>
      <c r="R54" s="18" t="n">
        <f aca="false">IF($P54="","",IF($Q54="Y",IFERROR(VLOOKUP($B54,$C$4:$D$13,2,FALSE()),0),0))</f>
        <v>0.1</v>
      </c>
      <c r="S54" s="17" t="n">
        <f aca="false">IF($P54="","",ROUNDDOWN($P54*$R54,0))</f>
        <v>7751</v>
      </c>
      <c r="T54" s="17" t="n">
        <f aca="false">IF($P54="","",$P54-$S54)</f>
        <v>69768.3</v>
      </c>
      <c r="U54" s="17" t="n">
        <f aca="false">IF($T54="","",IF($B$10=0,"",$T54/$B$10))</f>
        <v>1757.3879093199</v>
      </c>
      <c r="V54" s="17" t="n">
        <f aca="false">IF($P54="","",IF($B$10=0,"",$P54/$B$10))</f>
        <v>1952.62720403023</v>
      </c>
      <c r="W54" s="19" t="n">
        <f aca="false">IF($T54="",1000000000000000,$T54)</f>
        <v>69768.3</v>
      </c>
      <c r="X54" s="2"/>
      <c r="XFC54" s="6"/>
    </row>
    <row r="55" s="5" customFormat="true" ht="28.5" hidden="false" customHeight="true" outlineLevel="0" collapsed="false">
      <c r="A55" s="16" t="n">
        <f aca="false">IF($T55="","",1+COUNTIF($W$15:$W$728,"&lt;"&amp;W55))</f>
        <v>41</v>
      </c>
      <c r="B55" s="16" t="s">
        <v>6</v>
      </c>
      <c r="C55" s="16" t="s">
        <v>168</v>
      </c>
      <c r="D55" s="16" t="s">
        <v>43</v>
      </c>
      <c r="E55" s="16" t="s">
        <v>44</v>
      </c>
      <c r="F55" s="16" t="s">
        <v>169</v>
      </c>
      <c r="G55" s="16" t="s">
        <v>170</v>
      </c>
      <c r="H55" s="17" t="n">
        <v>1945</v>
      </c>
      <c r="I55" s="17" t="n">
        <v>1965</v>
      </c>
      <c r="J55" s="17"/>
      <c r="K55" s="17" t="n">
        <v>1985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1945</v>
      </c>
      <c r="N55" s="17" t="n">
        <f aca="false">IF($I55="","",$I55+$L55)</f>
        <v>1965</v>
      </c>
      <c r="O55" s="17" t="n">
        <f aca="false">IF($K55="","",$K55+$L55)</f>
        <v>1985</v>
      </c>
      <c r="P55" s="17" t="n">
        <f aca="false">IF($B$10=0,"",IFERROR(IF($B$4&gt;0,IF($M55="",1/0,$M55*$B$4),0)+IF($B$5&gt;0,IF($N55="",1/0,$N55*$B$5),0)+IF($B$6&gt;0,IF($O55="",1/0,$O55*$B$6),0),""))</f>
        <v>77570.5</v>
      </c>
      <c r="Q55" s="17" t="s">
        <v>44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7757</v>
      </c>
      <c r="T55" s="17" t="n">
        <f aca="false">IF($P55="","",$P55-$S55)</f>
        <v>69813.5</v>
      </c>
      <c r="U55" s="17" t="n">
        <f aca="false">IF($T55="","",IF($B$10=0,"",$T55/$B$10))</f>
        <v>1758.52644836272</v>
      </c>
      <c r="V55" s="17" t="n">
        <f aca="false">IF($P55="","",IF($B$10=0,"",$P55/$B$10))</f>
        <v>1953.91687657431</v>
      </c>
      <c r="W55" s="19" t="n">
        <f aca="false">IF($T55="",1000000000000000,$T55)</f>
        <v>69813.5</v>
      </c>
      <c r="X55" s="2"/>
      <c r="XFC55" s="6"/>
    </row>
    <row r="56" s="5" customFormat="true" ht="28.5" hidden="false" customHeight="true" outlineLevel="0" collapsed="false">
      <c r="A56" s="16" t="n">
        <f aca="false">IF($T56="","",1+COUNTIF($W$15:$W$728,"&lt;"&amp;W56))</f>
        <v>42</v>
      </c>
      <c r="B56" s="16" t="s">
        <v>6</v>
      </c>
      <c r="C56" s="16" t="s">
        <v>171</v>
      </c>
      <c r="D56" s="16" t="s">
        <v>48</v>
      </c>
      <c r="E56" s="16" t="s">
        <v>44</v>
      </c>
      <c r="F56" s="16" t="s">
        <v>172</v>
      </c>
      <c r="G56" s="16" t="s">
        <v>173</v>
      </c>
      <c r="H56" s="17" t="n">
        <v>1919</v>
      </c>
      <c r="I56" s="17" t="n">
        <v>1999</v>
      </c>
      <c r="J56" s="17"/>
      <c r="K56" s="17" t="n">
        <v>1919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1919</v>
      </c>
      <c r="N56" s="17" t="n">
        <f aca="false">IF($I56="","",$I56+$L56)</f>
        <v>1999</v>
      </c>
      <c r="O56" s="17" t="n">
        <f aca="false">IF($K56="","",$K56+$L56)</f>
        <v>1919</v>
      </c>
      <c r="P56" s="17" t="n">
        <f aca="false">IF($B$10=0,"",IFERROR(IF($B$4&gt;0,IF($M56="",1/0,$M56*$B$4),0)+IF($B$5&gt;0,IF($N56="",1/0,$N56*$B$5),0)+IF($B$6&gt;0,IF($O56="",1/0,$O56*$B$6),0),""))</f>
        <v>77600.3</v>
      </c>
      <c r="Q56" s="17" t="s">
        <v>44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7760</v>
      </c>
      <c r="T56" s="17" t="n">
        <f aca="false">IF($P56="","",$P56-$S56)</f>
        <v>69840.3</v>
      </c>
      <c r="U56" s="17" t="n">
        <f aca="false">IF($T56="","",IF($B$10=0,"",$T56/$B$10))</f>
        <v>1759.20151133501</v>
      </c>
      <c r="V56" s="17" t="n">
        <f aca="false">IF($P56="","",IF($B$10=0,"",$P56/$B$10))</f>
        <v>1954.66750629723</v>
      </c>
      <c r="W56" s="19" t="n">
        <f aca="false">IF($T56="",1000000000000000,$T56)</f>
        <v>69840.3</v>
      </c>
      <c r="X56" s="2"/>
      <c r="XFC56" s="6"/>
    </row>
    <row r="57" s="5" customFormat="true" ht="28.5" hidden="false" customHeight="true" outlineLevel="0" collapsed="false">
      <c r="A57" s="16" t="n">
        <f aca="false">IF($T57="","",1+COUNTIF($W$15:$W$728,"&lt;"&amp;W57))</f>
        <v>43</v>
      </c>
      <c r="B57" s="16" t="s">
        <v>10</v>
      </c>
      <c r="C57" s="16" t="s">
        <v>174</v>
      </c>
      <c r="D57" s="16" t="s">
        <v>48</v>
      </c>
      <c r="E57" s="16" t="s">
        <v>44</v>
      </c>
      <c r="F57" s="16" t="s">
        <v>175</v>
      </c>
      <c r="G57" s="16" t="s">
        <v>176</v>
      </c>
      <c r="H57" s="17" t="n">
        <v>1879</v>
      </c>
      <c r="I57" s="17" t="n">
        <v>2049</v>
      </c>
      <c r="J57" s="17"/>
      <c r="K57" s="17" t="n">
        <v>1879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1879</v>
      </c>
      <c r="N57" s="17" t="n">
        <f aca="false">IF($I57="","",$I57+$L57)</f>
        <v>2049</v>
      </c>
      <c r="O57" s="17" t="n">
        <f aca="false">IF($K57="","",$K57+$L57)</f>
        <v>1879</v>
      </c>
      <c r="P57" s="17" t="n">
        <f aca="false">IF($B$10=0,"",IFERROR(IF($B$4&gt;0,IF($M57="",1/0,$M57*$B$4),0)+IF($B$5&gt;0,IF($N57="",1/0,$N57*$B$5),0)+IF($B$6&gt;0,IF($O57="",1/0,$O57*$B$6),0),""))</f>
        <v>77605.3</v>
      </c>
      <c r="Q57" s="17" t="s">
        <v>44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7760</v>
      </c>
      <c r="T57" s="17" t="n">
        <f aca="false">IF($P57="","",$P57-$S57)</f>
        <v>69845.3</v>
      </c>
      <c r="U57" s="17" t="n">
        <f aca="false">IF($T57="","",IF($B$10=0,"",$T57/$B$10))</f>
        <v>1759.3274559194</v>
      </c>
      <c r="V57" s="17" t="n">
        <f aca="false">IF($P57="","",IF($B$10=0,"",$P57/$B$10))</f>
        <v>1954.79345088161</v>
      </c>
      <c r="W57" s="19" t="n">
        <f aca="false">IF($T57="",1000000000000000,$T57)</f>
        <v>69845.3</v>
      </c>
      <c r="X57" s="2"/>
      <c r="XFC57" s="6"/>
    </row>
    <row r="58" s="5" customFormat="true" ht="28.5" hidden="false" customHeight="true" outlineLevel="0" collapsed="false">
      <c r="A58" s="16" t="n">
        <f aca="false">IF($T58="","",1+COUNTIF($W$15:$W$728,"&lt;"&amp;W58))</f>
        <v>44</v>
      </c>
      <c r="B58" s="16" t="s">
        <v>6</v>
      </c>
      <c r="C58" s="16" t="s">
        <v>177</v>
      </c>
      <c r="D58" s="20" t="s">
        <v>131</v>
      </c>
      <c r="E58" s="16" t="s">
        <v>44</v>
      </c>
      <c r="F58" s="16" t="s">
        <v>178</v>
      </c>
      <c r="G58" s="16" t="s">
        <v>179</v>
      </c>
      <c r="H58" s="17" t="n">
        <v>1895</v>
      </c>
      <c r="I58" s="17" t="n">
        <v>2050</v>
      </c>
      <c r="J58" s="17"/>
      <c r="K58" s="17" t="n">
        <v>1895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1895</v>
      </c>
      <c r="N58" s="17" t="n">
        <f aca="false">IF($I58="","",$I58+$L58)</f>
        <v>2050</v>
      </c>
      <c r="O58" s="17" t="n">
        <f aca="false">IF($K58="","",$K58+$L58)</f>
        <v>1895</v>
      </c>
      <c r="P58" s="17" t="n">
        <f aca="false">IF($B$10=0,"",IFERROR(IF($B$4&gt;0,IF($M58="",1/0,$M58*$B$4),0)+IF($B$5&gt;0,IF($N58="",1/0,$N58*$B$5),0)+IF($B$6&gt;0,IF($O58="",1/0,$O58*$B$6),0),""))</f>
        <v>77975</v>
      </c>
      <c r="Q58" s="17" t="s">
        <v>44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7797</v>
      </c>
      <c r="T58" s="17" t="n">
        <f aca="false">IF($P58="","",$P58-$S58)</f>
        <v>70178</v>
      </c>
      <c r="U58" s="17" t="n">
        <f aca="false">IF($T58="","",IF($B$10=0,"",$T58/$B$10))</f>
        <v>1767.70780856423</v>
      </c>
      <c r="V58" s="17" t="n">
        <f aca="false">IF($P58="","",IF($B$10=0,"",$P58/$B$10))</f>
        <v>1964.10579345088</v>
      </c>
      <c r="W58" s="19" t="n">
        <f aca="false">IF($T58="",1000000000000000,$T58)</f>
        <v>70178</v>
      </c>
      <c r="X58" s="2"/>
      <c r="XFC58" s="6"/>
    </row>
    <row r="59" s="5" customFormat="true" ht="28.5" hidden="false" customHeight="true" outlineLevel="0" collapsed="false">
      <c r="A59" s="16" t="n">
        <f aca="false">IF($T59="","",1+COUNTIF($W$15:$W$728,"&lt;"&amp;W59))</f>
        <v>45</v>
      </c>
      <c r="B59" s="16" t="s">
        <v>10</v>
      </c>
      <c r="C59" s="16" t="s">
        <v>180</v>
      </c>
      <c r="D59" s="16" t="s">
        <v>43</v>
      </c>
      <c r="E59" s="16" t="s">
        <v>44</v>
      </c>
      <c r="F59" s="16" t="s">
        <v>181</v>
      </c>
      <c r="G59" s="16" t="s">
        <v>182</v>
      </c>
      <c r="H59" s="17" t="n">
        <v>1899</v>
      </c>
      <c r="I59" s="17" t="n">
        <v>2049</v>
      </c>
      <c r="J59" s="17"/>
      <c r="K59" s="17" t="n">
        <v>1899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1899</v>
      </c>
      <c r="N59" s="17" t="n">
        <f aca="false">IF($I59="","",$I59+$L59)</f>
        <v>2049</v>
      </c>
      <c r="O59" s="17" t="n">
        <f aca="false">IF($K59="","",$K59+$L59)</f>
        <v>1899</v>
      </c>
      <c r="P59" s="17" t="n">
        <f aca="false">IF($B$10=0,"",IFERROR(IF($B$4&gt;0,IF($M59="",1/0,$M59*$B$4),0)+IF($B$5&gt;0,IF($N59="",1/0,$N59*$B$5),0)+IF($B$6&gt;0,IF($O59="",1/0,$O59*$B$6),0),""))</f>
        <v>78045.3</v>
      </c>
      <c r="Q59" s="17" t="s">
        <v>44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7804</v>
      </c>
      <c r="T59" s="17" t="n">
        <f aca="false">IF($P59="","",$P59-$S59)</f>
        <v>70241.3</v>
      </c>
      <c r="U59" s="17" t="n">
        <f aca="false">IF($T59="","",IF($B$10=0,"",$T59/$B$10))</f>
        <v>1769.30226700252</v>
      </c>
      <c r="V59" s="17" t="n">
        <f aca="false">IF($P59="","",IF($B$10=0,"",$P59/$B$10))</f>
        <v>1965.8765743073</v>
      </c>
      <c r="W59" s="19" t="n">
        <f aca="false">IF($T59="",1000000000000000,$T59)</f>
        <v>70241.3</v>
      </c>
      <c r="X59" s="2"/>
      <c r="XFC59" s="6"/>
    </row>
    <row r="60" s="5" customFormat="true" ht="28.5" hidden="false" customHeight="true" outlineLevel="0" collapsed="false">
      <c r="A60" s="16" t="n">
        <f aca="false">IF($T60="","",1+COUNTIF($W$15:$W$728,"&lt;"&amp;W60))</f>
        <v>45</v>
      </c>
      <c r="B60" s="16" t="s">
        <v>6</v>
      </c>
      <c r="C60" s="16" t="s">
        <v>183</v>
      </c>
      <c r="D60" s="20" t="s">
        <v>131</v>
      </c>
      <c r="E60" s="16" t="s">
        <v>44</v>
      </c>
      <c r="F60" s="16" t="s">
        <v>184</v>
      </c>
      <c r="G60" s="16" t="s">
        <v>185</v>
      </c>
      <c r="H60" s="17" t="n">
        <v>1899</v>
      </c>
      <c r="I60" s="17" t="n">
        <v>2049</v>
      </c>
      <c r="J60" s="17"/>
      <c r="K60" s="17" t="n">
        <v>1959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1899</v>
      </c>
      <c r="N60" s="17" t="n">
        <f aca="false">IF($I60="","",$I60+$L60)</f>
        <v>2049</v>
      </c>
      <c r="O60" s="17" t="n">
        <f aca="false">IF($K60="","",$K60+$L60)</f>
        <v>1959</v>
      </c>
      <c r="P60" s="17" t="n">
        <f aca="false">IF($B$10=0,"",IFERROR(IF($B$4&gt;0,IF($M60="",1/0,$M60*$B$4),0)+IF($B$5&gt;0,IF($N60="",1/0,$N60*$B$5),0)+IF($B$6&gt;0,IF($O60="",1/0,$O60*$B$6),0),""))</f>
        <v>78045.3</v>
      </c>
      <c r="Q60" s="17" t="s">
        <v>44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7804</v>
      </c>
      <c r="T60" s="17" t="n">
        <f aca="false">IF($P60="","",$P60-$S60)</f>
        <v>70241.3</v>
      </c>
      <c r="U60" s="17" t="n">
        <f aca="false">IF($T60="","",IF($B$10=0,"",$T60/$B$10))</f>
        <v>1769.30226700252</v>
      </c>
      <c r="V60" s="17" t="n">
        <f aca="false">IF($P60="","",IF($B$10=0,"",$P60/$B$10))</f>
        <v>1965.8765743073</v>
      </c>
      <c r="W60" s="19" t="n">
        <f aca="false">IF($T60="",1000000000000000,$T60)</f>
        <v>70241.3</v>
      </c>
      <c r="X60" s="2"/>
      <c r="XFC60" s="6"/>
    </row>
    <row r="61" s="5" customFormat="true" ht="28.5" hidden="false" customHeight="true" outlineLevel="0" collapsed="false">
      <c r="A61" s="16" t="n">
        <f aca="false">IF($T61="","",1+COUNTIF($W$15:$W$728,"&lt;"&amp;W61))</f>
        <v>47</v>
      </c>
      <c r="B61" s="16" t="s">
        <v>6</v>
      </c>
      <c r="C61" s="16" t="s">
        <v>186</v>
      </c>
      <c r="D61" s="16" t="s">
        <v>141</v>
      </c>
      <c r="E61" s="16" t="s">
        <v>44</v>
      </c>
      <c r="F61" s="16" t="s">
        <v>187</v>
      </c>
      <c r="G61" s="16" t="s">
        <v>188</v>
      </c>
      <c r="H61" s="17" t="n">
        <v>1927</v>
      </c>
      <c r="I61" s="17" t="n">
        <v>2037</v>
      </c>
      <c r="J61" s="17"/>
      <c r="K61" s="17" t="n">
        <v>1957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1927</v>
      </c>
      <c r="N61" s="17" t="n">
        <f aca="false">IF($I61="","",$I61+$L61)</f>
        <v>2037</v>
      </c>
      <c r="O61" s="17" t="n">
        <f aca="false">IF($K61="","",$K61+$L61)</f>
        <v>1957</v>
      </c>
      <c r="P61" s="17" t="n">
        <f aca="false">IF($B$10=0,"",IFERROR(IF($B$4&gt;0,IF($M61="",1/0,$M61*$B$4),0)+IF($B$5&gt;0,IF($N61="",1/0,$N61*$B$5),0)+IF($B$6&gt;0,IF($O61="",1/0,$O61*$B$6),0),""))</f>
        <v>78448.9</v>
      </c>
      <c r="Q61" s="17" t="s">
        <v>44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7844</v>
      </c>
      <c r="T61" s="17" t="n">
        <f aca="false">IF($P61="","",$P61-$S61)</f>
        <v>70604.9</v>
      </c>
      <c r="U61" s="17" t="n">
        <f aca="false">IF($T61="","",IF($B$10=0,"",$T61/$B$10))</f>
        <v>1778.46095717884</v>
      </c>
      <c r="V61" s="17" t="n">
        <f aca="false">IF($P61="","",IF($B$10=0,"",$P61/$B$10))</f>
        <v>1976.04282115869</v>
      </c>
      <c r="W61" s="19" t="n">
        <f aca="false">IF($T61="",1000000000000000,$T61)</f>
        <v>70604.9</v>
      </c>
      <c r="X61" s="2"/>
      <c r="XFC61" s="6"/>
    </row>
    <row r="62" s="5" customFormat="true" ht="28.5" hidden="false" customHeight="true" outlineLevel="0" collapsed="false">
      <c r="A62" s="16" t="n">
        <f aca="false">IF($T62="","",1+COUNTIF($W$15:$W$728,"&lt;"&amp;W62))</f>
        <v>48</v>
      </c>
      <c r="B62" s="16" t="s">
        <v>6</v>
      </c>
      <c r="C62" s="16" t="s">
        <v>189</v>
      </c>
      <c r="D62" s="20" t="s">
        <v>131</v>
      </c>
      <c r="E62" s="16" t="s">
        <v>44</v>
      </c>
      <c r="F62" s="16" t="s">
        <v>190</v>
      </c>
      <c r="G62" s="16" t="s">
        <v>191</v>
      </c>
      <c r="H62" s="17" t="n">
        <v>1948</v>
      </c>
      <c r="I62" s="17" t="n">
        <v>2015</v>
      </c>
      <c r="J62" s="17"/>
      <c r="K62" s="17" t="n">
        <v>1999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1948</v>
      </c>
      <c r="N62" s="17" t="n">
        <f aca="false">IF($I62="","",$I62+$L62)</f>
        <v>2015</v>
      </c>
      <c r="O62" s="17" t="n">
        <f aca="false">IF($K62="","",$K62+$L62)</f>
        <v>1999</v>
      </c>
      <c r="P62" s="17" t="n">
        <f aca="false">IF($B$10=0,"",IFERROR(IF($B$4&gt;0,IF($M62="",1/0,$M62*$B$4),0)+IF($B$5&gt;0,IF($N62="",1/0,$N62*$B$5),0)+IF($B$6&gt;0,IF($O62="",1/0,$O62*$B$6),0),""))</f>
        <v>78521.5</v>
      </c>
      <c r="Q62" s="17" t="s">
        <v>44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7852</v>
      </c>
      <c r="T62" s="17" t="n">
        <f aca="false">IF($P62="","",$P62-$S62)</f>
        <v>70669.5</v>
      </c>
      <c r="U62" s="17" t="n">
        <f aca="false">IF($T62="","",IF($B$10=0,"",$T62/$B$10))</f>
        <v>1780.08816120907</v>
      </c>
      <c r="V62" s="17" t="n">
        <f aca="false">IF($P62="","",IF($B$10=0,"",$P62/$B$10))</f>
        <v>1977.87153652393</v>
      </c>
      <c r="W62" s="19" t="n">
        <f aca="false">IF($T62="",1000000000000000,$T62)</f>
        <v>70669.5</v>
      </c>
      <c r="X62" s="2"/>
      <c r="XFC62" s="6"/>
    </row>
    <row r="63" s="5" customFormat="true" ht="28.5" hidden="false" customHeight="true" outlineLevel="0" collapsed="false">
      <c r="A63" s="16" t="n">
        <f aca="false">IF($T63="","",1+COUNTIF($W$15:$W$728,"&lt;"&amp;W63))</f>
        <v>49</v>
      </c>
      <c r="B63" s="16" t="s">
        <v>8</v>
      </c>
      <c r="C63" s="16" t="s">
        <v>192</v>
      </c>
      <c r="D63" s="20" t="s">
        <v>131</v>
      </c>
      <c r="E63" s="16" t="s">
        <v>44</v>
      </c>
      <c r="F63" s="16" t="s">
        <v>193</v>
      </c>
      <c r="G63" s="16" t="s">
        <v>194</v>
      </c>
      <c r="H63" s="17" t="n">
        <v>1890</v>
      </c>
      <c r="I63" s="17" t="n">
        <v>2090</v>
      </c>
      <c r="J63" s="17"/>
      <c r="K63" s="17" t="n">
        <v>1890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1890</v>
      </c>
      <c r="N63" s="17" t="n">
        <f aca="false">IF($I63="","",$I63+$L63)</f>
        <v>2090</v>
      </c>
      <c r="O63" s="17" t="n">
        <f aca="false">IF($K63="","",$K63+$L63)</f>
        <v>1890</v>
      </c>
      <c r="P63" s="17" t="n">
        <f aca="false">IF($B$10=0,"",IFERROR(IF($B$4&gt;0,IF($M63="",1/0,$M63*$B$4),0)+IF($B$5&gt;0,IF($N63="",1/0,$N63*$B$5),0)+IF($B$6&gt;0,IF($O63="",1/0,$O63*$B$6),0),""))</f>
        <v>78573</v>
      </c>
      <c r="Q63" s="17" t="s">
        <v>44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7857</v>
      </c>
      <c r="T63" s="17" t="n">
        <f aca="false">IF($P63="","",$P63-$S63)</f>
        <v>70716</v>
      </c>
      <c r="U63" s="17" t="n">
        <f aca="false">IF($T63="","",IF($B$10=0,"",$T63/$B$10))</f>
        <v>1781.25944584383</v>
      </c>
      <c r="V63" s="17" t="n">
        <f aca="false">IF($P63="","",IF($B$10=0,"",$P63/$B$10))</f>
        <v>1979.16876574307</v>
      </c>
      <c r="W63" s="19" t="n">
        <f aca="false">IF($T63="",1000000000000000,$T63)</f>
        <v>70716</v>
      </c>
      <c r="X63" s="2"/>
      <c r="XFC63" s="6"/>
    </row>
    <row r="64" s="5" customFormat="true" ht="28.5" hidden="false" customHeight="true" outlineLevel="0" collapsed="false">
      <c r="A64" s="16" t="n">
        <f aca="false">IF($T64="","",1+COUNTIF($W$15:$W$728,"&lt;"&amp;W64))</f>
        <v>50</v>
      </c>
      <c r="B64" s="16" t="s">
        <v>6</v>
      </c>
      <c r="C64" s="16" t="s">
        <v>195</v>
      </c>
      <c r="D64" s="16" t="s">
        <v>43</v>
      </c>
      <c r="E64" s="16" t="s">
        <v>44</v>
      </c>
      <c r="F64" s="16" t="s">
        <v>196</v>
      </c>
      <c r="G64" s="16" t="s">
        <v>197</v>
      </c>
      <c r="H64" s="17" t="n">
        <v>1893</v>
      </c>
      <c r="I64" s="17" t="n">
        <v>2092</v>
      </c>
      <c r="J64" s="17"/>
      <c r="K64" s="17" t="n">
        <v>1894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1893</v>
      </c>
      <c r="N64" s="17" t="n">
        <f aca="false">IF($I64="","",$I64+$L64)</f>
        <v>2092</v>
      </c>
      <c r="O64" s="17" t="n">
        <f aca="false">IF($K64="","",$K64+$L64)</f>
        <v>1894</v>
      </c>
      <c r="P64" s="17" t="n">
        <f aca="false">IF($B$10=0,"",IFERROR(IF($B$4&gt;0,IF($M64="",1/0,$M64*$B$4),0)+IF($B$5&gt;0,IF($N64="",1/0,$N64*$B$5),0)+IF($B$6&gt;0,IF($O64="",1/0,$O64*$B$6),0),""))</f>
        <v>78674.4</v>
      </c>
      <c r="Q64" s="17" t="s">
        <v>44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7867</v>
      </c>
      <c r="T64" s="17" t="n">
        <f aca="false">IF($P64="","",$P64-$S64)</f>
        <v>70807.4</v>
      </c>
      <c r="U64" s="17" t="n">
        <f aca="false">IF($T64="","",IF($B$10=0,"",$T64/$B$10))</f>
        <v>1783.56171284635</v>
      </c>
      <c r="V64" s="17" t="n">
        <f aca="false">IF($P64="","",IF($B$10=0,"",$P64/$B$10))</f>
        <v>1981.72292191436</v>
      </c>
      <c r="W64" s="19" t="n">
        <f aca="false">IF($T64="",1000000000000000,$T64)</f>
        <v>70807.4</v>
      </c>
      <c r="X64" s="2"/>
      <c r="XFC64" s="6"/>
    </row>
    <row r="65" s="5" customFormat="true" ht="28.5" hidden="false" customHeight="true" outlineLevel="0" collapsed="false">
      <c r="A65" s="16" t="n">
        <f aca="false">IF($T65="","",1+COUNTIF($W$15:$W$728,"&lt;"&amp;W65))</f>
        <v>51</v>
      </c>
      <c r="B65" s="16" t="s">
        <v>10</v>
      </c>
      <c r="C65" s="16" t="s">
        <v>198</v>
      </c>
      <c r="D65" s="20" t="s">
        <v>131</v>
      </c>
      <c r="E65" s="16" t="s">
        <v>44</v>
      </c>
      <c r="F65" s="16" t="s">
        <v>199</v>
      </c>
      <c r="G65" s="16" t="s">
        <v>200</v>
      </c>
      <c r="H65" s="17" t="n">
        <v>1897</v>
      </c>
      <c r="I65" s="17" t="n">
        <v>2097</v>
      </c>
      <c r="J65" s="17"/>
      <c r="K65" s="17" t="n">
        <v>1957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1897</v>
      </c>
      <c r="N65" s="17" t="n">
        <f aca="false">IF($I65="","",$I65+$L65)</f>
        <v>2097</v>
      </c>
      <c r="O65" s="17" t="n">
        <f aca="false">IF($K65="","",$K65+$L65)</f>
        <v>1957</v>
      </c>
      <c r="P65" s="17" t="n">
        <f aca="false">IF($B$10=0,"",IFERROR(IF($B$4&gt;0,IF($M65="",1/0,$M65*$B$4),0)+IF($B$5&gt;0,IF($N65="",1/0,$N65*$B$5),0)+IF($B$6&gt;0,IF($O65="",1/0,$O65*$B$6),0),""))</f>
        <v>78850.9</v>
      </c>
      <c r="Q65" s="17" t="s">
        <v>44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7885</v>
      </c>
      <c r="T65" s="17" t="n">
        <f aca="false">IF($P65="","",$P65-$S65)</f>
        <v>70965.9</v>
      </c>
      <c r="U65" s="17" t="n">
        <f aca="false">IF($T65="","",IF($B$10=0,"",$T65/$B$10))</f>
        <v>1787.55415617128</v>
      </c>
      <c r="V65" s="17" t="n">
        <f aca="false">IF($P65="","",IF($B$10=0,"",$P65/$B$10))</f>
        <v>1986.16876574307</v>
      </c>
      <c r="W65" s="19" t="n">
        <f aca="false">IF($T65="",1000000000000000,$T65)</f>
        <v>70965.9</v>
      </c>
      <c r="X65" s="2"/>
      <c r="XFC65" s="6"/>
    </row>
    <row r="66" s="5" customFormat="true" ht="28.5" hidden="false" customHeight="true" outlineLevel="0" collapsed="false">
      <c r="A66" s="16" t="n">
        <f aca="false">IF($T66="","",1+COUNTIF($W$15:$W$728,"&lt;"&amp;W66))</f>
        <v>52</v>
      </c>
      <c r="B66" s="16" t="s">
        <v>12</v>
      </c>
      <c r="C66" s="16" t="s">
        <v>201</v>
      </c>
      <c r="D66" s="20" t="s">
        <v>131</v>
      </c>
      <c r="E66" s="16" t="s">
        <v>44</v>
      </c>
      <c r="F66" s="16" t="s">
        <v>202</v>
      </c>
      <c r="G66" s="16" t="s">
        <v>203</v>
      </c>
      <c r="H66" s="17" t="n">
        <v>1924</v>
      </c>
      <c r="I66" s="17" t="n">
        <v>2099</v>
      </c>
      <c r="J66" s="17"/>
      <c r="K66" s="17" t="n">
        <v>2154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1924</v>
      </c>
      <c r="N66" s="17" t="n">
        <f aca="false">IF($I66="","",$I66+$L66)</f>
        <v>2099</v>
      </c>
      <c r="O66" s="17" t="n">
        <f aca="false">IF($K66="","",$K66+$L66)</f>
        <v>2154</v>
      </c>
      <c r="P66" s="17" t="n">
        <f aca="false">IF($B$10=0,"",IFERROR(IF($B$4&gt;0,IF($M66="",1/0,$M66*$B$4),0)+IF($B$5&gt;0,IF($N66="",1/0,$N66*$B$5),0)+IF($B$6&gt;0,IF($O66="",1/0,$O66*$B$6),0),""))</f>
        <v>79480.3</v>
      </c>
      <c r="Q66" s="17" t="s">
        <v>44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7948</v>
      </c>
      <c r="T66" s="17" t="n">
        <f aca="false">IF($P66="","",$P66-$S66)</f>
        <v>71532.3</v>
      </c>
      <c r="U66" s="17" t="n">
        <f aca="false">IF($T66="","",IF($B$10=0,"",$T66/$B$10))</f>
        <v>1801.82115869018</v>
      </c>
      <c r="V66" s="17" t="n">
        <f aca="false">IF($P66="","",IF($B$10=0,"",$P66/$B$10))</f>
        <v>2002.02267002519</v>
      </c>
      <c r="W66" s="19" t="n">
        <f aca="false">IF($T66="",1000000000000000,$T66)</f>
        <v>71532.3</v>
      </c>
      <c r="X66" s="2"/>
      <c r="XFC66" s="6"/>
    </row>
    <row r="67" s="5" customFormat="true" ht="28.5" hidden="false" customHeight="true" outlineLevel="0" collapsed="false">
      <c r="A67" s="16" t="n">
        <f aca="false">IF($T67="","",1+COUNTIF($W$15:$W$728,"&lt;"&amp;W67))</f>
        <v>52</v>
      </c>
      <c r="B67" s="16" t="s">
        <v>12</v>
      </c>
      <c r="C67" s="16" t="s">
        <v>204</v>
      </c>
      <c r="D67" s="20" t="s">
        <v>131</v>
      </c>
      <c r="E67" s="16" t="s">
        <v>44</v>
      </c>
      <c r="F67" s="16" t="s">
        <v>205</v>
      </c>
      <c r="G67" s="16" t="s">
        <v>206</v>
      </c>
      <c r="H67" s="17" t="n">
        <v>1924</v>
      </c>
      <c r="I67" s="17" t="n">
        <v>2099</v>
      </c>
      <c r="J67" s="17"/>
      <c r="K67" s="17" t="n">
        <v>2154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1924</v>
      </c>
      <c r="N67" s="17" t="n">
        <f aca="false">IF($I67="","",$I67+$L67)</f>
        <v>2099</v>
      </c>
      <c r="O67" s="17" t="n">
        <f aca="false">IF($K67="","",$K67+$L67)</f>
        <v>2154</v>
      </c>
      <c r="P67" s="17" t="n">
        <f aca="false">IF($B$10=0,"",IFERROR(IF($B$4&gt;0,IF($M67="",1/0,$M67*$B$4),0)+IF($B$5&gt;0,IF($N67="",1/0,$N67*$B$5),0)+IF($B$6&gt;0,IF($O67="",1/0,$O67*$B$6),0),""))</f>
        <v>79480.3</v>
      </c>
      <c r="Q67" s="17" t="s">
        <v>44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7948</v>
      </c>
      <c r="T67" s="17" t="n">
        <f aca="false">IF($P67="","",$P67-$S67)</f>
        <v>71532.3</v>
      </c>
      <c r="U67" s="17" t="n">
        <f aca="false">IF($T67="","",IF($B$10=0,"",$T67/$B$10))</f>
        <v>1801.82115869018</v>
      </c>
      <c r="V67" s="17" t="n">
        <f aca="false">IF($P67="","",IF($B$10=0,"",$P67/$B$10))</f>
        <v>2002.02267002519</v>
      </c>
      <c r="W67" s="19" t="n">
        <f aca="false">IF($T67="",1000000000000000,$T67)</f>
        <v>71532.3</v>
      </c>
      <c r="X67" s="2"/>
      <c r="XFC67" s="6"/>
    </row>
    <row r="68" s="5" customFormat="true" ht="28.5" hidden="false" customHeight="true" outlineLevel="0" collapsed="false">
      <c r="A68" s="16" t="n">
        <f aca="false">IF($T68="","",1+COUNTIF($W$15:$W$728,"&lt;"&amp;W68))</f>
        <v>54</v>
      </c>
      <c r="B68" s="16" t="s">
        <v>12</v>
      </c>
      <c r="C68" s="16" t="s">
        <v>207</v>
      </c>
      <c r="D68" s="20" t="s">
        <v>208</v>
      </c>
      <c r="E68" s="16" t="s">
        <v>44</v>
      </c>
      <c r="F68" s="16" t="s">
        <v>209</v>
      </c>
      <c r="G68" s="16" t="s">
        <v>210</v>
      </c>
      <c r="H68" s="17" t="n">
        <v>1929</v>
      </c>
      <c r="I68" s="17" t="n">
        <v>2099</v>
      </c>
      <c r="J68" s="17"/>
      <c r="K68" s="17" t="n">
        <v>1959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1929</v>
      </c>
      <c r="N68" s="17" t="n">
        <f aca="false">IF($I68="","",$I68+$L68)</f>
        <v>2099</v>
      </c>
      <c r="O68" s="17" t="n">
        <f aca="false">IF($K68="","",$K68+$L68)</f>
        <v>1959</v>
      </c>
      <c r="P68" s="17" t="n">
        <f aca="false">IF($B$10=0,"",IFERROR(IF($B$4&gt;0,IF($M68="",1/0,$M68*$B$4),0)+IF($B$5&gt;0,IF($N68="",1/0,$N68*$B$5),0)+IF($B$6&gt;0,IF($O68="",1/0,$O68*$B$6),0),""))</f>
        <v>79590.3</v>
      </c>
      <c r="Q68" s="17" t="s">
        <v>44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7959</v>
      </c>
      <c r="T68" s="17" t="n">
        <f aca="false">IF($P68="","",$P68-$S68)</f>
        <v>71631.3</v>
      </c>
      <c r="U68" s="17" t="n">
        <f aca="false">IF($T68="","",IF($B$10=0,"",$T68/$B$10))</f>
        <v>1804.31486146096</v>
      </c>
      <c r="V68" s="17" t="n">
        <f aca="false">IF($P68="","",IF($B$10=0,"",$P68/$B$10))</f>
        <v>2004.79345088161</v>
      </c>
      <c r="W68" s="19" t="n">
        <f aca="false">IF($T68="",1000000000000000,$T68)</f>
        <v>71631.3</v>
      </c>
      <c r="X68" s="2"/>
      <c r="XFC68" s="6"/>
    </row>
    <row r="69" s="5" customFormat="true" ht="28.5" hidden="false" customHeight="true" outlineLevel="0" collapsed="false">
      <c r="A69" s="16" t="n">
        <f aca="false">IF($T69="","",1+COUNTIF($W$15:$W$728,"&lt;"&amp;W69))</f>
        <v>55</v>
      </c>
      <c r="B69" s="16" t="s">
        <v>12</v>
      </c>
      <c r="C69" s="16" t="s">
        <v>211</v>
      </c>
      <c r="D69" s="20" t="s">
        <v>131</v>
      </c>
      <c r="E69" s="16" t="s">
        <v>44</v>
      </c>
      <c r="F69" s="16" t="s">
        <v>212</v>
      </c>
      <c r="G69" s="16" t="s">
        <v>213</v>
      </c>
      <c r="H69" s="17" t="n">
        <v>1938</v>
      </c>
      <c r="I69" s="17" t="n">
        <v>2099</v>
      </c>
      <c r="J69" s="17"/>
      <c r="K69" s="17" t="n">
        <v>1948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1938</v>
      </c>
      <c r="N69" s="17" t="n">
        <f aca="false">IF($I69="","",$I69+$L69)</f>
        <v>2099</v>
      </c>
      <c r="O69" s="17" t="n">
        <f aca="false">IF($K69="","",$K69+$L69)</f>
        <v>1948</v>
      </c>
      <c r="P69" s="17" t="n">
        <f aca="false">IF($B$10=0,"",IFERROR(IF($B$4&gt;0,IF($M69="",1/0,$M69*$B$4),0)+IF($B$5&gt;0,IF($N69="",1/0,$N69*$B$5),0)+IF($B$6&gt;0,IF($O69="",1/0,$O69*$B$6),0),""))</f>
        <v>79788.3</v>
      </c>
      <c r="Q69" s="17" t="s">
        <v>44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7978</v>
      </c>
      <c r="T69" s="17" t="n">
        <f aca="false">IF($P69="","",$P69-$S69)</f>
        <v>71810.3</v>
      </c>
      <c r="U69" s="17" t="n">
        <f aca="false">IF($T69="","",IF($B$10=0,"",$T69/$B$10))</f>
        <v>1808.82367758186</v>
      </c>
      <c r="V69" s="17" t="n">
        <f aca="false">IF($P69="","",IF($B$10=0,"",$P69/$B$10))</f>
        <v>2009.78085642317</v>
      </c>
      <c r="W69" s="19" t="n">
        <f aca="false">IF($T69="",1000000000000000,$T69)</f>
        <v>71810.3</v>
      </c>
      <c r="X69" s="2"/>
      <c r="XFC69" s="6"/>
    </row>
    <row r="70" s="5" customFormat="true" ht="28.5" hidden="false" customHeight="true" outlineLevel="0" collapsed="false">
      <c r="A70" s="16" t="n">
        <f aca="false">IF($T70="","",1+COUNTIF($W$15:$W$728,"&lt;"&amp;W70))</f>
        <v>56</v>
      </c>
      <c r="B70" s="16" t="s">
        <v>10</v>
      </c>
      <c r="C70" s="16" t="s">
        <v>214</v>
      </c>
      <c r="D70" s="16" t="s">
        <v>48</v>
      </c>
      <c r="E70" s="16" t="s">
        <v>58</v>
      </c>
      <c r="F70" s="16" t="s">
        <v>215</v>
      </c>
      <c r="G70" s="16" t="s">
        <v>216</v>
      </c>
      <c r="H70" s="17" t="n">
        <v>1898</v>
      </c>
      <c r="I70" s="17" t="n">
        <v>2178</v>
      </c>
      <c r="J70" s="17"/>
      <c r="K70" s="17" t="n">
        <v>1898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1898</v>
      </c>
      <c r="N70" s="17" t="n">
        <f aca="false">IF($I70="","",$I70+$L70)</f>
        <v>2178</v>
      </c>
      <c r="O70" s="17" t="n">
        <f aca="false">IF($K70="","",$K70+$L70)</f>
        <v>1898</v>
      </c>
      <c r="P70" s="17" t="n">
        <f aca="false">IF($B$10=0,"",IFERROR(IF($B$4&gt;0,IF($M70="",1/0,$M70*$B$4),0)+IF($B$5&gt;0,IF($N70="",1/0,$N70*$B$5),0)+IF($B$6&gt;0,IF($O70="",1/0,$O70*$B$6),0),""))</f>
        <v>80306.6</v>
      </c>
      <c r="Q70" s="17" t="s">
        <v>44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8030</v>
      </c>
      <c r="T70" s="17" t="n">
        <f aca="false">IF($P70="","",$P70-$S70)</f>
        <v>72276.6</v>
      </c>
      <c r="U70" s="17" t="n">
        <f aca="false">IF($T70="","",IF($B$10=0,"",$T70/$B$10))</f>
        <v>1820.56926952141</v>
      </c>
      <c r="V70" s="17" t="n">
        <f aca="false">IF($P70="","",IF($B$10=0,"",$P70/$B$10))</f>
        <v>2022.8362720403</v>
      </c>
      <c r="W70" s="19" t="n">
        <f aca="false">IF($T70="",1000000000000000,$T70)</f>
        <v>72276.6</v>
      </c>
      <c r="X70" s="2"/>
      <c r="XFC70" s="6"/>
    </row>
    <row r="71" s="5" customFormat="true" ht="28.5" hidden="false" customHeight="true" outlineLevel="0" collapsed="false">
      <c r="A71" s="16" t="n">
        <f aca="false">IF($T71="","",1+COUNTIF($W$15:$W$728,"&lt;"&amp;W71))</f>
        <v>57</v>
      </c>
      <c r="B71" s="16" t="s">
        <v>6</v>
      </c>
      <c r="C71" s="16" t="s">
        <v>217</v>
      </c>
      <c r="D71" s="16" t="s">
        <v>43</v>
      </c>
      <c r="E71" s="16" t="s">
        <v>44</v>
      </c>
      <c r="F71" s="16" t="s">
        <v>218</v>
      </c>
      <c r="G71" s="16" t="s">
        <v>219</v>
      </c>
      <c r="H71" s="17" t="n">
        <v>1969</v>
      </c>
      <c r="I71" s="17" t="n">
        <v>2099</v>
      </c>
      <c r="J71" s="17"/>
      <c r="K71" s="17" t="n">
        <v>1999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1969</v>
      </c>
      <c r="N71" s="17" t="n">
        <f aca="false">IF($I71="","",$I71+$L71)</f>
        <v>2099</v>
      </c>
      <c r="O71" s="17" t="n">
        <f aca="false">IF($K71="","",$K71+$L71)</f>
        <v>1999</v>
      </c>
      <c r="P71" s="17" t="n">
        <f aca="false">IF($B$10=0,"",IFERROR(IF($B$4&gt;0,IF($M71="",1/0,$M71*$B$4),0)+IF($B$5&gt;0,IF($N71="",1/0,$N71*$B$5),0)+IF($B$6&gt;0,IF($O71="",1/0,$O71*$B$6),0),""))</f>
        <v>80470.3</v>
      </c>
      <c r="Q71" s="17" t="s">
        <v>44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8047</v>
      </c>
      <c r="T71" s="17" t="n">
        <f aca="false">IF($P71="","",$P71-$S71)</f>
        <v>72423.3</v>
      </c>
      <c r="U71" s="17" t="n">
        <f aca="false">IF($T71="","",IF($B$10=0,"",$T71/$B$10))</f>
        <v>1824.2644836272</v>
      </c>
      <c r="V71" s="17" t="n">
        <f aca="false">IF($P71="","",IF($B$10=0,"",$P71/$B$10))</f>
        <v>2026.959697733</v>
      </c>
      <c r="W71" s="19" t="n">
        <f aca="false">IF($T71="",1000000000000000,$T71)</f>
        <v>72423.3</v>
      </c>
      <c r="X71" s="2"/>
      <c r="XFC71" s="6"/>
    </row>
    <row r="72" s="5" customFormat="true" ht="28.5" hidden="false" customHeight="true" outlineLevel="0" collapsed="false">
      <c r="A72" s="16" t="n">
        <f aca="false">IF($T72="","",1+COUNTIF($W$15:$W$728,"&lt;"&amp;W72))</f>
        <v>58</v>
      </c>
      <c r="B72" s="16" t="s">
        <v>6</v>
      </c>
      <c r="C72" s="16" t="s">
        <v>220</v>
      </c>
      <c r="D72" s="20" t="s">
        <v>131</v>
      </c>
      <c r="E72" s="16" t="s">
        <v>44</v>
      </c>
      <c r="F72" s="16" t="s">
        <v>221</v>
      </c>
      <c r="G72" s="16" t="s">
        <v>222</v>
      </c>
      <c r="H72" s="17" t="n">
        <v>1955</v>
      </c>
      <c r="I72" s="17" t="n">
        <v>2125</v>
      </c>
      <c r="J72" s="17"/>
      <c r="K72" s="17" t="n">
        <v>1995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1955</v>
      </c>
      <c r="N72" s="17" t="n">
        <f aca="false">IF($I72="","",$I72+$L72)</f>
        <v>2125</v>
      </c>
      <c r="O72" s="17" t="n">
        <f aca="false">IF($K72="","",$K72+$L72)</f>
        <v>1995</v>
      </c>
      <c r="P72" s="17" t="n">
        <f aca="false">IF($B$10=0,"",IFERROR(IF($B$4&gt;0,IF($M72="",1/0,$M72*$B$4),0)+IF($B$5&gt;0,IF($N72="",1/0,$N72*$B$5),0)+IF($B$6&gt;0,IF($O72="",1/0,$O72*$B$6),0),""))</f>
        <v>80622.5</v>
      </c>
      <c r="Q72" s="17" t="s">
        <v>44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8062</v>
      </c>
      <c r="T72" s="17" t="n">
        <f aca="false">IF($P72="","",$P72-$S72)</f>
        <v>72560.5</v>
      </c>
      <c r="U72" s="17" t="n">
        <f aca="false">IF($T72="","",IF($B$10=0,"",$T72/$B$10))</f>
        <v>1827.72040302267</v>
      </c>
      <c r="V72" s="17" t="n">
        <f aca="false">IF($P72="","",IF($B$10=0,"",$P72/$B$10))</f>
        <v>2030.79345088161</v>
      </c>
      <c r="W72" s="19" t="n">
        <f aca="false">IF($T72="",1000000000000000,$T72)</f>
        <v>72560.5</v>
      </c>
      <c r="X72" s="2"/>
      <c r="XFC72" s="6"/>
    </row>
    <row r="73" s="5" customFormat="true" ht="28.5" hidden="false" customHeight="true" outlineLevel="0" collapsed="false">
      <c r="A73" s="16" t="n">
        <f aca="false">IF($T73="","",1+COUNTIF($W$15:$W$728,"&lt;"&amp;W73))</f>
        <v>59</v>
      </c>
      <c r="B73" s="16" t="s">
        <v>6</v>
      </c>
      <c r="C73" s="16" t="s">
        <v>223</v>
      </c>
      <c r="D73" s="20" t="s">
        <v>131</v>
      </c>
      <c r="E73" s="16" t="s">
        <v>44</v>
      </c>
      <c r="F73" s="16" t="s">
        <v>224</v>
      </c>
      <c r="G73" s="16" t="s">
        <v>225</v>
      </c>
      <c r="H73" s="17" t="n">
        <v>1970</v>
      </c>
      <c r="I73" s="17" t="n">
        <v>2110</v>
      </c>
      <c r="J73" s="17"/>
      <c r="K73" s="17" t="n">
        <v>2050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1970</v>
      </c>
      <c r="N73" s="17" t="n">
        <f aca="false">IF($I73="","",$I73+$L73)</f>
        <v>2110</v>
      </c>
      <c r="O73" s="17" t="n">
        <f aca="false">IF($K73="","",$K73+$L73)</f>
        <v>2050</v>
      </c>
      <c r="P73" s="17" t="n">
        <f aca="false">IF($B$10=0,"",IFERROR(IF($B$4&gt;0,IF($M73="",1/0,$M73*$B$4),0)+IF($B$5&gt;0,IF($N73="",1/0,$N73*$B$5),0)+IF($B$6&gt;0,IF($O73="",1/0,$O73*$B$6),0),""))</f>
        <v>80687</v>
      </c>
      <c r="Q73" s="17" t="s">
        <v>44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8068</v>
      </c>
      <c r="T73" s="17" t="n">
        <f aca="false">IF($P73="","",$P73-$S73)</f>
        <v>72619</v>
      </c>
      <c r="U73" s="17" t="n">
        <f aca="false">IF($T73="","",IF($B$10=0,"",$T73/$B$10))</f>
        <v>1829.19395465995</v>
      </c>
      <c r="V73" s="17" t="n">
        <f aca="false">IF($P73="","",IF($B$10=0,"",$P73/$B$10))</f>
        <v>2032.41813602015</v>
      </c>
      <c r="W73" s="19" t="n">
        <f aca="false">IF($T73="",1000000000000000,$T73)</f>
        <v>72619</v>
      </c>
      <c r="X73" s="2"/>
      <c r="XFC73" s="6"/>
    </row>
    <row r="74" s="5" customFormat="true" ht="28.5" hidden="false" customHeight="true" outlineLevel="0" collapsed="false">
      <c r="A74" s="16" t="n">
        <f aca="false">IF($T74="","",1+COUNTIF($W$15:$W$728,"&lt;"&amp;W74))</f>
        <v>60</v>
      </c>
      <c r="B74" s="16" t="s">
        <v>6</v>
      </c>
      <c r="C74" s="16" t="s">
        <v>226</v>
      </c>
      <c r="D74" s="20" t="s">
        <v>131</v>
      </c>
      <c r="E74" s="16" t="s">
        <v>44</v>
      </c>
      <c r="F74" s="16" t="s">
        <v>227</v>
      </c>
      <c r="G74" s="16" t="s">
        <v>228</v>
      </c>
      <c r="H74" s="17" t="n">
        <v>1968</v>
      </c>
      <c r="I74" s="17" t="n">
        <v>2129</v>
      </c>
      <c r="J74" s="17"/>
      <c r="K74" s="17" t="n">
        <v>1998</v>
      </c>
      <c r="L74" s="17" t="n">
        <f aca="false">IF(AND(IFERROR(SEARCH("현대오일뱅크",$C74),0)&gt;0,IFERROR(SEARCH("직영",$C74),0)&gt;0),$B$13,0)</f>
        <v>0</v>
      </c>
      <c r="M74" s="17" t="n">
        <f aca="false">IF($H74="","",$H74+$L74)</f>
        <v>1968</v>
      </c>
      <c r="N74" s="17" t="n">
        <f aca="false">IF($I74="","",$I74+$L74)</f>
        <v>2129</v>
      </c>
      <c r="O74" s="17" t="n">
        <f aca="false">IF($K74="","",$K74+$L74)</f>
        <v>1998</v>
      </c>
      <c r="P74" s="17" t="n">
        <f aca="false">IF($B$10=0,"",IFERROR(IF($B$4&gt;0,IF($M74="",1/0,$M74*$B$4),0)+IF($B$5&gt;0,IF($N74="",1/0,$N74*$B$5),0)+IF($B$6&gt;0,IF($O74="",1/0,$O74*$B$6),0),""))</f>
        <v>80979.3</v>
      </c>
      <c r="Q74" s="17" t="s">
        <v>44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8097</v>
      </c>
      <c r="T74" s="17" t="n">
        <f aca="false">IF($P74="","",$P74-$S74)</f>
        <v>72882.3</v>
      </c>
      <c r="U74" s="17" t="n">
        <f aca="false">IF($T74="","",IF($B$10=0,"",$T74/$B$10))</f>
        <v>1835.82619647355</v>
      </c>
      <c r="V74" s="17" t="n">
        <f aca="false">IF($P74="","",IF($B$10=0,"",$P74/$B$10))</f>
        <v>2039.78085642317</v>
      </c>
      <c r="W74" s="19" t="n">
        <f aca="false">IF($T74="",1000000000000000,$T74)</f>
        <v>72882.3</v>
      </c>
      <c r="X74" s="2"/>
      <c r="XFC74" s="6"/>
    </row>
    <row r="75" s="5" customFormat="true" ht="28.5" hidden="false" customHeight="true" outlineLevel="0" collapsed="false">
      <c r="A75" s="16" t="n">
        <f aca="false">IF($T75="","",1+COUNTIF($W$15:$W$728,"&lt;"&amp;W75))</f>
        <v>61</v>
      </c>
      <c r="B75" s="16" t="s">
        <v>6</v>
      </c>
      <c r="C75" s="16" t="s">
        <v>229</v>
      </c>
      <c r="D75" s="20" t="s">
        <v>131</v>
      </c>
      <c r="E75" s="16" t="s">
        <v>44</v>
      </c>
      <c r="F75" s="16" t="s">
        <v>230</v>
      </c>
      <c r="G75" s="16" t="s">
        <v>231</v>
      </c>
      <c r="H75" s="17" t="n">
        <v>1955</v>
      </c>
      <c r="I75" s="17" t="n">
        <v>2150</v>
      </c>
      <c r="J75" s="17"/>
      <c r="K75" s="17" t="n">
        <v>1995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1955</v>
      </c>
      <c r="N75" s="17" t="n">
        <f aca="false">IF($I75="","",$I75+$L75)</f>
        <v>2150</v>
      </c>
      <c r="O75" s="17" t="n">
        <f aca="false">IF($K75="","",$K75+$L75)</f>
        <v>1995</v>
      </c>
      <c r="P75" s="17" t="n">
        <f aca="false">IF($B$10=0,"",IFERROR(IF($B$4&gt;0,IF($M75="",1/0,$M75*$B$4),0)+IF($B$5&gt;0,IF($N75="",1/0,$N75*$B$5),0)+IF($B$6&gt;0,IF($O75="",1/0,$O75*$B$6),0),""))</f>
        <v>81065</v>
      </c>
      <c r="Q75" s="17" t="s">
        <v>44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8106</v>
      </c>
      <c r="T75" s="17" t="n">
        <f aca="false">IF($P75="","",$P75-$S75)</f>
        <v>72959</v>
      </c>
      <c r="U75" s="17" t="n">
        <f aca="false">IF($T75="","",IF($B$10=0,"",$T75/$B$10))</f>
        <v>1837.75818639798</v>
      </c>
      <c r="V75" s="17" t="n">
        <f aca="false">IF($P75="","",IF($B$10=0,"",$P75/$B$10))</f>
        <v>2041.9395465995</v>
      </c>
      <c r="W75" s="19" t="n">
        <f aca="false">IF($T75="",1000000000000000,$T75)</f>
        <v>72959</v>
      </c>
      <c r="X75" s="2"/>
      <c r="XFC75" s="6"/>
    </row>
    <row r="76" s="5" customFormat="true" ht="28.5" hidden="false" customHeight="true" outlineLevel="0" collapsed="false">
      <c r="A76" s="16" t="n">
        <f aca="false">IF($T76="","",1+COUNTIF($W$15:$W$728,"&lt;"&amp;W76))</f>
        <v>62</v>
      </c>
      <c r="B76" s="16" t="s">
        <v>6</v>
      </c>
      <c r="C76" s="16" t="s">
        <v>232</v>
      </c>
      <c r="D76" s="16" t="s">
        <v>43</v>
      </c>
      <c r="E76" s="16" t="s">
        <v>44</v>
      </c>
      <c r="F76" s="16" t="s">
        <v>233</v>
      </c>
      <c r="G76" s="16" t="s">
        <v>234</v>
      </c>
      <c r="H76" s="17" t="n">
        <v>1958</v>
      </c>
      <c r="I76" s="17" t="n">
        <v>2150</v>
      </c>
      <c r="J76" s="17"/>
      <c r="K76" s="17" t="n">
        <v>1995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1958</v>
      </c>
      <c r="N76" s="17" t="n">
        <f aca="false">IF($I76="","",$I76+$L76)</f>
        <v>2150</v>
      </c>
      <c r="O76" s="17" t="n">
        <f aca="false">IF($K76="","",$K76+$L76)</f>
        <v>1995</v>
      </c>
      <c r="P76" s="17" t="n">
        <f aca="false">IF($B$10=0,"",IFERROR(IF($B$4&gt;0,IF($M76="",1/0,$M76*$B$4),0)+IF($B$5&gt;0,IF($N76="",1/0,$N76*$B$5),0)+IF($B$6&gt;0,IF($O76="",1/0,$O76*$B$6),0),""))</f>
        <v>81131</v>
      </c>
      <c r="Q76" s="17" t="s">
        <v>44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8113</v>
      </c>
      <c r="T76" s="17" t="n">
        <f aca="false">IF($P76="","",$P76-$S76)</f>
        <v>73018</v>
      </c>
      <c r="U76" s="17" t="n">
        <f aca="false">IF($T76="","",IF($B$10=0,"",$T76/$B$10))</f>
        <v>1839.2443324937</v>
      </c>
      <c r="V76" s="17" t="n">
        <f aca="false">IF($P76="","",IF($B$10=0,"",$P76/$B$10))</f>
        <v>2043.60201511335</v>
      </c>
      <c r="W76" s="19" t="n">
        <f aca="false">IF($T76="",1000000000000000,$T76)</f>
        <v>73018</v>
      </c>
      <c r="X76" s="2"/>
      <c r="XFC76" s="6"/>
    </row>
    <row r="77" s="5" customFormat="true" ht="28.5" hidden="false" customHeight="true" outlineLevel="0" collapsed="false">
      <c r="A77" s="16" t="n">
        <f aca="false">IF($T77="","",1+COUNTIF($W$15:$W$728,"&lt;"&amp;W77))</f>
        <v>63</v>
      </c>
      <c r="B77" s="16" t="s">
        <v>6</v>
      </c>
      <c r="C77" s="16" t="s">
        <v>235</v>
      </c>
      <c r="D77" s="16" t="s">
        <v>141</v>
      </c>
      <c r="E77" s="16" t="s">
        <v>44</v>
      </c>
      <c r="F77" s="16" t="s">
        <v>236</v>
      </c>
      <c r="G77" s="16" t="s">
        <v>237</v>
      </c>
      <c r="H77" s="17" t="n">
        <v>1989</v>
      </c>
      <c r="I77" s="17" t="n">
        <v>2119</v>
      </c>
      <c r="J77" s="17"/>
      <c r="K77" s="17" t="n">
        <v>1997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1989</v>
      </c>
      <c r="N77" s="17" t="n">
        <f aca="false">IF($I77="","",$I77+$L77)</f>
        <v>2119</v>
      </c>
      <c r="O77" s="17" t="n">
        <f aca="false">IF($K77="","",$K77+$L77)</f>
        <v>1997</v>
      </c>
      <c r="P77" s="17" t="n">
        <f aca="false">IF($B$10=0,"",IFERROR(IF($B$4&gt;0,IF($M77="",1/0,$M77*$B$4),0)+IF($B$5&gt;0,IF($N77="",1/0,$N77*$B$5),0)+IF($B$6&gt;0,IF($O77="",1/0,$O77*$B$6),0),""))</f>
        <v>81264.3</v>
      </c>
      <c r="Q77" s="17" t="s">
        <v>44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8126</v>
      </c>
      <c r="T77" s="17" t="n">
        <f aca="false">IF($P77="","",$P77-$S77)</f>
        <v>73138.3</v>
      </c>
      <c r="U77" s="17" t="n">
        <f aca="false">IF($T77="","",IF($B$10=0,"",$T77/$B$10))</f>
        <v>1842.27455919395</v>
      </c>
      <c r="V77" s="17" t="n">
        <f aca="false">IF($P77="","",IF($B$10=0,"",$P77/$B$10))</f>
        <v>2046.959697733</v>
      </c>
      <c r="W77" s="19" t="n">
        <f aca="false">IF($T77="",1000000000000000,$T77)</f>
        <v>73138.3</v>
      </c>
      <c r="X77" s="2"/>
      <c r="XFC77" s="6"/>
    </row>
    <row r="78" s="5" customFormat="true" ht="28.5" hidden="false" customHeight="true" outlineLevel="0" collapsed="false">
      <c r="A78" s="16" t="n">
        <f aca="false">IF($T78="","",1+COUNTIF($W$15:$W$728,"&lt;"&amp;W78))</f>
        <v>64</v>
      </c>
      <c r="B78" s="16" t="s">
        <v>6</v>
      </c>
      <c r="C78" s="16" t="s">
        <v>238</v>
      </c>
      <c r="D78" s="16" t="s">
        <v>43</v>
      </c>
      <c r="E78" s="16" t="s">
        <v>44</v>
      </c>
      <c r="F78" s="16" t="s">
        <v>239</v>
      </c>
      <c r="G78" s="16" t="s">
        <v>240</v>
      </c>
      <c r="H78" s="17" t="n">
        <v>1958</v>
      </c>
      <c r="I78" s="17" t="n">
        <v>2158</v>
      </c>
      <c r="J78" s="17"/>
      <c r="K78" s="17" t="n">
        <v>1995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1958</v>
      </c>
      <c r="N78" s="17" t="n">
        <f aca="false">IF($I78="","",$I78+$L78)</f>
        <v>2158</v>
      </c>
      <c r="O78" s="17" t="n">
        <f aca="false">IF($K78="","",$K78+$L78)</f>
        <v>1995</v>
      </c>
      <c r="P78" s="17" t="n">
        <f aca="false">IF($B$10=0,"",IFERROR(IF($B$4&gt;0,IF($M78="",1/0,$M78*$B$4),0)+IF($B$5&gt;0,IF($N78="",1/0,$N78*$B$5),0)+IF($B$6&gt;0,IF($O78="",1/0,$O78*$B$6),0),""))</f>
        <v>81272.6</v>
      </c>
      <c r="Q78" s="17" t="s">
        <v>44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8127</v>
      </c>
      <c r="T78" s="17" t="n">
        <f aca="false">IF($P78="","",$P78-$S78)</f>
        <v>73145.6</v>
      </c>
      <c r="U78" s="17" t="n">
        <f aca="false">IF($T78="","",IF($B$10=0,"",$T78/$B$10))</f>
        <v>1842.45843828715</v>
      </c>
      <c r="V78" s="17" t="n">
        <f aca="false">IF($P78="","",IF($B$10=0,"",$P78/$B$10))</f>
        <v>2047.16876574307</v>
      </c>
      <c r="W78" s="19" t="n">
        <f aca="false">IF($T78="",1000000000000000,$T78)</f>
        <v>73145.6</v>
      </c>
      <c r="X78" s="2"/>
      <c r="XFC78" s="6"/>
    </row>
    <row r="79" s="5" customFormat="true" ht="28.5" hidden="false" customHeight="true" outlineLevel="0" collapsed="false">
      <c r="A79" s="16" t="n">
        <f aca="false">IF($T79="","",1+COUNTIF($W$15:$W$728,"&lt;"&amp;W79))</f>
        <v>64</v>
      </c>
      <c r="B79" s="16" t="s">
        <v>12</v>
      </c>
      <c r="C79" s="16" t="s">
        <v>241</v>
      </c>
      <c r="D79" s="20" t="s">
        <v>131</v>
      </c>
      <c r="E79" s="16" t="s">
        <v>44</v>
      </c>
      <c r="F79" s="16" t="s">
        <v>242</v>
      </c>
      <c r="G79" s="16" t="s">
        <v>243</v>
      </c>
      <c r="H79" s="17" t="n">
        <v>1958</v>
      </c>
      <c r="I79" s="17" t="n">
        <v>2158</v>
      </c>
      <c r="J79" s="17"/>
      <c r="K79" s="17" t="n">
        <v>2158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1958</v>
      </c>
      <c r="N79" s="17" t="n">
        <f aca="false">IF($I79="","",$I79+$L79)</f>
        <v>2158</v>
      </c>
      <c r="O79" s="17" t="n">
        <f aca="false">IF($K79="","",$K79+$L79)</f>
        <v>2158</v>
      </c>
      <c r="P79" s="17" t="n">
        <f aca="false">IF($B$10=0,"",IFERROR(IF($B$4&gt;0,IF($M79="",1/0,$M79*$B$4),0)+IF($B$5&gt;0,IF($N79="",1/0,$N79*$B$5),0)+IF($B$6&gt;0,IF($O79="",1/0,$O79*$B$6),0),""))</f>
        <v>81272.6</v>
      </c>
      <c r="Q79" s="17" t="s">
        <v>44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8127</v>
      </c>
      <c r="T79" s="17" t="n">
        <f aca="false">IF($P79="","",$P79-$S79)</f>
        <v>73145.6</v>
      </c>
      <c r="U79" s="17" t="n">
        <f aca="false">IF($T79="","",IF($B$10=0,"",$T79/$B$10))</f>
        <v>1842.45843828715</v>
      </c>
      <c r="V79" s="17" t="n">
        <f aca="false">IF($P79="","",IF($B$10=0,"",$P79/$B$10))</f>
        <v>2047.16876574307</v>
      </c>
      <c r="W79" s="19" t="n">
        <f aca="false">IF($T79="",1000000000000000,$T79)</f>
        <v>73145.6</v>
      </c>
      <c r="X79" s="2"/>
      <c r="XFC79" s="6"/>
    </row>
    <row r="80" s="5" customFormat="true" ht="28.5" hidden="false" customHeight="true" outlineLevel="0" collapsed="false">
      <c r="A80" s="16" t="n">
        <f aca="false">IF($T80="","",1+COUNTIF($W$15:$W$728,"&lt;"&amp;W80))</f>
        <v>66</v>
      </c>
      <c r="B80" s="16" t="s">
        <v>6</v>
      </c>
      <c r="C80" s="16" t="s">
        <v>244</v>
      </c>
      <c r="D80" s="16" t="s">
        <v>43</v>
      </c>
      <c r="E80" s="16" t="s">
        <v>44</v>
      </c>
      <c r="F80" s="16" t="s">
        <v>245</v>
      </c>
      <c r="G80" s="16" t="s">
        <v>246</v>
      </c>
      <c r="H80" s="17" t="n">
        <v>1945</v>
      </c>
      <c r="I80" s="17" t="n">
        <v>2197</v>
      </c>
      <c r="J80" s="17"/>
      <c r="K80" s="17" t="n">
        <v>1985</v>
      </c>
      <c r="L80" s="17" t="n">
        <f aca="false">IF(AND(IFERROR(SEARCH("현대오일뱅크",$C80),0)&gt;0,IFERROR(SEARCH("직영",$C80),0)&gt;0),$B$13,0)</f>
        <v>0</v>
      </c>
      <c r="M80" s="17" t="n">
        <f aca="false">IF($H80="","",$H80+$L80)</f>
        <v>1945</v>
      </c>
      <c r="N80" s="17" t="n">
        <f aca="false">IF($I80="","",$I80+$L80)</f>
        <v>2197</v>
      </c>
      <c r="O80" s="17" t="n">
        <f aca="false">IF($K80="","",$K80+$L80)</f>
        <v>1985</v>
      </c>
      <c r="P80" s="17" t="n">
        <f aca="false">IF($B$10=0,"",IFERROR(IF($B$4&gt;0,IF($M80="",1/0,$M80*$B$4),0)+IF($B$5&gt;0,IF($N80="",1/0,$N80*$B$5),0)+IF($B$6&gt;0,IF($O80="",1/0,$O80*$B$6),0),""))</f>
        <v>81676.9</v>
      </c>
      <c r="Q80" s="17" t="s">
        <v>44</v>
      </c>
      <c r="R80" s="18" t="n">
        <f aca="false">IF($P80="","",IF($Q80="Y",IFERROR(VLOOKUP($B80,$C$4:$D$13,2,FALSE()),0),0))</f>
        <v>0.1</v>
      </c>
      <c r="S80" s="17" t="n">
        <f aca="false">IF($P80="","",ROUNDDOWN($P80*$R80,0))</f>
        <v>8167</v>
      </c>
      <c r="T80" s="17" t="n">
        <f aca="false">IF($P80="","",$P80-$S80)</f>
        <v>73509.9</v>
      </c>
      <c r="U80" s="17" t="n">
        <f aca="false">IF($T80="","",IF($B$10=0,"",$T80/$B$10))</f>
        <v>1851.63476070529</v>
      </c>
      <c r="V80" s="17" t="n">
        <f aca="false">IF($P80="","",IF($B$10=0,"",$P80/$B$10))</f>
        <v>2057.35264483627</v>
      </c>
      <c r="W80" s="19" t="n">
        <f aca="false">IF($T80="",1000000000000000,$T80)</f>
        <v>73509.9</v>
      </c>
      <c r="X80" s="2"/>
      <c r="XFC80" s="6"/>
    </row>
    <row r="81" s="5" customFormat="true" ht="28.5" hidden="false" customHeight="true" outlineLevel="0" collapsed="false">
      <c r="A81" s="16" t="n">
        <f aca="false">IF($T81="","",1+COUNTIF($W$15:$W$728,"&lt;"&amp;W81))</f>
        <v>67</v>
      </c>
      <c r="B81" s="16" t="s">
        <v>8</v>
      </c>
      <c r="C81" s="16" t="s">
        <v>247</v>
      </c>
      <c r="D81" s="16" t="s">
        <v>43</v>
      </c>
      <c r="E81" s="16" t="s">
        <v>44</v>
      </c>
      <c r="F81" s="16" t="s">
        <v>248</v>
      </c>
      <c r="G81" s="16" t="s">
        <v>249</v>
      </c>
      <c r="H81" s="17" t="n">
        <v>1752</v>
      </c>
      <c r="I81" s="17" t="n">
        <v>2004</v>
      </c>
      <c r="J81" s="17"/>
      <c r="K81" s="17" t="n">
        <v>1752</v>
      </c>
      <c r="L81" s="17" t="n">
        <f aca="false">IF(AND(IFERROR(SEARCH("현대오일뱅크",$C81),0)&gt;0,IFERROR(SEARCH("직영",$C81),0)&gt;0),$B$13,0)</f>
        <v>-10</v>
      </c>
      <c r="M81" s="17" t="n">
        <f aca="false">IF($H81="","",$H81+$L81)</f>
        <v>1742</v>
      </c>
      <c r="N81" s="17" t="n">
        <f aca="false">IF($I81="","",$I81+$L81)</f>
        <v>1994</v>
      </c>
      <c r="O81" s="17" t="n">
        <f aca="false">IF($K81="","",$K81+$L81)</f>
        <v>1742</v>
      </c>
      <c r="P81" s="17" t="n">
        <f aca="false">IF($B$10=0,"",IFERROR(IF($B$4&gt;0,IF($M81="",1/0,$M81*$B$4),0)+IF($B$5&gt;0,IF($N81="",1/0,$N81*$B$5),0)+IF($B$6&gt;0,IF($O81="",1/0,$O81*$B$6),0),""))</f>
        <v>73617.8</v>
      </c>
      <c r="Q81" s="17"/>
      <c r="R81" s="18" t="n">
        <f aca="false">IF($P81="","",IF($Q81="Y",IFERROR(VLOOKUP($B81,$C$4:$D$13,2,FALSE()),0),0))</f>
        <v>0</v>
      </c>
      <c r="S81" s="17" t="n">
        <f aca="false">IF($P81="","",ROUNDDOWN($P81*$R81,0))</f>
        <v>0</v>
      </c>
      <c r="T81" s="17" t="n">
        <f aca="false">IF($P81="","",$P81-$S81)</f>
        <v>73617.8</v>
      </c>
      <c r="U81" s="17" t="n">
        <f aca="false">IF($T81="","",IF($B$10=0,"",$T81/$B$10))</f>
        <v>1854.35264483627</v>
      </c>
      <c r="V81" s="17" t="n">
        <f aca="false">IF($P81="","",IF($B$10=0,"",$P81/$B$10))</f>
        <v>1854.35264483627</v>
      </c>
      <c r="W81" s="19" t="n">
        <f aca="false">IF($T81="",1000000000000000,$T81)</f>
        <v>73617.8</v>
      </c>
      <c r="X81" s="2"/>
      <c r="XFC81" s="6"/>
    </row>
    <row r="82" s="5" customFormat="true" ht="28.5" hidden="false" customHeight="true" outlineLevel="0" collapsed="false">
      <c r="A82" s="16" t="n">
        <f aca="false">IF($T82="","",1+COUNTIF($W$15:$W$728,"&lt;"&amp;W82))</f>
        <v>68</v>
      </c>
      <c r="B82" s="16" t="s">
        <v>12</v>
      </c>
      <c r="C82" s="16" t="s">
        <v>250</v>
      </c>
      <c r="D82" s="20" t="s">
        <v>208</v>
      </c>
      <c r="E82" s="16" t="s">
        <v>44</v>
      </c>
      <c r="F82" s="16" t="s">
        <v>251</v>
      </c>
      <c r="G82" s="16" t="s">
        <v>252</v>
      </c>
      <c r="H82" s="17" t="n">
        <v>1954</v>
      </c>
      <c r="I82" s="17" t="n">
        <v>2199</v>
      </c>
      <c r="J82" s="17"/>
      <c r="K82" s="17" t="n">
        <v>2154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1954</v>
      </c>
      <c r="N82" s="17" t="n">
        <f aca="false">IF($I82="","",$I82+$L82)</f>
        <v>2199</v>
      </c>
      <c r="O82" s="17" t="n">
        <f aca="false">IF($K82="","",$K82+$L82)</f>
        <v>2154</v>
      </c>
      <c r="P82" s="17" t="n">
        <f aca="false">IF($B$10=0,"",IFERROR(IF($B$4&gt;0,IF($M82="",1/0,$M82*$B$4),0)+IF($B$5&gt;0,IF($N82="",1/0,$N82*$B$5),0)+IF($B$6&gt;0,IF($O82="",1/0,$O82*$B$6),0),""))</f>
        <v>81910.3</v>
      </c>
      <c r="Q82" s="17" t="s">
        <v>44</v>
      </c>
      <c r="R82" s="18" t="n">
        <f aca="false">IF($P82="","",IF($Q82="Y",IFERROR(VLOOKUP($B82,$C$4:$D$13,2,FALSE()),0),0))</f>
        <v>0.1</v>
      </c>
      <c r="S82" s="17" t="n">
        <f aca="false">IF($P82="","",ROUNDDOWN($P82*$R82,0))</f>
        <v>8191</v>
      </c>
      <c r="T82" s="17" t="n">
        <f aca="false">IF($P82="","",$P82-$S82)</f>
        <v>73719.3</v>
      </c>
      <c r="U82" s="17" t="n">
        <f aca="false">IF($T82="","",IF($B$10=0,"",$T82/$B$10))</f>
        <v>1856.90931989924</v>
      </c>
      <c r="V82" s="17" t="n">
        <f aca="false">IF($P82="","",IF($B$10=0,"",$P82/$B$10))</f>
        <v>2063.23173803526</v>
      </c>
      <c r="W82" s="19" t="n">
        <f aca="false">IF($T82="",1000000000000000,$T82)</f>
        <v>73719.3</v>
      </c>
      <c r="X82" s="2"/>
      <c r="XFC82" s="6"/>
    </row>
    <row r="83" s="5" customFormat="true" ht="28.5" hidden="false" customHeight="true" outlineLevel="0" collapsed="false">
      <c r="A83" s="16" t="n">
        <f aca="false">IF($T83="","",1+COUNTIF($W$15:$W$728,"&lt;"&amp;W83))</f>
        <v>69</v>
      </c>
      <c r="B83" s="16" t="s">
        <v>10</v>
      </c>
      <c r="C83" s="16" t="s">
        <v>253</v>
      </c>
      <c r="D83" s="16" t="s">
        <v>43</v>
      </c>
      <c r="E83" s="16" t="s">
        <v>44</v>
      </c>
      <c r="F83" s="16" t="s">
        <v>254</v>
      </c>
      <c r="G83" s="16" t="s">
        <v>255</v>
      </c>
      <c r="H83" s="17" t="n">
        <v>1764</v>
      </c>
      <c r="I83" s="17" t="n">
        <v>2003</v>
      </c>
      <c r="J83" s="17"/>
      <c r="K83" s="17" t="n">
        <v>1754</v>
      </c>
      <c r="L83" s="17" t="n">
        <f aca="false">IF(AND(IFERROR(SEARCH("현대오일뱅크",$C83),0)&gt;0,IFERROR(SEARCH("직영",$C83),0)&gt;0),$B$13,0)</f>
        <v>-10</v>
      </c>
      <c r="M83" s="17" t="n">
        <f aca="false">IF($H83="","",$H83+$L83)</f>
        <v>1754</v>
      </c>
      <c r="N83" s="17" t="n">
        <f aca="false">IF($I83="","",$I83+$L83)</f>
        <v>1993</v>
      </c>
      <c r="O83" s="17" t="n">
        <f aca="false">IF($K83="","",$K83+$L83)</f>
        <v>1744</v>
      </c>
      <c r="P83" s="17" t="n">
        <f aca="false">IF($B$10=0,"",IFERROR(IF($B$4&gt;0,IF($M83="",1/0,$M83*$B$4),0)+IF($B$5&gt;0,IF($N83="",1/0,$N83*$B$5),0)+IF($B$6&gt;0,IF($O83="",1/0,$O83*$B$6),0),""))</f>
        <v>73864.1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73864.1</v>
      </c>
      <c r="U83" s="17" t="n">
        <f aca="false">IF($T83="","",IF($B$10=0,"",$T83/$B$10))</f>
        <v>1860.55667506297</v>
      </c>
      <c r="V83" s="17" t="n">
        <f aca="false">IF($P83="","",IF($B$10=0,"",$P83/$B$10))</f>
        <v>1860.55667506297</v>
      </c>
      <c r="W83" s="19" t="n">
        <f aca="false">IF($T83="",1000000000000000,$T83)</f>
        <v>73864.1</v>
      </c>
      <c r="X83" s="2"/>
      <c r="XFC83" s="6"/>
    </row>
    <row r="84" s="5" customFormat="true" ht="28.5" hidden="false" customHeight="true" outlineLevel="0" collapsed="false">
      <c r="A84" s="16" t="n">
        <f aca="false">IF($T84="","",1+COUNTIF($W$15:$W$728,"&lt;"&amp;W84))</f>
        <v>70</v>
      </c>
      <c r="B84" s="16" t="s">
        <v>10</v>
      </c>
      <c r="C84" s="16" t="s">
        <v>256</v>
      </c>
      <c r="D84" s="20" t="s">
        <v>131</v>
      </c>
      <c r="E84" s="16" t="s">
        <v>44</v>
      </c>
      <c r="F84" s="16" t="s">
        <v>257</v>
      </c>
      <c r="G84" s="16" t="s">
        <v>258</v>
      </c>
      <c r="H84" s="17" t="n">
        <v>1769</v>
      </c>
      <c r="I84" s="17" t="n">
        <v>1989</v>
      </c>
      <c r="J84" s="17"/>
      <c r="K84" s="17" t="n">
        <v>1748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1769</v>
      </c>
      <c r="N84" s="17" t="n">
        <f aca="false">IF($I84="","",$I84+$L84)</f>
        <v>1989</v>
      </c>
      <c r="O84" s="17" t="n">
        <f aca="false">IF($K84="","",$K84+$L84)</f>
        <v>1748</v>
      </c>
      <c r="P84" s="17" t="n">
        <f aca="false">IF($B$10=0,"",IFERROR(IF($B$4&gt;0,IF($M84="",1/0,$M84*$B$4),0)+IF($B$5&gt;0,IF($N84="",1/0,$N84*$B$5),0)+IF($B$6&gt;0,IF($O84="",1/0,$O84*$B$6),0),""))</f>
        <v>74123.3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74123.3</v>
      </c>
      <c r="U84" s="17" t="n">
        <f aca="false">IF($T84="","",IF($B$10=0,"",$T84/$B$10))</f>
        <v>1867.08564231738</v>
      </c>
      <c r="V84" s="17" t="n">
        <f aca="false">IF($P84="","",IF($B$10=0,"",$P84/$B$10))</f>
        <v>1867.08564231738</v>
      </c>
      <c r="W84" s="19" t="n">
        <f aca="false">IF($T84="",1000000000000000,$T84)</f>
        <v>74123.3</v>
      </c>
      <c r="X84" s="2"/>
      <c r="XFC84" s="6"/>
    </row>
    <row r="85" s="5" customFormat="true" ht="28.5" hidden="false" customHeight="true" outlineLevel="0" collapsed="false">
      <c r="A85" s="16" t="n">
        <f aca="false">IF($T85="","",1+COUNTIF($W$15:$W$728,"&lt;"&amp;W85))</f>
        <v>71</v>
      </c>
      <c r="B85" s="16" t="s">
        <v>10</v>
      </c>
      <c r="C85" s="16" t="s">
        <v>259</v>
      </c>
      <c r="D85" s="16" t="s">
        <v>141</v>
      </c>
      <c r="E85" s="16" t="s">
        <v>44</v>
      </c>
      <c r="F85" s="16" t="s">
        <v>260</v>
      </c>
      <c r="G85" s="16" t="s">
        <v>261</v>
      </c>
      <c r="H85" s="17" t="n">
        <v>1779</v>
      </c>
      <c r="I85" s="17" t="n">
        <v>1979</v>
      </c>
      <c r="J85" s="17"/>
      <c r="K85" s="17" t="n">
        <v>1789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1779</v>
      </c>
      <c r="N85" s="17" t="n">
        <f aca="false">IF($I85="","",$I85+$L85)</f>
        <v>1979</v>
      </c>
      <c r="O85" s="17" t="n">
        <f aca="false">IF($K85="","",$K85+$L85)</f>
        <v>1789</v>
      </c>
      <c r="P85" s="17" t="n">
        <f aca="false">IF($B$10=0,"",IFERROR(IF($B$4&gt;0,IF($M85="",1/0,$M85*$B$4),0)+IF($B$5&gt;0,IF($N85="",1/0,$N85*$B$5),0)+IF($B$6&gt;0,IF($O85="",1/0,$O85*$B$6),0),""))</f>
        <v>74166.3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74166.3</v>
      </c>
      <c r="U85" s="17" t="n">
        <f aca="false">IF($T85="","",IF($B$10=0,"",$T85/$B$10))</f>
        <v>1868.16876574307</v>
      </c>
      <c r="V85" s="17" t="n">
        <f aca="false">IF($P85="","",IF($B$10=0,"",$P85/$B$10))</f>
        <v>1868.16876574307</v>
      </c>
      <c r="W85" s="19" t="n">
        <f aca="false">IF($T85="",1000000000000000,$T85)</f>
        <v>74166.3</v>
      </c>
      <c r="X85" s="2"/>
      <c r="XFC85" s="6"/>
    </row>
    <row r="86" s="5" customFormat="true" ht="28.5" hidden="false" customHeight="true" outlineLevel="0" collapsed="false">
      <c r="A86" s="16" t="n">
        <f aca="false">IF($T86="","",1+COUNTIF($W$15:$W$728,"&lt;"&amp;W86))</f>
        <v>72</v>
      </c>
      <c r="B86" s="16" t="s">
        <v>8</v>
      </c>
      <c r="C86" s="16" t="s">
        <v>262</v>
      </c>
      <c r="D86" s="20" t="s">
        <v>131</v>
      </c>
      <c r="E86" s="16" t="s">
        <v>44</v>
      </c>
      <c r="F86" s="16" t="s">
        <v>263</v>
      </c>
      <c r="G86" s="16" t="s">
        <v>264</v>
      </c>
      <c r="H86" s="17" t="n">
        <v>1788</v>
      </c>
      <c r="I86" s="17" t="n">
        <v>1989</v>
      </c>
      <c r="J86" s="17"/>
      <c r="K86" s="17" t="n">
        <v>1758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1788</v>
      </c>
      <c r="N86" s="17" t="n">
        <f aca="false">IF($I86="","",$I86+$L86)</f>
        <v>1989</v>
      </c>
      <c r="O86" s="17" t="n">
        <f aca="false">IF($K86="","",$K86+$L86)</f>
        <v>1758</v>
      </c>
      <c r="P86" s="17" t="n">
        <f aca="false">IF($B$10=0,"",IFERROR(IF($B$4&gt;0,IF($M86="",1/0,$M86*$B$4),0)+IF($B$5&gt;0,IF($N86="",1/0,$N86*$B$5),0)+IF($B$6&gt;0,IF($O86="",1/0,$O86*$B$6),0),""))</f>
        <v>74541.3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74541.3</v>
      </c>
      <c r="U86" s="17" t="n">
        <f aca="false">IF($T86="","",IF($B$10=0,"",$T86/$B$10))</f>
        <v>1877.61460957179</v>
      </c>
      <c r="V86" s="17" t="n">
        <f aca="false">IF($P86="","",IF($B$10=0,"",$P86/$B$10))</f>
        <v>1877.61460957179</v>
      </c>
      <c r="W86" s="19" t="n">
        <f aca="false">IF($T86="",1000000000000000,$T86)</f>
        <v>74541.3</v>
      </c>
      <c r="X86" s="2"/>
      <c r="XFC86" s="6"/>
    </row>
    <row r="87" s="5" customFormat="true" ht="28.5" hidden="false" customHeight="true" outlineLevel="0" collapsed="false">
      <c r="A87" s="16" t="n">
        <f aca="false">IF($T87="","",1+COUNTIF($W$15:$W$728,"&lt;"&amp;W87))</f>
        <v>73</v>
      </c>
      <c r="B87" s="16" t="s">
        <v>10</v>
      </c>
      <c r="C87" s="16" t="s">
        <v>265</v>
      </c>
      <c r="D87" s="16" t="s">
        <v>43</v>
      </c>
      <c r="E87" s="16" t="s">
        <v>44</v>
      </c>
      <c r="F87" s="16" t="s">
        <v>266</v>
      </c>
      <c r="G87" s="16" t="s">
        <v>267</v>
      </c>
      <c r="H87" s="17" t="n">
        <v>1794</v>
      </c>
      <c r="I87" s="17" t="n">
        <v>2004</v>
      </c>
      <c r="J87" s="17"/>
      <c r="K87" s="17" t="n">
        <v>1769</v>
      </c>
      <c r="L87" s="17" t="n">
        <f aca="false">IF(AND(IFERROR(SEARCH("현대오일뱅크",$C87),0)&gt;0,IFERROR(SEARCH("직영",$C87),0)&gt;0),$B$13,0)</f>
        <v>-10</v>
      </c>
      <c r="M87" s="17" t="n">
        <f aca="false">IF($H87="","",$H87+$L87)</f>
        <v>1784</v>
      </c>
      <c r="N87" s="17" t="n">
        <f aca="false">IF($I87="","",$I87+$L87)</f>
        <v>1994</v>
      </c>
      <c r="O87" s="17" t="n">
        <f aca="false">IF($K87="","",$K87+$L87)</f>
        <v>1759</v>
      </c>
      <c r="P87" s="17" t="n">
        <f aca="false">IF($B$10=0,"",IFERROR(IF($B$4&gt;0,IF($M87="",1/0,$M87*$B$4),0)+IF($B$5&gt;0,IF($N87="",1/0,$N87*$B$5),0)+IF($B$6&gt;0,IF($O87="",1/0,$O87*$B$6),0),""))</f>
        <v>74541.8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74541.8</v>
      </c>
      <c r="U87" s="17" t="n">
        <f aca="false">IF($T87="","",IF($B$10=0,"",$T87/$B$10))</f>
        <v>1877.62720403023</v>
      </c>
      <c r="V87" s="17" t="n">
        <f aca="false">IF($P87="","",IF($B$10=0,"",$P87/$B$10))</f>
        <v>1877.62720403023</v>
      </c>
      <c r="W87" s="19" t="n">
        <f aca="false">IF($T87="",1000000000000000,$T87)</f>
        <v>74541.8</v>
      </c>
      <c r="X87" s="2"/>
      <c r="XFC87" s="6"/>
    </row>
    <row r="88" s="5" customFormat="true" ht="28.5" hidden="false" customHeight="true" outlineLevel="0" collapsed="false">
      <c r="A88" s="16" t="n">
        <f aca="false">IF($T88="","",1+COUNTIF($W$15:$W$728,"&lt;"&amp;W88))</f>
        <v>74</v>
      </c>
      <c r="B88" s="16" t="s">
        <v>6</v>
      </c>
      <c r="C88" s="16" t="s">
        <v>268</v>
      </c>
      <c r="D88" s="20" t="s">
        <v>131</v>
      </c>
      <c r="E88" s="16" t="s">
        <v>44</v>
      </c>
      <c r="F88" s="16" t="s">
        <v>269</v>
      </c>
      <c r="G88" s="16" t="s">
        <v>270</v>
      </c>
      <c r="H88" s="17" t="n">
        <v>1798</v>
      </c>
      <c r="I88" s="17" t="n">
        <v>1989</v>
      </c>
      <c r="J88" s="17"/>
      <c r="K88" s="17" t="n">
        <v>1779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1798</v>
      </c>
      <c r="N88" s="17" t="n">
        <f aca="false">IF($I88="","",$I88+$L88)</f>
        <v>1989</v>
      </c>
      <c r="O88" s="17" t="n">
        <f aca="false">IF($K88="","",$K88+$L88)</f>
        <v>1779</v>
      </c>
      <c r="P88" s="17" t="n">
        <f aca="false">IF($B$10=0,"",IFERROR(IF($B$4&gt;0,IF($M88="",1/0,$M88*$B$4),0)+IF($B$5&gt;0,IF($N88="",1/0,$N88*$B$5),0)+IF($B$6&gt;0,IF($O88="",1/0,$O88*$B$6),0),""))</f>
        <v>74761.3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74761.3</v>
      </c>
      <c r="U88" s="17" t="n">
        <f aca="false">IF($T88="","",IF($B$10=0,"",$T88/$B$10))</f>
        <v>1883.15617128463</v>
      </c>
      <c r="V88" s="17" t="n">
        <f aca="false">IF($P88="","",IF($B$10=0,"",$P88/$B$10))</f>
        <v>1883.15617128463</v>
      </c>
      <c r="W88" s="19" t="n">
        <f aca="false">IF($T88="",1000000000000000,$T88)</f>
        <v>74761.3</v>
      </c>
      <c r="X88" s="2"/>
      <c r="XFC88" s="6"/>
    </row>
    <row r="89" s="5" customFormat="true" ht="28.5" hidden="false" customHeight="true" outlineLevel="0" collapsed="false">
      <c r="A89" s="16" t="n">
        <f aca="false">IF($T89="","",1+COUNTIF($W$15:$W$728,"&lt;"&amp;W89))</f>
        <v>74</v>
      </c>
      <c r="B89" s="16" t="s">
        <v>12</v>
      </c>
      <c r="C89" s="16" t="s">
        <v>271</v>
      </c>
      <c r="D89" s="20" t="s">
        <v>131</v>
      </c>
      <c r="E89" s="16" t="s">
        <v>44</v>
      </c>
      <c r="F89" s="16" t="s">
        <v>272</v>
      </c>
      <c r="G89" s="16" t="s">
        <v>273</v>
      </c>
      <c r="H89" s="17" t="n">
        <v>1798</v>
      </c>
      <c r="I89" s="17" t="n">
        <v>1989</v>
      </c>
      <c r="J89" s="17"/>
      <c r="K89" s="17" t="n">
        <v>1768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1798</v>
      </c>
      <c r="N89" s="17" t="n">
        <f aca="false">IF($I89="","",$I89+$L89)</f>
        <v>1989</v>
      </c>
      <c r="O89" s="17" t="n">
        <f aca="false">IF($K89="","",$K89+$L89)</f>
        <v>1768</v>
      </c>
      <c r="P89" s="17" t="n">
        <f aca="false">IF($B$10=0,"",IFERROR(IF($B$4&gt;0,IF($M89="",1/0,$M89*$B$4),0)+IF($B$5&gt;0,IF($N89="",1/0,$N89*$B$5),0)+IF($B$6&gt;0,IF($O89="",1/0,$O89*$B$6),0),""))</f>
        <v>74761.3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74761.3</v>
      </c>
      <c r="U89" s="17" t="n">
        <f aca="false">IF($T89="","",IF($B$10=0,"",$T89/$B$10))</f>
        <v>1883.15617128463</v>
      </c>
      <c r="V89" s="17" t="n">
        <f aca="false">IF($P89="","",IF($B$10=0,"",$P89/$B$10))</f>
        <v>1883.15617128463</v>
      </c>
      <c r="W89" s="19" t="n">
        <f aca="false">IF($T89="",1000000000000000,$T89)</f>
        <v>74761.3</v>
      </c>
      <c r="X89" s="2"/>
      <c r="XFC89" s="6"/>
    </row>
    <row r="90" s="5" customFormat="true" ht="28.5" hidden="false" customHeight="true" outlineLevel="0" collapsed="false">
      <c r="A90" s="16" t="n">
        <f aca="false">IF($T90="","",1+COUNTIF($W$15:$W$728,"&lt;"&amp;W90))</f>
        <v>76</v>
      </c>
      <c r="B90" s="16" t="s">
        <v>10</v>
      </c>
      <c r="C90" s="16" t="s">
        <v>274</v>
      </c>
      <c r="D90" s="16" t="s">
        <v>48</v>
      </c>
      <c r="E90" s="16" t="s">
        <v>44</v>
      </c>
      <c r="F90" s="16" t="s">
        <v>275</v>
      </c>
      <c r="G90" s="16" t="s">
        <v>276</v>
      </c>
      <c r="H90" s="17" t="n">
        <v>1799</v>
      </c>
      <c r="I90" s="17" t="n">
        <v>1995</v>
      </c>
      <c r="J90" s="17"/>
      <c r="K90" s="17" t="n">
        <v>1799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1799</v>
      </c>
      <c r="N90" s="17" t="n">
        <f aca="false">IF($I90="","",$I90+$L90)</f>
        <v>1995</v>
      </c>
      <c r="O90" s="17" t="n">
        <f aca="false">IF($K90="","",$K90+$L90)</f>
        <v>1799</v>
      </c>
      <c r="P90" s="17" t="n">
        <f aca="false">IF($B$10=0,"",IFERROR(IF($B$4&gt;0,IF($M90="",1/0,$M90*$B$4),0)+IF($B$5&gt;0,IF($N90="",1/0,$N90*$B$5),0)+IF($B$6&gt;0,IF($O90="",1/0,$O90*$B$6),0),""))</f>
        <v>74889.5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74889.5</v>
      </c>
      <c r="U90" s="17" t="n">
        <f aca="false">IF($T90="","",IF($B$10=0,"",$T90/$B$10))</f>
        <v>1886.38539042821</v>
      </c>
      <c r="V90" s="17" t="n">
        <f aca="false">IF($P90="","",IF($B$10=0,"",$P90/$B$10))</f>
        <v>1886.38539042821</v>
      </c>
      <c r="W90" s="19" t="n">
        <f aca="false">IF($T90="",1000000000000000,$T90)</f>
        <v>74889.5</v>
      </c>
      <c r="X90" s="2"/>
      <c r="XFC90" s="6"/>
    </row>
    <row r="91" s="5" customFormat="true" ht="28.5" hidden="false" customHeight="true" outlineLevel="0" collapsed="false">
      <c r="A91" s="16" t="n">
        <f aca="false">IF($T91="","",1+COUNTIF($W$15:$W$728,"&lt;"&amp;W91))</f>
        <v>77</v>
      </c>
      <c r="B91" s="16" t="s">
        <v>10</v>
      </c>
      <c r="C91" s="16" t="s">
        <v>277</v>
      </c>
      <c r="D91" s="16" t="s">
        <v>48</v>
      </c>
      <c r="E91" s="16" t="s">
        <v>44</v>
      </c>
      <c r="F91" s="16" t="s">
        <v>278</v>
      </c>
      <c r="G91" s="16" t="s">
        <v>279</v>
      </c>
      <c r="H91" s="17" t="n">
        <v>1798</v>
      </c>
      <c r="I91" s="17" t="n">
        <v>1998</v>
      </c>
      <c r="J91" s="17"/>
      <c r="K91" s="17" t="n">
        <v>1798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1798</v>
      </c>
      <c r="N91" s="17" t="n">
        <f aca="false">IF($I91="","",$I91+$L91)</f>
        <v>1998</v>
      </c>
      <c r="O91" s="17" t="n">
        <f aca="false">IF($K91="","",$K91+$L91)</f>
        <v>1798</v>
      </c>
      <c r="P91" s="17" t="n">
        <f aca="false">IF($B$10=0,"",IFERROR(IF($B$4&gt;0,IF($M91="",1/0,$M91*$B$4),0)+IF($B$5&gt;0,IF($N91="",1/0,$N91*$B$5),0)+IF($B$6&gt;0,IF($O91="",1/0,$O91*$B$6),0),""))</f>
        <v>74920.6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74920.6</v>
      </c>
      <c r="U91" s="17" t="n">
        <f aca="false">IF($T91="","",IF($B$10=0,"",$T91/$B$10))</f>
        <v>1887.16876574307</v>
      </c>
      <c r="V91" s="17" t="n">
        <f aca="false">IF($P91="","",IF($B$10=0,"",$P91/$B$10))</f>
        <v>1887.16876574307</v>
      </c>
      <c r="W91" s="19" t="n">
        <f aca="false">IF($T91="",1000000000000000,$T91)</f>
        <v>74920.6</v>
      </c>
      <c r="X91" s="2"/>
      <c r="XFC91" s="6"/>
    </row>
    <row r="92" s="5" customFormat="true" ht="28.5" hidden="false" customHeight="true" outlineLevel="0" collapsed="false">
      <c r="A92" s="16" t="n">
        <f aca="false">IF($T92="","",1+COUNTIF($W$15:$W$728,"&lt;"&amp;W92))</f>
        <v>78</v>
      </c>
      <c r="B92" s="16" t="s">
        <v>10</v>
      </c>
      <c r="C92" s="16" t="s">
        <v>280</v>
      </c>
      <c r="D92" s="16" t="s">
        <v>281</v>
      </c>
      <c r="E92" s="16" t="s">
        <v>44</v>
      </c>
      <c r="F92" s="16" t="s">
        <v>282</v>
      </c>
      <c r="G92" s="16" t="s">
        <v>283</v>
      </c>
      <c r="H92" s="17" t="n">
        <v>1799</v>
      </c>
      <c r="I92" s="17" t="n">
        <v>1997</v>
      </c>
      <c r="J92" s="17"/>
      <c r="K92" s="17" t="n">
        <v>1839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1799</v>
      </c>
      <c r="N92" s="17" t="n">
        <f aca="false">IF($I92="","",$I92+$L92)</f>
        <v>1997</v>
      </c>
      <c r="O92" s="17" t="n">
        <f aca="false">IF($K92="","",$K92+$L92)</f>
        <v>1839</v>
      </c>
      <c r="P92" s="17" t="n">
        <f aca="false">IF($B$10=0,"",IFERROR(IF($B$4&gt;0,IF($M92="",1/0,$M92*$B$4),0)+IF($B$5&gt;0,IF($N92="",1/0,$N92*$B$5),0)+IF($B$6&gt;0,IF($O92="",1/0,$O92*$B$6),0),""))</f>
        <v>74924.9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74924.9</v>
      </c>
      <c r="U92" s="17" t="n">
        <f aca="false">IF($T92="","",IF($B$10=0,"",$T92/$B$10))</f>
        <v>1887.27707808564</v>
      </c>
      <c r="V92" s="17" t="n">
        <f aca="false">IF($P92="","",IF($B$10=0,"",$P92/$B$10))</f>
        <v>1887.27707808564</v>
      </c>
      <c r="W92" s="19" t="n">
        <f aca="false">IF($T92="",1000000000000000,$T92)</f>
        <v>74924.9</v>
      </c>
      <c r="X92" s="2"/>
      <c r="XFC92" s="6"/>
    </row>
    <row r="93" s="5" customFormat="true" ht="28.5" hidden="false" customHeight="true" outlineLevel="0" collapsed="false">
      <c r="A93" s="16" t="n">
        <f aca="false">IF($T93="","",1+COUNTIF($W$15:$W$728,"&lt;"&amp;W93))</f>
        <v>79</v>
      </c>
      <c r="B93" s="16" t="s">
        <v>10</v>
      </c>
      <c r="C93" s="16" t="s">
        <v>284</v>
      </c>
      <c r="D93" s="16" t="s">
        <v>281</v>
      </c>
      <c r="E93" s="16" t="s">
        <v>44</v>
      </c>
      <c r="F93" s="16" t="s">
        <v>285</v>
      </c>
      <c r="G93" s="16" t="s">
        <v>286</v>
      </c>
      <c r="H93" s="17" t="n">
        <v>1799</v>
      </c>
      <c r="I93" s="17" t="n">
        <v>1999</v>
      </c>
      <c r="J93" s="17"/>
      <c r="K93" s="17" t="n">
        <v>1849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1799</v>
      </c>
      <c r="N93" s="17" t="n">
        <f aca="false">IF($I93="","",$I93+$L93)</f>
        <v>1999</v>
      </c>
      <c r="O93" s="17" t="n">
        <f aca="false">IF($K93="","",$K93+$L93)</f>
        <v>1849</v>
      </c>
      <c r="P93" s="17" t="n">
        <f aca="false">IF($B$10=0,"",IFERROR(IF($B$4&gt;0,IF($M93="",1/0,$M93*$B$4),0)+IF($B$5&gt;0,IF($N93="",1/0,$N93*$B$5),0)+IF($B$6&gt;0,IF($O93="",1/0,$O93*$B$6),0),""))</f>
        <v>74960.3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74960.3</v>
      </c>
      <c r="U93" s="17" t="n">
        <f aca="false">IF($T93="","",IF($B$10=0,"",$T93/$B$10))</f>
        <v>1888.16876574307</v>
      </c>
      <c r="V93" s="17" t="n">
        <f aca="false">IF($P93="","",IF($B$10=0,"",$P93/$B$10))</f>
        <v>1888.16876574307</v>
      </c>
      <c r="W93" s="19" t="n">
        <f aca="false">IF($T93="",1000000000000000,$T93)</f>
        <v>74960.3</v>
      </c>
      <c r="X93" s="2"/>
      <c r="XFC93" s="6"/>
    </row>
    <row r="94" s="5" customFormat="true" ht="28.5" hidden="false" customHeight="true" outlineLevel="0" collapsed="false">
      <c r="A94" s="16" t="n">
        <f aca="false">IF($T94="","",1+COUNTIF($W$15:$W$728,"&lt;"&amp;W94))</f>
        <v>80</v>
      </c>
      <c r="B94" s="16" t="s">
        <v>10</v>
      </c>
      <c r="C94" s="16" t="s">
        <v>287</v>
      </c>
      <c r="D94" s="16" t="s">
        <v>43</v>
      </c>
      <c r="E94" s="16" t="s">
        <v>58</v>
      </c>
      <c r="F94" s="16" t="s">
        <v>288</v>
      </c>
      <c r="G94" s="16" t="s">
        <v>289</v>
      </c>
      <c r="H94" s="17" t="n">
        <v>1804</v>
      </c>
      <c r="I94" s="17" t="n">
        <v>2019</v>
      </c>
      <c r="J94" s="17"/>
      <c r="K94" s="17" t="n">
        <v>1749</v>
      </c>
      <c r="L94" s="17" t="n">
        <f aca="false">IF(AND(IFERROR(SEARCH("현대오일뱅크",$C94),0)&gt;0,IFERROR(SEARCH("직영",$C94),0)&gt;0),$B$13,0)</f>
        <v>-10</v>
      </c>
      <c r="M94" s="17" t="n">
        <f aca="false">IF($H94="","",$H94+$L94)</f>
        <v>1794</v>
      </c>
      <c r="N94" s="17" t="n">
        <f aca="false">IF($I94="","",$I94+$L94)</f>
        <v>2009</v>
      </c>
      <c r="O94" s="17" t="n">
        <f aca="false">IF($K94="","",$K94+$L94)</f>
        <v>1739</v>
      </c>
      <c r="P94" s="17" t="n">
        <f aca="false">IF($B$10=0,"",IFERROR(IF($B$4&gt;0,IF($M94="",1/0,$M94*$B$4),0)+IF($B$5&gt;0,IF($N94="",1/0,$N94*$B$5),0)+IF($B$6&gt;0,IF($O94="",1/0,$O94*$B$6),0),""))</f>
        <v>75027.3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75027.3</v>
      </c>
      <c r="U94" s="17" t="n">
        <f aca="false">IF($T94="","",IF($B$10=0,"",$T94/$B$10))</f>
        <v>1889.8564231738</v>
      </c>
      <c r="V94" s="17" t="n">
        <f aca="false">IF($P94="","",IF($B$10=0,"",$P94/$B$10))</f>
        <v>1889.8564231738</v>
      </c>
      <c r="W94" s="19" t="n">
        <f aca="false">IF($T94="",1000000000000000,$T94)</f>
        <v>75027.3</v>
      </c>
      <c r="X94" s="2"/>
      <c r="XFC94" s="6"/>
    </row>
    <row r="95" s="5" customFormat="true" ht="28.5" hidden="false" customHeight="true" outlineLevel="0" collapsed="false">
      <c r="A95" s="16" t="n">
        <f aca="false">IF($T95="","",1+COUNTIF($W$15:$W$728,"&lt;"&amp;W95))</f>
        <v>81</v>
      </c>
      <c r="B95" s="16" t="s">
        <v>10</v>
      </c>
      <c r="C95" s="16" t="s">
        <v>290</v>
      </c>
      <c r="D95" s="16" t="s">
        <v>48</v>
      </c>
      <c r="E95" s="16" t="s">
        <v>44</v>
      </c>
      <c r="F95" s="16" t="s">
        <v>291</v>
      </c>
      <c r="G95" s="16" t="s">
        <v>292</v>
      </c>
      <c r="H95" s="17" t="n">
        <v>1809</v>
      </c>
      <c r="I95" s="17" t="n">
        <v>1995</v>
      </c>
      <c r="J95" s="17"/>
      <c r="K95" s="17" t="n">
        <v>1815</v>
      </c>
      <c r="L95" s="17" t="n">
        <f aca="false">IF(AND(IFERROR(SEARCH("현대오일뱅크",$C95),0)&gt;0,IFERROR(SEARCH("직영",$C95),0)&gt;0),$B$13,0)</f>
        <v>0</v>
      </c>
      <c r="M95" s="17" t="n">
        <f aca="false">IF($H95="","",$H95+$L95)</f>
        <v>1809</v>
      </c>
      <c r="N95" s="17" t="n">
        <f aca="false">IF($I95="","",$I95+$L95)</f>
        <v>1995</v>
      </c>
      <c r="O95" s="17" t="n">
        <f aca="false">IF($K95="","",$K95+$L95)</f>
        <v>1815</v>
      </c>
      <c r="P95" s="17" t="n">
        <f aca="false">IF($B$10=0,"",IFERROR(IF($B$4&gt;0,IF($M95="",1/0,$M95*$B$4),0)+IF($B$5&gt;0,IF($N95="",1/0,$N95*$B$5),0)+IF($B$6&gt;0,IF($O95="",1/0,$O95*$B$6),0),""))</f>
        <v>75109.5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75109.5</v>
      </c>
      <c r="U95" s="17" t="n">
        <f aca="false">IF($T95="","",IF($B$10=0,"",$T95/$B$10))</f>
        <v>1891.92695214106</v>
      </c>
      <c r="V95" s="17" t="n">
        <f aca="false">IF($P95="","",IF($B$10=0,"",$P95/$B$10))</f>
        <v>1891.92695214106</v>
      </c>
      <c r="W95" s="19" t="n">
        <f aca="false">IF($T95="",1000000000000000,$T95)</f>
        <v>75109.5</v>
      </c>
      <c r="X95" s="2"/>
      <c r="XFC95" s="6"/>
    </row>
    <row r="96" s="5" customFormat="true" ht="28.5" hidden="false" customHeight="true" outlineLevel="0" collapsed="false">
      <c r="A96" s="16" t="n">
        <f aca="false">IF($T96="","",1+COUNTIF($W$15:$W$728,"&lt;"&amp;W96))</f>
        <v>82</v>
      </c>
      <c r="B96" s="16" t="s">
        <v>10</v>
      </c>
      <c r="C96" s="16" t="s">
        <v>293</v>
      </c>
      <c r="D96" s="16" t="s">
        <v>48</v>
      </c>
      <c r="E96" s="16" t="s">
        <v>44</v>
      </c>
      <c r="F96" s="16" t="s">
        <v>294</v>
      </c>
      <c r="G96" s="16" t="s">
        <v>295</v>
      </c>
      <c r="H96" s="17" t="n">
        <v>1803</v>
      </c>
      <c r="I96" s="17" t="n">
        <v>2003</v>
      </c>
      <c r="J96" s="17"/>
      <c r="K96" s="17" t="n">
        <v>1799</v>
      </c>
      <c r="L96" s="17" t="n">
        <f aca="false">IF(AND(IFERROR(SEARCH("현대오일뱅크",$C96),0)&gt;0,IFERROR(SEARCH("직영",$C96),0)&gt;0),$B$13,0)</f>
        <v>0</v>
      </c>
      <c r="M96" s="17" t="n">
        <f aca="false">IF($H96="","",$H96+$L96)</f>
        <v>1803</v>
      </c>
      <c r="N96" s="17" t="n">
        <f aca="false">IF($I96="","",$I96+$L96)</f>
        <v>2003</v>
      </c>
      <c r="O96" s="17" t="n">
        <f aca="false">IF($K96="","",$K96+$L96)</f>
        <v>1799</v>
      </c>
      <c r="P96" s="17" t="n">
        <f aca="false">IF($B$10=0,"",IFERROR(IF($B$4&gt;0,IF($M96="",1/0,$M96*$B$4),0)+IF($B$5&gt;0,IF($N96="",1/0,$N96*$B$5),0)+IF($B$6&gt;0,IF($O96="",1/0,$O96*$B$6),0),""))</f>
        <v>75119.1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75119.1</v>
      </c>
      <c r="U96" s="17" t="n">
        <f aca="false">IF($T96="","",IF($B$10=0,"",$T96/$B$10))</f>
        <v>1892.16876574307</v>
      </c>
      <c r="V96" s="17" t="n">
        <f aca="false">IF($P96="","",IF($B$10=0,"",$P96/$B$10))</f>
        <v>1892.16876574307</v>
      </c>
      <c r="W96" s="19" t="n">
        <f aca="false">IF($T96="",1000000000000000,$T96)</f>
        <v>75119.1</v>
      </c>
      <c r="X96" s="2"/>
      <c r="XFC96" s="6"/>
    </row>
    <row r="97" s="5" customFormat="true" ht="28.5" hidden="false" customHeight="true" outlineLevel="0" collapsed="false">
      <c r="A97" s="16" t="n">
        <f aca="false">IF($T97="","",1+COUNTIF($W$15:$W$728,"&lt;"&amp;W97))</f>
        <v>83</v>
      </c>
      <c r="B97" s="16" t="s">
        <v>10</v>
      </c>
      <c r="C97" s="16" t="s">
        <v>296</v>
      </c>
      <c r="D97" s="16" t="s">
        <v>43</v>
      </c>
      <c r="E97" s="16" t="s">
        <v>44</v>
      </c>
      <c r="F97" s="16" t="s">
        <v>297</v>
      </c>
      <c r="G97" s="16" t="s">
        <v>298</v>
      </c>
      <c r="H97" s="17" t="n">
        <v>1814</v>
      </c>
      <c r="I97" s="17" t="n">
        <v>2014</v>
      </c>
      <c r="J97" s="17"/>
      <c r="K97" s="17" t="n">
        <v>1754</v>
      </c>
      <c r="L97" s="17" t="n">
        <f aca="false">IF(AND(IFERROR(SEARCH("현대오일뱅크",$C97),0)&gt;0,IFERROR(SEARCH("직영",$C97),0)&gt;0),$B$13,0)</f>
        <v>-10</v>
      </c>
      <c r="M97" s="17" t="n">
        <f aca="false">IF($H97="","",$H97+$L97)</f>
        <v>1804</v>
      </c>
      <c r="N97" s="17" t="n">
        <f aca="false">IF($I97="","",$I97+$L97)</f>
        <v>2004</v>
      </c>
      <c r="O97" s="17" t="n">
        <f aca="false">IF($K97="","",$K97+$L97)</f>
        <v>1744</v>
      </c>
      <c r="P97" s="17" t="n">
        <f aca="false">IF($B$10=0,"",IFERROR(IF($B$4&gt;0,IF($M97="",1/0,$M97*$B$4),0)+IF($B$5&gt;0,IF($N97="",1/0,$N97*$B$5),0)+IF($B$6&gt;0,IF($O97="",1/0,$O97*$B$6),0),""))</f>
        <v>75158.8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75158.8</v>
      </c>
      <c r="U97" s="17" t="n">
        <f aca="false">IF($T97="","",IF($B$10=0,"",$T97/$B$10))</f>
        <v>1893.16876574307</v>
      </c>
      <c r="V97" s="17" t="n">
        <f aca="false">IF($P97="","",IF($B$10=0,"",$P97/$B$10))</f>
        <v>1893.16876574307</v>
      </c>
      <c r="W97" s="19" t="n">
        <f aca="false">IF($T97="",1000000000000000,$T97)</f>
        <v>75158.8</v>
      </c>
      <c r="X97" s="2"/>
      <c r="XFC97" s="6"/>
    </row>
    <row r="98" s="5" customFormat="true" ht="28.5" hidden="false" customHeight="true" outlineLevel="0" collapsed="false">
      <c r="A98" s="16" t="n">
        <f aca="false">IF($T98="","",1+COUNTIF($W$15:$W$728,"&lt;"&amp;W98))</f>
        <v>84</v>
      </c>
      <c r="B98" s="16" t="s">
        <v>10</v>
      </c>
      <c r="C98" s="16" t="s">
        <v>299</v>
      </c>
      <c r="D98" s="16" t="s">
        <v>48</v>
      </c>
      <c r="E98" s="16" t="s">
        <v>44</v>
      </c>
      <c r="F98" s="16" t="s">
        <v>300</v>
      </c>
      <c r="G98" s="16" t="s">
        <v>301</v>
      </c>
      <c r="H98" s="17" t="n">
        <v>1807</v>
      </c>
      <c r="I98" s="17" t="n">
        <v>2009</v>
      </c>
      <c r="J98" s="17"/>
      <c r="K98" s="17" t="n">
        <v>1787</v>
      </c>
      <c r="L98" s="17" t="n">
        <f aca="false">IF(AND(IFERROR(SEARCH("현대오일뱅크",$C98),0)&gt;0,IFERROR(SEARCH("직영",$C98),0)&gt;0),$B$13,0)</f>
        <v>0</v>
      </c>
      <c r="M98" s="17" t="n">
        <f aca="false">IF($H98="","",$H98+$L98)</f>
        <v>1807</v>
      </c>
      <c r="N98" s="17" t="n">
        <f aca="false">IF($I98="","",$I98+$L98)</f>
        <v>2009</v>
      </c>
      <c r="O98" s="17" t="n">
        <f aca="false">IF($K98="","",$K98+$L98)</f>
        <v>1787</v>
      </c>
      <c r="P98" s="17" t="n">
        <f aca="false">IF($B$10=0,"",IFERROR(IF($B$4&gt;0,IF($M98="",1/0,$M98*$B$4),0)+IF($B$5&gt;0,IF($N98="",1/0,$N98*$B$5),0)+IF($B$6&gt;0,IF($O98="",1/0,$O98*$B$6),0),""))</f>
        <v>75313.3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75313.3</v>
      </c>
      <c r="U98" s="17" t="n">
        <f aca="false">IF($T98="","",IF($B$10=0,"",$T98/$B$10))</f>
        <v>1897.0604534005</v>
      </c>
      <c r="V98" s="17" t="n">
        <f aca="false">IF($P98="","",IF($B$10=0,"",$P98/$B$10))</f>
        <v>1897.0604534005</v>
      </c>
      <c r="W98" s="19" t="n">
        <f aca="false">IF($T98="",1000000000000000,$T98)</f>
        <v>75313.3</v>
      </c>
      <c r="X98" s="2"/>
      <c r="XFC98" s="6"/>
    </row>
    <row r="99" s="5" customFormat="true" ht="28.5" hidden="false" customHeight="true" outlineLevel="0" collapsed="false">
      <c r="A99" s="16" t="n">
        <f aca="false">IF($T99="","",1+COUNTIF($W$15:$W$728,"&lt;"&amp;W99))</f>
        <v>85</v>
      </c>
      <c r="B99" s="16" t="s">
        <v>12</v>
      </c>
      <c r="C99" s="16" t="s">
        <v>302</v>
      </c>
      <c r="D99" s="20" t="s">
        <v>303</v>
      </c>
      <c r="E99" s="16" t="s">
        <v>44</v>
      </c>
      <c r="F99" s="16" t="s">
        <v>304</v>
      </c>
      <c r="G99" s="16" t="s">
        <v>305</v>
      </c>
      <c r="H99" s="17" t="n">
        <v>1808</v>
      </c>
      <c r="I99" s="17" t="n">
        <v>2039</v>
      </c>
      <c r="J99" s="17"/>
      <c r="K99" s="17" t="n">
        <v>1868</v>
      </c>
      <c r="L99" s="17" t="n">
        <f aca="false">IF(AND(IFERROR(SEARCH("현대오일뱅크",$C99),0)&gt;0,IFERROR(SEARCH("직영",$C99),0)&gt;0),$B$13,0)</f>
        <v>-10</v>
      </c>
      <c r="M99" s="17" t="n">
        <f aca="false">IF($H99="","",$H99+$L99)</f>
        <v>1798</v>
      </c>
      <c r="N99" s="17" t="n">
        <f aca="false">IF($I99="","",$I99+$L99)</f>
        <v>2029</v>
      </c>
      <c r="O99" s="17" t="n">
        <f aca="false">IF($K99="","",$K99+$L99)</f>
        <v>1858</v>
      </c>
      <c r="P99" s="17" t="n">
        <f aca="false">IF($B$10=0,"",IFERROR(IF($B$4&gt;0,IF($M99="",1/0,$M99*$B$4),0)+IF($B$5&gt;0,IF($N99="",1/0,$N99*$B$5),0)+IF($B$6&gt;0,IF($O99="",1/0,$O99*$B$6),0),""))</f>
        <v>75469.3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75469.3</v>
      </c>
      <c r="U99" s="17" t="n">
        <f aca="false">IF($T99="","",IF($B$10=0,"",$T99/$B$10))</f>
        <v>1900.98992443325</v>
      </c>
      <c r="V99" s="17" t="n">
        <f aca="false">IF($P99="","",IF($B$10=0,"",$P99/$B$10))</f>
        <v>1900.98992443325</v>
      </c>
      <c r="W99" s="19" t="n">
        <f aca="false">IF($T99="",1000000000000000,$T99)</f>
        <v>75469.3</v>
      </c>
      <c r="X99" s="2"/>
      <c r="XFC99" s="6"/>
    </row>
    <row r="100" s="5" customFormat="true" ht="28.5" hidden="false" customHeight="true" outlineLevel="0" collapsed="false">
      <c r="A100" s="16" t="n">
        <f aca="false">IF($T100="","",1+COUNTIF($W$15:$W$728,"&lt;"&amp;W100))</f>
        <v>86</v>
      </c>
      <c r="B100" s="16" t="s">
        <v>12</v>
      </c>
      <c r="C100" s="16" t="s">
        <v>306</v>
      </c>
      <c r="D100" s="20" t="s">
        <v>131</v>
      </c>
      <c r="E100" s="16" t="s">
        <v>44</v>
      </c>
      <c r="F100" s="16" t="s">
        <v>307</v>
      </c>
      <c r="G100" s="16" t="s">
        <v>308</v>
      </c>
      <c r="H100" s="17" t="n">
        <v>1838</v>
      </c>
      <c r="I100" s="17" t="n">
        <v>1989</v>
      </c>
      <c r="J100" s="17"/>
      <c r="K100" s="17" t="n">
        <v>1778</v>
      </c>
      <c r="L100" s="17" t="n">
        <f aca="false">IF(AND(IFERROR(SEARCH("현대오일뱅크",$C100),0)&gt;0,IFERROR(SEARCH("직영",$C100),0)&gt;0),$B$13,0)</f>
        <v>0</v>
      </c>
      <c r="M100" s="17" t="n">
        <f aca="false">IF($H100="","",$H100+$L100)</f>
        <v>1838</v>
      </c>
      <c r="N100" s="17" t="n">
        <f aca="false">IF($I100="","",$I100+$L100)</f>
        <v>1989</v>
      </c>
      <c r="O100" s="17" t="n">
        <f aca="false">IF($K100="","",$K100+$L100)</f>
        <v>1778</v>
      </c>
      <c r="P100" s="17" t="n">
        <f aca="false">IF($B$10=0,"",IFERROR(IF($B$4&gt;0,IF($M100="",1/0,$M100*$B$4),0)+IF($B$5&gt;0,IF($N100="",1/0,$N100*$B$5),0)+IF($B$6&gt;0,IF($O100="",1/0,$O100*$B$6),0),""))</f>
        <v>75641.3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75641.3</v>
      </c>
      <c r="U100" s="17" t="n">
        <f aca="false">IF($T100="","",IF($B$10=0,"",$T100/$B$10))</f>
        <v>1905.32241813602</v>
      </c>
      <c r="V100" s="17" t="n">
        <f aca="false">IF($P100="","",IF($B$10=0,"",$P100/$B$10))</f>
        <v>1905.32241813602</v>
      </c>
      <c r="W100" s="19" t="n">
        <f aca="false">IF($T100="",1000000000000000,$T100)</f>
        <v>75641.3</v>
      </c>
      <c r="X100" s="2"/>
      <c r="XFC100" s="6"/>
    </row>
    <row r="101" s="5" customFormat="true" ht="28.5" hidden="false" customHeight="true" outlineLevel="0" collapsed="false">
      <c r="A101" s="16" t="n">
        <f aca="false">IF($T101="","",1+COUNTIF($W$15:$W$728,"&lt;"&amp;W101))</f>
        <v>87</v>
      </c>
      <c r="B101" s="16" t="s">
        <v>12</v>
      </c>
      <c r="C101" s="16" t="s">
        <v>309</v>
      </c>
      <c r="D101" s="20" t="s">
        <v>303</v>
      </c>
      <c r="E101" s="16" t="s">
        <v>44</v>
      </c>
      <c r="F101" s="16" t="s">
        <v>310</v>
      </c>
      <c r="G101" s="16" t="s">
        <v>311</v>
      </c>
      <c r="H101" s="17" t="n">
        <v>1808</v>
      </c>
      <c r="I101" s="17" t="n">
        <v>2049</v>
      </c>
      <c r="J101" s="17"/>
      <c r="K101" s="17" t="n">
        <v>1878</v>
      </c>
      <c r="L101" s="17" t="n">
        <f aca="false">IF(AND(IFERROR(SEARCH("현대오일뱅크",$C101),0)&gt;0,IFERROR(SEARCH("직영",$C101),0)&gt;0),$B$13,0)</f>
        <v>-10</v>
      </c>
      <c r="M101" s="17" t="n">
        <f aca="false">IF($H101="","",$H101+$L101)</f>
        <v>1798</v>
      </c>
      <c r="N101" s="17" t="n">
        <f aca="false">IF($I101="","",$I101+$L101)</f>
        <v>2039</v>
      </c>
      <c r="O101" s="17" t="n">
        <f aca="false">IF($K101="","",$K101+$L101)</f>
        <v>1868</v>
      </c>
      <c r="P101" s="17" t="n">
        <f aca="false">IF($B$10=0,"",IFERROR(IF($B$4&gt;0,IF($M101="",1/0,$M101*$B$4),0)+IF($B$5&gt;0,IF($N101="",1/0,$N101*$B$5),0)+IF($B$6&gt;0,IF($O101="",1/0,$O101*$B$6),0),""))</f>
        <v>75646.3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75646.3</v>
      </c>
      <c r="U101" s="17" t="n">
        <f aca="false">IF($T101="","",IF($B$10=0,"",$T101/$B$10))</f>
        <v>1905.4483627204</v>
      </c>
      <c r="V101" s="17" t="n">
        <f aca="false">IF($P101="","",IF($B$10=0,"",$P101/$B$10))</f>
        <v>1905.4483627204</v>
      </c>
      <c r="W101" s="19" t="n">
        <f aca="false">IF($T101="",1000000000000000,$T101)</f>
        <v>75646.3</v>
      </c>
      <c r="X101" s="2"/>
      <c r="XFC101" s="6"/>
    </row>
    <row r="102" s="5" customFormat="true" ht="28.5" hidden="false" customHeight="true" outlineLevel="0" collapsed="false">
      <c r="A102" s="16" t="n">
        <f aca="false">IF($T102="","",1+COUNTIF($W$15:$W$728,"&lt;"&amp;W102))</f>
        <v>88</v>
      </c>
      <c r="B102" s="16" t="s">
        <v>6</v>
      </c>
      <c r="C102" s="16" t="s">
        <v>312</v>
      </c>
      <c r="D102" s="16" t="s">
        <v>48</v>
      </c>
      <c r="E102" s="16" t="s">
        <v>44</v>
      </c>
      <c r="F102" s="16" t="s">
        <v>313</v>
      </c>
      <c r="G102" s="16" t="s">
        <v>314</v>
      </c>
      <c r="H102" s="17" t="n">
        <v>1805</v>
      </c>
      <c r="I102" s="17" t="n">
        <v>2031</v>
      </c>
      <c r="J102" s="17"/>
      <c r="K102" s="17" t="n">
        <v>1805</v>
      </c>
      <c r="L102" s="17" t="n">
        <f aca="false">IF(AND(IFERROR(SEARCH("현대오일뱅크",$C102),0)&gt;0,IFERROR(SEARCH("직영",$C102),0)&gt;0),$B$13,0)</f>
        <v>0</v>
      </c>
      <c r="M102" s="17" t="n">
        <f aca="false">IF($H102="","",$H102+$L102)</f>
        <v>1805</v>
      </c>
      <c r="N102" s="17" t="n">
        <f aca="false">IF($I102="","",$I102+$L102)</f>
        <v>2031</v>
      </c>
      <c r="O102" s="17" t="n">
        <f aca="false">IF($K102="","",$K102+$L102)</f>
        <v>1805</v>
      </c>
      <c r="P102" s="17" t="n">
        <f aca="false">IF($B$10=0,"",IFERROR(IF($B$4&gt;0,IF($M102="",1/0,$M102*$B$4),0)+IF($B$5&gt;0,IF($N102="",1/0,$N102*$B$5),0)+IF($B$6&gt;0,IF($O102="",1/0,$O102*$B$6),0),""))</f>
        <v>75658.7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75658.7</v>
      </c>
      <c r="U102" s="17" t="n">
        <f aca="false">IF($T102="","",IF($B$10=0,"",$T102/$B$10))</f>
        <v>1905.76070528967</v>
      </c>
      <c r="V102" s="17" t="n">
        <f aca="false">IF($P102="","",IF($B$10=0,"",$P102/$B$10))</f>
        <v>1905.76070528967</v>
      </c>
      <c r="W102" s="19" t="n">
        <f aca="false">IF($T102="",1000000000000000,$T102)</f>
        <v>75658.7</v>
      </c>
      <c r="X102" s="2"/>
      <c r="XFC102" s="6"/>
    </row>
    <row r="103" s="5" customFormat="true" ht="28.5" hidden="false" customHeight="true" outlineLevel="0" collapsed="false">
      <c r="A103" s="16" t="n">
        <f aca="false">IF($T103="","",1+COUNTIF($W$15:$W$728,"&lt;"&amp;W103))</f>
        <v>89</v>
      </c>
      <c r="B103" s="16" t="s">
        <v>6</v>
      </c>
      <c r="C103" s="16" t="s">
        <v>315</v>
      </c>
      <c r="D103" s="16" t="s">
        <v>48</v>
      </c>
      <c r="E103" s="16" t="s">
        <v>44</v>
      </c>
      <c r="F103" s="16" t="s">
        <v>316</v>
      </c>
      <c r="G103" s="16" t="s">
        <v>317</v>
      </c>
      <c r="H103" s="17" t="n">
        <v>1828</v>
      </c>
      <c r="I103" s="17" t="n">
        <v>2008</v>
      </c>
      <c r="J103" s="17"/>
      <c r="K103" s="17" t="n">
        <v>1848</v>
      </c>
      <c r="L103" s="17" t="n">
        <f aca="false">IF(AND(IFERROR(SEARCH("현대오일뱅크",$C103),0)&gt;0,IFERROR(SEARCH("직영",$C103),0)&gt;0),$B$13,0)</f>
        <v>0</v>
      </c>
      <c r="M103" s="17" t="n">
        <f aca="false">IF($H103="","",$H103+$L103)</f>
        <v>1828</v>
      </c>
      <c r="N103" s="17" t="n">
        <f aca="false">IF($I103="","",$I103+$L103)</f>
        <v>2008</v>
      </c>
      <c r="O103" s="17" t="n">
        <f aca="false">IF($K103="","",$K103+$L103)</f>
        <v>1848</v>
      </c>
      <c r="P103" s="17" t="n">
        <f aca="false">IF($B$10=0,"",IFERROR(IF($B$4&gt;0,IF($M103="",1/0,$M103*$B$4),0)+IF($B$5&gt;0,IF($N103="",1/0,$N103*$B$5),0)+IF($B$6&gt;0,IF($O103="",1/0,$O103*$B$6),0),""))</f>
        <v>75757.6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75757.6</v>
      </c>
      <c r="U103" s="17" t="n">
        <f aca="false">IF($T103="","",IF($B$10=0,"",$T103/$B$10))</f>
        <v>1908.25188916877</v>
      </c>
      <c r="V103" s="17" t="n">
        <f aca="false">IF($P103="","",IF($B$10=0,"",$P103/$B$10))</f>
        <v>1908.25188916877</v>
      </c>
      <c r="W103" s="19" t="n">
        <f aca="false">IF($T103="",1000000000000000,$T103)</f>
        <v>75757.6</v>
      </c>
      <c r="X103" s="2"/>
      <c r="XFC103" s="6"/>
    </row>
    <row r="104" s="5" customFormat="true" ht="28.5" hidden="false" customHeight="true" outlineLevel="0" collapsed="false">
      <c r="A104" s="16" t="n">
        <f aca="false">IF($T104="","",1+COUNTIF($W$15:$W$728,"&lt;"&amp;W104))</f>
        <v>90</v>
      </c>
      <c r="B104" s="16" t="s">
        <v>10</v>
      </c>
      <c r="C104" s="16" t="s">
        <v>318</v>
      </c>
      <c r="D104" s="16" t="s">
        <v>43</v>
      </c>
      <c r="E104" s="16" t="s">
        <v>44</v>
      </c>
      <c r="F104" s="16" t="s">
        <v>319</v>
      </c>
      <c r="G104" s="16" t="s">
        <v>320</v>
      </c>
      <c r="H104" s="17" t="n">
        <v>1794</v>
      </c>
      <c r="I104" s="17" t="n">
        <v>2079</v>
      </c>
      <c r="J104" s="17" t="s">
        <v>44</v>
      </c>
      <c r="K104" s="17" t="n">
        <v>1728</v>
      </c>
      <c r="L104" s="17" t="n">
        <f aca="false">IF(AND(IFERROR(SEARCH("현대오일뱅크",$C104),0)&gt;0,IFERROR(SEARCH("직영",$C104),0)&gt;0),$B$13,0)</f>
        <v>-10</v>
      </c>
      <c r="M104" s="17" t="n">
        <f aca="false">IF($H104="","",$H104+$L104)</f>
        <v>1784</v>
      </c>
      <c r="N104" s="17" t="n">
        <f aca="false">IF($I104="","",$I104+$L104)</f>
        <v>2069</v>
      </c>
      <c r="O104" s="17" t="n">
        <f aca="false">IF($K104="","",$K104+$L104)</f>
        <v>1718</v>
      </c>
      <c r="P104" s="17" t="n">
        <f aca="false">IF($B$10=0,"",IFERROR(IF($B$4&gt;0,IF($M104="",1/0,$M104*$B$4),0)+IF($B$5&gt;0,IF($N104="",1/0,$N104*$B$5),0)+IF($B$6&gt;0,IF($O104="",1/0,$O104*$B$6),0),""))</f>
        <v>75869.3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75869.3</v>
      </c>
      <c r="U104" s="17" t="n">
        <f aca="false">IF($T104="","",IF($B$10=0,"",$T104/$B$10))</f>
        <v>1911.06549118388</v>
      </c>
      <c r="V104" s="17" t="n">
        <f aca="false">IF($P104="","",IF($B$10=0,"",$P104/$B$10))</f>
        <v>1911.06549118388</v>
      </c>
      <c r="W104" s="19" t="n">
        <f aca="false">IF($T104="",1000000000000000,$T104)</f>
        <v>75869.3</v>
      </c>
      <c r="X104" s="2"/>
      <c r="XFC104" s="6"/>
    </row>
    <row r="105" s="5" customFormat="true" ht="28.5" hidden="false" customHeight="true" outlineLevel="0" collapsed="false">
      <c r="A105" s="16" t="n">
        <f aca="false">IF($T105="","",1+COUNTIF($W$15:$W$728,"&lt;"&amp;W105))</f>
        <v>91</v>
      </c>
      <c r="B105" s="16" t="s">
        <v>10</v>
      </c>
      <c r="C105" s="16" t="s">
        <v>321</v>
      </c>
      <c r="D105" s="20" t="s">
        <v>131</v>
      </c>
      <c r="E105" s="16" t="s">
        <v>44</v>
      </c>
      <c r="F105" s="16" t="s">
        <v>322</v>
      </c>
      <c r="G105" s="16" t="s">
        <v>323</v>
      </c>
      <c r="H105" s="17" t="n">
        <v>1849</v>
      </c>
      <c r="I105" s="17" t="n">
        <v>1989</v>
      </c>
      <c r="J105" s="17"/>
      <c r="K105" s="17" t="n">
        <v>1899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1849</v>
      </c>
      <c r="N105" s="17" t="n">
        <f aca="false">IF($I105="","",$I105+$L105)</f>
        <v>1989</v>
      </c>
      <c r="O105" s="17" t="n">
        <f aca="false">IF($K105="","",$K105+$L105)</f>
        <v>1899</v>
      </c>
      <c r="P105" s="17" t="n">
        <f aca="false">IF($B$10=0,"",IFERROR(IF($B$4&gt;0,IF($M105="",1/0,$M105*$B$4),0)+IF($B$5&gt;0,IF($N105="",1/0,$N105*$B$5),0)+IF($B$6&gt;0,IF($O105="",1/0,$O105*$B$6),0),""))</f>
        <v>75883.3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75883.3</v>
      </c>
      <c r="U105" s="17" t="n">
        <f aca="false">IF($T105="","",IF($B$10=0,"",$T105/$B$10))</f>
        <v>1911.41813602015</v>
      </c>
      <c r="V105" s="17" t="n">
        <f aca="false">IF($P105="","",IF($B$10=0,"",$P105/$B$10))</f>
        <v>1911.41813602015</v>
      </c>
      <c r="W105" s="19" t="n">
        <f aca="false">IF($T105="",1000000000000000,$T105)</f>
        <v>75883.3</v>
      </c>
      <c r="X105" s="2"/>
      <c r="XFC105" s="6"/>
    </row>
    <row r="106" s="5" customFormat="true" ht="28.5" hidden="false" customHeight="true" outlineLevel="0" collapsed="false">
      <c r="A106" s="16" t="n">
        <f aca="false">IF($T106="","",1+COUNTIF($W$15:$W$728,"&lt;"&amp;W106))</f>
        <v>91</v>
      </c>
      <c r="B106" s="16" t="s">
        <v>6</v>
      </c>
      <c r="C106" s="16" t="s">
        <v>324</v>
      </c>
      <c r="D106" s="20" t="s">
        <v>131</v>
      </c>
      <c r="E106" s="16" t="s">
        <v>44</v>
      </c>
      <c r="F106" s="16" t="s">
        <v>325</v>
      </c>
      <c r="G106" s="16" t="s">
        <v>326</v>
      </c>
      <c r="H106" s="17" t="n">
        <v>1849</v>
      </c>
      <c r="I106" s="17" t="n">
        <v>1989</v>
      </c>
      <c r="J106" s="17"/>
      <c r="K106" s="17" t="n">
        <v>1798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1849</v>
      </c>
      <c r="N106" s="17" t="n">
        <f aca="false">IF($I106="","",$I106+$L106)</f>
        <v>1989</v>
      </c>
      <c r="O106" s="17" t="n">
        <f aca="false">IF($K106="","",$K106+$L106)</f>
        <v>1798</v>
      </c>
      <c r="P106" s="17" t="n">
        <f aca="false">IF($B$10=0,"",IFERROR(IF($B$4&gt;0,IF($M106="",1/0,$M106*$B$4),0)+IF($B$5&gt;0,IF($N106="",1/0,$N106*$B$5),0)+IF($B$6&gt;0,IF($O106="",1/0,$O106*$B$6),0),""))</f>
        <v>75883.3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75883.3</v>
      </c>
      <c r="U106" s="17" t="n">
        <f aca="false">IF($T106="","",IF($B$10=0,"",$T106/$B$10))</f>
        <v>1911.41813602015</v>
      </c>
      <c r="V106" s="17" t="n">
        <f aca="false">IF($P106="","",IF($B$10=0,"",$P106/$B$10))</f>
        <v>1911.41813602015</v>
      </c>
      <c r="W106" s="19" t="n">
        <f aca="false">IF($T106="",1000000000000000,$T106)</f>
        <v>75883.3</v>
      </c>
      <c r="X106" s="2"/>
      <c r="XFC106" s="6"/>
    </row>
    <row r="107" s="5" customFormat="true" ht="28.5" hidden="false" customHeight="true" outlineLevel="0" collapsed="false">
      <c r="A107" s="16" t="n">
        <f aca="false">IF($T107="","",1+COUNTIF($W$15:$W$728,"&lt;"&amp;W107))</f>
        <v>93</v>
      </c>
      <c r="B107" s="16" t="s">
        <v>12</v>
      </c>
      <c r="C107" s="16" t="s">
        <v>327</v>
      </c>
      <c r="D107" s="16" t="s">
        <v>328</v>
      </c>
      <c r="E107" s="16" t="s">
        <v>44</v>
      </c>
      <c r="F107" s="16" t="s">
        <v>329</v>
      </c>
      <c r="G107" s="16" t="s">
        <v>330</v>
      </c>
      <c r="H107" s="17" t="n">
        <v>1778</v>
      </c>
      <c r="I107" s="17" t="n">
        <v>2079</v>
      </c>
      <c r="J107" s="17"/>
      <c r="K107" s="17" t="n">
        <v>1790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1778</v>
      </c>
      <c r="N107" s="17" t="n">
        <f aca="false">IF($I107="","",$I107+$L107)</f>
        <v>2079</v>
      </c>
      <c r="O107" s="17" t="n">
        <f aca="false">IF($K107="","",$K107+$L107)</f>
        <v>1790</v>
      </c>
      <c r="P107" s="17" t="n">
        <f aca="false">IF($B$10=0,"",IFERROR(IF($B$4&gt;0,IF($M107="",1/0,$M107*$B$4),0)+IF($B$5&gt;0,IF($N107="",1/0,$N107*$B$5),0)+IF($B$6&gt;0,IF($O107="",1/0,$O107*$B$6),0),""))</f>
        <v>75914.3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75914.3</v>
      </c>
      <c r="U107" s="17" t="n">
        <f aca="false">IF($T107="","",IF($B$10=0,"",$T107/$B$10))</f>
        <v>1912.19899244332</v>
      </c>
      <c r="V107" s="17" t="n">
        <f aca="false">IF($P107="","",IF($B$10=0,"",$P107/$B$10))</f>
        <v>1912.19899244332</v>
      </c>
      <c r="W107" s="19" t="n">
        <f aca="false">IF($T107="",1000000000000000,$T107)</f>
        <v>75914.3</v>
      </c>
      <c r="X107" s="2"/>
      <c r="XFC107" s="6"/>
    </row>
    <row r="108" s="5" customFormat="true" ht="28.5" hidden="false" customHeight="true" outlineLevel="0" collapsed="false">
      <c r="A108" s="16" t="n">
        <f aca="false">IF($T108="","",1+COUNTIF($W$15:$W$728,"&lt;"&amp;W108))</f>
        <v>93</v>
      </c>
      <c r="B108" s="16" t="s">
        <v>12</v>
      </c>
      <c r="C108" s="16" t="s">
        <v>331</v>
      </c>
      <c r="D108" s="16" t="s">
        <v>328</v>
      </c>
      <c r="E108" s="16" t="s">
        <v>44</v>
      </c>
      <c r="F108" s="16" t="s">
        <v>332</v>
      </c>
      <c r="G108" s="16" t="s">
        <v>333</v>
      </c>
      <c r="H108" s="17" t="n">
        <v>1778</v>
      </c>
      <c r="I108" s="17" t="n">
        <v>2079</v>
      </c>
      <c r="J108" s="17"/>
      <c r="K108" s="17" t="n">
        <v>1788</v>
      </c>
      <c r="L108" s="17" t="n">
        <f aca="false">IF(AND(IFERROR(SEARCH("현대오일뱅크",$C108),0)&gt;0,IFERROR(SEARCH("직영",$C108),0)&gt;0),$B$13,0)</f>
        <v>0</v>
      </c>
      <c r="M108" s="17" t="n">
        <f aca="false">IF($H108="","",$H108+$L108)</f>
        <v>1778</v>
      </c>
      <c r="N108" s="17" t="n">
        <f aca="false">IF($I108="","",$I108+$L108)</f>
        <v>2079</v>
      </c>
      <c r="O108" s="17" t="n">
        <f aca="false">IF($K108="","",$K108+$L108)</f>
        <v>1788</v>
      </c>
      <c r="P108" s="17" t="n">
        <f aca="false">IF($B$10=0,"",IFERROR(IF($B$4&gt;0,IF($M108="",1/0,$M108*$B$4),0)+IF($B$5&gt;0,IF($N108="",1/0,$N108*$B$5),0)+IF($B$6&gt;0,IF($O108="",1/0,$O108*$B$6),0),""))</f>
        <v>75914.3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75914.3</v>
      </c>
      <c r="U108" s="17" t="n">
        <f aca="false">IF($T108="","",IF($B$10=0,"",$T108/$B$10))</f>
        <v>1912.19899244332</v>
      </c>
      <c r="V108" s="17" t="n">
        <f aca="false">IF($P108="","",IF($B$10=0,"",$P108/$B$10))</f>
        <v>1912.19899244332</v>
      </c>
      <c r="W108" s="19" t="n">
        <f aca="false">IF($T108="",1000000000000000,$T108)</f>
        <v>75914.3</v>
      </c>
      <c r="X108" s="2"/>
      <c r="XFC108" s="6"/>
    </row>
    <row r="109" s="5" customFormat="true" ht="28.5" hidden="false" customHeight="true" outlineLevel="0" collapsed="false">
      <c r="A109" s="16" t="n">
        <f aca="false">IF($T109="","",1+COUNTIF($W$15:$W$728,"&lt;"&amp;W109))</f>
        <v>95</v>
      </c>
      <c r="B109" s="16" t="s">
        <v>8</v>
      </c>
      <c r="C109" s="16" t="s">
        <v>334</v>
      </c>
      <c r="D109" s="16" t="s">
        <v>43</v>
      </c>
      <c r="E109" s="16" t="s">
        <v>44</v>
      </c>
      <c r="F109" s="16" t="s">
        <v>335</v>
      </c>
      <c r="G109" s="16" t="s">
        <v>336</v>
      </c>
      <c r="H109" s="17" t="n">
        <v>1808</v>
      </c>
      <c r="I109" s="17" t="n">
        <v>2065</v>
      </c>
      <c r="J109" s="17"/>
      <c r="K109" s="17" t="n">
        <v>1849</v>
      </c>
      <c r="L109" s="17" t="n">
        <f aca="false">IF(AND(IFERROR(SEARCH("현대오일뱅크",$C109),0)&gt;0,IFERROR(SEARCH("직영",$C109),0)&gt;0),$B$13,0)</f>
        <v>-10</v>
      </c>
      <c r="M109" s="17" t="n">
        <f aca="false">IF($H109="","",$H109+$L109)</f>
        <v>1798</v>
      </c>
      <c r="N109" s="17" t="n">
        <f aca="false">IF($I109="","",$I109+$L109)</f>
        <v>2055</v>
      </c>
      <c r="O109" s="17" t="n">
        <f aca="false">IF($K109="","",$K109+$L109)</f>
        <v>1839</v>
      </c>
      <c r="P109" s="17" t="n">
        <f aca="false">IF($B$10=0,"",IFERROR(IF($B$4&gt;0,IF($M109="",1/0,$M109*$B$4),0)+IF($B$5&gt;0,IF($N109="",1/0,$N109*$B$5),0)+IF($B$6&gt;0,IF($O109="",1/0,$O109*$B$6),0),""))</f>
        <v>75929.5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75929.5</v>
      </c>
      <c r="U109" s="17" t="n">
        <f aca="false">IF($T109="","",IF($B$10=0,"",$T109/$B$10))</f>
        <v>1912.58186397985</v>
      </c>
      <c r="V109" s="17" t="n">
        <f aca="false">IF($P109="","",IF($B$10=0,"",$P109/$B$10))</f>
        <v>1912.58186397985</v>
      </c>
      <c r="W109" s="19" t="n">
        <f aca="false">IF($T109="",1000000000000000,$T109)</f>
        <v>75929.5</v>
      </c>
      <c r="X109" s="2"/>
      <c r="XFC109" s="6"/>
    </row>
    <row r="110" s="5" customFormat="true" ht="28.5" hidden="false" customHeight="true" outlineLevel="0" collapsed="false">
      <c r="A110" s="16" t="n">
        <f aca="false">IF($T110="","",1+COUNTIF($W$15:$W$728,"&lt;"&amp;W110))</f>
        <v>96</v>
      </c>
      <c r="B110" s="16" t="s">
        <v>10</v>
      </c>
      <c r="C110" s="16" t="s">
        <v>337</v>
      </c>
      <c r="D110" s="16" t="s">
        <v>48</v>
      </c>
      <c r="E110" s="16" t="s">
        <v>44</v>
      </c>
      <c r="F110" s="16" t="s">
        <v>338</v>
      </c>
      <c r="G110" s="16" t="s">
        <v>339</v>
      </c>
      <c r="H110" s="17" t="n">
        <v>1869</v>
      </c>
      <c r="I110" s="17" t="n">
        <v>1969</v>
      </c>
      <c r="J110" s="17"/>
      <c r="K110" s="17" t="n">
        <v>1859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1869</v>
      </c>
      <c r="N110" s="17" t="n">
        <f aca="false">IF($I110="","",$I110+$L110)</f>
        <v>1969</v>
      </c>
      <c r="O110" s="17" t="n">
        <f aca="false">IF($K110="","",$K110+$L110)</f>
        <v>1859</v>
      </c>
      <c r="P110" s="17" t="n">
        <f aca="false">IF($B$10=0,"",IFERROR(IF($B$4&gt;0,IF($M110="",1/0,$M110*$B$4),0)+IF($B$5&gt;0,IF($N110="",1/0,$N110*$B$5),0)+IF($B$6&gt;0,IF($O110="",1/0,$O110*$B$6),0),""))</f>
        <v>75969.3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75969.3</v>
      </c>
      <c r="U110" s="17" t="n">
        <f aca="false">IF($T110="","",IF($B$10=0,"",$T110/$B$10))</f>
        <v>1913.58438287154</v>
      </c>
      <c r="V110" s="17" t="n">
        <f aca="false">IF($P110="","",IF($B$10=0,"",$P110/$B$10))</f>
        <v>1913.58438287154</v>
      </c>
      <c r="W110" s="19" t="n">
        <f aca="false">IF($T110="",1000000000000000,$T110)</f>
        <v>75969.3</v>
      </c>
      <c r="X110" s="2"/>
      <c r="XFC110" s="6"/>
    </row>
    <row r="111" s="5" customFormat="true" ht="28.5" hidden="false" customHeight="true" outlineLevel="0" collapsed="false">
      <c r="A111" s="16" t="n">
        <f aca="false">IF($T111="","",1+COUNTIF($W$15:$W$728,"&lt;"&amp;W111))</f>
        <v>97</v>
      </c>
      <c r="B111" s="16" t="s">
        <v>10</v>
      </c>
      <c r="C111" s="16" t="s">
        <v>340</v>
      </c>
      <c r="D111" s="16" t="s">
        <v>141</v>
      </c>
      <c r="E111" s="16" t="s">
        <v>44</v>
      </c>
      <c r="F111" s="16" t="s">
        <v>341</v>
      </c>
      <c r="G111" s="16" t="s">
        <v>342</v>
      </c>
      <c r="H111" s="17" t="n">
        <v>1859</v>
      </c>
      <c r="I111" s="17" t="n">
        <v>1989</v>
      </c>
      <c r="J111" s="17"/>
      <c r="K111" s="17" t="n">
        <v>1859</v>
      </c>
      <c r="L111" s="17" t="n">
        <f aca="false">IF(AND(IFERROR(SEARCH("현대오일뱅크",$C111),0)&gt;0,IFERROR(SEARCH("직영",$C111),0)&gt;0),$B$13,0)</f>
        <v>0</v>
      </c>
      <c r="M111" s="17" t="n">
        <f aca="false">IF($H111="","",$H111+$L111)</f>
        <v>1859</v>
      </c>
      <c r="N111" s="17" t="n">
        <f aca="false">IF($I111="","",$I111+$L111)</f>
        <v>1989</v>
      </c>
      <c r="O111" s="17" t="n">
        <f aca="false">IF($K111="","",$K111+$L111)</f>
        <v>1859</v>
      </c>
      <c r="P111" s="17" t="n">
        <f aca="false">IF($B$10=0,"",IFERROR(IF($B$4&gt;0,IF($M111="",1/0,$M111*$B$4),0)+IF($B$5&gt;0,IF($N111="",1/0,$N111*$B$5),0)+IF($B$6&gt;0,IF($O111="",1/0,$O111*$B$6),0),""))</f>
        <v>76103.3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76103.3</v>
      </c>
      <c r="U111" s="17" t="n">
        <f aca="false">IF($T111="","",IF($B$10=0,"",$T111/$B$10))</f>
        <v>1916.959697733</v>
      </c>
      <c r="V111" s="17" t="n">
        <f aca="false">IF($P111="","",IF($B$10=0,"",$P111/$B$10))</f>
        <v>1916.959697733</v>
      </c>
      <c r="W111" s="19" t="n">
        <f aca="false">IF($T111="",1000000000000000,$T111)</f>
        <v>76103.3</v>
      </c>
      <c r="X111" s="2"/>
      <c r="XFC111" s="6"/>
    </row>
    <row r="112" s="5" customFormat="true" ht="28.5" hidden="false" customHeight="true" outlineLevel="0" collapsed="false">
      <c r="A112" s="16" t="n">
        <f aca="false">IF($T112="","",1+COUNTIF($W$15:$W$728,"&lt;"&amp;W112))</f>
        <v>97</v>
      </c>
      <c r="B112" s="16" t="s">
        <v>12</v>
      </c>
      <c r="C112" s="16" t="s">
        <v>343</v>
      </c>
      <c r="D112" s="20" t="s">
        <v>131</v>
      </c>
      <c r="E112" s="16" t="s">
        <v>58</v>
      </c>
      <c r="F112" s="16" t="s">
        <v>344</v>
      </c>
      <c r="G112" s="16" t="s">
        <v>345</v>
      </c>
      <c r="H112" s="17" t="n">
        <v>1859</v>
      </c>
      <c r="I112" s="17" t="n">
        <v>1989</v>
      </c>
      <c r="J112" s="17"/>
      <c r="K112" s="17" t="n">
        <v>1798</v>
      </c>
      <c r="L112" s="17" t="n">
        <f aca="false">IF(AND(IFERROR(SEARCH("현대오일뱅크",$C112),0)&gt;0,IFERROR(SEARCH("직영",$C112),0)&gt;0),$B$13,0)</f>
        <v>0</v>
      </c>
      <c r="M112" s="17" t="n">
        <f aca="false">IF($H112="","",$H112+$L112)</f>
        <v>1859</v>
      </c>
      <c r="N112" s="17" t="n">
        <f aca="false">IF($I112="","",$I112+$L112)</f>
        <v>1989</v>
      </c>
      <c r="O112" s="17" t="n">
        <f aca="false">IF($K112="","",$K112+$L112)</f>
        <v>1798</v>
      </c>
      <c r="P112" s="17" t="n">
        <f aca="false">IF($B$10=0,"",IFERROR(IF($B$4&gt;0,IF($M112="",1/0,$M112*$B$4),0)+IF($B$5&gt;0,IF($N112="",1/0,$N112*$B$5),0)+IF($B$6&gt;0,IF($O112="",1/0,$O112*$B$6),0),""))</f>
        <v>76103.3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76103.3</v>
      </c>
      <c r="U112" s="17" t="n">
        <f aca="false">IF($T112="","",IF($B$10=0,"",$T112/$B$10))</f>
        <v>1916.959697733</v>
      </c>
      <c r="V112" s="17" t="n">
        <f aca="false">IF($P112="","",IF($B$10=0,"",$P112/$B$10))</f>
        <v>1916.959697733</v>
      </c>
      <c r="W112" s="19" t="n">
        <f aca="false">IF($T112="",1000000000000000,$T112)</f>
        <v>76103.3</v>
      </c>
      <c r="X112" s="2"/>
      <c r="XFC112" s="6"/>
    </row>
    <row r="113" s="5" customFormat="true" ht="28.5" hidden="false" customHeight="true" outlineLevel="0" collapsed="false">
      <c r="A113" s="16" t="n">
        <f aca="false">IF($T113="","",1+COUNTIF($W$15:$W$728,"&lt;"&amp;W113))</f>
        <v>99</v>
      </c>
      <c r="B113" s="16" t="s">
        <v>10</v>
      </c>
      <c r="C113" s="16" t="s">
        <v>346</v>
      </c>
      <c r="D113" s="20" t="s">
        <v>131</v>
      </c>
      <c r="E113" s="16" t="s">
        <v>44</v>
      </c>
      <c r="F113" s="16" t="s">
        <v>347</v>
      </c>
      <c r="G113" s="16" t="s">
        <v>348</v>
      </c>
      <c r="H113" s="17" t="n">
        <v>1829</v>
      </c>
      <c r="I113" s="17" t="n">
        <v>2029</v>
      </c>
      <c r="J113" s="17"/>
      <c r="K113" s="17" t="n">
        <v>1829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1829</v>
      </c>
      <c r="N113" s="17" t="n">
        <f aca="false">IF($I113="","",$I113+$L113)</f>
        <v>2029</v>
      </c>
      <c r="O113" s="17" t="n">
        <f aca="false">IF($K113="","",$K113+$L113)</f>
        <v>1829</v>
      </c>
      <c r="P113" s="17" t="n">
        <f aca="false">IF($B$10=0,"",IFERROR(IF($B$4&gt;0,IF($M113="",1/0,$M113*$B$4),0)+IF($B$5&gt;0,IF($N113="",1/0,$N113*$B$5),0)+IF($B$6&gt;0,IF($O113="",1/0,$O113*$B$6),0),""))</f>
        <v>76151.3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76151.3</v>
      </c>
      <c r="U113" s="17" t="n">
        <f aca="false">IF($T113="","",IF($B$10=0,"",$T113/$B$10))</f>
        <v>1918.16876574307</v>
      </c>
      <c r="V113" s="17" t="n">
        <f aca="false">IF($P113="","",IF($B$10=0,"",$P113/$B$10))</f>
        <v>1918.16876574307</v>
      </c>
      <c r="W113" s="19" t="n">
        <f aca="false">IF($T113="",1000000000000000,$T113)</f>
        <v>76151.3</v>
      </c>
      <c r="X113" s="2"/>
      <c r="XFC113" s="6"/>
    </row>
    <row r="114" s="5" customFormat="true" ht="28.5" hidden="false" customHeight="true" outlineLevel="0" collapsed="false">
      <c r="A114" s="16" t="n">
        <f aca="false">IF($T114="","",1+COUNTIF($W$15:$W$728,"&lt;"&amp;W114))</f>
        <v>100</v>
      </c>
      <c r="B114" s="16" t="s">
        <v>10</v>
      </c>
      <c r="C114" s="16" t="s">
        <v>349</v>
      </c>
      <c r="D114" s="20" t="s">
        <v>131</v>
      </c>
      <c r="E114" s="16" t="s">
        <v>44</v>
      </c>
      <c r="F114" s="16" t="s">
        <v>350</v>
      </c>
      <c r="G114" s="16" t="s">
        <v>351</v>
      </c>
      <c r="H114" s="17" t="n">
        <v>1855</v>
      </c>
      <c r="I114" s="17" t="n">
        <v>1999</v>
      </c>
      <c r="J114" s="17"/>
      <c r="K114" s="17" t="n">
        <v>1895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1855</v>
      </c>
      <c r="N114" s="17" t="n">
        <f aca="false">IF($I114="","",$I114+$L114)</f>
        <v>1999</v>
      </c>
      <c r="O114" s="17" t="n">
        <f aca="false">IF($K114="","",$K114+$L114)</f>
        <v>1895</v>
      </c>
      <c r="P114" s="17" t="n">
        <f aca="false">IF($B$10=0,"",IFERROR(IF($B$4&gt;0,IF($M114="",1/0,$M114*$B$4),0)+IF($B$5&gt;0,IF($N114="",1/0,$N114*$B$5),0)+IF($B$6&gt;0,IF($O114="",1/0,$O114*$B$6),0),""))</f>
        <v>76192.3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76192.3</v>
      </c>
      <c r="U114" s="17" t="n">
        <f aca="false">IF($T114="","",IF($B$10=0,"",$T114/$B$10))</f>
        <v>1919.20151133501</v>
      </c>
      <c r="V114" s="17" t="n">
        <f aca="false">IF($P114="","",IF($B$10=0,"",$P114/$B$10))</f>
        <v>1919.20151133501</v>
      </c>
      <c r="W114" s="19" t="n">
        <f aca="false">IF($T114="",1000000000000000,$T114)</f>
        <v>76192.3</v>
      </c>
      <c r="X114" s="2"/>
      <c r="XFC114" s="6"/>
    </row>
    <row r="115" s="5" customFormat="true" ht="28.5" hidden="false" customHeight="true" outlineLevel="0" collapsed="false">
      <c r="A115" s="16" t="n">
        <f aca="false">IF($T115="","",1+COUNTIF($W$15:$W$728,"&lt;"&amp;W115))</f>
        <v>100</v>
      </c>
      <c r="B115" s="16" t="s">
        <v>10</v>
      </c>
      <c r="C115" s="16" t="s">
        <v>352</v>
      </c>
      <c r="D115" s="20" t="s">
        <v>131</v>
      </c>
      <c r="E115" s="16" t="s">
        <v>44</v>
      </c>
      <c r="F115" s="16" t="s">
        <v>353</v>
      </c>
      <c r="G115" s="16" t="s">
        <v>354</v>
      </c>
      <c r="H115" s="17" t="n">
        <v>1855</v>
      </c>
      <c r="I115" s="17" t="n">
        <v>1999</v>
      </c>
      <c r="J115" s="17"/>
      <c r="K115" s="17" t="n">
        <v>1895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1855</v>
      </c>
      <c r="N115" s="17" t="n">
        <f aca="false">IF($I115="","",$I115+$L115)</f>
        <v>1999</v>
      </c>
      <c r="O115" s="17" t="n">
        <f aca="false">IF($K115="","",$K115+$L115)</f>
        <v>1895</v>
      </c>
      <c r="P115" s="17" t="n">
        <f aca="false">IF($B$10=0,"",IFERROR(IF($B$4&gt;0,IF($M115="",1/0,$M115*$B$4),0)+IF($B$5&gt;0,IF($N115="",1/0,$N115*$B$5),0)+IF($B$6&gt;0,IF($O115="",1/0,$O115*$B$6),0),""))</f>
        <v>76192.3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76192.3</v>
      </c>
      <c r="U115" s="17" t="n">
        <f aca="false">IF($T115="","",IF($B$10=0,"",$T115/$B$10))</f>
        <v>1919.20151133501</v>
      </c>
      <c r="V115" s="17" t="n">
        <f aca="false">IF($P115="","",IF($B$10=0,"",$P115/$B$10))</f>
        <v>1919.20151133501</v>
      </c>
      <c r="W115" s="19" t="n">
        <f aca="false">IF($T115="",1000000000000000,$T115)</f>
        <v>76192.3</v>
      </c>
      <c r="X115" s="2"/>
      <c r="XFC115" s="6"/>
    </row>
    <row r="116" s="5" customFormat="true" ht="28.5" hidden="false" customHeight="true" outlineLevel="0" collapsed="false">
      <c r="A116" s="16" t="n">
        <f aca="false">IF($T116="","",1+COUNTIF($W$15:$W$728,"&lt;"&amp;W116))</f>
        <v>102</v>
      </c>
      <c r="B116" s="16" t="s">
        <v>10</v>
      </c>
      <c r="C116" s="16" t="s">
        <v>355</v>
      </c>
      <c r="D116" s="20" t="s">
        <v>131</v>
      </c>
      <c r="E116" s="16" t="s">
        <v>44</v>
      </c>
      <c r="F116" s="16" t="s">
        <v>356</v>
      </c>
      <c r="G116" s="16" t="s">
        <v>357</v>
      </c>
      <c r="H116" s="17" t="n">
        <v>1890</v>
      </c>
      <c r="I116" s="17" t="n">
        <v>1969</v>
      </c>
      <c r="J116" s="17"/>
      <c r="K116" s="17" t="n">
        <v>1890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1890</v>
      </c>
      <c r="N116" s="17" t="n">
        <f aca="false">IF($I116="","",$I116+$L116)</f>
        <v>1969</v>
      </c>
      <c r="O116" s="17" t="n">
        <f aca="false">IF($K116="","",$K116+$L116)</f>
        <v>1890</v>
      </c>
      <c r="P116" s="17" t="n">
        <f aca="false">IF($B$10=0,"",IFERROR(IF($B$4&gt;0,IF($M116="",1/0,$M116*$B$4),0)+IF($B$5&gt;0,IF($N116="",1/0,$N116*$B$5),0)+IF($B$6&gt;0,IF($O116="",1/0,$O116*$B$6),0),""))</f>
        <v>76431.3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76431.3</v>
      </c>
      <c r="U116" s="17" t="n">
        <f aca="false">IF($T116="","",IF($B$10=0,"",$T116/$B$10))</f>
        <v>1925.22166246851</v>
      </c>
      <c r="V116" s="17" t="n">
        <f aca="false">IF($P116="","",IF($B$10=0,"",$P116/$B$10))</f>
        <v>1925.22166246851</v>
      </c>
      <c r="W116" s="19" t="n">
        <f aca="false">IF($T116="",1000000000000000,$T116)</f>
        <v>76431.3</v>
      </c>
      <c r="X116" s="2"/>
      <c r="XFC116" s="6"/>
    </row>
    <row r="117" s="5" customFormat="true" ht="28.5" hidden="false" customHeight="true" outlineLevel="0" collapsed="false">
      <c r="A117" s="16" t="n">
        <f aca="false">IF($T117="","",1+COUNTIF($W$15:$W$728,"&lt;"&amp;W117))</f>
        <v>103</v>
      </c>
      <c r="B117" s="16" t="s">
        <v>10</v>
      </c>
      <c r="C117" s="16" t="s">
        <v>358</v>
      </c>
      <c r="D117" s="16" t="s">
        <v>281</v>
      </c>
      <c r="E117" s="16" t="s">
        <v>44</v>
      </c>
      <c r="F117" s="16" t="s">
        <v>359</v>
      </c>
      <c r="G117" s="16" t="s">
        <v>360</v>
      </c>
      <c r="H117" s="17" t="n">
        <v>1830</v>
      </c>
      <c r="I117" s="17" t="n">
        <v>2048</v>
      </c>
      <c r="J117" s="17"/>
      <c r="K117" s="17" t="n">
        <v>1847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1830</v>
      </c>
      <c r="N117" s="17" t="n">
        <f aca="false">IF($I117="","",$I117+$L117)</f>
        <v>2048</v>
      </c>
      <c r="O117" s="17" t="n">
        <f aca="false">IF($K117="","",$K117+$L117)</f>
        <v>1847</v>
      </c>
      <c r="P117" s="17" t="n">
        <f aca="false">IF($B$10=0,"",IFERROR(IF($B$4&gt;0,IF($M117="",1/0,$M117*$B$4),0)+IF($B$5&gt;0,IF($N117="",1/0,$N117*$B$5),0)+IF($B$6&gt;0,IF($O117="",1/0,$O117*$B$6),0),""))</f>
        <v>76509.6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76509.6</v>
      </c>
      <c r="U117" s="17" t="n">
        <f aca="false">IF($T117="","",IF($B$10=0,"",$T117/$B$10))</f>
        <v>1927.19395465995</v>
      </c>
      <c r="V117" s="17" t="n">
        <f aca="false">IF($P117="","",IF($B$10=0,"",$P117/$B$10))</f>
        <v>1927.19395465995</v>
      </c>
      <c r="W117" s="19" t="n">
        <f aca="false">IF($T117="",1000000000000000,$T117)</f>
        <v>76509.6</v>
      </c>
      <c r="X117" s="2"/>
      <c r="XFC117" s="6"/>
    </row>
    <row r="118" s="5" customFormat="true" ht="28.5" hidden="false" customHeight="true" outlineLevel="0" collapsed="false">
      <c r="A118" s="16" t="n">
        <f aca="false">IF($T118="","",1+COUNTIF($W$15:$W$728,"&lt;"&amp;W118))</f>
        <v>104</v>
      </c>
      <c r="B118" s="16" t="s">
        <v>6</v>
      </c>
      <c r="C118" s="16" t="s">
        <v>361</v>
      </c>
      <c r="D118" s="16" t="s">
        <v>141</v>
      </c>
      <c r="E118" s="16" t="s">
        <v>44</v>
      </c>
      <c r="F118" s="16" t="s">
        <v>362</v>
      </c>
      <c r="G118" s="16" t="s">
        <v>363</v>
      </c>
      <c r="H118" s="17" t="n">
        <v>1875</v>
      </c>
      <c r="I118" s="17" t="n">
        <v>1994</v>
      </c>
      <c r="J118" s="17"/>
      <c r="K118" s="17" t="n">
        <v>1899</v>
      </c>
      <c r="L118" s="17" t="n">
        <f aca="false">IF(AND(IFERROR(SEARCH("현대오일뱅크",$C118),0)&gt;0,IFERROR(SEARCH("직영",$C118),0)&gt;0),$B$13,0)</f>
        <v>0</v>
      </c>
      <c r="M118" s="17" t="n">
        <f aca="false">IF($H118="","",$H118+$L118)</f>
        <v>1875</v>
      </c>
      <c r="N118" s="17" t="n">
        <f aca="false">IF($I118="","",$I118+$L118)</f>
        <v>1994</v>
      </c>
      <c r="O118" s="17" t="n">
        <f aca="false">IF($K118="","",$K118+$L118)</f>
        <v>1899</v>
      </c>
      <c r="P118" s="17" t="n">
        <f aca="false">IF($B$10=0,"",IFERROR(IF($B$4&gt;0,IF($M118="",1/0,$M118*$B$4),0)+IF($B$5&gt;0,IF($N118="",1/0,$N118*$B$5),0)+IF($B$6&gt;0,IF($O118="",1/0,$O118*$B$6),0),""))</f>
        <v>76543.8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76543.8</v>
      </c>
      <c r="U118" s="17" t="n">
        <f aca="false">IF($T118="","",IF($B$10=0,"",$T118/$B$10))</f>
        <v>1928.05541561713</v>
      </c>
      <c r="V118" s="17" t="n">
        <f aca="false">IF($P118="","",IF($B$10=0,"",$P118/$B$10))</f>
        <v>1928.05541561713</v>
      </c>
      <c r="W118" s="19" t="n">
        <f aca="false">IF($T118="",1000000000000000,$T118)</f>
        <v>76543.8</v>
      </c>
      <c r="X118" s="2"/>
      <c r="XFC118" s="6"/>
    </row>
    <row r="119" s="5" customFormat="true" ht="28.5" hidden="false" customHeight="true" outlineLevel="0" collapsed="false">
      <c r="A119" s="16" t="n">
        <f aca="false">IF($T119="","",1+COUNTIF($W$15:$W$730,"&lt;"&amp;W119))</f>
        <v>105</v>
      </c>
      <c r="B119" s="16" t="s">
        <v>14</v>
      </c>
      <c r="C119" s="16" t="s">
        <v>364</v>
      </c>
      <c r="D119" s="20" t="s">
        <v>131</v>
      </c>
      <c r="E119" s="16" t="s">
        <v>44</v>
      </c>
      <c r="F119" s="16" t="s">
        <v>365</v>
      </c>
      <c r="G119" s="16" t="s">
        <v>366</v>
      </c>
      <c r="H119" s="17" t="n">
        <v>1878</v>
      </c>
      <c r="I119" s="17" t="n">
        <v>1998</v>
      </c>
      <c r="J119" s="17"/>
      <c r="K119" s="17" t="n">
        <v>1878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1878</v>
      </c>
      <c r="N119" s="17" t="n">
        <f aca="false">IF($I119="","",$I119+$L119)</f>
        <v>1998</v>
      </c>
      <c r="O119" s="17" t="n">
        <f aca="false">IF($K119="","",$K119+$L119)</f>
        <v>1878</v>
      </c>
      <c r="P119" s="17" t="n">
        <f aca="false">IF($B$10=0,"",IFERROR(IF($B$4&gt;0,IF($M119="",1/0,$M119*$B$4),0)+IF($B$5&gt;0,IF($N119="",1/0,$N119*$B$5),0)+IF($B$6&gt;0,IF($O119="",1/0,$O119*$B$6),0),""))</f>
        <v>76680.6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76680.6</v>
      </c>
      <c r="U119" s="17" t="n">
        <f aca="false">IF($T119="","",IF($B$10=0,"",$T119/$B$10))</f>
        <v>1931.50125944584</v>
      </c>
      <c r="V119" s="17" t="n">
        <f aca="false">IF($P119="","",IF($B$10=0,"",$P119/$B$10))</f>
        <v>1931.50125944584</v>
      </c>
      <c r="W119" s="19" t="n">
        <f aca="false">IF($T119="",1000000000000000,$T119)</f>
        <v>76680.6</v>
      </c>
      <c r="X119" s="2"/>
      <c r="XFC119" s="6"/>
    </row>
    <row r="120" s="5" customFormat="true" ht="28.5" hidden="false" customHeight="true" outlineLevel="0" collapsed="false">
      <c r="A120" s="16" t="n">
        <f aca="false">IF($T120="","",1+COUNTIF($W$15:$W$728,"&lt;"&amp;W120))</f>
        <v>106</v>
      </c>
      <c r="B120" s="16" t="s">
        <v>10</v>
      </c>
      <c r="C120" s="16" t="s">
        <v>367</v>
      </c>
      <c r="D120" s="16" t="s">
        <v>48</v>
      </c>
      <c r="E120" s="16" t="s">
        <v>44</v>
      </c>
      <c r="F120" s="16" t="s">
        <v>368</v>
      </c>
      <c r="G120" s="16" t="s">
        <v>369</v>
      </c>
      <c r="H120" s="17" t="n">
        <v>1848</v>
      </c>
      <c r="I120" s="17" t="n">
        <v>2048</v>
      </c>
      <c r="J120" s="17"/>
      <c r="K120" s="17" t="n">
        <v>1777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1848</v>
      </c>
      <c r="N120" s="17" t="n">
        <f aca="false">IF($I120="","",$I120+$L120)</f>
        <v>2048</v>
      </c>
      <c r="O120" s="17" t="n">
        <f aca="false">IF($K120="","",$K120+$L120)</f>
        <v>1777</v>
      </c>
      <c r="P120" s="17" t="n">
        <f aca="false">IF($B$10=0,"",IFERROR(IF($B$4&gt;0,IF($M120="",1/0,$M120*$B$4),0)+IF($B$5&gt;0,IF($N120="",1/0,$N120*$B$5),0)+IF($B$6&gt;0,IF($O120="",1/0,$O120*$B$6),0),""))</f>
        <v>76905.6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76905.6</v>
      </c>
      <c r="U120" s="17" t="n">
        <f aca="false">IF($T120="","",IF($B$10=0,"",$T120/$B$10))</f>
        <v>1937.16876574307</v>
      </c>
      <c r="V120" s="17" t="n">
        <f aca="false">IF($P120="","",IF($B$10=0,"",$P120/$B$10))</f>
        <v>1937.16876574307</v>
      </c>
      <c r="W120" s="19" t="n">
        <f aca="false">IF($T120="",1000000000000000,$T120)</f>
        <v>76905.6</v>
      </c>
      <c r="X120" s="2"/>
      <c r="XFC120" s="6"/>
    </row>
    <row r="121" s="5" customFormat="true" ht="28.5" hidden="false" customHeight="true" outlineLevel="0" collapsed="false">
      <c r="A121" s="16" t="n">
        <f aca="false">IF($T121="","",1+COUNTIF($W$15:$W$728,"&lt;"&amp;W121))</f>
        <v>107</v>
      </c>
      <c r="B121" s="16" t="s">
        <v>10</v>
      </c>
      <c r="C121" s="16" t="s">
        <v>370</v>
      </c>
      <c r="D121" s="16" t="s">
        <v>43</v>
      </c>
      <c r="E121" s="16" t="s">
        <v>44</v>
      </c>
      <c r="F121" s="16" t="s">
        <v>371</v>
      </c>
      <c r="G121" s="16" t="s">
        <v>372</v>
      </c>
      <c r="H121" s="17" t="n">
        <v>1889</v>
      </c>
      <c r="I121" s="17" t="n">
        <v>2009</v>
      </c>
      <c r="J121" s="17"/>
      <c r="K121" s="17" t="n">
        <v>1979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1889</v>
      </c>
      <c r="N121" s="17" t="n">
        <f aca="false">IF($I121="","",$I121+$L121)</f>
        <v>2009</v>
      </c>
      <c r="O121" s="17" t="n">
        <f aca="false">IF($K121="","",$K121+$L121)</f>
        <v>1979</v>
      </c>
      <c r="P121" s="17" t="n">
        <f aca="false">IF($B$10=0,"",IFERROR(IF($B$4&gt;0,IF($M121="",1/0,$M121*$B$4),0)+IF($B$5&gt;0,IF($N121="",1/0,$N121*$B$5),0)+IF($B$6&gt;0,IF($O121="",1/0,$O121*$B$6),0),""))</f>
        <v>77117.3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77117.3</v>
      </c>
      <c r="U121" s="17" t="n">
        <f aca="false">IF($T121="","",IF($B$10=0,"",$T121/$B$10))</f>
        <v>1942.50125944584</v>
      </c>
      <c r="V121" s="17" t="n">
        <f aca="false">IF($P121="","",IF($B$10=0,"",$P121/$B$10))</f>
        <v>1942.50125944584</v>
      </c>
      <c r="W121" s="19" t="n">
        <f aca="false">IF($T121="",1000000000000000,$T121)</f>
        <v>77117.3</v>
      </c>
      <c r="X121" s="2"/>
      <c r="XFC121" s="6"/>
    </row>
    <row r="122" s="5" customFormat="true" ht="28.5" hidden="false" customHeight="true" outlineLevel="0" collapsed="false">
      <c r="A122" s="16" t="n">
        <f aca="false">IF($T122="","",1+COUNTIF($W$15:$W$728,"&lt;"&amp;W122))</f>
        <v>108</v>
      </c>
      <c r="B122" s="16" t="s">
        <v>10</v>
      </c>
      <c r="C122" s="16" t="s">
        <v>373</v>
      </c>
      <c r="D122" s="16" t="s">
        <v>141</v>
      </c>
      <c r="E122" s="16" t="s">
        <v>44</v>
      </c>
      <c r="F122" s="16" t="s">
        <v>374</v>
      </c>
      <c r="G122" s="16" t="s">
        <v>375</v>
      </c>
      <c r="H122" s="17" t="n">
        <v>1899</v>
      </c>
      <c r="I122" s="17" t="n">
        <v>1998</v>
      </c>
      <c r="J122" s="17"/>
      <c r="K122" s="17" t="n">
        <v>1899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1899</v>
      </c>
      <c r="N122" s="17" t="n">
        <f aca="false">IF($I122="","",$I122+$L122)</f>
        <v>1998</v>
      </c>
      <c r="O122" s="17" t="n">
        <f aca="false">IF($K122="","",$K122+$L122)</f>
        <v>1899</v>
      </c>
      <c r="P122" s="17" t="n">
        <f aca="false">IF($B$10=0,"",IFERROR(IF($B$4&gt;0,IF($M122="",1/0,$M122*$B$4),0)+IF($B$5&gt;0,IF($N122="",1/0,$N122*$B$5),0)+IF($B$6&gt;0,IF($O122="",1/0,$O122*$B$6),0),""))</f>
        <v>77142.6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77142.6</v>
      </c>
      <c r="U122" s="17" t="n">
        <f aca="false">IF($T122="","",IF($B$10=0,"",$T122/$B$10))</f>
        <v>1943.13853904282</v>
      </c>
      <c r="V122" s="17" t="n">
        <f aca="false">IF($P122="","",IF($B$10=0,"",$P122/$B$10))</f>
        <v>1943.13853904282</v>
      </c>
      <c r="W122" s="19" t="n">
        <f aca="false">IF($T122="",1000000000000000,$T122)</f>
        <v>77142.6</v>
      </c>
      <c r="X122" s="2"/>
      <c r="XFC122" s="6"/>
    </row>
    <row r="123" s="5" customFormat="true" ht="28.5" hidden="false" customHeight="true" outlineLevel="0" collapsed="false">
      <c r="A123" s="16" t="n">
        <f aca="false">IF($T123="","",1+COUNTIF($W$15:$W$728,"&lt;"&amp;W123))</f>
        <v>109</v>
      </c>
      <c r="B123" s="16" t="s">
        <v>6</v>
      </c>
      <c r="C123" s="16" t="s">
        <v>376</v>
      </c>
      <c r="D123" s="16" t="s">
        <v>43</v>
      </c>
      <c r="E123" s="16" t="s">
        <v>44</v>
      </c>
      <c r="F123" s="16" t="s">
        <v>377</v>
      </c>
      <c r="G123" s="16" t="s">
        <v>378</v>
      </c>
      <c r="H123" s="17" t="n">
        <v>1894</v>
      </c>
      <c r="I123" s="17" t="n">
        <v>2019</v>
      </c>
      <c r="J123" s="17"/>
      <c r="K123" s="17" t="n">
        <v>1895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1894</v>
      </c>
      <c r="N123" s="17" t="n">
        <f aca="false">IF($I123="","",$I123+$L123)</f>
        <v>2019</v>
      </c>
      <c r="O123" s="17" t="n">
        <f aca="false">IF($K123="","",$K123+$L123)</f>
        <v>1895</v>
      </c>
      <c r="P123" s="17" t="n">
        <f aca="false">IF($B$10=0,"",IFERROR(IF($B$4&gt;0,IF($M123="",1/0,$M123*$B$4),0)+IF($B$5&gt;0,IF($N123="",1/0,$N123*$B$5),0)+IF($B$6&gt;0,IF($O123="",1/0,$O123*$B$6),0),""))</f>
        <v>77404.3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77404.3</v>
      </c>
      <c r="U123" s="17" t="n">
        <f aca="false">IF($T123="","",IF($B$10=0,"",$T123/$B$10))</f>
        <v>1949.73047858942</v>
      </c>
      <c r="V123" s="17" t="n">
        <f aca="false">IF($P123="","",IF($B$10=0,"",$P123/$B$10))</f>
        <v>1949.73047858942</v>
      </c>
      <c r="W123" s="19" t="n">
        <f aca="false">IF($T123="",1000000000000000,$T123)</f>
        <v>77404.3</v>
      </c>
      <c r="X123" s="2"/>
      <c r="XFC123" s="6"/>
    </row>
    <row r="124" s="5" customFormat="true" ht="28.5" hidden="false" customHeight="true" outlineLevel="0" collapsed="false">
      <c r="A124" s="16" t="n">
        <f aca="false">IF($T124="","",1+COUNTIF($W$15:$W$728,"&lt;"&amp;W124))</f>
        <v>110</v>
      </c>
      <c r="B124" s="16" t="s">
        <v>14</v>
      </c>
      <c r="C124" s="16" t="s">
        <v>379</v>
      </c>
      <c r="D124" s="16" t="s">
        <v>48</v>
      </c>
      <c r="E124" s="16" t="s">
        <v>44</v>
      </c>
      <c r="F124" s="16" t="s">
        <v>380</v>
      </c>
      <c r="G124" s="16" t="s">
        <v>381</v>
      </c>
      <c r="H124" s="17" t="n">
        <v>1872</v>
      </c>
      <c r="I124" s="17" t="n">
        <v>2049</v>
      </c>
      <c r="J124" s="17"/>
      <c r="K124" s="17" t="n">
        <v>1872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1872</v>
      </c>
      <c r="N124" s="17" t="n">
        <f aca="false">IF($I124="","",$I124+$L124)</f>
        <v>2049</v>
      </c>
      <c r="O124" s="17" t="n">
        <f aca="false">IF($K124="","",$K124+$L124)</f>
        <v>1872</v>
      </c>
      <c r="P124" s="17" t="n">
        <f aca="false">IF($B$10=0,"",IFERROR(IF($B$4&gt;0,IF($M124="",1/0,$M124*$B$4),0)+IF($B$5&gt;0,IF($N124="",1/0,$N124*$B$5),0)+IF($B$6&gt;0,IF($O124="",1/0,$O124*$B$6),0),""))</f>
        <v>77451.3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77451.3</v>
      </c>
      <c r="U124" s="17" t="n">
        <f aca="false">IF($T124="","",IF($B$10=0,"",$T124/$B$10))</f>
        <v>1950.91435768262</v>
      </c>
      <c r="V124" s="17" t="n">
        <f aca="false">IF($P124="","",IF($B$10=0,"",$P124/$B$10))</f>
        <v>1950.91435768262</v>
      </c>
      <c r="W124" s="19" t="n">
        <f aca="false">IF($T124="",1000000000000000,$T124)</f>
        <v>77451.3</v>
      </c>
      <c r="X124" s="2"/>
      <c r="XFC124" s="6"/>
    </row>
    <row r="125" s="5" customFormat="true" ht="28.5" hidden="false" customHeight="true" outlineLevel="0" collapsed="false">
      <c r="A125" s="16" t="n">
        <f aca="false">IF($T125="","",1+COUNTIF($W$15:$W$728,"&lt;"&amp;W125))</f>
        <v>111</v>
      </c>
      <c r="B125" s="16" t="s">
        <v>10</v>
      </c>
      <c r="C125" s="16" t="s">
        <v>382</v>
      </c>
      <c r="D125" s="16" t="s">
        <v>43</v>
      </c>
      <c r="E125" s="16" t="s">
        <v>44</v>
      </c>
      <c r="F125" s="16" t="s">
        <v>383</v>
      </c>
      <c r="G125" s="16" t="s">
        <v>384</v>
      </c>
      <c r="H125" s="17" t="n">
        <v>1945</v>
      </c>
      <c r="I125" s="17" t="n">
        <v>1965</v>
      </c>
      <c r="J125" s="17"/>
      <c r="K125" s="17" t="n">
        <v>1985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1945</v>
      </c>
      <c r="N125" s="17" t="n">
        <f aca="false">IF($I125="","",$I125+$L125)</f>
        <v>1965</v>
      </c>
      <c r="O125" s="17" t="n">
        <f aca="false">IF($K125="","",$K125+$L125)</f>
        <v>1985</v>
      </c>
      <c r="P125" s="17" t="n">
        <f aca="false">IF($B$10=0,"",IFERROR(IF($B$4&gt;0,IF($M125="",1/0,$M125*$B$4),0)+IF($B$5&gt;0,IF($N125="",1/0,$N125*$B$5),0)+IF($B$6&gt;0,IF($O125="",1/0,$O125*$B$6),0),""))</f>
        <v>77570.5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77570.5</v>
      </c>
      <c r="U125" s="17" t="n">
        <f aca="false">IF($T125="","",IF($B$10=0,"",$T125/$B$10))</f>
        <v>1953.91687657431</v>
      </c>
      <c r="V125" s="17" t="n">
        <f aca="false">IF($P125="","",IF($B$10=0,"",$P125/$B$10))</f>
        <v>1953.91687657431</v>
      </c>
      <c r="W125" s="19" t="n">
        <f aca="false">IF($T125="",1000000000000000,$T125)</f>
        <v>77570.5</v>
      </c>
      <c r="X125" s="2"/>
      <c r="XFC125" s="6"/>
    </row>
    <row r="126" s="5" customFormat="true" ht="28.5" hidden="false" customHeight="true" outlineLevel="0" collapsed="false">
      <c r="A126" s="16" t="n">
        <f aca="false">IF($T126="","",1+COUNTIF($W$15:$W$728,"&lt;"&amp;W126))</f>
        <v>112</v>
      </c>
      <c r="B126" s="16" t="s">
        <v>12</v>
      </c>
      <c r="C126" s="16" t="s">
        <v>385</v>
      </c>
      <c r="D126" s="20" t="s">
        <v>208</v>
      </c>
      <c r="E126" s="16" t="s">
        <v>44</v>
      </c>
      <c r="F126" s="16" t="s">
        <v>386</v>
      </c>
      <c r="G126" s="16" t="s">
        <v>387</v>
      </c>
      <c r="H126" s="17" t="n">
        <v>1848</v>
      </c>
      <c r="I126" s="17" t="n">
        <v>2088</v>
      </c>
      <c r="J126" s="17"/>
      <c r="K126" s="17" t="n">
        <v>1888</v>
      </c>
      <c r="L126" s="17" t="n">
        <f aca="false">IF(AND(IFERROR(SEARCH("현대오일뱅크",$C126),0)&gt;0,IFERROR(SEARCH("직영",$C126),0)&gt;0),$B$13,0)</f>
        <v>0</v>
      </c>
      <c r="M126" s="17" t="n">
        <f aca="false">IF($H126="","",$H126+$L126)</f>
        <v>1848</v>
      </c>
      <c r="N126" s="17" t="n">
        <f aca="false">IF($I126="","",$I126+$L126)</f>
        <v>2088</v>
      </c>
      <c r="O126" s="17" t="n">
        <f aca="false">IF($K126="","",$K126+$L126)</f>
        <v>1888</v>
      </c>
      <c r="P126" s="17" t="n">
        <f aca="false">IF($B$10=0,"",IFERROR(IF($B$4&gt;0,IF($M126="",1/0,$M126*$B$4),0)+IF($B$5&gt;0,IF($N126="",1/0,$N126*$B$5),0)+IF($B$6&gt;0,IF($O126="",1/0,$O126*$B$6),0),""))</f>
        <v>77613.6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77613.6</v>
      </c>
      <c r="U126" s="17" t="n">
        <f aca="false">IF($T126="","",IF($B$10=0,"",$T126/$B$10))</f>
        <v>1955.00251889169</v>
      </c>
      <c r="V126" s="17" t="n">
        <f aca="false">IF($P126="","",IF($B$10=0,"",$P126/$B$10))</f>
        <v>1955.00251889169</v>
      </c>
      <c r="W126" s="19" t="n">
        <f aca="false">IF($T126="",1000000000000000,$T126)</f>
        <v>77613.6</v>
      </c>
      <c r="X126" s="2"/>
      <c r="XFC126" s="6"/>
    </row>
    <row r="127" s="5" customFormat="true" ht="28.5" hidden="false" customHeight="true" outlineLevel="0" collapsed="false">
      <c r="A127" s="16" t="n">
        <f aca="false">IF($T127="","",1+COUNTIF($W$15:$W$728,"&lt;"&amp;W127))</f>
        <v>113</v>
      </c>
      <c r="B127" s="16" t="s">
        <v>12</v>
      </c>
      <c r="C127" s="16" t="s">
        <v>388</v>
      </c>
      <c r="D127" s="20" t="s">
        <v>303</v>
      </c>
      <c r="E127" s="16" t="s">
        <v>44</v>
      </c>
      <c r="F127" s="16" t="s">
        <v>389</v>
      </c>
      <c r="G127" s="16" t="s">
        <v>390</v>
      </c>
      <c r="H127" s="17" t="n">
        <v>1808</v>
      </c>
      <c r="I127" s="17" t="n">
        <v>2178</v>
      </c>
      <c r="J127" s="17" t="s">
        <v>44</v>
      </c>
      <c r="K127" s="17" t="n">
        <v>1878</v>
      </c>
      <c r="L127" s="17" t="n">
        <f aca="false">IF(AND(IFERROR(SEARCH("현대오일뱅크",$C127),0)&gt;0,IFERROR(SEARCH("직영",$C127),0)&gt;0),$B$13,0)</f>
        <v>-10</v>
      </c>
      <c r="M127" s="17" t="n">
        <f aca="false">IF($H127="","",$H127+$L127)</f>
        <v>1798</v>
      </c>
      <c r="N127" s="17" t="n">
        <f aca="false">IF($I127="","",$I127+$L127)</f>
        <v>2168</v>
      </c>
      <c r="O127" s="17" t="n">
        <f aca="false">IF($K127="","",$K127+$L127)</f>
        <v>1868</v>
      </c>
      <c r="P127" s="17" t="n">
        <f aca="false">IF($B$10=0,"",IFERROR(IF($B$4&gt;0,IF($M127="",1/0,$M127*$B$4),0)+IF($B$5&gt;0,IF($N127="",1/0,$N127*$B$5),0)+IF($B$6&gt;0,IF($O127="",1/0,$O127*$B$6),0),""))</f>
        <v>77929.6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77929.6</v>
      </c>
      <c r="U127" s="17" t="n">
        <f aca="false">IF($T127="","",IF($B$10=0,"",$T127/$B$10))</f>
        <v>1962.96221662469</v>
      </c>
      <c r="V127" s="17" t="n">
        <f aca="false">IF($P127="","",IF($B$10=0,"",$P127/$B$10))</f>
        <v>1962.96221662469</v>
      </c>
      <c r="W127" s="19" t="n">
        <f aca="false">IF($T127="",1000000000000000,$T127)</f>
        <v>77929.6</v>
      </c>
      <c r="X127" s="2"/>
      <c r="XFC127" s="6"/>
    </row>
    <row r="128" s="5" customFormat="true" ht="28.5" hidden="false" customHeight="true" outlineLevel="0" collapsed="false">
      <c r="A128" s="16" t="n">
        <f aca="false">IF($T128="","",1+COUNTIF($W$15:$W$728,"&lt;"&amp;W128))</f>
        <v>114</v>
      </c>
      <c r="B128" s="16" t="s">
        <v>8</v>
      </c>
      <c r="C128" s="16" t="s">
        <v>391</v>
      </c>
      <c r="D128" s="20" t="s">
        <v>131</v>
      </c>
      <c r="E128" s="16" t="s">
        <v>44</v>
      </c>
      <c r="F128" s="16" t="s">
        <v>392</v>
      </c>
      <c r="G128" s="16" t="s">
        <v>393</v>
      </c>
      <c r="H128" s="17" t="n">
        <v>1858</v>
      </c>
      <c r="I128" s="17" t="n">
        <v>2099</v>
      </c>
      <c r="J128" s="17"/>
      <c r="K128" s="17" t="n">
        <v>1898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1858</v>
      </c>
      <c r="N128" s="17" t="n">
        <f aca="false">IF($I128="","",$I128+$L128)</f>
        <v>2099</v>
      </c>
      <c r="O128" s="17" t="n">
        <f aca="false">IF($K128="","",$K128+$L128)</f>
        <v>1898</v>
      </c>
      <c r="P128" s="17" t="n">
        <f aca="false">IF($B$10=0,"",IFERROR(IF($B$4&gt;0,IF($M128="",1/0,$M128*$B$4),0)+IF($B$5&gt;0,IF($N128="",1/0,$N128*$B$5),0)+IF($B$6&gt;0,IF($O128="",1/0,$O128*$B$6),0),""))</f>
        <v>78028.3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78028.3</v>
      </c>
      <c r="U128" s="17" t="n">
        <f aca="false">IF($T128="","",IF($B$10=0,"",$T128/$B$10))</f>
        <v>1965.4483627204</v>
      </c>
      <c r="V128" s="17" t="n">
        <f aca="false">IF($P128="","",IF($B$10=0,"",$P128/$B$10))</f>
        <v>1965.4483627204</v>
      </c>
      <c r="W128" s="19" t="n">
        <f aca="false">IF($T128="",1000000000000000,$T128)</f>
        <v>78028.3</v>
      </c>
      <c r="X128" s="2"/>
      <c r="XFC128" s="6"/>
    </row>
    <row r="129" s="5" customFormat="true" ht="28.5" hidden="false" customHeight="true" outlineLevel="0" collapsed="false">
      <c r="A129" s="16" t="n">
        <f aca="false">IF($T129="","",1+COUNTIF($W$15:$W$728,"&lt;"&amp;W129))</f>
        <v>115</v>
      </c>
      <c r="B129" s="16" t="s">
        <v>10</v>
      </c>
      <c r="C129" s="16" t="s">
        <v>394</v>
      </c>
      <c r="D129" s="16" t="s">
        <v>141</v>
      </c>
      <c r="E129" s="16" t="s">
        <v>44</v>
      </c>
      <c r="F129" s="16" t="s">
        <v>395</v>
      </c>
      <c r="G129" s="16" t="s">
        <v>396</v>
      </c>
      <c r="H129" s="17" t="n">
        <v>1899</v>
      </c>
      <c r="I129" s="17" t="n">
        <v>2049</v>
      </c>
      <c r="J129" s="17"/>
      <c r="K129" s="17" t="n">
        <v>1899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1899</v>
      </c>
      <c r="N129" s="17" t="n">
        <f aca="false">IF($I129="","",$I129+$L129)</f>
        <v>2049</v>
      </c>
      <c r="O129" s="17" t="n">
        <f aca="false">IF($K129="","",$K129+$L129)</f>
        <v>1899</v>
      </c>
      <c r="P129" s="17" t="n">
        <f aca="false">IF($B$10=0,"",IFERROR(IF($B$4&gt;0,IF($M129="",1/0,$M129*$B$4),0)+IF($B$5&gt;0,IF($N129="",1/0,$N129*$B$5),0)+IF($B$6&gt;0,IF($O129="",1/0,$O129*$B$6),0),""))</f>
        <v>78045.3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78045.3</v>
      </c>
      <c r="U129" s="17" t="n">
        <f aca="false">IF($T129="","",IF($B$10=0,"",$T129/$B$10))</f>
        <v>1965.8765743073</v>
      </c>
      <c r="V129" s="17" t="n">
        <f aca="false">IF($P129="","",IF($B$10=0,"",$P129/$B$10))</f>
        <v>1965.8765743073</v>
      </c>
      <c r="W129" s="19" t="n">
        <f aca="false">IF($T129="",1000000000000000,$T129)</f>
        <v>78045.3</v>
      </c>
      <c r="X129" s="2"/>
      <c r="XFC129" s="6"/>
    </row>
    <row r="130" s="5" customFormat="true" ht="28.5" hidden="false" customHeight="true" outlineLevel="0" collapsed="false">
      <c r="A130" s="16" t="n">
        <f aca="false">IF($T130="","",1+COUNTIF($W$15:$W$728,"&lt;"&amp;W130))</f>
        <v>116</v>
      </c>
      <c r="B130" s="16" t="s">
        <v>12</v>
      </c>
      <c r="C130" s="16" t="s">
        <v>397</v>
      </c>
      <c r="D130" s="20" t="s">
        <v>208</v>
      </c>
      <c r="E130" s="16" t="s">
        <v>44</v>
      </c>
      <c r="F130" s="16" t="s">
        <v>398</v>
      </c>
      <c r="G130" s="16" t="s">
        <v>399</v>
      </c>
      <c r="H130" s="17" t="n">
        <v>1919</v>
      </c>
      <c r="I130" s="17" t="n">
        <v>2035</v>
      </c>
      <c r="J130" s="17"/>
      <c r="K130" s="17" t="n">
        <v>1939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1919</v>
      </c>
      <c r="N130" s="17" t="n">
        <f aca="false">IF($I130="","",$I130+$L130)</f>
        <v>2035</v>
      </c>
      <c r="O130" s="17" t="n">
        <f aca="false">IF($K130="","",$K130+$L130)</f>
        <v>1939</v>
      </c>
      <c r="P130" s="17" t="n">
        <f aca="false">IF($B$10=0,"",IFERROR(IF($B$4&gt;0,IF($M130="",1/0,$M130*$B$4),0)+IF($B$5&gt;0,IF($N130="",1/0,$N130*$B$5),0)+IF($B$6&gt;0,IF($O130="",1/0,$O130*$B$6),0),""))</f>
        <v>78237.5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78237.5</v>
      </c>
      <c r="U130" s="17" t="n">
        <f aca="false">IF($T130="","",IF($B$10=0,"",$T130/$B$10))</f>
        <v>1970.71788413098</v>
      </c>
      <c r="V130" s="17" t="n">
        <f aca="false">IF($P130="","",IF($B$10=0,"",$P130/$B$10))</f>
        <v>1970.71788413098</v>
      </c>
      <c r="W130" s="19" t="n">
        <f aca="false">IF($T130="",1000000000000000,$T130)</f>
        <v>78237.5</v>
      </c>
      <c r="X130" s="2"/>
      <c r="XFC130" s="6"/>
    </row>
    <row r="131" s="5" customFormat="true" ht="28.5" hidden="false" customHeight="true" outlineLevel="0" collapsed="false">
      <c r="A131" s="16" t="n">
        <f aca="false">IF($T131="","",1+COUNTIF($W$15:$W$728,"&lt;"&amp;W131))</f>
        <v>117</v>
      </c>
      <c r="B131" s="16" t="s">
        <v>10</v>
      </c>
      <c r="C131" s="16" t="s">
        <v>400</v>
      </c>
      <c r="D131" s="20" t="s">
        <v>131</v>
      </c>
      <c r="E131" s="16" t="s">
        <v>44</v>
      </c>
      <c r="F131" s="16" t="s">
        <v>401</v>
      </c>
      <c r="G131" s="16" t="s">
        <v>402</v>
      </c>
      <c r="H131" s="17" t="n">
        <v>1889</v>
      </c>
      <c r="I131" s="17" t="n">
        <v>2095</v>
      </c>
      <c r="J131" s="17"/>
      <c r="K131" s="17" t="n">
        <v>1899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1889</v>
      </c>
      <c r="N131" s="17" t="n">
        <f aca="false">IF($I131="","",$I131+$L131)</f>
        <v>2095</v>
      </c>
      <c r="O131" s="17" t="n">
        <f aca="false">IF($K131="","",$K131+$L131)</f>
        <v>1899</v>
      </c>
      <c r="P131" s="17" t="n">
        <f aca="false">IF($B$10=0,"",IFERROR(IF($B$4&gt;0,IF($M131="",1/0,$M131*$B$4),0)+IF($B$5&gt;0,IF($N131="",1/0,$N131*$B$5),0)+IF($B$6&gt;0,IF($O131="",1/0,$O131*$B$6),0),""))</f>
        <v>78639.5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78639.5</v>
      </c>
      <c r="U131" s="17" t="n">
        <f aca="false">IF($T131="","",IF($B$10=0,"",$T131/$B$10))</f>
        <v>1980.84382871537</v>
      </c>
      <c r="V131" s="17" t="n">
        <f aca="false">IF($P131="","",IF($B$10=0,"",$P131/$B$10))</f>
        <v>1980.84382871537</v>
      </c>
      <c r="W131" s="19" t="n">
        <f aca="false">IF($T131="",1000000000000000,$T131)</f>
        <v>78639.5</v>
      </c>
      <c r="X131" s="2"/>
      <c r="XFC131" s="6"/>
    </row>
    <row r="132" s="5" customFormat="true" ht="28.5" hidden="false" customHeight="true" outlineLevel="0" collapsed="false">
      <c r="A132" s="16" t="n">
        <f aca="false">IF($T132="","",1+COUNTIF($W$15:$W$728,"&lt;"&amp;W132))</f>
        <v>118</v>
      </c>
      <c r="B132" s="16" t="s">
        <v>8</v>
      </c>
      <c r="C132" s="16" t="s">
        <v>403</v>
      </c>
      <c r="D132" s="16" t="s">
        <v>48</v>
      </c>
      <c r="E132" s="16" t="s">
        <v>58</v>
      </c>
      <c r="F132" s="16" t="s">
        <v>404</v>
      </c>
      <c r="G132" s="16" t="s">
        <v>405</v>
      </c>
      <c r="H132" s="17" t="n">
        <v>2055</v>
      </c>
      <c r="I132" s="17" t="n">
        <v>2395</v>
      </c>
      <c r="J132" s="17"/>
      <c r="K132" s="17" t="n">
        <v>2155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2055</v>
      </c>
      <c r="N132" s="17" t="n">
        <f aca="false">IF($I132="","",$I132+$L132)</f>
        <v>2395</v>
      </c>
      <c r="O132" s="17" t="n">
        <f aca="false">IF($K132="","",$K132+$L132)</f>
        <v>2155</v>
      </c>
      <c r="P132" s="17" t="n">
        <f aca="false">IF($B$10=0,"",IFERROR(IF($B$4&gt;0,IF($M132="",1/0,$M132*$B$4),0)+IF($B$5&gt;0,IF($N132="",1/0,$N132*$B$5),0)+IF($B$6&gt;0,IF($O132="",1/0,$O132*$B$6),0),""))</f>
        <v>87601.5</v>
      </c>
      <c r="Q132" s="17" t="s">
        <v>44</v>
      </c>
      <c r="R132" s="18" t="n">
        <f aca="false">IF($P132="","",IF($Q132="Y",IFERROR(VLOOKUP($B132,$C$4:$D$13,2,FALSE()),0),0))</f>
        <v>0.1</v>
      </c>
      <c r="S132" s="17" t="n">
        <f aca="false">IF($P132="","",ROUNDDOWN($P132*$R132,0))</f>
        <v>8760</v>
      </c>
      <c r="T132" s="17" t="n">
        <f aca="false">IF($P132="","",$P132-$S132)</f>
        <v>78841.5</v>
      </c>
      <c r="U132" s="17" t="n">
        <f aca="false">IF($T132="","",IF($B$10=0,"",$T132/$B$10))</f>
        <v>1985.93198992443</v>
      </c>
      <c r="V132" s="17" t="n">
        <f aca="false">IF($P132="","",IF($B$10=0,"",$P132/$B$10))</f>
        <v>2206.58690176322</v>
      </c>
      <c r="W132" s="19" t="n">
        <f aca="false">IF($T132="",1000000000000000,$T132)</f>
        <v>78841.5</v>
      </c>
      <c r="X132" s="2"/>
      <c r="XFC132" s="6"/>
    </row>
    <row r="133" s="5" customFormat="true" ht="28.5" hidden="false" customHeight="true" outlineLevel="0" collapsed="false">
      <c r="A133" s="16" t="n">
        <f aca="false">IF($T133="","",1+COUNTIF($W$15:$W$728,"&lt;"&amp;W133))</f>
        <v>119</v>
      </c>
      <c r="B133" s="16" t="s">
        <v>10</v>
      </c>
      <c r="C133" s="16" t="s">
        <v>406</v>
      </c>
      <c r="D133" s="20" t="s">
        <v>131</v>
      </c>
      <c r="E133" s="16" t="s">
        <v>44</v>
      </c>
      <c r="F133" s="16" t="s">
        <v>407</v>
      </c>
      <c r="G133" s="16" t="s">
        <v>408</v>
      </c>
      <c r="H133" s="17" t="n">
        <v>1945</v>
      </c>
      <c r="I133" s="17" t="n">
        <v>2050</v>
      </c>
      <c r="J133" s="17"/>
      <c r="K133" s="17" t="n">
        <v>1985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1945</v>
      </c>
      <c r="N133" s="17" t="n">
        <f aca="false">IF($I133="","",$I133+$L133)</f>
        <v>2050</v>
      </c>
      <c r="O133" s="17" t="n">
        <f aca="false">IF($K133="","",$K133+$L133)</f>
        <v>1985</v>
      </c>
      <c r="P133" s="17" t="n">
        <f aca="false">IF($B$10=0,"",IFERROR(IF($B$4&gt;0,IF($M133="",1/0,$M133*$B$4),0)+IF($B$5&gt;0,IF($N133="",1/0,$N133*$B$5),0)+IF($B$6&gt;0,IF($O133="",1/0,$O133*$B$6),0),""))</f>
        <v>79075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79075</v>
      </c>
      <c r="U133" s="17" t="n">
        <f aca="false">IF($T133="","",IF($B$10=0,"",$T133/$B$10))</f>
        <v>1991.81360201511</v>
      </c>
      <c r="V133" s="17" t="n">
        <f aca="false">IF($P133="","",IF($B$10=0,"",$P133/$B$10))</f>
        <v>1991.81360201511</v>
      </c>
      <c r="W133" s="19" t="n">
        <f aca="false">IF($T133="",1000000000000000,$T133)</f>
        <v>79075</v>
      </c>
      <c r="X133" s="2"/>
      <c r="XFC133" s="6"/>
    </row>
    <row r="134" s="5" customFormat="true" ht="28.5" hidden="false" customHeight="true" outlineLevel="0" collapsed="false">
      <c r="A134" s="16" t="n">
        <f aca="false">IF($T134="","",1+COUNTIF($W$15:$W$728,"&lt;"&amp;W134))</f>
        <v>120</v>
      </c>
      <c r="B134" s="16" t="s">
        <v>10</v>
      </c>
      <c r="C134" s="16" t="s">
        <v>409</v>
      </c>
      <c r="D134" s="16" t="s">
        <v>43</v>
      </c>
      <c r="E134" s="16" t="s">
        <v>44</v>
      </c>
      <c r="F134" s="16" t="s">
        <v>410</v>
      </c>
      <c r="G134" s="16" t="s">
        <v>411</v>
      </c>
      <c r="H134" s="17" t="n">
        <v>1889</v>
      </c>
      <c r="I134" s="17" t="n">
        <v>2123</v>
      </c>
      <c r="J134" s="17"/>
      <c r="K134" s="17" t="n">
        <v>1979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1889</v>
      </c>
      <c r="N134" s="17" t="n">
        <f aca="false">IF($I134="","",$I134+$L134)</f>
        <v>2123</v>
      </c>
      <c r="O134" s="17" t="n">
        <f aca="false">IF($K134="","",$K134+$L134)</f>
        <v>1979</v>
      </c>
      <c r="P134" s="17" t="n">
        <f aca="false">IF($B$10=0,"",IFERROR(IF($B$4&gt;0,IF($M134="",1/0,$M134*$B$4),0)+IF($B$5&gt;0,IF($N134="",1/0,$N134*$B$5),0)+IF($B$6&gt;0,IF($O134="",1/0,$O134*$B$6),0),""))</f>
        <v>79135.1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79135.1</v>
      </c>
      <c r="U134" s="17" t="n">
        <f aca="false">IF($T134="","",IF($B$10=0,"",$T134/$B$10))</f>
        <v>1993.3274559194</v>
      </c>
      <c r="V134" s="17" t="n">
        <f aca="false">IF($P134="","",IF($B$10=0,"",$P134/$B$10))</f>
        <v>1993.3274559194</v>
      </c>
      <c r="W134" s="19" t="n">
        <f aca="false">IF($T134="",1000000000000000,$T134)</f>
        <v>79135.1</v>
      </c>
      <c r="X134" s="2"/>
      <c r="XFC134" s="6"/>
    </row>
    <row r="135" s="5" customFormat="true" ht="28.5" hidden="false" customHeight="true" outlineLevel="0" collapsed="false">
      <c r="A135" s="16" t="n">
        <f aca="false">IF($T135="","",1+COUNTIF($W$15:$W$728,"&lt;"&amp;W135))</f>
        <v>121</v>
      </c>
      <c r="B135" s="16" t="s">
        <v>10</v>
      </c>
      <c r="C135" s="16" t="s">
        <v>412</v>
      </c>
      <c r="D135" s="20" t="s">
        <v>131</v>
      </c>
      <c r="E135" s="16" t="s">
        <v>44</v>
      </c>
      <c r="F135" s="16" t="s">
        <v>413</v>
      </c>
      <c r="G135" s="16" t="s">
        <v>414</v>
      </c>
      <c r="H135" s="17" t="n">
        <v>1909</v>
      </c>
      <c r="I135" s="17" t="n">
        <v>2099</v>
      </c>
      <c r="J135" s="17"/>
      <c r="K135" s="17" t="n">
        <v>1964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1909</v>
      </c>
      <c r="N135" s="17" t="n">
        <f aca="false">IF($I135="","",$I135+$L135)</f>
        <v>2099</v>
      </c>
      <c r="O135" s="17" t="n">
        <f aca="false">IF($K135="","",$K135+$L135)</f>
        <v>1964</v>
      </c>
      <c r="P135" s="17" t="n">
        <f aca="false">IF($B$10=0,"",IFERROR(IF($B$4&gt;0,IF($M135="",1/0,$M135*$B$4),0)+IF($B$5&gt;0,IF($N135="",1/0,$N135*$B$5),0)+IF($B$6&gt;0,IF($O135="",1/0,$O135*$B$6),0),""))</f>
        <v>79150.3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79150.3</v>
      </c>
      <c r="U135" s="17" t="n">
        <f aca="false">IF($T135="","",IF($B$10=0,"",$T135/$B$10))</f>
        <v>1993.71032745592</v>
      </c>
      <c r="V135" s="17" t="n">
        <f aca="false">IF($P135="","",IF($B$10=0,"",$P135/$B$10))</f>
        <v>1993.71032745592</v>
      </c>
      <c r="W135" s="19" t="n">
        <f aca="false">IF($T135="",1000000000000000,$T135)</f>
        <v>79150.3</v>
      </c>
      <c r="X135" s="2"/>
      <c r="XFC135" s="6"/>
    </row>
    <row r="136" s="5" customFormat="true" ht="28.5" hidden="false" customHeight="true" outlineLevel="0" collapsed="false">
      <c r="A136" s="16" t="n">
        <f aca="false">IF($T136="","",1+COUNTIF($W$15:$W$728,"&lt;"&amp;W136))</f>
        <v>122</v>
      </c>
      <c r="B136" s="16" t="s">
        <v>8</v>
      </c>
      <c r="C136" s="16" t="s">
        <v>415</v>
      </c>
      <c r="D136" s="16" t="s">
        <v>141</v>
      </c>
      <c r="E136" s="16" t="s">
        <v>44</v>
      </c>
      <c r="F136" s="16" t="s">
        <v>416</v>
      </c>
      <c r="G136" s="16" t="s">
        <v>417</v>
      </c>
      <c r="H136" s="17" t="n">
        <v>1919</v>
      </c>
      <c r="I136" s="17" t="n">
        <v>2099</v>
      </c>
      <c r="J136" s="17"/>
      <c r="K136" s="17" t="n">
        <v>1969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1919</v>
      </c>
      <c r="N136" s="17" t="n">
        <f aca="false">IF($I136="","",$I136+$L136)</f>
        <v>2099</v>
      </c>
      <c r="O136" s="17" t="n">
        <f aca="false">IF($K136="","",$K136+$L136)</f>
        <v>1969</v>
      </c>
      <c r="P136" s="17" t="n">
        <f aca="false">IF($B$10=0,"",IFERROR(IF($B$4&gt;0,IF($M136="",1/0,$M136*$B$4),0)+IF($B$5&gt;0,IF($N136="",1/0,$N136*$B$5),0)+IF($B$6&gt;0,IF($O136="",1/0,$O136*$B$6),0),""))</f>
        <v>79370.3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79370.3</v>
      </c>
      <c r="U136" s="17" t="n">
        <f aca="false">IF($T136="","",IF($B$10=0,"",$T136/$B$10))</f>
        <v>1999.25188916877</v>
      </c>
      <c r="V136" s="17" t="n">
        <f aca="false">IF($P136="","",IF($B$10=0,"",$P136/$B$10))</f>
        <v>1999.25188916877</v>
      </c>
      <c r="W136" s="19" t="n">
        <f aca="false">IF($T136="",1000000000000000,$T136)</f>
        <v>79370.3</v>
      </c>
      <c r="X136" s="2"/>
      <c r="XFC136" s="6"/>
    </row>
    <row r="137" s="5" customFormat="true" ht="28.5" hidden="false" customHeight="true" outlineLevel="0" collapsed="false">
      <c r="A137" s="16" t="n">
        <f aca="false">IF($T137="","",1+COUNTIF($W$15:$W$728,"&lt;"&amp;W137))</f>
        <v>123</v>
      </c>
      <c r="B137" s="16" t="s">
        <v>10</v>
      </c>
      <c r="C137" s="16" t="s">
        <v>418</v>
      </c>
      <c r="D137" s="16" t="s">
        <v>48</v>
      </c>
      <c r="E137" s="16" t="s">
        <v>58</v>
      </c>
      <c r="F137" s="16" t="s">
        <v>419</v>
      </c>
      <c r="G137" s="16" t="s">
        <v>420</v>
      </c>
      <c r="H137" s="17" t="n">
        <v>1938</v>
      </c>
      <c r="I137" s="17" t="n">
        <v>2087</v>
      </c>
      <c r="J137" s="17"/>
      <c r="K137" s="17" t="n">
        <v>1958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1938</v>
      </c>
      <c r="N137" s="17" t="n">
        <f aca="false">IF($I137="","",$I137+$L137)</f>
        <v>2087</v>
      </c>
      <c r="O137" s="17" t="n">
        <f aca="false">IF($K137="","",$K137+$L137)</f>
        <v>1958</v>
      </c>
      <c r="P137" s="17" t="n">
        <f aca="false">IF($B$10=0,"",IFERROR(IF($B$4&gt;0,IF($M137="",1/0,$M137*$B$4),0)+IF($B$5&gt;0,IF($N137="",1/0,$N137*$B$5),0)+IF($B$6&gt;0,IF($O137="",1/0,$O137*$B$6),0),""))</f>
        <v>79575.9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79575.9</v>
      </c>
      <c r="U137" s="17" t="n">
        <f aca="false">IF($T137="","",IF($B$10=0,"",$T137/$B$10))</f>
        <v>2004.43073047859</v>
      </c>
      <c r="V137" s="17" t="n">
        <f aca="false">IF($P137="","",IF($B$10=0,"",$P137/$B$10))</f>
        <v>2004.43073047859</v>
      </c>
      <c r="W137" s="19" t="n">
        <f aca="false">IF($T137="",1000000000000000,$T137)</f>
        <v>79575.9</v>
      </c>
      <c r="X137" s="2"/>
      <c r="XFC137" s="6"/>
    </row>
    <row r="138" s="5" customFormat="true" ht="28.5" hidden="false" customHeight="true" outlineLevel="0" collapsed="false">
      <c r="A138" s="16" t="n">
        <f aca="false">IF($T138="","",1+COUNTIF($W$15:$W$728,"&lt;"&amp;W138))</f>
        <v>124</v>
      </c>
      <c r="B138" s="16" t="s">
        <v>12</v>
      </c>
      <c r="C138" s="16" t="s">
        <v>421</v>
      </c>
      <c r="D138" s="20" t="s">
        <v>303</v>
      </c>
      <c r="E138" s="16" t="s">
        <v>44</v>
      </c>
      <c r="F138" s="16" t="s">
        <v>422</v>
      </c>
      <c r="G138" s="16" t="s">
        <v>423</v>
      </c>
      <c r="H138" s="17" t="n">
        <v>1955</v>
      </c>
      <c r="I138" s="17" t="n">
        <v>2068</v>
      </c>
      <c r="J138" s="17"/>
      <c r="K138" s="17" t="n">
        <v>2158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1955</v>
      </c>
      <c r="N138" s="17" t="n">
        <f aca="false">IF($I138="","",$I138+$L138)</f>
        <v>2068</v>
      </c>
      <c r="O138" s="17" t="n">
        <f aca="false">IF($K138="","",$K138+$L138)</f>
        <v>2158</v>
      </c>
      <c r="P138" s="17" t="n">
        <f aca="false">IF($B$10=0,"",IFERROR(IF($B$4&gt;0,IF($M138="",1/0,$M138*$B$4),0)+IF($B$5&gt;0,IF($N138="",1/0,$N138*$B$5),0)+IF($B$6&gt;0,IF($O138="",1/0,$O138*$B$6),0),""))</f>
        <v>79613.6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79613.6</v>
      </c>
      <c r="U138" s="17" t="n">
        <f aca="false">IF($T138="","",IF($B$10=0,"",$T138/$B$10))</f>
        <v>2005.38035264484</v>
      </c>
      <c r="V138" s="17" t="n">
        <f aca="false">IF($P138="","",IF($B$10=0,"",$P138/$B$10))</f>
        <v>2005.38035264484</v>
      </c>
      <c r="W138" s="19" t="n">
        <f aca="false">IF($T138="",1000000000000000,$T138)</f>
        <v>79613.6</v>
      </c>
      <c r="X138" s="2"/>
      <c r="XFC138" s="6"/>
    </row>
    <row r="139" s="5" customFormat="true" ht="28.5" hidden="false" customHeight="true" outlineLevel="0" collapsed="false">
      <c r="A139" s="16" t="n">
        <f aca="false">IF($T139="","",1+COUNTIF($W$15:$W$728,"&lt;"&amp;W139))</f>
        <v>125</v>
      </c>
      <c r="B139" s="16" t="s">
        <v>12</v>
      </c>
      <c r="C139" s="16" t="s">
        <v>424</v>
      </c>
      <c r="D139" s="20" t="s">
        <v>208</v>
      </c>
      <c r="E139" s="16" t="s">
        <v>44</v>
      </c>
      <c r="F139" s="16" t="s">
        <v>425</v>
      </c>
      <c r="G139" s="16" t="s">
        <v>426</v>
      </c>
      <c r="H139" s="17" t="n">
        <v>1905</v>
      </c>
      <c r="I139" s="17" t="n">
        <v>2155</v>
      </c>
      <c r="J139" s="17"/>
      <c r="K139" s="17" t="n">
        <v>2075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1905</v>
      </c>
      <c r="N139" s="17" t="n">
        <f aca="false">IF($I139="","",$I139+$L139)</f>
        <v>2155</v>
      </c>
      <c r="O139" s="17" t="n">
        <f aca="false">IF($K139="","",$K139+$L139)</f>
        <v>2075</v>
      </c>
      <c r="P139" s="17" t="n">
        <f aca="false">IF($B$10=0,"",IFERROR(IF($B$4&gt;0,IF($M139="",1/0,$M139*$B$4),0)+IF($B$5&gt;0,IF($N139="",1/0,$N139*$B$5),0)+IF($B$6&gt;0,IF($O139="",1/0,$O139*$B$6),0),""))</f>
        <v>80053.5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80053.5</v>
      </c>
      <c r="U139" s="17" t="n">
        <f aca="false">IF($T139="","",IF($B$10=0,"",$T139/$B$10))</f>
        <v>2016.46095717884</v>
      </c>
      <c r="V139" s="17" t="n">
        <f aca="false">IF($P139="","",IF($B$10=0,"",$P139/$B$10))</f>
        <v>2016.46095717884</v>
      </c>
      <c r="W139" s="19" t="n">
        <f aca="false">IF($T139="",1000000000000000,$T139)</f>
        <v>80053.5</v>
      </c>
      <c r="X139" s="2"/>
      <c r="XFC139" s="6"/>
    </row>
    <row r="140" s="5" customFormat="true" ht="28.5" hidden="false" customHeight="true" outlineLevel="0" collapsed="false">
      <c r="A140" s="16" t="n">
        <f aca="false">IF($T140="","",1+COUNTIF($W$15:$W$728,"&lt;"&amp;W140))</f>
        <v>126</v>
      </c>
      <c r="B140" s="16" t="s">
        <v>14</v>
      </c>
      <c r="C140" s="16" t="s">
        <v>427</v>
      </c>
      <c r="D140" s="20" t="s">
        <v>131</v>
      </c>
      <c r="E140" s="16" t="s">
        <v>44</v>
      </c>
      <c r="F140" s="16" t="s">
        <v>428</v>
      </c>
      <c r="G140" s="16" t="s">
        <v>429</v>
      </c>
      <c r="H140" s="17" t="n">
        <v>1912</v>
      </c>
      <c r="I140" s="17" t="n">
        <v>2149</v>
      </c>
      <c r="J140" s="17"/>
      <c r="K140" s="17" t="n">
        <v>2032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1912</v>
      </c>
      <c r="N140" s="17" t="n">
        <f aca="false">IF($I140="","",$I140+$L140)</f>
        <v>2149</v>
      </c>
      <c r="O140" s="17" t="n">
        <f aca="false">IF($K140="","",$K140+$L140)</f>
        <v>2032</v>
      </c>
      <c r="P140" s="17" t="n">
        <f aca="false">IF($B$10=0,"",IFERROR(IF($B$4&gt;0,IF($M140="",1/0,$M140*$B$4),0)+IF($B$5&gt;0,IF($N140="",1/0,$N140*$B$5),0)+IF($B$6&gt;0,IF($O140="",1/0,$O140*$B$6),0),""))</f>
        <v>80101.3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80101.3</v>
      </c>
      <c r="U140" s="17" t="n">
        <f aca="false">IF($T140="","",IF($B$10=0,"",$T140/$B$10))</f>
        <v>2017.66498740554</v>
      </c>
      <c r="V140" s="17" t="n">
        <f aca="false">IF($P140="","",IF($B$10=0,"",$P140/$B$10))</f>
        <v>2017.66498740554</v>
      </c>
      <c r="W140" s="19" t="n">
        <f aca="false">IF($T140="",1000000000000000,$T140)</f>
        <v>80101.3</v>
      </c>
      <c r="X140" s="2"/>
      <c r="XFC140" s="6"/>
    </row>
    <row r="141" s="5" customFormat="true" ht="28.5" hidden="false" customHeight="true" outlineLevel="0" collapsed="false">
      <c r="A141" s="16" t="n">
        <f aca="false">IF($T141="","",1+COUNTIF($W$15:$W$728,"&lt;"&amp;W141))</f>
        <v>127</v>
      </c>
      <c r="B141" s="16" t="s">
        <v>6</v>
      </c>
      <c r="C141" s="16" t="s">
        <v>430</v>
      </c>
      <c r="D141" s="20" t="s">
        <v>131</v>
      </c>
      <c r="E141" s="16" t="s">
        <v>44</v>
      </c>
      <c r="F141" s="16" t="s">
        <v>431</v>
      </c>
      <c r="G141" s="16" t="s">
        <v>432</v>
      </c>
      <c r="H141" s="17" t="n">
        <v>1929</v>
      </c>
      <c r="I141" s="17" t="n">
        <v>2129</v>
      </c>
      <c r="J141" s="17"/>
      <c r="K141" s="17" t="n">
        <v>1979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1929</v>
      </c>
      <c r="N141" s="17" t="n">
        <f aca="false">IF($I141="","",$I141+$L141)</f>
        <v>2129</v>
      </c>
      <c r="O141" s="17" t="n">
        <f aca="false">IF($K141="","",$K141+$L141)</f>
        <v>1979</v>
      </c>
      <c r="P141" s="17" t="n">
        <f aca="false">IF($B$10=0,"",IFERROR(IF($B$4&gt;0,IF($M141="",1/0,$M141*$B$4),0)+IF($B$5&gt;0,IF($N141="",1/0,$N141*$B$5),0)+IF($B$6&gt;0,IF($O141="",1/0,$O141*$B$6),0),""))</f>
        <v>80121.3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80121.3</v>
      </c>
      <c r="U141" s="17" t="n">
        <f aca="false">IF($T141="","",IF($B$10=0,"",$T141/$B$10))</f>
        <v>2018.16876574307</v>
      </c>
      <c r="V141" s="17" t="n">
        <f aca="false">IF($P141="","",IF($B$10=0,"",$P141/$B$10))</f>
        <v>2018.16876574307</v>
      </c>
      <c r="W141" s="19" t="n">
        <f aca="false">IF($T141="",1000000000000000,$T141)</f>
        <v>80121.3</v>
      </c>
      <c r="X141" s="2"/>
      <c r="XFC141" s="6"/>
    </row>
    <row r="142" s="5" customFormat="true" ht="28.5" hidden="false" customHeight="true" outlineLevel="0" collapsed="false">
      <c r="A142" s="16" t="n">
        <f aca="false">IF($T142="","",1+COUNTIF($W$15:$W$728,"&lt;"&amp;W142))</f>
        <v>127</v>
      </c>
      <c r="B142" s="16" t="s">
        <v>6</v>
      </c>
      <c r="C142" s="16" t="s">
        <v>433</v>
      </c>
      <c r="D142" s="20" t="s">
        <v>131</v>
      </c>
      <c r="E142" s="16" t="s">
        <v>44</v>
      </c>
      <c r="F142" s="16" t="s">
        <v>434</v>
      </c>
      <c r="G142" s="16" t="s">
        <v>435</v>
      </c>
      <c r="H142" s="17" t="n">
        <v>1929</v>
      </c>
      <c r="I142" s="17" t="n">
        <v>2129</v>
      </c>
      <c r="J142" s="17"/>
      <c r="K142" s="17" t="n">
        <v>1979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1929</v>
      </c>
      <c r="N142" s="17" t="n">
        <f aca="false">IF($I142="","",$I142+$L142)</f>
        <v>2129</v>
      </c>
      <c r="O142" s="17" t="n">
        <f aca="false">IF($K142="","",$K142+$L142)</f>
        <v>1979</v>
      </c>
      <c r="P142" s="17" t="n">
        <f aca="false">IF($B$10=0,"",IFERROR(IF($B$4&gt;0,IF($M142="",1/0,$M142*$B$4),0)+IF($B$5&gt;0,IF($N142="",1/0,$N142*$B$5),0)+IF($B$6&gt;0,IF($O142="",1/0,$O142*$B$6),0),""))</f>
        <v>80121.3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80121.3</v>
      </c>
      <c r="U142" s="17" t="n">
        <f aca="false">IF($T142="","",IF($B$10=0,"",$T142/$B$10))</f>
        <v>2018.16876574307</v>
      </c>
      <c r="V142" s="17" t="n">
        <f aca="false">IF($P142="","",IF($B$10=0,"",$P142/$B$10))</f>
        <v>2018.16876574307</v>
      </c>
      <c r="W142" s="19" t="n">
        <f aca="false">IF($T142="",1000000000000000,$T142)</f>
        <v>80121.3</v>
      </c>
      <c r="X142" s="2"/>
      <c r="XFC142" s="6"/>
    </row>
    <row r="143" s="5" customFormat="true" ht="28.5" hidden="false" customHeight="true" outlineLevel="0" collapsed="false">
      <c r="A143" s="16" t="n">
        <f aca="false">IF($T143="","",1+COUNTIF($W$15:$W$728,"&lt;"&amp;W143))</f>
        <v>129</v>
      </c>
      <c r="B143" s="16" t="s">
        <v>8</v>
      </c>
      <c r="C143" s="16" t="s">
        <v>436</v>
      </c>
      <c r="D143" s="20" t="s">
        <v>131</v>
      </c>
      <c r="E143" s="16" t="s">
        <v>44</v>
      </c>
      <c r="F143" s="16" t="s">
        <v>437</v>
      </c>
      <c r="G143" s="16" t="s">
        <v>438</v>
      </c>
      <c r="H143" s="17" t="n">
        <v>1958</v>
      </c>
      <c r="I143" s="17" t="n">
        <v>2099</v>
      </c>
      <c r="J143" s="17"/>
      <c r="K143" s="17" t="n">
        <v>1998</v>
      </c>
      <c r="L143" s="17" t="n">
        <f aca="false">IF(AND(IFERROR(SEARCH("현대오일뱅크",$C143),0)&gt;0,IFERROR(SEARCH("직영",$C143),0)&gt;0),$B$13,0)</f>
        <v>0</v>
      </c>
      <c r="M143" s="17" t="n">
        <f aca="false">IF($H143="","",$H143+$L143)</f>
        <v>1958</v>
      </c>
      <c r="N143" s="17" t="n">
        <f aca="false">IF($I143="","",$I143+$L143)</f>
        <v>2099</v>
      </c>
      <c r="O143" s="17" t="n">
        <f aca="false">IF($K143="","",$K143+$L143)</f>
        <v>1998</v>
      </c>
      <c r="P143" s="17" t="n">
        <f aca="false">IF($B$10=0,"",IFERROR(IF($B$4&gt;0,IF($M143="",1/0,$M143*$B$4),0)+IF($B$5&gt;0,IF($N143="",1/0,$N143*$B$5),0)+IF($B$6&gt;0,IF($O143="",1/0,$O143*$B$6),0),""))</f>
        <v>80228.3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80228.3</v>
      </c>
      <c r="U143" s="17" t="n">
        <f aca="false">IF($T143="","",IF($B$10=0,"",$T143/$B$10))</f>
        <v>2020.86397984887</v>
      </c>
      <c r="V143" s="17" t="n">
        <f aca="false">IF($P143="","",IF($B$10=0,"",$P143/$B$10))</f>
        <v>2020.86397984887</v>
      </c>
      <c r="W143" s="19" t="n">
        <f aca="false">IF($T143="",1000000000000000,$T143)</f>
        <v>80228.3</v>
      </c>
      <c r="X143" s="2"/>
      <c r="XFC143" s="6"/>
    </row>
    <row r="144" s="5" customFormat="true" ht="28.5" hidden="false" customHeight="true" outlineLevel="0" collapsed="false">
      <c r="A144" s="16" t="n">
        <f aca="false">IF($T144="","",1+COUNTIF($W$15:$W$728,"&lt;"&amp;W144))</f>
        <v>129</v>
      </c>
      <c r="B144" s="16" t="s">
        <v>8</v>
      </c>
      <c r="C144" s="16" t="s">
        <v>439</v>
      </c>
      <c r="D144" s="16" t="s">
        <v>141</v>
      </c>
      <c r="E144" s="16" t="s">
        <v>44</v>
      </c>
      <c r="F144" s="16" t="s">
        <v>440</v>
      </c>
      <c r="G144" s="16" t="s">
        <v>441</v>
      </c>
      <c r="H144" s="17" t="n">
        <v>1958</v>
      </c>
      <c r="I144" s="17" t="n">
        <v>2099</v>
      </c>
      <c r="J144" s="17"/>
      <c r="K144" s="17" t="n">
        <v>1998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1958</v>
      </c>
      <c r="N144" s="17" t="n">
        <f aca="false">IF($I144="","",$I144+$L144)</f>
        <v>2099</v>
      </c>
      <c r="O144" s="17" t="n">
        <f aca="false">IF($K144="","",$K144+$L144)</f>
        <v>1998</v>
      </c>
      <c r="P144" s="17" t="n">
        <f aca="false">IF($B$10=0,"",IFERROR(IF($B$4&gt;0,IF($M144="",1/0,$M144*$B$4),0)+IF($B$5&gt;0,IF($N144="",1/0,$N144*$B$5),0)+IF($B$6&gt;0,IF($O144="",1/0,$O144*$B$6),0),""))</f>
        <v>80228.3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80228.3</v>
      </c>
      <c r="U144" s="17" t="n">
        <f aca="false">IF($T144="","",IF($B$10=0,"",$T144/$B$10))</f>
        <v>2020.86397984887</v>
      </c>
      <c r="V144" s="17" t="n">
        <f aca="false">IF($P144="","",IF($B$10=0,"",$P144/$B$10))</f>
        <v>2020.86397984887</v>
      </c>
      <c r="W144" s="19" t="n">
        <f aca="false">IF($T144="",1000000000000000,$T144)</f>
        <v>80228.3</v>
      </c>
      <c r="X144" s="2"/>
      <c r="XFC144" s="6"/>
    </row>
    <row r="145" s="5" customFormat="true" ht="28.5" hidden="false" customHeight="true" outlineLevel="0" collapsed="false">
      <c r="A145" s="16" t="n">
        <f aca="false">IF($T145="","",1+COUNTIF($W$15:$W$728,"&lt;"&amp;W145))</f>
        <v>129</v>
      </c>
      <c r="B145" s="16" t="s">
        <v>8</v>
      </c>
      <c r="C145" s="16" t="s">
        <v>442</v>
      </c>
      <c r="D145" s="16" t="s">
        <v>141</v>
      </c>
      <c r="E145" s="16" t="s">
        <v>44</v>
      </c>
      <c r="F145" s="16" t="s">
        <v>443</v>
      </c>
      <c r="G145" s="16" t="s">
        <v>444</v>
      </c>
      <c r="H145" s="17" t="n">
        <v>1958</v>
      </c>
      <c r="I145" s="17" t="n">
        <v>2099</v>
      </c>
      <c r="J145" s="17"/>
      <c r="K145" s="17" t="n">
        <v>1998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1958</v>
      </c>
      <c r="N145" s="17" t="n">
        <f aca="false">IF($I145="","",$I145+$L145)</f>
        <v>2099</v>
      </c>
      <c r="O145" s="17" t="n">
        <f aca="false">IF($K145="","",$K145+$L145)</f>
        <v>1998</v>
      </c>
      <c r="P145" s="17" t="n">
        <f aca="false">IF($B$10=0,"",IFERROR(IF($B$4&gt;0,IF($M145="",1/0,$M145*$B$4),0)+IF($B$5&gt;0,IF($N145="",1/0,$N145*$B$5),0)+IF($B$6&gt;0,IF($O145="",1/0,$O145*$B$6),0),""))</f>
        <v>80228.3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80228.3</v>
      </c>
      <c r="U145" s="17" t="n">
        <f aca="false">IF($T145="","",IF($B$10=0,"",$T145/$B$10))</f>
        <v>2020.86397984887</v>
      </c>
      <c r="V145" s="17" t="n">
        <f aca="false">IF($P145="","",IF($B$10=0,"",$P145/$B$10))</f>
        <v>2020.86397984887</v>
      </c>
      <c r="W145" s="19" t="n">
        <f aca="false">IF($T145="",1000000000000000,$T145)</f>
        <v>80228.3</v>
      </c>
      <c r="X145" s="2"/>
      <c r="XFC145" s="6"/>
    </row>
    <row r="146" s="5" customFormat="true" ht="28.5" hidden="false" customHeight="true" outlineLevel="0" collapsed="false">
      <c r="A146" s="16" t="n">
        <f aca="false">IF($T146="","",1+COUNTIF($W$15:$W$728,"&lt;"&amp;W146))</f>
        <v>132</v>
      </c>
      <c r="B146" s="16" t="s">
        <v>12</v>
      </c>
      <c r="C146" s="16" t="s">
        <v>445</v>
      </c>
      <c r="D146" s="20" t="s">
        <v>208</v>
      </c>
      <c r="E146" s="16" t="s">
        <v>44</v>
      </c>
      <c r="F146" s="16" t="s">
        <v>446</v>
      </c>
      <c r="G146" s="16" t="s">
        <v>447</v>
      </c>
      <c r="H146" s="17" t="n">
        <v>1925</v>
      </c>
      <c r="I146" s="17" t="n">
        <v>2145</v>
      </c>
      <c r="J146" s="17"/>
      <c r="K146" s="17" t="n">
        <v>2095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1925</v>
      </c>
      <c r="N146" s="17" t="n">
        <f aca="false">IF($I146="","",$I146+$L146)</f>
        <v>2145</v>
      </c>
      <c r="O146" s="17" t="n">
        <f aca="false">IF($K146="","",$K146+$L146)</f>
        <v>2095</v>
      </c>
      <c r="P146" s="17" t="n">
        <f aca="false">IF($B$10=0,"",IFERROR(IF($B$4&gt;0,IF($M146="",1/0,$M146*$B$4),0)+IF($B$5&gt;0,IF($N146="",1/0,$N146*$B$5),0)+IF($B$6&gt;0,IF($O146="",1/0,$O146*$B$6),0),""))</f>
        <v>80316.5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80316.5</v>
      </c>
      <c r="U146" s="17" t="n">
        <f aca="false">IF($T146="","",IF($B$10=0,"",$T146/$B$10))</f>
        <v>2023.08564231738</v>
      </c>
      <c r="V146" s="17" t="n">
        <f aca="false">IF($P146="","",IF($B$10=0,"",$P146/$B$10))</f>
        <v>2023.08564231738</v>
      </c>
      <c r="W146" s="19" t="n">
        <f aca="false">IF($T146="",1000000000000000,$T146)</f>
        <v>80316.5</v>
      </c>
      <c r="X146" s="2"/>
      <c r="XFC146" s="6"/>
    </row>
    <row r="147" s="5" customFormat="true" ht="28.5" hidden="false" customHeight="true" outlineLevel="0" collapsed="false">
      <c r="A147" s="16" t="n">
        <f aca="false">IF($T147="","",1+COUNTIF($W$15:$W$728,"&lt;"&amp;W147))</f>
        <v>133</v>
      </c>
      <c r="B147" s="16" t="s">
        <v>12</v>
      </c>
      <c r="C147" s="16" t="s">
        <v>448</v>
      </c>
      <c r="D147" s="20" t="s">
        <v>303</v>
      </c>
      <c r="E147" s="16" t="s">
        <v>44</v>
      </c>
      <c r="F147" s="16" t="s">
        <v>449</v>
      </c>
      <c r="G147" s="16" t="s">
        <v>450</v>
      </c>
      <c r="H147" s="17" t="n">
        <v>1898</v>
      </c>
      <c r="I147" s="17" t="n">
        <v>2199</v>
      </c>
      <c r="J147" s="17"/>
      <c r="K147" s="17" t="n">
        <v>1989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1898</v>
      </c>
      <c r="N147" s="17" t="n">
        <f aca="false">IF($I147="","",$I147+$L147)</f>
        <v>2199</v>
      </c>
      <c r="O147" s="17" t="n">
        <f aca="false">IF($K147="","",$K147+$L147)</f>
        <v>1989</v>
      </c>
      <c r="P147" s="17" t="n">
        <f aca="false">IF($B$10=0,"",IFERROR(IF($B$4&gt;0,IF($M147="",1/0,$M147*$B$4),0)+IF($B$5&gt;0,IF($N147="",1/0,$N147*$B$5),0)+IF($B$6&gt;0,IF($O147="",1/0,$O147*$B$6),0),""))</f>
        <v>80678.3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80678.3</v>
      </c>
      <c r="U147" s="17" t="n">
        <f aca="false">IF($T147="","",IF($B$10=0,"",$T147/$B$10))</f>
        <v>2032.19899244332</v>
      </c>
      <c r="V147" s="17" t="n">
        <f aca="false">IF($P147="","",IF($B$10=0,"",$P147/$B$10))</f>
        <v>2032.19899244332</v>
      </c>
      <c r="W147" s="19" t="n">
        <f aca="false">IF($T147="",1000000000000000,$T147)</f>
        <v>80678.3</v>
      </c>
      <c r="X147" s="2"/>
      <c r="XFC147" s="6"/>
    </row>
    <row r="148" s="5" customFormat="true" ht="28.5" hidden="false" customHeight="true" outlineLevel="0" collapsed="false">
      <c r="A148" s="16" t="n">
        <f aca="false">IF($T148="","",1+COUNTIF($W$15:$W$728,"&lt;"&amp;W148))</f>
        <v>134</v>
      </c>
      <c r="B148" s="16" t="s">
        <v>14</v>
      </c>
      <c r="C148" s="16" t="s">
        <v>451</v>
      </c>
      <c r="D148" s="16" t="s">
        <v>141</v>
      </c>
      <c r="E148" s="16" t="s">
        <v>44</v>
      </c>
      <c r="F148" s="16" t="s">
        <v>452</v>
      </c>
      <c r="G148" s="16" t="s">
        <v>453</v>
      </c>
      <c r="H148" s="17" t="n">
        <v>1949</v>
      </c>
      <c r="I148" s="17" t="n">
        <v>2149</v>
      </c>
      <c r="J148" s="17"/>
      <c r="K148" s="17" t="n">
        <v>1999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1949</v>
      </c>
      <c r="N148" s="17" t="n">
        <f aca="false">IF($I148="","",$I148+$L148)</f>
        <v>2149</v>
      </c>
      <c r="O148" s="17" t="n">
        <f aca="false">IF($K148="","",$K148+$L148)</f>
        <v>1999</v>
      </c>
      <c r="P148" s="17" t="n">
        <f aca="false">IF($B$10=0,"",IFERROR(IF($B$4&gt;0,IF($M148="",1/0,$M148*$B$4),0)+IF($B$5&gt;0,IF($N148="",1/0,$N148*$B$5),0)+IF($B$6&gt;0,IF($O148="",1/0,$O148*$B$6),0),""))</f>
        <v>80915.3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80915.3</v>
      </c>
      <c r="U148" s="17" t="n">
        <f aca="false">IF($T148="","",IF($B$10=0,"",$T148/$B$10))</f>
        <v>2038.16876574307</v>
      </c>
      <c r="V148" s="17" t="n">
        <f aca="false">IF($P148="","",IF($B$10=0,"",$P148/$B$10))</f>
        <v>2038.16876574307</v>
      </c>
      <c r="W148" s="19" t="n">
        <f aca="false">IF($T148="",1000000000000000,$T148)</f>
        <v>80915.3</v>
      </c>
      <c r="X148" s="2"/>
      <c r="XFC148" s="6"/>
    </row>
    <row r="149" s="5" customFormat="true" ht="28.5" hidden="false" customHeight="true" outlineLevel="0" collapsed="false">
      <c r="A149" s="16" t="n">
        <f aca="false">IF($T149="","",1+COUNTIF($W$15:$W$728,"&lt;"&amp;W149))</f>
        <v>135</v>
      </c>
      <c r="B149" s="16" t="s">
        <v>12</v>
      </c>
      <c r="C149" s="16" t="s">
        <v>454</v>
      </c>
      <c r="D149" s="20" t="s">
        <v>303</v>
      </c>
      <c r="E149" s="16" t="s">
        <v>44</v>
      </c>
      <c r="F149" s="16" t="s">
        <v>455</v>
      </c>
      <c r="G149" s="16" t="s">
        <v>456</v>
      </c>
      <c r="H149" s="17" t="n">
        <v>1925</v>
      </c>
      <c r="I149" s="17" t="n">
        <v>2185</v>
      </c>
      <c r="J149" s="17"/>
      <c r="K149" s="17" t="n">
        <v>1995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1925</v>
      </c>
      <c r="N149" s="17" t="n">
        <f aca="false">IF($I149="","",$I149+$L149)</f>
        <v>2185</v>
      </c>
      <c r="O149" s="17" t="n">
        <f aca="false">IF($K149="","",$K149+$L149)</f>
        <v>1995</v>
      </c>
      <c r="P149" s="17" t="n">
        <f aca="false">IF($B$10=0,"",IFERROR(IF($B$4&gt;0,IF($M149="",1/0,$M149*$B$4),0)+IF($B$5&gt;0,IF($N149="",1/0,$N149*$B$5),0)+IF($B$6&gt;0,IF($O149="",1/0,$O149*$B$6),0),""))</f>
        <v>81024.5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81024.5</v>
      </c>
      <c r="U149" s="17" t="n">
        <f aca="false">IF($T149="","",IF($B$10=0,"",$T149/$B$10))</f>
        <v>2040.91939546599</v>
      </c>
      <c r="V149" s="17" t="n">
        <f aca="false">IF($P149="","",IF($B$10=0,"",$P149/$B$10))</f>
        <v>2040.91939546599</v>
      </c>
      <c r="W149" s="19" t="n">
        <f aca="false">IF($T149="",1000000000000000,$T149)</f>
        <v>81024.5</v>
      </c>
      <c r="X149" s="2"/>
      <c r="XFC149" s="6"/>
    </row>
    <row r="150" s="5" customFormat="true" ht="28.5" hidden="false" customHeight="true" outlineLevel="0" collapsed="false">
      <c r="A150" s="16" t="n">
        <f aca="false">IF($T150="","",1+COUNTIF($W$15:$W$728,"&lt;"&amp;W150))</f>
        <v>136</v>
      </c>
      <c r="B150" s="16" t="s">
        <v>12</v>
      </c>
      <c r="C150" s="16" t="s">
        <v>457</v>
      </c>
      <c r="D150" s="20" t="s">
        <v>208</v>
      </c>
      <c r="E150" s="16" t="s">
        <v>44</v>
      </c>
      <c r="F150" s="16" t="s">
        <v>458</v>
      </c>
      <c r="G150" s="16" t="s">
        <v>459</v>
      </c>
      <c r="H150" s="17" t="n">
        <v>1924</v>
      </c>
      <c r="I150" s="17" t="n">
        <v>2199</v>
      </c>
      <c r="J150" s="17"/>
      <c r="K150" s="17" t="n">
        <v>2154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1924</v>
      </c>
      <c r="N150" s="17" t="n">
        <f aca="false">IF($I150="","",$I150+$L150)</f>
        <v>2199</v>
      </c>
      <c r="O150" s="17" t="n">
        <f aca="false">IF($K150="","",$K150+$L150)</f>
        <v>2154</v>
      </c>
      <c r="P150" s="17" t="n">
        <f aca="false">IF($B$10=0,"",IFERROR(IF($B$4&gt;0,IF($M150="",1/0,$M150*$B$4),0)+IF($B$5&gt;0,IF($N150="",1/0,$N150*$B$5),0)+IF($B$6&gt;0,IF($O150="",1/0,$O150*$B$6),0),""))</f>
        <v>81250.3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81250.3</v>
      </c>
      <c r="U150" s="17" t="n">
        <f aca="false">IF($T150="","",IF($B$10=0,"",$T150/$B$10))</f>
        <v>2046.60705289673</v>
      </c>
      <c r="V150" s="17" t="n">
        <f aca="false">IF($P150="","",IF($B$10=0,"",$P150/$B$10))</f>
        <v>2046.60705289673</v>
      </c>
      <c r="W150" s="19" t="n">
        <f aca="false">IF($T150="",1000000000000000,$T150)</f>
        <v>81250.3</v>
      </c>
      <c r="X150" s="2"/>
      <c r="XFC150" s="6"/>
    </row>
    <row r="151" s="5" customFormat="true" ht="28.5" hidden="false" customHeight="true" outlineLevel="0" collapsed="false">
      <c r="A151" s="16" t="n">
        <f aca="false">IF($T151="","",1+COUNTIF($W$15:$W$728,"&lt;"&amp;W151))</f>
        <v>137</v>
      </c>
      <c r="B151" s="16" t="s">
        <v>12</v>
      </c>
      <c r="C151" s="16" t="s">
        <v>460</v>
      </c>
      <c r="D151" s="20" t="s">
        <v>208</v>
      </c>
      <c r="E151" s="16" t="s">
        <v>44</v>
      </c>
      <c r="F151" s="16" t="s">
        <v>461</v>
      </c>
      <c r="G151" s="16" t="s">
        <v>462</v>
      </c>
      <c r="H151" s="17" t="n">
        <v>1954</v>
      </c>
      <c r="I151" s="17" t="n">
        <v>2199</v>
      </c>
      <c r="J151" s="17"/>
      <c r="K151" s="17" t="n">
        <v>2154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1954</v>
      </c>
      <c r="N151" s="17" t="n">
        <f aca="false">IF($I151="","",$I151+$L151)</f>
        <v>2199</v>
      </c>
      <c r="O151" s="17" t="n">
        <f aca="false">IF($K151="","",$K151+$L151)</f>
        <v>2154</v>
      </c>
      <c r="P151" s="17" t="n">
        <f aca="false">IF($B$10=0,"",IFERROR(IF($B$4&gt;0,IF($M151="",1/0,$M151*$B$4),0)+IF($B$5&gt;0,IF($N151="",1/0,$N151*$B$5),0)+IF($B$6&gt;0,IF($O151="",1/0,$O151*$B$6),0),""))</f>
        <v>81910.3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81910.3</v>
      </c>
      <c r="U151" s="17" t="n">
        <f aca="false">IF($T151="","",IF($B$10=0,"",$T151/$B$10))</f>
        <v>2063.23173803526</v>
      </c>
      <c r="V151" s="17" t="n">
        <f aca="false">IF($P151="","",IF($B$10=0,"",$P151/$B$10))</f>
        <v>2063.23173803526</v>
      </c>
      <c r="W151" s="19" t="n">
        <f aca="false">IF($T151="",1000000000000000,$T151)</f>
        <v>81910.3</v>
      </c>
      <c r="X151" s="2"/>
      <c r="XFC151" s="6"/>
    </row>
    <row r="152" s="5" customFormat="true" ht="28.5" hidden="false" customHeight="true" outlineLevel="0" collapsed="false">
      <c r="A152" s="16" t="n">
        <f aca="false">IF($T152="","",1+COUNTIF($W$15:$W$728,"&lt;"&amp;W152))</f>
        <v>138</v>
      </c>
      <c r="B152" s="16" t="s">
        <v>6</v>
      </c>
      <c r="C152" s="16" t="s">
        <v>463</v>
      </c>
      <c r="D152" s="16" t="s">
        <v>141</v>
      </c>
      <c r="E152" s="16" t="s">
        <v>58</v>
      </c>
      <c r="F152" s="16" t="s">
        <v>464</v>
      </c>
      <c r="G152" s="16" t="s">
        <v>465</v>
      </c>
      <c r="H152" s="17" t="n">
        <v>2089</v>
      </c>
      <c r="I152" s="17" t="n">
        <v>2589</v>
      </c>
      <c r="J152" s="17"/>
      <c r="K152" s="17" t="n">
        <v>1979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2089</v>
      </c>
      <c r="N152" s="17" t="n">
        <f aca="false">IF($I152="","",$I152+$L152)</f>
        <v>2589</v>
      </c>
      <c r="O152" s="17" t="n">
        <f aca="false">IF($K152="","",$K152+$L152)</f>
        <v>1979</v>
      </c>
      <c r="P152" s="17" t="n">
        <f aca="false">IF($B$10=0,"",IFERROR(IF($B$4&gt;0,IF($M152="",1/0,$M152*$B$4),0)+IF($B$5&gt;0,IF($N152="",1/0,$N152*$B$5),0)+IF($B$6&gt;0,IF($O152="",1/0,$O152*$B$6),0),""))</f>
        <v>91783.3</v>
      </c>
      <c r="Q152" s="17" t="s">
        <v>44</v>
      </c>
      <c r="R152" s="18" t="n">
        <f aca="false">IF($P152="","",IF($Q152="Y",IFERROR(VLOOKUP($B152,$C$4:$D$13,2,FALSE()),0),0))</f>
        <v>0.1</v>
      </c>
      <c r="S152" s="17" t="n">
        <f aca="false">IF($P152="","",ROUNDDOWN($P152*$R152,0))</f>
        <v>9178</v>
      </c>
      <c r="T152" s="17" t="n">
        <f aca="false">IF($P152="","",$P152-$S152)</f>
        <v>82605.3</v>
      </c>
      <c r="U152" s="17" t="n">
        <f aca="false">IF($T152="","",IF($B$10=0,"",$T152/$B$10))</f>
        <v>2080.73803526448</v>
      </c>
      <c r="V152" s="17" t="n">
        <f aca="false">IF($P152="","",IF($B$10=0,"",$P152/$B$10))</f>
        <v>2311.92191435768</v>
      </c>
      <c r="W152" s="19" t="n">
        <f aca="false">IF($T152="",1000000000000000,$T152)</f>
        <v>82605.3</v>
      </c>
      <c r="X152" s="2"/>
      <c r="XFC152" s="6"/>
    </row>
    <row r="153" s="5" customFormat="true" ht="28.5" hidden="false" customHeight="true" outlineLevel="0" collapsed="false">
      <c r="A153" s="16" t="n">
        <f aca="false">IF($T153="","",1+COUNTIF($W$15:$W$728,"&lt;"&amp;W153))</f>
        <v>139</v>
      </c>
      <c r="B153" s="16" t="s">
        <v>12</v>
      </c>
      <c r="C153" s="16" t="s">
        <v>466</v>
      </c>
      <c r="D153" s="20" t="s">
        <v>141</v>
      </c>
      <c r="E153" s="16" t="s">
        <v>44</v>
      </c>
      <c r="F153" s="16" t="s">
        <v>467</v>
      </c>
      <c r="G153" s="16" t="s">
        <v>468</v>
      </c>
      <c r="H153" s="17" t="n">
        <v>1955</v>
      </c>
      <c r="I153" s="17" t="n">
        <v>2345</v>
      </c>
      <c r="J153" s="17"/>
      <c r="K153" s="17" t="n">
        <v>2145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1955</v>
      </c>
      <c r="N153" s="17" t="n">
        <f aca="false">IF($I153="","",$I153+$L153)</f>
        <v>2345</v>
      </c>
      <c r="O153" s="17" t="n">
        <f aca="false">IF($K153="","",$K153+$L153)</f>
        <v>2145</v>
      </c>
      <c r="P153" s="17" t="n">
        <f aca="false">IF($B$10=0,"",IFERROR(IF($B$4&gt;0,IF($M153="",1/0,$M153*$B$4),0)+IF($B$5&gt;0,IF($N153="",1/0,$N153*$B$5),0)+IF($B$6&gt;0,IF($O153="",1/0,$O153*$B$6),0),""))</f>
        <v>84516.5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84516.5</v>
      </c>
      <c r="U153" s="17" t="n">
        <f aca="false">IF($T153="","",IF($B$10=0,"",$T153/$B$10))</f>
        <v>2128.87909319899</v>
      </c>
      <c r="V153" s="17" t="n">
        <f aca="false">IF($P153="","",IF($B$10=0,"",$P153/$B$10))</f>
        <v>2128.87909319899</v>
      </c>
      <c r="W153" s="19" t="n">
        <f aca="false">IF($T153="",1000000000000000,$T153)</f>
        <v>84516.5</v>
      </c>
      <c r="X153" s="2"/>
      <c r="XFC153" s="6"/>
    </row>
    <row r="154" s="5" customFormat="true" ht="28.5" hidden="false" customHeight="true" outlineLevel="0" collapsed="false">
      <c r="A154" s="16" t="n">
        <f aca="false">IF($T154="","",1+COUNTIF($W$15:$W$728,"&lt;"&amp;W154))</f>
        <v>140</v>
      </c>
      <c r="B154" s="16" t="s">
        <v>12</v>
      </c>
      <c r="C154" s="16" t="s">
        <v>469</v>
      </c>
      <c r="D154" s="20" t="s">
        <v>131</v>
      </c>
      <c r="E154" s="16" t="s">
        <v>58</v>
      </c>
      <c r="F154" s="16" t="s">
        <v>470</v>
      </c>
      <c r="G154" s="16" t="s">
        <v>471</v>
      </c>
      <c r="H154" s="17" t="n">
        <v>2099</v>
      </c>
      <c r="I154" s="17" t="n">
        <v>2299</v>
      </c>
      <c r="J154" s="17"/>
      <c r="K154" s="17" t="n">
        <v>2098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2099</v>
      </c>
      <c r="N154" s="17" t="n">
        <f aca="false">IF($I154="","",$I154+$L154)</f>
        <v>2299</v>
      </c>
      <c r="O154" s="17" t="n">
        <f aca="false">IF($K154="","",$K154+$L154)</f>
        <v>2098</v>
      </c>
      <c r="P154" s="17" t="n">
        <f aca="false">IF($B$10=0,"",IFERROR(IF($B$4&gt;0,IF($M154="",1/0,$M154*$B$4),0)+IF($B$5&gt;0,IF($N154="",1/0,$N154*$B$5),0)+IF($B$6&gt;0,IF($O154="",1/0,$O154*$B$6),0),""))</f>
        <v>86870.3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86870.3</v>
      </c>
      <c r="U154" s="17" t="n">
        <f aca="false">IF($T154="","",IF($B$10=0,"",$T154/$B$10))</f>
        <v>2188.16876574307</v>
      </c>
      <c r="V154" s="17" t="n">
        <f aca="false">IF($P154="","",IF($B$10=0,"",$P154/$B$10))</f>
        <v>2188.16876574307</v>
      </c>
      <c r="W154" s="19" t="n">
        <f aca="false">IF($T154="",1000000000000000,$T154)</f>
        <v>86870.3</v>
      </c>
      <c r="X154" s="2"/>
      <c r="XFC154" s="6"/>
    </row>
    <row r="155" s="5" customFormat="true" ht="28.5" hidden="false" customHeight="true" outlineLevel="0" collapsed="false">
      <c r="A155" s="16" t="str">
        <f aca="false">IF($T155="","",1+COUNTIF($W$15:$W$728,"&lt;"&amp;W155))</f>
        <v/>
      </c>
      <c r="B155" s="16" t="s">
        <v>12</v>
      </c>
      <c r="C155" s="16" t="s">
        <v>472</v>
      </c>
      <c r="D155" s="16" t="s">
        <v>43</v>
      </c>
      <c r="E155" s="16" t="s">
        <v>44</v>
      </c>
      <c r="F155" s="16" t="s">
        <v>473</v>
      </c>
      <c r="G155" s="16" t="s">
        <v>474</v>
      </c>
      <c r="H155" s="17" t="n">
        <v>1924</v>
      </c>
      <c r="I155" s="17"/>
      <c r="J155" s="17"/>
      <c r="K155" s="17" t="n">
        <v>1994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1924</v>
      </c>
      <c r="N155" s="17" t="str">
        <f aca="false">IF($I155="","",$I155+$L155)</f>
        <v/>
      </c>
      <c r="O155" s="17" t="n">
        <f aca="false">IF($K155="","",$K155+$L155)</f>
        <v>1994</v>
      </c>
      <c r="P155" s="17" t="str">
        <f aca="false">IF($B$10=0,"",IFERROR(IF($B$4&gt;0,IF($M155="",1/0,$M155*$B$4),0)+IF($B$5&gt;0,IF($N155="",1/0,$N155*$B$5),0)+IF($B$6&gt;0,IF($O155="",1/0,$O155*$B$6),0),""))</f>
        <v/>
      </c>
      <c r="Q155" s="17"/>
      <c r="R155" s="18" t="str">
        <f aca="false">IF($P155="","",IF($Q155="Y",IFERROR(VLOOKUP($B155,$C$4:$D$13,2,FALSE()),0),0))</f>
        <v/>
      </c>
      <c r="S155" s="17" t="str">
        <f aca="false">IF($P155="","",ROUNDDOWN($P155*$R155,0))</f>
        <v/>
      </c>
      <c r="T155" s="17" t="str">
        <f aca="false">IF($P155="","",$P155-$S155)</f>
        <v/>
      </c>
      <c r="U155" s="17" t="str">
        <f aca="false">IF($T155="","",IF($B$10=0,"",$T155/$B$10))</f>
        <v/>
      </c>
      <c r="V155" s="17" t="str">
        <f aca="false">IF($P155="","",IF($B$10=0,"",$P155/$B$10))</f>
        <v/>
      </c>
      <c r="W155" s="19" t="n">
        <f aca="false">IF($T155="",1000000000000000,$T155)</f>
        <v>1000000000000000</v>
      </c>
      <c r="X155" s="2"/>
      <c r="XFC155" s="6"/>
    </row>
    <row r="156" s="5" customFormat="true" ht="28.5" hidden="false" customHeight="true" outlineLevel="0" collapsed="false">
      <c r="A156" s="16" t="str">
        <f aca="false">IF($T156="","",1+COUNTIF($W$15:$W$728,"&lt;"&amp;W156))</f>
        <v/>
      </c>
      <c r="B156" s="16" t="s">
        <v>6</v>
      </c>
      <c r="C156" s="16" t="s">
        <v>475</v>
      </c>
      <c r="D156" s="16" t="s">
        <v>141</v>
      </c>
      <c r="E156" s="16" t="s">
        <v>44</v>
      </c>
      <c r="F156" s="16" t="s">
        <v>476</v>
      </c>
      <c r="G156" s="16" t="s">
        <v>477</v>
      </c>
      <c r="H156" s="17" t="n">
        <v>1917</v>
      </c>
      <c r="I156" s="17"/>
      <c r="J156" s="17"/>
      <c r="K156" s="17" t="n">
        <v>1949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1917</v>
      </c>
      <c r="N156" s="17" t="str">
        <f aca="false">IF($I156="","",$I156+$L156)</f>
        <v/>
      </c>
      <c r="O156" s="17" t="n">
        <f aca="false">IF($K156="","",$K156+$L156)</f>
        <v>1949</v>
      </c>
      <c r="P156" s="17" t="str">
        <f aca="false">IF($B$10=0,"",IFERROR(IF($B$4&gt;0,IF($M156="",1/0,$M156*$B$4),0)+IF($B$5&gt;0,IF($N156="",1/0,$N156*$B$5),0)+IF($B$6&gt;0,IF($O156="",1/0,$O156*$B$6),0),""))</f>
        <v/>
      </c>
      <c r="Q156" s="17" t="s">
        <v>44</v>
      </c>
      <c r="R156" s="18" t="str">
        <f aca="false">IF($P156="","",IF($Q156="Y",IFERROR(VLOOKUP($B156,$C$4:$D$13,2,FALSE()),0),0))</f>
        <v/>
      </c>
      <c r="S156" s="17" t="str">
        <f aca="false">IF($P156="","",ROUNDDOWN($P156*$R156,0))</f>
        <v/>
      </c>
      <c r="T156" s="17" t="str">
        <f aca="false">IF($P156="","",$P156-$S156)</f>
        <v/>
      </c>
      <c r="U156" s="17" t="str">
        <f aca="false">IF($T156="","",IF($B$10=0,"",$T156/$B$10))</f>
        <v/>
      </c>
      <c r="V156" s="17" t="str">
        <f aca="false">IF($P156="","",IF($B$10=0,"",$P156/$B$10))</f>
        <v/>
      </c>
      <c r="W156" s="19" t="n">
        <f aca="false">IF($T156="",1000000000000000,$T156)</f>
        <v>1000000000000000</v>
      </c>
      <c r="X156" s="2"/>
      <c r="XFC156" s="6"/>
    </row>
    <row r="157" s="5" customFormat="true" ht="28.5" hidden="false" customHeight="true" outlineLevel="0" collapsed="false">
      <c r="A157" s="16" t="str">
        <f aca="false">IF($T157="","",1+COUNTIF($W$15:$W$728,"&lt;"&amp;W157))</f>
        <v/>
      </c>
      <c r="B157" s="16" t="s">
        <v>12</v>
      </c>
      <c r="C157" s="16" t="s">
        <v>478</v>
      </c>
      <c r="D157" s="20" t="s">
        <v>208</v>
      </c>
      <c r="E157" s="16" t="s">
        <v>44</v>
      </c>
      <c r="F157" s="16" t="s">
        <v>479</v>
      </c>
      <c r="G157" s="16" t="s">
        <v>480</v>
      </c>
      <c r="H157" s="17" t="n">
        <v>1948</v>
      </c>
      <c r="I157" s="17"/>
      <c r="J157" s="17"/>
      <c r="K157" s="17" t="n">
        <v>1968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1948</v>
      </c>
      <c r="N157" s="17" t="str">
        <f aca="false">IF($I157="","",$I157+$L157)</f>
        <v/>
      </c>
      <c r="O157" s="17" t="n">
        <f aca="false">IF($K157="","",$K157+$L157)</f>
        <v>1968</v>
      </c>
      <c r="P157" s="17" t="str">
        <f aca="false">IF($B$10=0,"",IFERROR(IF($B$4&gt;0,IF($M157="",1/0,$M157*$B$4),0)+IF($B$5&gt;0,IF($N157="",1/0,$N157*$B$5),0)+IF($B$6&gt;0,IF($O157="",1/0,$O157*$B$6),0),""))</f>
        <v/>
      </c>
      <c r="Q157" s="17"/>
      <c r="R157" s="18" t="str">
        <f aca="false">IF($P157="","",IF($Q157="Y",IFERROR(VLOOKUP($B157,$C$4:$D$13,2,FALSE()),0),0))</f>
        <v/>
      </c>
      <c r="S157" s="17" t="str">
        <f aca="false">IF($P157="","",ROUNDDOWN($P157*$R157,0))</f>
        <v/>
      </c>
      <c r="T157" s="17" t="str">
        <f aca="false">IF($P157="","",$P157-$S157)</f>
        <v/>
      </c>
      <c r="U157" s="17" t="str">
        <f aca="false">IF($T157="","",IF($B$10=0,"",$T157/$B$10))</f>
        <v/>
      </c>
      <c r="V157" s="17" t="str">
        <f aca="false">IF($P157="","",IF($B$10=0,"",$P157/$B$10))</f>
        <v/>
      </c>
      <c r="W157" s="19" t="n">
        <f aca="false">IF($T157="",1000000000000000,$T157)</f>
        <v>1000000000000000</v>
      </c>
      <c r="X157" s="2"/>
      <c r="XFC157" s="6"/>
    </row>
    <row r="158" s="5" customFormat="true" ht="28.5" hidden="false" customHeight="true" outlineLevel="0" collapsed="false">
      <c r="A158" s="16" t="str">
        <f aca="false">IF($T158="","",1+COUNTIF($W$15:$W$728,"&lt;"&amp;W158))</f>
        <v/>
      </c>
      <c r="B158" s="16" t="s">
        <v>12</v>
      </c>
      <c r="C158" s="16" t="s">
        <v>481</v>
      </c>
      <c r="D158" s="20" t="s">
        <v>303</v>
      </c>
      <c r="E158" s="16" t="s">
        <v>44</v>
      </c>
      <c r="F158" s="16" t="s">
        <v>482</v>
      </c>
      <c r="G158" s="16" t="s">
        <v>483</v>
      </c>
      <c r="H158" s="17" t="n">
        <v>1949</v>
      </c>
      <c r="I158" s="17"/>
      <c r="J158" s="17"/>
      <c r="K158" s="17" t="n">
        <v>2059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1949</v>
      </c>
      <c r="N158" s="17" t="str">
        <f aca="false">IF($I158="","",$I158+$L158)</f>
        <v/>
      </c>
      <c r="O158" s="17" t="n">
        <f aca="false">IF($K158="","",$K158+$L158)</f>
        <v>2059</v>
      </c>
      <c r="P158" s="17" t="str">
        <f aca="false">IF($B$10=0,"",IFERROR(IF($B$4&gt;0,IF($M158="",1/0,$M158*$B$4),0)+IF($B$5&gt;0,IF($N158="",1/0,$N158*$B$5),0)+IF($B$6&gt;0,IF($O158="",1/0,$O158*$B$6),0),""))</f>
        <v/>
      </c>
      <c r="Q158" s="17"/>
      <c r="R158" s="18" t="str">
        <f aca="false">IF($P158="","",IF($Q158="Y",IFERROR(VLOOKUP($B158,$C$4:$D$13,2,FALSE()),0),0))</f>
        <v/>
      </c>
      <c r="S158" s="17" t="str">
        <f aca="false">IF($P158="","",ROUNDDOWN($P158*$R158,0))</f>
        <v/>
      </c>
      <c r="T158" s="17" t="str">
        <f aca="false">IF($P158="","",$P158-$S158)</f>
        <v/>
      </c>
      <c r="U158" s="17" t="str">
        <f aca="false">IF($T158="","",IF($B$10=0,"",$T158/$B$10))</f>
        <v/>
      </c>
      <c r="V158" s="17" t="str">
        <f aca="false">IF($P158="","",IF($B$10=0,"",$P158/$B$10))</f>
        <v/>
      </c>
      <c r="W158" s="19" t="n">
        <f aca="false">IF($T158="",1000000000000000,$T158)</f>
        <v>1000000000000000</v>
      </c>
      <c r="X158" s="2"/>
      <c r="XFC158" s="6"/>
    </row>
    <row r="159" s="5" customFormat="true" ht="28.5" hidden="false" customHeight="true" outlineLevel="0" collapsed="false">
      <c r="A159" s="16" t="str">
        <f aca="false">IF($T159="","",1+COUNTIF($W$15:$W$728,"&lt;"&amp;W159))</f>
        <v/>
      </c>
      <c r="B159" s="16" t="s">
        <v>12</v>
      </c>
      <c r="C159" s="16" t="s">
        <v>484</v>
      </c>
      <c r="D159" s="20" t="s">
        <v>208</v>
      </c>
      <c r="E159" s="16" t="s">
        <v>44</v>
      </c>
      <c r="F159" s="16" t="s">
        <v>485</v>
      </c>
      <c r="G159" s="16" t="s">
        <v>486</v>
      </c>
      <c r="H159" s="17" t="n">
        <v>1949</v>
      </c>
      <c r="I159" s="17"/>
      <c r="J159" s="17"/>
      <c r="K159" s="17" t="n">
        <v>2059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1949</v>
      </c>
      <c r="N159" s="17" t="str">
        <f aca="false">IF($I159="","",$I159+$L159)</f>
        <v/>
      </c>
      <c r="O159" s="17" t="n">
        <f aca="false">IF($K159="","",$K159+$L159)</f>
        <v>2059</v>
      </c>
      <c r="P159" s="17" t="str">
        <f aca="false">IF($B$10=0,"",IFERROR(IF($B$4&gt;0,IF($M159="",1/0,$M159*$B$4),0)+IF($B$5&gt;0,IF($N159="",1/0,$N159*$B$5),0)+IF($B$6&gt;0,IF($O159="",1/0,$O159*$B$6),0),""))</f>
        <v/>
      </c>
      <c r="Q159" s="17"/>
      <c r="R159" s="18" t="str">
        <f aca="false">IF($P159="","",IF($Q159="Y",IFERROR(VLOOKUP($B159,$C$4:$D$13,2,FALSE()),0),0))</f>
        <v/>
      </c>
      <c r="S159" s="17" t="str">
        <f aca="false">IF($P159="","",ROUNDDOWN($P159*$R159,0))</f>
        <v/>
      </c>
      <c r="T159" s="17" t="str">
        <f aca="false">IF($P159="","",$P159-$S159)</f>
        <v/>
      </c>
      <c r="U159" s="17" t="str">
        <f aca="false">IF($T159="","",IF($B$10=0,"",$T159/$B$10))</f>
        <v/>
      </c>
      <c r="V159" s="17" t="str">
        <f aca="false">IF($P159="","",IF($B$10=0,"",$P159/$B$10))</f>
        <v/>
      </c>
      <c r="W159" s="19" t="n">
        <f aca="false">IF($T159="",1000000000000000,$T159)</f>
        <v>1000000000000000</v>
      </c>
      <c r="X159" s="2"/>
      <c r="XFC159" s="6"/>
    </row>
    <row r="160" s="5" customFormat="true" ht="28.5" hidden="false" customHeight="true" outlineLevel="0" collapsed="false">
      <c r="A160" s="16" t="str">
        <f aca="false">IF($T160="","",1+COUNTIF($W$15:$W$728,"&lt;"&amp;W160))</f>
        <v/>
      </c>
      <c r="B160" s="16" t="s">
        <v>12</v>
      </c>
      <c r="C160" s="16" t="s">
        <v>487</v>
      </c>
      <c r="D160" s="16" t="s">
        <v>328</v>
      </c>
      <c r="E160" s="16" t="s">
        <v>44</v>
      </c>
      <c r="F160" s="16" t="s">
        <v>488</v>
      </c>
      <c r="G160" s="16" t="s">
        <v>489</v>
      </c>
      <c r="H160" s="17" t="n">
        <v>1780</v>
      </c>
      <c r="I160" s="17"/>
      <c r="J160" s="17"/>
      <c r="K160" s="17" t="n">
        <v>1790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1780</v>
      </c>
      <c r="N160" s="17" t="str">
        <f aca="false">IF($I160="","",$I160+$L160)</f>
        <v/>
      </c>
      <c r="O160" s="17" t="n">
        <f aca="false">IF($K160="","",$K160+$L160)</f>
        <v>1790</v>
      </c>
      <c r="P160" s="17" t="str">
        <f aca="false">IF($B$10=0,"",IFERROR(IF($B$4&gt;0,IF($M160="",1/0,$M160*$B$4),0)+IF($B$5&gt;0,IF($N160="",1/0,$N160*$B$5),0)+IF($B$6&gt;0,IF($O160="",1/0,$O160*$B$6),0),""))</f>
        <v/>
      </c>
      <c r="Q160" s="17"/>
      <c r="R160" s="18" t="str">
        <f aca="false">IF($P160="","",IF($Q160="Y",IFERROR(VLOOKUP($B160,$C$4:$D$13,2,FALSE()),0),0))</f>
        <v/>
      </c>
      <c r="S160" s="17" t="str">
        <f aca="false">IF($P160="","",ROUNDDOWN($P160*$R160,0))</f>
        <v/>
      </c>
      <c r="T160" s="17" t="str">
        <f aca="false">IF($P160="","",$P160-$S160)</f>
        <v/>
      </c>
      <c r="U160" s="17" t="str">
        <f aca="false">IF($T160="","",IF($B$10=0,"",$T160/$B$10))</f>
        <v/>
      </c>
      <c r="V160" s="17" t="str">
        <f aca="false">IF($P160="","",IF($B$10=0,"",$P160/$B$10))</f>
        <v/>
      </c>
      <c r="W160" s="19" t="n">
        <f aca="false">IF($T160="",1000000000000000,$T160)</f>
        <v>1000000000000000</v>
      </c>
      <c r="X160" s="2"/>
      <c r="XFC160" s="6"/>
    </row>
    <row r="161" s="5" customFormat="true" ht="28.5" hidden="false" customHeight="true" outlineLevel="0" collapsed="false">
      <c r="A161" s="16" t="str">
        <f aca="false">IF($T161="","",1+COUNTIF($W$15:$W$728,"&lt;"&amp;W161))</f>
        <v/>
      </c>
      <c r="B161" s="16" t="s">
        <v>12</v>
      </c>
      <c r="C161" s="16" t="s">
        <v>490</v>
      </c>
      <c r="D161" s="20" t="s">
        <v>303</v>
      </c>
      <c r="E161" s="16" t="s">
        <v>44</v>
      </c>
      <c r="F161" s="16" t="s">
        <v>491</v>
      </c>
      <c r="G161" s="16" t="s">
        <v>492</v>
      </c>
      <c r="H161" s="17" t="n">
        <v>1945</v>
      </c>
      <c r="I161" s="17"/>
      <c r="J161" s="17"/>
      <c r="K161" s="17" t="n">
        <v>1985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1945</v>
      </c>
      <c r="N161" s="17" t="str">
        <f aca="false">IF($I161="","",$I161+$L161)</f>
        <v/>
      </c>
      <c r="O161" s="17" t="n">
        <f aca="false">IF($K161="","",$K161+$L161)</f>
        <v>1985</v>
      </c>
      <c r="P161" s="17" t="str">
        <f aca="false">IF($B$10=0,"",IFERROR(IF($B$4&gt;0,IF($M161="",1/0,$M161*$B$4),0)+IF($B$5&gt;0,IF($N161="",1/0,$N161*$B$5),0)+IF($B$6&gt;0,IF($O161="",1/0,$O161*$B$6),0),""))</f>
        <v/>
      </c>
      <c r="Q161" s="17" t="s">
        <v>44</v>
      </c>
      <c r="R161" s="18" t="str">
        <f aca="false">IF($P161="","",IF($Q161="Y",IFERROR(VLOOKUP($B161,$C$4:$D$13,2,FALSE()),0),0))</f>
        <v/>
      </c>
      <c r="S161" s="17" t="str">
        <f aca="false">IF($P161="","",ROUNDDOWN($P161*$R161,0))</f>
        <v/>
      </c>
      <c r="T161" s="17" t="str">
        <f aca="false">IF($P161="","",$P161-$S161)</f>
        <v/>
      </c>
      <c r="U161" s="17" t="str">
        <f aca="false">IF($T161="","",IF($B$10=0,"",$T161/$B$10))</f>
        <v/>
      </c>
      <c r="V161" s="17" t="str">
        <f aca="false">IF($P161="","",IF($B$10=0,"",$P161/$B$10))</f>
        <v/>
      </c>
      <c r="W161" s="19" t="n">
        <f aca="false">IF($T161="",1000000000000000,$T161)</f>
        <v>1000000000000000</v>
      </c>
      <c r="X161" s="2"/>
      <c r="XFC161" s="6"/>
    </row>
    <row r="162" s="5" customFormat="true" ht="28.5" hidden="false" customHeight="true" outlineLevel="0" collapsed="false">
      <c r="A162" s="16" t="str">
        <f aca="false">IF($T162="","",1+COUNTIF($W$15:$W$728,"&lt;"&amp;W162))</f>
        <v/>
      </c>
      <c r="B162" s="16" t="s">
        <v>12</v>
      </c>
      <c r="C162" s="16" t="s">
        <v>493</v>
      </c>
      <c r="D162" s="20" t="s">
        <v>208</v>
      </c>
      <c r="E162" s="16" t="s">
        <v>44</v>
      </c>
      <c r="F162" s="16" t="s">
        <v>494</v>
      </c>
      <c r="G162" s="16" t="s">
        <v>495</v>
      </c>
      <c r="H162" s="17" t="n">
        <v>1924</v>
      </c>
      <c r="I162" s="17"/>
      <c r="J162" s="17"/>
      <c r="K162" s="17" t="n">
        <v>1994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1924</v>
      </c>
      <c r="N162" s="17" t="str">
        <f aca="false">IF($I162="","",$I162+$L162)</f>
        <v/>
      </c>
      <c r="O162" s="17" t="n">
        <f aca="false">IF($K162="","",$K162+$L162)</f>
        <v>1994</v>
      </c>
      <c r="P162" s="17" t="str">
        <f aca="false">IF($B$10=0,"",IFERROR(IF($B$4&gt;0,IF($M162="",1/0,$M162*$B$4),0)+IF($B$5&gt;0,IF($N162="",1/0,$N162*$B$5),0)+IF($B$6&gt;0,IF($O162="",1/0,$O162*$B$6),0),""))</f>
        <v/>
      </c>
      <c r="Q162" s="17" t="s">
        <v>44</v>
      </c>
      <c r="R162" s="18" t="str">
        <f aca="false">IF($P162="","",IF($Q162="Y",IFERROR(VLOOKUP($B162,$C$4:$D$13,2,FALSE()),0),0))</f>
        <v/>
      </c>
      <c r="S162" s="17" t="str">
        <f aca="false">IF($P162="","",ROUNDDOWN($P162*$R162,0))</f>
        <v/>
      </c>
      <c r="T162" s="17" t="str">
        <f aca="false">IF($P162="","",$P162-$S162)</f>
        <v/>
      </c>
      <c r="U162" s="17" t="str">
        <f aca="false">IF($T162="","",IF($B$10=0,"",$T162/$B$10))</f>
        <v/>
      </c>
      <c r="V162" s="17" t="str">
        <f aca="false">IF($P162="","",IF($B$10=0,"",$P162/$B$10))</f>
        <v/>
      </c>
      <c r="W162" s="19" t="n">
        <f aca="false">IF($T162="",1000000000000000,$T162)</f>
        <v>1000000000000000</v>
      </c>
      <c r="X162" s="2"/>
      <c r="XFC162" s="6"/>
    </row>
    <row r="163" s="5" customFormat="true" ht="28.5" hidden="false" customHeight="true" outlineLevel="0" collapsed="false">
      <c r="A163" s="16" t="str">
        <f aca="false">IF($T163="","",1+COUNTIF($W$15:$W$728,"&lt;"&amp;W163))</f>
        <v/>
      </c>
      <c r="B163" s="16" t="s">
        <v>12</v>
      </c>
      <c r="C163" s="16" t="s">
        <v>496</v>
      </c>
      <c r="D163" s="20" t="s">
        <v>303</v>
      </c>
      <c r="E163" s="16" t="s">
        <v>44</v>
      </c>
      <c r="F163" s="16" t="s">
        <v>497</v>
      </c>
      <c r="G163" s="16" t="s">
        <v>498</v>
      </c>
      <c r="H163" s="17" t="n">
        <v>1894</v>
      </c>
      <c r="I163" s="17"/>
      <c r="J163" s="17"/>
      <c r="K163" s="17" t="n">
        <v>1994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1894</v>
      </c>
      <c r="N163" s="17" t="str">
        <f aca="false">IF($I163="","",$I163+$L163)</f>
        <v/>
      </c>
      <c r="O163" s="17" t="n">
        <f aca="false">IF($K163="","",$K163+$L163)</f>
        <v>1994</v>
      </c>
      <c r="P163" s="17" t="str">
        <f aca="false">IF($B$10=0,"",IFERROR(IF($B$4&gt;0,IF($M163="",1/0,$M163*$B$4),0)+IF($B$5&gt;0,IF($N163="",1/0,$N163*$B$5),0)+IF($B$6&gt;0,IF($O163="",1/0,$O163*$B$6),0),""))</f>
        <v/>
      </c>
      <c r="Q163" s="17" t="s">
        <v>44</v>
      </c>
      <c r="R163" s="18" t="str">
        <f aca="false">IF($P163="","",IF($Q163="Y",IFERROR(VLOOKUP($B163,$C$4:$D$13,2,FALSE()),0),0))</f>
        <v/>
      </c>
      <c r="S163" s="17" t="str">
        <f aca="false">IF($P163="","",ROUNDDOWN($P163*$R163,0))</f>
        <v/>
      </c>
      <c r="T163" s="17" t="str">
        <f aca="false">IF($P163="","",$P163-$S163)</f>
        <v/>
      </c>
      <c r="U163" s="17" t="str">
        <f aca="false">IF($T163="","",IF($B$10=0,"",$T163/$B$10))</f>
        <v/>
      </c>
      <c r="V163" s="17" t="str">
        <f aca="false">IF($P163="","",IF($B$10=0,"",$P163/$B$10))</f>
        <v/>
      </c>
      <c r="W163" s="19" t="n">
        <f aca="false">IF($T163="",1000000000000000,$T163)</f>
        <v>1000000000000000</v>
      </c>
      <c r="X163" s="2"/>
      <c r="XFC163" s="6"/>
    </row>
    <row r="164" s="5" customFormat="true" ht="28.5" hidden="false" customHeight="true" outlineLevel="0" collapsed="false">
      <c r="A164" s="16" t="str">
        <f aca="false">IF($T164="","",1+COUNTIF($W$15:$W$728,"&lt;"&amp;W164))</f>
        <v/>
      </c>
      <c r="B164" s="16" t="s">
        <v>10</v>
      </c>
      <c r="C164" s="16" t="s">
        <v>499</v>
      </c>
      <c r="D164" s="16" t="s">
        <v>48</v>
      </c>
      <c r="E164" s="16" t="s">
        <v>44</v>
      </c>
      <c r="F164" s="16" t="s">
        <v>500</v>
      </c>
      <c r="G164" s="16" t="s">
        <v>501</v>
      </c>
      <c r="H164" s="17" t="n">
        <v>1795</v>
      </c>
      <c r="I164" s="17"/>
      <c r="J164" s="17"/>
      <c r="K164" s="17" t="n">
        <v>1765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1795</v>
      </c>
      <c r="N164" s="17" t="str">
        <f aca="false">IF($I164="","",$I164+$L164)</f>
        <v/>
      </c>
      <c r="O164" s="17" t="n">
        <f aca="false">IF($K164="","",$K164+$L164)</f>
        <v>1765</v>
      </c>
      <c r="P164" s="17" t="str">
        <f aca="false">IF($B$10=0,"",IFERROR(IF($B$4&gt;0,IF($M164="",1/0,$M164*$B$4),0)+IF($B$5&gt;0,IF($N164="",1/0,$N164*$B$5),0)+IF($B$6&gt;0,IF($O164="",1/0,$O164*$B$6),0),""))</f>
        <v/>
      </c>
      <c r="Q164" s="17"/>
      <c r="R164" s="18" t="str">
        <f aca="false">IF($P164="","",IF($Q164="Y",IFERROR(VLOOKUP($B164,$C$4:$D$13,2,FALSE()),0),0))</f>
        <v/>
      </c>
      <c r="S164" s="17" t="str">
        <f aca="false">IF($P164="","",ROUNDDOWN($P164*$R164,0))</f>
        <v/>
      </c>
      <c r="T164" s="17" t="str">
        <f aca="false">IF($P164="","",$P164-$S164)</f>
        <v/>
      </c>
      <c r="U164" s="17" t="str">
        <f aca="false">IF($T164="","",IF($B$10=0,"",$T164/$B$10))</f>
        <v/>
      </c>
      <c r="V164" s="17" t="str">
        <f aca="false">IF($P164="","",IF($B$10=0,"",$P164/$B$10))</f>
        <v/>
      </c>
      <c r="W164" s="19" t="n">
        <f aca="false">IF($T164="",1000000000000000,$T164)</f>
        <v>1000000000000000</v>
      </c>
      <c r="X164" s="2"/>
      <c r="XFC164" s="6"/>
    </row>
    <row r="165" s="5" customFormat="true" ht="28.5" hidden="false" customHeight="true" outlineLevel="0" collapsed="false">
      <c r="A165" s="16" t="str">
        <f aca="false">IF($T165="","",1+COUNTIF($W$15:$W$728,"&lt;"&amp;W165))</f>
        <v/>
      </c>
      <c r="B165" s="16" t="s">
        <v>12</v>
      </c>
      <c r="C165" s="16" t="s">
        <v>502</v>
      </c>
      <c r="D165" s="20" t="s">
        <v>131</v>
      </c>
      <c r="E165" s="16" t="s">
        <v>44</v>
      </c>
      <c r="F165" s="16" t="s">
        <v>503</v>
      </c>
      <c r="G165" s="16" t="s">
        <v>504</v>
      </c>
      <c r="H165" s="17" t="n">
        <v>1889</v>
      </c>
      <c r="I165" s="17"/>
      <c r="J165" s="17"/>
      <c r="K165" s="17" t="n">
        <v>1978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1889</v>
      </c>
      <c r="N165" s="17" t="str">
        <f aca="false">IF($I165="","",$I165+$L165)</f>
        <v/>
      </c>
      <c r="O165" s="17" t="n">
        <f aca="false">IF($K165="","",$K165+$L165)</f>
        <v>1978</v>
      </c>
      <c r="P165" s="17" t="str">
        <f aca="false">IF($B$10=0,"",IFERROR(IF($B$4&gt;0,IF($M165="",1/0,$M165*$B$4),0)+IF($B$5&gt;0,IF($N165="",1/0,$N165*$B$5),0)+IF($B$6&gt;0,IF($O165="",1/0,$O165*$B$6),0),""))</f>
        <v/>
      </c>
      <c r="Q165" s="17"/>
      <c r="R165" s="18" t="str">
        <f aca="false">IF($P165="","",IF($Q165="Y",IFERROR(VLOOKUP($B165,$C$4:$D$13,2,FALSE()),0),0))</f>
        <v/>
      </c>
      <c r="S165" s="17" t="str">
        <f aca="false">IF($P165="","",ROUNDDOWN($P165*$R165,0))</f>
        <v/>
      </c>
      <c r="T165" s="17" t="str">
        <f aca="false">IF($P165="","",$P165-$S165)</f>
        <v/>
      </c>
      <c r="U165" s="17" t="str">
        <f aca="false">IF($T165="","",IF($B$10=0,"",$T165/$B$10))</f>
        <v/>
      </c>
      <c r="V165" s="17" t="str">
        <f aca="false">IF($P165="","",IF($B$10=0,"",$P165/$B$10))</f>
        <v/>
      </c>
      <c r="W165" s="19" t="n">
        <f aca="false">IF($T165="",1000000000000000,$T165)</f>
        <v>1000000000000000</v>
      </c>
      <c r="X165" s="2"/>
      <c r="XFC165" s="6"/>
    </row>
    <row r="166" s="5" customFormat="true" ht="28.5" hidden="false" customHeight="true" outlineLevel="0" collapsed="false">
      <c r="A166" s="16" t="str">
        <f aca="false">IF($T166="","",1+COUNTIF($W$15:$W$728,"&lt;"&amp;W166))</f>
        <v/>
      </c>
      <c r="B166" s="16" t="s">
        <v>12</v>
      </c>
      <c r="C166" s="16" t="s">
        <v>505</v>
      </c>
      <c r="D166" s="20" t="s">
        <v>131</v>
      </c>
      <c r="E166" s="16" t="s">
        <v>44</v>
      </c>
      <c r="F166" s="16" t="s">
        <v>506</v>
      </c>
      <c r="G166" s="16" t="s">
        <v>507</v>
      </c>
      <c r="H166" s="17" t="n">
        <v>1970</v>
      </c>
      <c r="I166" s="17"/>
      <c r="J166" s="17"/>
      <c r="K166" s="17" t="n">
        <v>2050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1970</v>
      </c>
      <c r="N166" s="17" t="str">
        <f aca="false">IF($I166="","",$I166+$L166)</f>
        <v/>
      </c>
      <c r="O166" s="17" t="n">
        <f aca="false">IF($K166="","",$K166+$L166)</f>
        <v>2050</v>
      </c>
      <c r="P166" s="17" t="str">
        <f aca="false">IF($B$10=0,"",IFERROR(IF($B$4&gt;0,IF($M166="",1/0,$M166*$B$4),0)+IF($B$5&gt;0,IF($N166="",1/0,$N166*$B$5),0)+IF($B$6&gt;0,IF($O166="",1/0,$O166*$B$6),0),""))</f>
        <v/>
      </c>
      <c r="Q166" s="17"/>
      <c r="R166" s="18" t="str">
        <f aca="false">IF($P166="","",IF($Q166="Y",IFERROR(VLOOKUP($B166,$C$4:$D$13,2,FALSE()),0),0))</f>
        <v/>
      </c>
      <c r="S166" s="17" t="str">
        <f aca="false">IF($P166="","",ROUNDDOWN($P166*$R166,0))</f>
        <v/>
      </c>
      <c r="T166" s="17" t="str">
        <f aca="false">IF($P166="","",$P166-$S166)</f>
        <v/>
      </c>
      <c r="U166" s="17" t="str">
        <f aca="false">IF($T166="","",IF($B$10=0,"",$T166/$B$10))</f>
        <v/>
      </c>
      <c r="V166" s="17" t="str">
        <f aca="false">IF($P166="","",IF($B$10=0,"",$P166/$B$10))</f>
        <v/>
      </c>
      <c r="W166" s="19" t="n">
        <f aca="false">IF($T166="",1000000000000000,$T166)</f>
        <v>1000000000000000</v>
      </c>
      <c r="X166" s="2"/>
      <c r="XFC166" s="6"/>
    </row>
    <row r="167" s="5" customFormat="true" ht="28.5" hidden="false" customHeight="true" outlineLevel="0" collapsed="false">
      <c r="A167" s="16" t="str">
        <f aca="false">IF($T167="","",1+COUNTIF($W$15:$W$728,"&lt;"&amp;W167))</f>
        <v/>
      </c>
      <c r="B167" s="16" t="s">
        <v>12</v>
      </c>
      <c r="C167" s="16" t="s">
        <v>508</v>
      </c>
      <c r="D167" s="20" t="s">
        <v>303</v>
      </c>
      <c r="E167" s="16" t="s">
        <v>44</v>
      </c>
      <c r="F167" s="16" t="s">
        <v>509</v>
      </c>
      <c r="G167" s="16" t="s">
        <v>510</v>
      </c>
      <c r="H167" s="17" t="n">
        <v>1889</v>
      </c>
      <c r="I167" s="17"/>
      <c r="J167" s="17"/>
      <c r="K167" s="17" t="n">
        <v>1929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1889</v>
      </c>
      <c r="N167" s="17" t="str">
        <f aca="false">IF($I167="","",$I167+$L167)</f>
        <v/>
      </c>
      <c r="O167" s="17" t="n">
        <f aca="false">IF($K167="","",$K167+$L167)</f>
        <v>1929</v>
      </c>
      <c r="P167" s="17" t="str">
        <f aca="false">IF($B$10=0,"",IFERROR(IF($B$4&gt;0,IF($M167="",1/0,$M167*$B$4),0)+IF($B$5&gt;0,IF($N167="",1/0,$N167*$B$5),0)+IF($B$6&gt;0,IF($O167="",1/0,$O167*$B$6),0),""))</f>
        <v/>
      </c>
      <c r="Q167" s="17"/>
      <c r="R167" s="18" t="str">
        <f aca="false">IF($P167="","",IF($Q167="Y",IFERROR(VLOOKUP($B167,$C$4:$D$13,2,FALSE()),0),0))</f>
        <v/>
      </c>
      <c r="S167" s="17" t="str">
        <f aca="false">IF($P167="","",ROUNDDOWN($P167*$R167,0))</f>
        <v/>
      </c>
      <c r="T167" s="17" t="str">
        <f aca="false">IF($P167="","",$P167-$S167)</f>
        <v/>
      </c>
      <c r="U167" s="17" t="str">
        <f aca="false">IF($T167="","",IF($B$10=0,"",$T167/$B$10))</f>
        <v/>
      </c>
      <c r="V167" s="17" t="str">
        <f aca="false">IF($P167="","",IF($B$10=0,"",$P167/$B$10))</f>
        <v/>
      </c>
      <c r="W167" s="19" t="n">
        <f aca="false">IF($T167="",1000000000000000,$T167)</f>
        <v>1000000000000000</v>
      </c>
      <c r="X167" s="2"/>
      <c r="XFC167" s="6"/>
    </row>
    <row r="168" s="5" customFormat="true" ht="28.5" hidden="false" customHeight="true" outlineLevel="0" collapsed="false">
      <c r="A168" s="16" t="str">
        <f aca="false">IF($T168="","",1+COUNTIF($W$15:$W$728,"&lt;"&amp;W168))</f>
        <v/>
      </c>
      <c r="B168" s="16" t="s">
        <v>12</v>
      </c>
      <c r="C168" s="16" t="s">
        <v>511</v>
      </c>
      <c r="D168" s="20" t="s">
        <v>303</v>
      </c>
      <c r="E168" s="16" t="s">
        <v>44</v>
      </c>
      <c r="F168" s="16" t="s">
        <v>512</v>
      </c>
      <c r="G168" s="16" t="s">
        <v>513</v>
      </c>
      <c r="H168" s="17" t="n">
        <v>1895</v>
      </c>
      <c r="I168" s="17"/>
      <c r="J168" s="17"/>
      <c r="K168" s="17" t="n">
        <v>1935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1895</v>
      </c>
      <c r="N168" s="17" t="str">
        <f aca="false">IF($I168="","",$I168+$L168)</f>
        <v/>
      </c>
      <c r="O168" s="17" t="n">
        <f aca="false">IF($K168="","",$K168+$L168)</f>
        <v>1935</v>
      </c>
      <c r="P168" s="17" t="str">
        <f aca="false">IF($B$10=0,"",IFERROR(IF($B$4&gt;0,IF($M168="",1/0,$M168*$B$4),0)+IF($B$5&gt;0,IF($N168="",1/0,$N168*$B$5),0)+IF($B$6&gt;0,IF($O168="",1/0,$O168*$B$6),0),""))</f>
        <v/>
      </c>
      <c r="Q168" s="17"/>
      <c r="R168" s="18" t="str">
        <f aca="false">IF($P168="","",IF($Q168="Y",IFERROR(VLOOKUP($B168,$C$4:$D$13,2,FALSE()),0),0))</f>
        <v/>
      </c>
      <c r="S168" s="17" t="str">
        <f aca="false">IF($P168="","",ROUNDDOWN($P168*$R168,0))</f>
        <v/>
      </c>
      <c r="T168" s="17" t="str">
        <f aca="false">IF($P168="","",$P168-$S168)</f>
        <v/>
      </c>
      <c r="U168" s="17" t="str">
        <f aca="false">IF($T168="","",IF($B$10=0,"",$T168/$B$10))</f>
        <v/>
      </c>
      <c r="V168" s="17" t="str">
        <f aca="false">IF($P168="","",IF($B$10=0,"",$P168/$B$10))</f>
        <v/>
      </c>
      <c r="W168" s="19" t="n">
        <f aca="false">IF($T168="",1000000000000000,$T168)</f>
        <v>1000000000000000</v>
      </c>
      <c r="X168" s="2"/>
      <c r="XFC168" s="6"/>
    </row>
    <row r="169" s="5" customFormat="true" ht="28.5" hidden="false" customHeight="true" outlineLevel="0" collapsed="false">
      <c r="A169" s="16" t="str">
        <f aca="false">IF($T169="","",1+COUNTIF($W$15:$W$728,"&lt;"&amp;W169))</f>
        <v/>
      </c>
      <c r="B169" s="16" t="s">
        <v>10</v>
      </c>
      <c r="C169" s="16" t="s">
        <v>514</v>
      </c>
      <c r="D169" s="16" t="s">
        <v>328</v>
      </c>
      <c r="E169" s="16" t="s">
        <v>44</v>
      </c>
      <c r="F169" s="16" t="s">
        <v>515</v>
      </c>
      <c r="G169" s="16" t="s">
        <v>516</v>
      </c>
      <c r="H169" s="17" t="n">
        <v>1778</v>
      </c>
      <c r="I169" s="17"/>
      <c r="J169" s="17"/>
      <c r="K169" s="17" t="n">
        <v>1788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1778</v>
      </c>
      <c r="N169" s="17" t="str">
        <f aca="false">IF($I169="","",$I169+$L169)</f>
        <v/>
      </c>
      <c r="O169" s="17" t="n">
        <f aca="false">IF($K169="","",$K169+$L169)</f>
        <v>1788</v>
      </c>
      <c r="P169" s="17" t="str">
        <f aca="false">IF($B$10=0,"",IFERROR(IF($B$4&gt;0,IF($M169="",1/0,$M169*$B$4),0)+IF($B$5&gt;0,IF($N169="",1/0,$N169*$B$5),0)+IF($B$6&gt;0,IF($O169="",1/0,$O169*$B$6),0),""))</f>
        <v/>
      </c>
      <c r="Q169" s="17"/>
      <c r="R169" s="18" t="str">
        <f aca="false">IF($P169="","",IF($Q169="Y",IFERROR(VLOOKUP($B169,$C$4:$D$13,2,FALSE()),0),0))</f>
        <v/>
      </c>
      <c r="S169" s="17" t="str">
        <f aca="false">IF($P169="","",ROUNDDOWN($P169*$R169,0))</f>
        <v/>
      </c>
      <c r="T169" s="17" t="str">
        <f aca="false">IF($P169="","",$P169-$S169)</f>
        <v/>
      </c>
      <c r="U169" s="17" t="str">
        <f aca="false">IF($T169="","",IF($B$10=0,"",$T169/$B$10))</f>
        <v/>
      </c>
      <c r="V169" s="17" t="str">
        <f aca="false">IF($P169="","",IF($B$10=0,"",$P169/$B$10))</f>
        <v/>
      </c>
      <c r="W169" s="19" t="n">
        <f aca="false">IF($T169="",1000000000000000,$T169)</f>
        <v>1000000000000000</v>
      </c>
      <c r="X169" s="2"/>
      <c r="XFC169" s="6"/>
    </row>
    <row r="170" s="5" customFormat="true" ht="28.5" hidden="false" customHeight="true" outlineLevel="0" collapsed="false">
      <c r="A170" s="16" t="str">
        <f aca="false">IF($T170="","",1+COUNTIF($W$15:$W$728,"&lt;"&amp;W170))</f>
        <v/>
      </c>
      <c r="B170" s="16" t="s">
        <v>10</v>
      </c>
      <c r="C170" s="16" t="s">
        <v>517</v>
      </c>
      <c r="D170" s="16" t="s">
        <v>43</v>
      </c>
      <c r="E170" s="16" t="s">
        <v>44</v>
      </c>
      <c r="F170" s="16" t="s">
        <v>518</v>
      </c>
      <c r="G170" s="16" t="s">
        <v>519</v>
      </c>
      <c r="H170" s="17" t="n">
        <v>1949</v>
      </c>
      <c r="I170" s="17"/>
      <c r="J170" s="17"/>
      <c r="K170" s="17" t="n">
        <v>1959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1949</v>
      </c>
      <c r="N170" s="17" t="str">
        <f aca="false">IF($I170="","",$I170+$L170)</f>
        <v/>
      </c>
      <c r="O170" s="17" t="n">
        <f aca="false">IF($K170="","",$K170+$L170)</f>
        <v>1959</v>
      </c>
      <c r="P170" s="17" t="str">
        <f aca="false">IF($B$10=0,"",IFERROR(IF($B$4&gt;0,IF($M170="",1/0,$M170*$B$4),0)+IF($B$5&gt;0,IF($N170="",1/0,$N170*$B$5),0)+IF($B$6&gt;0,IF($O170="",1/0,$O170*$B$6),0),""))</f>
        <v/>
      </c>
      <c r="Q170" s="17"/>
      <c r="R170" s="18" t="str">
        <f aca="false">IF($P170="","",IF($Q170="Y",IFERROR(VLOOKUP($B170,$C$4:$D$13,2,FALSE()),0),0))</f>
        <v/>
      </c>
      <c r="S170" s="17" t="str">
        <f aca="false">IF($P170="","",ROUNDDOWN($P170*$R170,0))</f>
        <v/>
      </c>
      <c r="T170" s="17" t="str">
        <f aca="false">IF($P170="","",$P170-$S170)</f>
        <v/>
      </c>
      <c r="U170" s="17" t="str">
        <f aca="false">IF($T170="","",IF($B$10=0,"",$T170/$B$10))</f>
        <v/>
      </c>
      <c r="V170" s="17" t="str">
        <f aca="false">IF($P170="","",IF($B$10=0,"",$P170/$B$10))</f>
        <v/>
      </c>
      <c r="W170" s="19" t="n">
        <f aca="false">IF($T170="",1000000000000000,$T170)</f>
        <v>1000000000000000</v>
      </c>
      <c r="X170" s="2"/>
      <c r="XFC170" s="6"/>
    </row>
    <row r="171" s="5" customFormat="true" ht="28.5" hidden="false" customHeight="true" outlineLevel="0" collapsed="false">
      <c r="A171" s="16" t="str">
        <f aca="false">IF($T171="","",1+COUNTIF($W$15:$W$728,"&lt;"&amp;W171))</f>
        <v/>
      </c>
      <c r="B171" s="16" t="s">
        <v>10</v>
      </c>
      <c r="C171" s="16" t="s">
        <v>520</v>
      </c>
      <c r="D171" s="16" t="s">
        <v>281</v>
      </c>
      <c r="E171" s="16" t="s">
        <v>44</v>
      </c>
      <c r="F171" s="16" t="s">
        <v>521</v>
      </c>
      <c r="G171" s="16" t="s">
        <v>522</v>
      </c>
      <c r="H171" s="17" t="n">
        <v>1879</v>
      </c>
      <c r="I171" s="17"/>
      <c r="J171" s="17"/>
      <c r="K171" s="17" t="n">
        <v>1959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1879</v>
      </c>
      <c r="N171" s="17" t="str">
        <f aca="false">IF($I171="","",$I171+$L171)</f>
        <v/>
      </c>
      <c r="O171" s="17" t="n">
        <f aca="false">IF($K171="","",$K171+$L171)</f>
        <v>1959</v>
      </c>
      <c r="P171" s="17" t="str">
        <f aca="false">IF($B$10=0,"",IFERROR(IF($B$4&gt;0,IF($M171="",1/0,$M171*$B$4),0)+IF($B$5&gt;0,IF($N171="",1/0,$N171*$B$5),0)+IF($B$6&gt;0,IF($O171="",1/0,$O171*$B$6),0),""))</f>
        <v/>
      </c>
      <c r="Q171" s="17"/>
      <c r="R171" s="18" t="str">
        <f aca="false">IF($P171="","",IF($Q171="Y",IFERROR(VLOOKUP($B171,$C$4:$D$13,2,FALSE()),0),0))</f>
        <v/>
      </c>
      <c r="S171" s="17" t="str">
        <f aca="false">IF($P171="","",ROUNDDOWN($P171*$R171,0))</f>
        <v/>
      </c>
      <c r="T171" s="17" t="str">
        <f aca="false">IF($P171="","",$P171-$S171)</f>
        <v/>
      </c>
      <c r="U171" s="17" t="str">
        <f aca="false">IF($T171="","",IF($B$10=0,"",$T171/$B$10))</f>
        <v/>
      </c>
      <c r="V171" s="17" t="str">
        <f aca="false">IF($P171="","",IF($B$10=0,"",$P171/$B$10))</f>
        <v/>
      </c>
      <c r="W171" s="19" t="n">
        <f aca="false">IF($T171="",1000000000000000,$T171)</f>
        <v>1000000000000000</v>
      </c>
      <c r="X171" s="2"/>
      <c r="XFC171" s="6"/>
    </row>
    <row r="172" s="5" customFormat="true" ht="28.5" hidden="false" customHeight="true" outlineLevel="0" collapsed="false">
      <c r="A172" s="16" t="str">
        <f aca="false">IF($T172="","",1+COUNTIF($W$15:$W$728,"&lt;"&amp;W172))</f>
        <v/>
      </c>
      <c r="B172" s="16" t="s">
        <v>12</v>
      </c>
      <c r="C172" s="16" t="s">
        <v>523</v>
      </c>
      <c r="D172" s="20" t="s">
        <v>208</v>
      </c>
      <c r="E172" s="16" t="s">
        <v>44</v>
      </c>
      <c r="F172" s="16" t="s">
        <v>524</v>
      </c>
      <c r="G172" s="16" t="s">
        <v>525</v>
      </c>
      <c r="H172" s="17" t="n">
        <v>1959</v>
      </c>
      <c r="I172" s="17"/>
      <c r="J172" s="17"/>
      <c r="K172" s="17" t="n">
        <v>2049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1959</v>
      </c>
      <c r="N172" s="17" t="str">
        <f aca="false">IF($I172="","",$I172+$L172)</f>
        <v/>
      </c>
      <c r="O172" s="17" t="n">
        <f aca="false">IF($K172="","",$K172+$L172)</f>
        <v>2049</v>
      </c>
      <c r="P172" s="17" t="str">
        <f aca="false">IF($B$10=0,"",IFERROR(IF($B$4&gt;0,IF($M172="",1/0,$M172*$B$4),0)+IF($B$5&gt;0,IF($N172="",1/0,$N172*$B$5),0)+IF($B$6&gt;0,IF($O172="",1/0,$O172*$B$6),0),""))</f>
        <v/>
      </c>
      <c r="Q172" s="17"/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172" s="2"/>
      <c r="XFC172" s="6"/>
    </row>
    <row r="173" s="5" customFormat="true" ht="28.5" hidden="false" customHeight="true" outlineLevel="0" collapsed="false">
      <c r="A173" s="16" t="str">
        <f aca="false">IF($T173="","",1+COUNTIF($W$15:$W$728,"&lt;"&amp;W173))</f>
        <v/>
      </c>
      <c r="B173" s="16" t="s">
        <v>10</v>
      </c>
      <c r="C173" s="16" t="s">
        <v>526</v>
      </c>
      <c r="D173" s="16" t="s">
        <v>328</v>
      </c>
      <c r="E173" s="16" t="s">
        <v>44</v>
      </c>
      <c r="F173" s="16" t="s">
        <v>527</v>
      </c>
      <c r="G173" s="16" t="s">
        <v>528</v>
      </c>
      <c r="H173" s="17" t="n">
        <v>1776</v>
      </c>
      <c r="I173" s="17"/>
      <c r="J173" s="17"/>
      <c r="K173" s="17" t="n">
        <v>1787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1776</v>
      </c>
      <c r="N173" s="17" t="str">
        <f aca="false">IF($I173="","",$I173+$L173)</f>
        <v/>
      </c>
      <c r="O173" s="17" t="n">
        <f aca="false">IF($K173="","",$K173+$L173)</f>
        <v>1787</v>
      </c>
      <c r="P173" s="17" t="str">
        <f aca="false">IF($B$10=0,"",IFERROR(IF($B$4&gt;0,IF($M173="",1/0,$M173*$B$4),0)+IF($B$5&gt;0,IF($N173="",1/0,$N173*$B$5),0)+IF($B$6&gt;0,IF($O173="",1/0,$O173*$B$6),0),""))</f>
        <v/>
      </c>
      <c r="Q173" s="17"/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173" s="2"/>
      <c r="XFC173" s="6"/>
    </row>
    <row r="174" s="5" customFormat="true" ht="28.5" hidden="false" customHeight="true" outlineLevel="0" collapsed="false">
      <c r="A174" s="16" t="str">
        <f aca="false">IF($T174="","",1+COUNTIF($W$15:$W$728,"&lt;"&amp;W174))</f>
        <v/>
      </c>
      <c r="B174" s="16" t="s">
        <v>10</v>
      </c>
      <c r="C174" s="16" t="s">
        <v>529</v>
      </c>
      <c r="D174" s="20" t="s">
        <v>131</v>
      </c>
      <c r="E174" s="16" t="s">
        <v>44</v>
      </c>
      <c r="F174" s="16" t="s">
        <v>530</v>
      </c>
      <c r="G174" s="16" t="s">
        <v>531</v>
      </c>
      <c r="H174" s="17" t="n">
        <v>1849</v>
      </c>
      <c r="I174" s="17"/>
      <c r="J174" s="17"/>
      <c r="K174" s="17" t="n">
        <v>1899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1849</v>
      </c>
      <c r="N174" s="17" t="str">
        <f aca="false">IF($I174="","",$I174+$L174)</f>
        <v/>
      </c>
      <c r="O174" s="17" t="n">
        <f aca="false">IF($K174="","",$K174+$L174)</f>
        <v>1899</v>
      </c>
      <c r="P174" s="17" t="str">
        <f aca="false">IF($B$10=0,"",IFERROR(IF($B$4&gt;0,IF($M174="",1/0,$M174*$B$4),0)+IF($B$5&gt;0,IF($N174="",1/0,$N174*$B$5),0)+IF($B$6&gt;0,IF($O174="",1/0,$O174*$B$6),0),""))</f>
        <v/>
      </c>
      <c r="Q174" s="17"/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174" s="2"/>
      <c r="XFC174" s="6"/>
    </row>
    <row r="175" s="5" customFormat="true" ht="28.5" hidden="false" customHeight="true" outlineLevel="0" collapsed="false">
      <c r="A175" s="16" t="str">
        <f aca="false">IF($T175="","",1+COUNTIF($W$15:$W$728,"&lt;"&amp;W175))</f>
        <v/>
      </c>
      <c r="B175" s="16" t="s">
        <v>12</v>
      </c>
      <c r="C175" s="16" t="s">
        <v>532</v>
      </c>
      <c r="D175" s="20" t="s">
        <v>303</v>
      </c>
      <c r="E175" s="16" t="s">
        <v>44</v>
      </c>
      <c r="F175" s="16" t="s">
        <v>533</v>
      </c>
      <c r="G175" s="16" t="s">
        <v>534</v>
      </c>
      <c r="H175" s="17" t="n">
        <v>1895</v>
      </c>
      <c r="I175" s="17"/>
      <c r="J175" s="17"/>
      <c r="K175" s="17" t="n">
        <v>1979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1895</v>
      </c>
      <c r="N175" s="17" t="str">
        <f aca="false">IF($I175="","",$I175+$L175)</f>
        <v/>
      </c>
      <c r="O175" s="17" t="n">
        <f aca="false">IF($K175="","",$K175+$L175)</f>
        <v>1979</v>
      </c>
      <c r="P175" s="17" t="str">
        <f aca="false">IF($B$10=0,"",IFERROR(IF($B$4&gt;0,IF($M175="",1/0,$M175*$B$4),0)+IF($B$5&gt;0,IF($N175="",1/0,$N175*$B$5),0)+IF($B$6&gt;0,IF($O175="",1/0,$O175*$B$6),0),""))</f>
        <v/>
      </c>
      <c r="Q175" s="17"/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175" s="2"/>
      <c r="XFC175" s="6"/>
    </row>
    <row r="176" s="5" customFormat="true" ht="28.5" hidden="false" customHeight="true" outlineLevel="0" collapsed="false">
      <c r="A176" s="16" t="str">
        <f aca="false">IF($T176="","",1+COUNTIF($W$15:$W$728,"&lt;"&amp;W176))</f>
        <v/>
      </c>
      <c r="B176" s="16" t="s">
        <v>6</v>
      </c>
      <c r="C176" s="16" t="s">
        <v>535</v>
      </c>
      <c r="D176" s="16" t="s">
        <v>281</v>
      </c>
      <c r="E176" s="16" t="s">
        <v>44</v>
      </c>
      <c r="F176" s="16" t="s">
        <v>536</v>
      </c>
      <c r="G176" s="16" t="s">
        <v>537</v>
      </c>
      <c r="H176" s="17" t="n">
        <v>1879</v>
      </c>
      <c r="I176" s="17"/>
      <c r="J176" s="17"/>
      <c r="K176" s="17" t="n">
        <v>1899</v>
      </c>
      <c r="L176" s="17" t="n">
        <f aca="false">IF(AND(IFERROR(SEARCH("현대오일뱅크",$C176),0)&gt;0,IFERROR(SEARCH("직영",$C176),0)&gt;0),$B$13,0)</f>
        <v>0</v>
      </c>
      <c r="M176" s="17" t="n">
        <f aca="false">IF($H176="","",$H176+$L176)</f>
        <v>1879</v>
      </c>
      <c r="N176" s="17" t="str">
        <f aca="false">IF($I176="","",$I176+$L176)</f>
        <v/>
      </c>
      <c r="O176" s="17" t="n">
        <f aca="false">IF($K176="","",$K176+$L176)</f>
        <v>1899</v>
      </c>
      <c r="P176" s="17" t="str">
        <f aca="false">IF($B$10=0,"",IFERROR(IF($B$4&gt;0,IF($M176="",1/0,$M176*$B$4),0)+IF($B$5&gt;0,IF($N176="",1/0,$N176*$B$5),0)+IF($B$6&gt;0,IF($O176="",1/0,$O176*$B$6),0),""))</f>
        <v/>
      </c>
      <c r="Q176" s="17" t="s">
        <v>44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176" s="2"/>
      <c r="XFC176" s="6"/>
    </row>
    <row r="177" s="5" customFormat="true" ht="28.5" hidden="false" customHeight="true" outlineLevel="0" collapsed="false">
      <c r="A177" s="16" t="str">
        <f aca="false">IF($T177="","",1+COUNTIF($W$15:$W$728,"&lt;"&amp;W177))</f>
        <v/>
      </c>
      <c r="B177" s="16" t="s">
        <v>10</v>
      </c>
      <c r="C177" s="16" t="s">
        <v>538</v>
      </c>
      <c r="D177" s="16" t="s">
        <v>328</v>
      </c>
      <c r="E177" s="16" t="s">
        <v>44</v>
      </c>
      <c r="F177" s="16" t="s">
        <v>539</v>
      </c>
      <c r="G177" s="16" t="s">
        <v>540</v>
      </c>
      <c r="H177" s="17" t="n">
        <v>1780</v>
      </c>
      <c r="I177" s="17"/>
      <c r="J177" s="17"/>
      <c r="K177" s="17" t="n">
        <v>1790</v>
      </c>
      <c r="L177" s="17" t="n">
        <f aca="false">IF(AND(IFERROR(SEARCH("현대오일뱅크",$C177),0)&gt;0,IFERROR(SEARCH("직영",$C177),0)&gt;0),$B$13,0)</f>
        <v>0</v>
      </c>
      <c r="M177" s="17" t="n">
        <f aca="false">IF($H177="","",$H177+$L177)</f>
        <v>1780</v>
      </c>
      <c r="N177" s="17" t="str">
        <f aca="false">IF($I177="","",$I177+$L177)</f>
        <v/>
      </c>
      <c r="O177" s="17" t="n">
        <f aca="false">IF($K177="","",$K177+$L177)</f>
        <v>1790</v>
      </c>
      <c r="P177" s="17" t="str">
        <f aca="false">IF($B$10=0,"",IFERROR(IF($B$4&gt;0,IF($M177="",1/0,$M177*$B$4),0)+IF($B$5&gt;0,IF($N177="",1/0,$N177*$B$5),0)+IF($B$6&gt;0,IF($O177="",1/0,$O177*$B$6),0),""))</f>
        <v/>
      </c>
      <c r="Q177" s="17"/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177" s="2"/>
      <c r="XFC177" s="6"/>
    </row>
    <row r="178" s="5" customFormat="true" ht="28.5" hidden="false" customHeight="true" outlineLevel="0" collapsed="false">
      <c r="A178" s="16" t="str">
        <f aca="false">IF($T178="","",1+COUNTIF($W$15:$W$728,"&lt;"&amp;W178))</f>
        <v/>
      </c>
      <c r="B178" s="16" t="s">
        <v>6</v>
      </c>
      <c r="C178" s="16" t="s">
        <v>541</v>
      </c>
      <c r="D178" s="16" t="s">
        <v>48</v>
      </c>
      <c r="E178" s="16" t="s">
        <v>44</v>
      </c>
      <c r="F178" s="16" t="s">
        <v>542</v>
      </c>
      <c r="G178" s="16" t="s">
        <v>543</v>
      </c>
      <c r="H178" s="17" t="n">
        <v>1975</v>
      </c>
      <c r="I178" s="17"/>
      <c r="J178" s="17"/>
      <c r="K178" s="17" t="n">
        <v>1975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1975</v>
      </c>
      <c r="N178" s="17" t="str">
        <f aca="false">IF($I178="","",$I178+$L178)</f>
        <v/>
      </c>
      <c r="O178" s="17" t="n">
        <f aca="false">IF($K178="","",$K178+$L178)</f>
        <v>1975</v>
      </c>
      <c r="P178" s="17" t="str">
        <f aca="false">IF($B$10=0,"",IFERROR(IF($B$4&gt;0,IF($M178="",1/0,$M178*$B$4),0)+IF($B$5&gt;0,IF($N178="",1/0,$N178*$B$5),0)+IF($B$6&gt;0,IF($O178="",1/0,$O178*$B$6),0),""))</f>
        <v/>
      </c>
      <c r="Q178" s="17"/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178" s="2"/>
      <c r="XFC178" s="6"/>
    </row>
    <row r="179" s="5" customFormat="true" ht="28.5" hidden="false" customHeight="true" outlineLevel="0" collapsed="false">
      <c r="A179" s="16" t="str">
        <f aca="false">IF($T179="","",1+COUNTIF($W$15:$W$728,"&lt;"&amp;W179))</f>
        <v/>
      </c>
      <c r="B179" s="16" t="s">
        <v>8</v>
      </c>
      <c r="C179" s="16" t="s">
        <v>544</v>
      </c>
      <c r="D179" s="16" t="s">
        <v>281</v>
      </c>
      <c r="E179" s="16" t="s">
        <v>44</v>
      </c>
      <c r="F179" s="16" t="s">
        <v>545</v>
      </c>
      <c r="G179" s="16" t="s">
        <v>546</v>
      </c>
      <c r="H179" s="17" t="n">
        <v>1820</v>
      </c>
      <c r="I179" s="17"/>
      <c r="J179" s="17"/>
      <c r="K179" s="17" t="n">
        <v>1840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1820</v>
      </c>
      <c r="N179" s="17" t="str">
        <f aca="false">IF($I179="","",$I179+$L179)</f>
        <v/>
      </c>
      <c r="O179" s="17" t="n">
        <f aca="false">IF($K179="","",$K179+$L179)</f>
        <v>1840</v>
      </c>
      <c r="P179" s="17" t="str">
        <f aca="false">IF($B$10=0,"",IFERROR(IF($B$4&gt;0,IF($M179="",1/0,$M179*$B$4),0)+IF($B$5&gt;0,IF($N179="",1/0,$N179*$B$5),0)+IF($B$6&gt;0,IF($O179="",1/0,$O179*$B$6),0),""))</f>
        <v/>
      </c>
      <c r="Q179" s="17"/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179" s="2"/>
      <c r="XFC179" s="6"/>
    </row>
    <row r="180" s="5" customFormat="true" ht="28.5" hidden="false" customHeight="true" outlineLevel="0" collapsed="false">
      <c r="A180" s="16" t="str">
        <f aca="false">IF($T180="","",1+COUNTIF($W$15:$W$728,"&lt;"&amp;W180))</f>
        <v/>
      </c>
      <c r="B180" s="16" t="s">
        <v>8</v>
      </c>
      <c r="C180" s="16" t="s">
        <v>547</v>
      </c>
      <c r="D180" s="16" t="s">
        <v>48</v>
      </c>
      <c r="E180" s="16" t="s">
        <v>44</v>
      </c>
      <c r="F180" s="16" t="s">
        <v>548</v>
      </c>
      <c r="G180" s="16" t="s">
        <v>549</v>
      </c>
      <c r="H180" s="17" t="n">
        <v>1839</v>
      </c>
      <c r="I180" s="17"/>
      <c r="J180" s="17"/>
      <c r="K180" s="17" t="n">
        <v>1849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1839</v>
      </c>
      <c r="N180" s="17" t="str">
        <f aca="false">IF($I180="","",$I180+$L180)</f>
        <v/>
      </c>
      <c r="O180" s="17" t="n">
        <f aca="false">IF($K180="","",$K180+$L180)</f>
        <v>1849</v>
      </c>
      <c r="P180" s="17" t="str">
        <f aca="false">IF($B$10=0,"",IFERROR(IF($B$4&gt;0,IF($M180="",1/0,$M180*$B$4),0)+IF($B$5&gt;0,IF($N180="",1/0,$N180*$B$5),0)+IF($B$6&gt;0,IF($O180="",1/0,$O180*$B$6),0),""))</f>
        <v/>
      </c>
      <c r="Q180" s="17"/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180" s="2"/>
      <c r="XFC180" s="6"/>
    </row>
    <row r="181" s="5" customFormat="true" ht="28.5" hidden="false" customHeight="true" outlineLevel="0" collapsed="false">
      <c r="A181" s="16" t="str">
        <f aca="false">IF($T181="","",1+COUNTIF($W$15:$W$728,"&lt;"&amp;W181))</f>
        <v/>
      </c>
      <c r="B181" s="16" t="s">
        <v>8</v>
      </c>
      <c r="C181" s="16" t="s">
        <v>550</v>
      </c>
      <c r="D181" s="16" t="s">
        <v>43</v>
      </c>
      <c r="E181" s="16" t="s">
        <v>44</v>
      </c>
      <c r="F181" s="16" t="s">
        <v>551</v>
      </c>
      <c r="G181" s="16" t="s">
        <v>552</v>
      </c>
      <c r="H181" s="17" t="n">
        <v>1867</v>
      </c>
      <c r="I181" s="17"/>
      <c r="J181" s="17"/>
      <c r="K181" s="17" t="n">
        <v>1897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1867</v>
      </c>
      <c r="N181" s="17" t="str">
        <f aca="false">IF($I181="","",$I181+$L181)</f>
        <v/>
      </c>
      <c r="O181" s="17" t="n">
        <f aca="false">IF($K181="","",$K181+$L181)</f>
        <v>1897</v>
      </c>
      <c r="P181" s="17" t="str">
        <f aca="false">IF($B$10=0,"",IFERROR(IF($B$4&gt;0,IF($M181="",1/0,$M181*$B$4),0)+IF($B$5&gt;0,IF($N181="",1/0,$N181*$B$5),0)+IF($B$6&gt;0,IF($O181="",1/0,$O181*$B$6),0),""))</f>
        <v/>
      </c>
      <c r="Q181" s="17"/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181" s="2"/>
      <c r="XFC181" s="6"/>
    </row>
    <row r="182" s="5" customFormat="true" ht="28.5" hidden="false" customHeight="true" outlineLevel="0" collapsed="false">
      <c r="A182" s="16" t="str">
        <f aca="false">IF($T182="","",1+COUNTIF($W$15:$W$728,"&lt;"&amp;W182))</f>
        <v/>
      </c>
      <c r="B182" s="16" t="s">
        <v>10</v>
      </c>
      <c r="C182" s="16" t="s">
        <v>553</v>
      </c>
      <c r="D182" s="16" t="s">
        <v>281</v>
      </c>
      <c r="E182" s="16" t="s">
        <v>44</v>
      </c>
      <c r="F182" s="16" t="s">
        <v>554</v>
      </c>
      <c r="G182" s="16" t="s">
        <v>555</v>
      </c>
      <c r="H182" s="17" t="n">
        <v>1795</v>
      </c>
      <c r="I182" s="17"/>
      <c r="J182" s="17"/>
      <c r="K182" s="17" t="n">
        <v>1759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1795</v>
      </c>
      <c r="N182" s="17" t="str">
        <f aca="false">IF($I182="","",$I182+$L182)</f>
        <v/>
      </c>
      <c r="O182" s="17" t="n">
        <f aca="false">IF($K182="","",$K182+$L182)</f>
        <v>1759</v>
      </c>
      <c r="P182" s="17" t="str">
        <f aca="false">IF($B$10=0,"",IFERROR(IF($B$4&gt;0,IF($M182="",1/0,$M182*$B$4),0)+IF($B$5&gt;0,IF($N182="",1/0,$N182*$B$5),0)+IF($B$6&gt;0,IF($O182="",1/0,$O182*$B$6),0),""))</f>
        <v/>
      </c>
      <c r="Q182" s="17"/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182" s="2"/>
      <c r="XFC182" s="6"/>
    </row>
    <row r="183" s="5" customFormat="true" ht="28.5" hidden="false" customHeight="true" outlineLevel="0" collapsed="false">
      <c r="A183" s="16" t="str">
        <f aca="false">IF($T183="","",1+COUNTIF($W$15:$W$728,"&lt;"&amp;W183))</f>
        <v/>
      </c>
      <c r="B183" s="16" t="s">
        <v>6</v>
      </c>
      <c r="C183" s="16" t="s">
        <v>556</v>
      </c>
      <c r="D183" s="16" t="s">
        <v>141</v>
      </c>
      <c r="E183" s="16" t="s">
        <v>44</v>
      </c>
      <c r="F183" s="16" t="s">
        <v>557</v>
      </c>
      <c r="G183" s="16" t="s">
        <v>558</v>
      </c>
      <c r="H183" s="17" t="n">
        <v>1830</v>
      </c>
      <c r="I183" s="17"/>
      <c r="J183" s="17"/>
      <c r="K183" s="17" t="n">
        <v>1895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1830</v>
      </c>
      <c r="N183" s="17" t="str">
        <f aca="false">IF($I183="","",$I183+$L183)</f>
        <v/>
      </c>
      <c r="O183" s="17" t="n">
        <f aca="false">IF($K183="","",$K183+$L183)</f>
        <v>1895</v>
      </c>
      <c r="P183" s="17" t="str">
        <f aca="false">IF($B$10=0,"",IFERROR(IF($B$4&gt;0,IF($M183="",1/0,$M183*$B$4),0)+IF($B$5&gt;0,IF($N183="",1/0,$N183*$B$5),0)+IF($B$6&gt;0,IF($O183="",1/0,$O183*$B$6),0),""))</f>
        <v/>
      </c>
      <c r="Q183" s="17" t="s">
        <v>44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183" s="2"/>
      <c r="XFC183" s="6"/>
    </row>
    <row r="184" s="5" customFormat="true" ht="28.5" hidden="false" customHeight="true" outlineLevel="0" collapsed="false">
      <c r="A184" s="16" t="str">
        <f aca="false">IF($T184="","",1+COUNTIF($W$15:$W$728,"&lt;"&amp;W184))</f>
        <v/>
      </c>
      <c r="B184" s="16" t="s">
        <v>14</v>
      </c>
      <c r="C184" s="16" t="s">
        <v>559</v>
      </c>
      <c r="D184" s="16" t="s">
        <v>43</v>
      </c>
      <c r="E184" s="16" t="s">
        <v>44</v>
      </c>
      <c r="F184" s="16" t="s">
        <v>560</v>
      </c>
      <c r="G184" s="16" t="s">
        <v>483</v>
      </c>
      <c r="H184" s="17" t="n">
        <v>1897</v>
      </c>
      <c r="I184" s="17"/>
      <c r="J184" s="17"/>
      <c r="K184" s="17" t="n">
        <v>1954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1897</v>
      </c>
      <c r="N184" s="17" t="str">
        <f aca="false">IF($I184="","",$I184+$L184)</f>
        <v/>
      </c>
      <c r="O184" s="17" t="n">
        <f aca="false">IF($K184="","",$K184+$L184)</f>
        <v>1954</v>
      </c>
      <c r="P184" s="17" t="str">
        <f aca="false">IF($B$10=0,"",IFERROR(IF($B$4&gt;0,IF($M184="",1/0,$M184*$B$4),0)+IF($B$5&gt;0,IF($N184="",1/0,$N184*$B$5),0)+IF($B$6&gt;0,IF($O184="",1/0,$O184*$B$6),0),""))</f>
        <v/>
      </c>
      <c r="Q184" s="17"/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184" s="2"/>
      <c r="XFC184" s="6"/>
    </row>
    <row r="185" s="5" customFormat="true" ht="28.5" hidden="false" customHeight="true" outlineLevel="0" collapsed="false">
      <c r="A185" s="16" t="str">
        <f aca="false">IF($T185="","",1+COUNTIF($W$15:$W$728,"&lt;"&amp;W185))</f>
        <v/>
      </c>
      <c r="B185" s="16" t="s">
        <v>14</v>
      </c>
      <c r="C185" s="16" t="s">
        <v>561</v>
      </c>
      <c r="D185" s="16" t="s">
        <v>141</v>
      </c>
      <c r="E185" s="16" t="s">
        <v>44</v>
      </c>
      <c r="F185" s="16" t="s">
        <v>562</v>
      </c>
      <c r="G185" s="16" t="s">
        <v>563</v>
      </c>
      <c r="H185" s="17" t="n">
        <v>1897</v>
      </c>
      <c r="I185" s="17"/>
      <c r="J185" s="17"/>
      <c r="K185" s="17" t="n">
        <v>1954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1897</v>
      </c>
      <c r="N185" s="17" t="str">
        <f aca="false">IF($I185="","",$I185+$L185)</f>
        <v/>
      </c>
      <c r="O185" s="17" t="n">
        <f aca="false">IF($K185="","",$K185+$L185)</f>
        <v>1954</v>
      </c>
      <c r="P185" s="17" t="str">
        <f aca="false">IF($B$10=0,"",IFERROR(IF($B$4&gt;0,IF($M185="",1/0,$M185*$B$4),0)+IF($B$5&gt;0,IF($N185="",1/0,$N185*$B$5),0)+IF($B$6&gt;0,IF($O185="",1/0,$O185*$B$6),0),""))</f>
        <v/>
      </c>
      <c r="Q185" s="17"/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185" s="2"/>
      <c r="XFC185" s="6"/>
    </row>
    <row r="186" s="5" customFormat="true" ht="28.5" hidden="false" customHeight="true" outlineLevel="0" collapsed="false">
      <c r="A186" s="16" t="str">
        <f aca="false">IF($T186="","",1+COUNTIF($W$15:$W$728,"&lt;"&amp;W186))</f>
        <v/>
      </c>
      <c r="B186" s="16" t="s">
        <v>6</v>
      </c>
      <c r="C186" s="16" t="s">
        <v>564</v>
      </c>
      <c r="D186" s="16" t="s">
        <v>141</v>
      </c>
      <c r="E186" s="16" t="s">
        <v>44</v>
      </c>
      <c r="F186" s="16" t="s">
        <v>565</v>
      </c>
      <c r="G186" s="16" t="s">
        <v>566</v>
      </c>
      <c r="H186" s="17" t="n">
        <v>1943</v>
      </c>
      <c r="I186" s="17"/>
      <c r="J186" s="17"/>
      <c r="K186" s="17" t="n">
        <v>1947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1943</v>
      </c>
      <c r="N186" s="17" t="str">
        <f aca="false">IF($I186="","",$I186+$L186)</f>
        <v/>
      </c>
      <c r="O186" s="17" t="n">
        <f aca="false">IF($K186="","",$K186+$L186)</f>
        <v>1947</v>
      </c>
      <c r="P186" s="17" t="str">
        <f aca="false">IF($B$10=0,"",IFERROR(IF($B$4&gt;0,IF($M186="",1/0,$M186*$B$4),0)+IF($B$5&gt;0,IF($N186="",1/0,$N186*$B$5),0)+IF($B$6&gt;0,IF($O186="",1/0,$O186*$B$6),0),""))</f>
        <v/>
      </c>
      <c r="Q186" s="17" t="s">
        <v>44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186" s="2"/>
      <c r="XFC186" s="6"/>
    </row>
    <row r="187" s="5" customFormat="true" ht="28.5" hidden="false" customHeight="true" outlineLevel="0" collapsed="false">
      <c r="A187" s="16" t="str">
        <f aca="false">IF($T187="","",1+COUNTIF($W$15:$W$728,"&lt;"&amp;W187))</f>
        <v/>
      </c>
      <c r="B187" s="16" t="s">
        <v>10</v>
      </c>
      <c r="C187" s="16" t="s">
        <v>567</v>
      </c>
      <c r="D187" s="16" t="s">
        <v>328</v>
      </c>
      <c r="E187" s="16" t="s">
        <v>44</v>
      </c>
      <c r="F187" s="16" t="s">
        <v>568</v>
      </c>
      <c r="G187" s="16" t="s">
        <v>569</v>
      </c>
      <c r="H187" s="17" t="n">
        <v>1776</v>
      </c>
      <c r="I187" s="17"/>
      <c r="J187" s="17"/>
      <c r="K187" s="17" t="n">
        <v>1786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1776</v>
      </c>
      <c r="N187" s="17" t="str">
        <f aca="false">IF($I187="","",$I187+$L187)</f>
        <v/>
      </c>
      <c r="O187" s="17" t="n">
        <f aca="false">IF($K187="","",$K187+$L187)</f>
        <v>1786</v>
      </c>
      <c r="P187" s="17" t="str">
        <f aca="false">IF($B$10=0,"",IFERROR(IF($B$4&gt;0,IF($M187="",1/0,$M187*$B$4),0)+IF($B$5&gt;0,IF($N187="",1/0,$N187*$B$5),0)+IF($B$6&gt;0,IF($O187="",1/0,$O187*$B$6),0),""))</f>
        <v/>
      </c>
      <c r="Q187" s="17"/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187" s="2"/>
      <c r="XFC187" s="6"/>
    </row>
    <row r="188" s="5" customFormat="true" ht="28.5" hidden="false" customHeight="true" outlineLevel="0" collapsed="false">
      <c r="A188" s="16" t="str">
        <f aca="false">IF($T188="","",1+COUNTIF($W$15:$W$728,"&lt;"&amp;W188))</f>
        <v/>
      </c>
      <c r="B188" s="16" t="s">
        <v>14</v>
      </c>
      <c r="C188" s="16" t="s">
        <v>570</v>
      </c>
      <c r="D188" s="16" t="s">
        <v>43</v>
      </c>
      <c r="E188" s="16" t="s">
        <v>44</v>
      </c>
      <c r="F188" s="16" t="s">
        <v>571</v>
      </c>
      <c r="G188" s="16" t="s">
        <v>572</v>
      </c>
      <c r="H188" s="17" t="n">
        <v>1927</v>
      </c>
      <c r="I188" s="17"/>
      <c r="J188" s="17"/>
      <c r="K188" s="17" t="n">
        <v>1974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1927</v>
      </c>
      <c r="N188" s="17" t="str">
        <f aca="false">IF($I188="","",$I188+$L188)</f>
        <v/>
      </c>
      <c r="O188" s="17" t="n">
        <f aca="false">IF($K188="","",$K188+$L188)</f>
        <v>1974</v>
      </c>
      <c r="P188" s="17" t="str">
        <f aca="false">IF($B$10=0,"",IFERROR(IF($B$4&gt;0,IF($M188="",1/0,$M188*$B$4),0)+IF($B$5&gt;0,IF($N188="",1/0,$N188*$B$5),0)+IF($B$6&gt;0,IF($O188="",1/0,$O188*$B$6),0),""))</f>
        <v/>
      </c>
      <c r="Q188" s="17"/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188" s="2"/>
      <c r="XFC188" s="6"/>
    </row>
    <row r="189" s="5" customFormat="true" ht="28.5" hidden="false" customHeight="true" outlineLevel="0" collapsed="false">
      <c r="A189" s="16" t="str">
        <f aca="false">IF($T189="","",1+COUNTIF($W$15:$W$728,"&lt;"&amp;W189))</f>
        <v/>
      </c>
      <c r="B189" s="16" t="s">
        <v>6</v>
      </c>
      <c r="C189" s="16" t="s">
        <v>573</v>
      </c>
      <c r="D189" s="16" t="s">
        <v>574</v>
      </c>
      <c r="E189" s="16" t="s">
        <v>44</v>
      </c>
      <c r="F189" s="16" t="s">
        <v>575</v>
      </c>
      <c r="G189" s="16" t="s">
        <v>576</v>
      </c>
      <c r="H189" s="17" t="n">
        <v>1820</v>
      </c>
      <c r="I189" s="17"/>
      <c r="J189" s="17"/>
      <c r="K189" s="17" t="n">
        <v>1835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1820</v>
      </c>
      <c r="N189" s="17" t="str">
        <f aca="false">IF($I189="","",$I189+$L189)</f>
        <v/>
      </c>
      <c r="O189" s="17" t="n">
        <f aca="false">IF($K189="","",$K189+$L189)</f>
        <v>1835</v>
      </c>
      <c r="P189" s="17" t="str">
        <f aca="false">IF($B$10=0,"",IFERROR(IF($B$4&gt;0,IF($M189="",1/0,$M189*$B$4),0)+IF($B$5&gt;0,IF($N189="",1/0,$N189*$B$5),0)+IF($B$6&gt;0,IF($O189="",1/0,$O189*$B$6),0),""))</f>
        <v/>
      </c>
      <c r="Q189" s="17" t="s">
        <v>44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189" s="2"/>
      <c r="XFC189" s="6"/>
    </row>
    <row r="190" s="5" customFormat="true" ht="28.5" hidden="false" customHeight="true" outlineLevel="0" collapsed="false">
      <c r="A190" s="16" t="str">
        <f aca="false">IF($T190="","",1+COUNTIF($W$15:$W$728,"&lt;"&amp;W190))</f>
        <v/>
      </c>
      <c r="B190" s="16" t="s">
        <v>6</v>
      </c>
      <c r="C190" s="16" t="s">
        <v>577</v>
      </c>
      <c r="D190" s="16" t="s">
        <v>281</v>
      </c>
      <c r="E190" s="16" t="s">
        <v>44</v>
      </c>
      <c r="F190" s="16" t="s">
        <v>578</v>
      </c>
      <c r="G190" s="16" t="s">
        <v>579</v>
      </c>
      <c r="H190" s="17" t="n">
        <v>1840</v>
      </c>
      <c r="I190" s="17"/>
      <c r="J190" s="17"/>
      <c r="K190" s="17" t="n">
        <v>1855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1840</v>
      </c>
      <c r="N190" s="17" t="str">
        <f aca="false">IF($I190="","",$I190+$L190)</f>
        <v/>
      </c>
      <c r="O190" s="17" t="n">
        <f aca="false">IF($K190="","",$K190+$L190)</f>
        <v>1855</v>
      </c>
      <c r="P190" s="17" t="str">
        <f aca="false">IF($B$10=0,"",IFERROR(IF($B$4&gt;0,IF($M190="",1/0,$M190*$B$4),0)+IF($B$5&gt;0,IF($N190="",1/0,$N190*$B$5),0)+IF($B$6&gt;0,IF($O190="",1/0,$O190*$B$6),0),""))</f>
        <v/>
      </c>
      <c r="Q190" s="17" t="s">
        <v>44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190" s="2"/>
      <c r="XFC190" s="6"/>
    </row>
    <row r="191" s="5" customFormat="true" ht="28.5" hidden="false" customHeight="true" outlineLevel="0" collapsed="false">
      <c r="A191" s="16" t="str">
        <f aca="false">IF($T191="","",1+COUNTIF($W$15:$W$728,"&lt;"&amp;W191))</f>
        <v/>
      </c>
      <c r="B191" s="16" t="s">
        <v>6</v>
      </c>
      <c r="C191" s="16" t="s">
        <v>580</v>
      </c>
      <c r="D191" s="16" t="s">
        <v>581</v>
      </c>
      <c r="E191" s="16" t="s">
        <v>58</v>
      </c>
      <c r="F191" s="16" t="s">
        <v>582</v>
      </c>
      <c r="G191" s="16" t="s">
        <v>583</v>
      </c>
      <c r="H191" s="17" t="n">
        <v>1894</v>
      </c>
      <c r="I191" s="17"/>
      <c r="J191" s="17"/>
      <c r="K191" s="17" t="n">
        <v>1894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1894</v>
      </c>
      <c r="N191" s="17" t="str">
        <f aca="false">IF($I191="","",$I191+$L191)</f>
        <v/>
      </c>
      <c r="O191" s="17" t="n">
        <f aca="false">IF($K191="","",$K191+$L191)</f>
        <v>1894</v>
      </c>
      <c r="P191" s="17" t="str">
        <f aca="false">IF($B$10=0,"",IFERROR(IF($B$4&gt;0,IF($M191="",1/0,$M191*$B$4),0)+IF($B$5&gt;0,IF($N191="",1/0,$N191*$B$5),0)+IF($B$6&gt;0,IF($O191="",1/0,$O191*$B$6),0),""))</f>
        <v/>
      </c>
      <c r="Q191" s="17" t="s">
        <v>44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191" s="2"/>
      <c r="XFC191" s="6"/>
    </row>
    <row r="192" s="5" customFormat="true" ht="28.5" hidden="false" customHeight="true" outlineLevel="0" collapsed="false">
      <c r="A192" s="16" t="str">
        <f aca="false">IF($T192="","",1+COUNTIF($W$15:$W$728,"&lt;"&amp;W192))</f>
        <v/>
      </c>
      <c r="B192" s="16" t="s">
        <v>6</v>
      </c>
      <c r="C192" s="16" t="s">
        <v>475</v>
      </c>
      <c r="D192" s="16" t="s">
        <v>43</v>
      </c>
      <c r="E192" s="16" t="s">
        <v>44</v>
      </c>
      <c r="F192" s="16" t="s">
        <v>584</v>
      </c>
      <c r="G192" s="16" t="s">
        <v>585</v>
      </c>
      <c r="H192" s="17" t="n">
        <v>1884</v>
      </c>
      <c r="I192" s="17"/>
      <c r="J192" s="17"/>
      <c r="K192" s="17" t="n">
        <v>1919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1884</v>
      </c>
      <c r="N192" s="17" t="str">
        <f aca="false">IF($I192="","",$I192+$L192)</f>
        <v/>
      </c>
      <c r="O192" s="17" t="n">
        <f aca="false">IF($K192="","",$K192+$L192)</f>
        <v>1919</v>
      </c>
      <c r="P192" s="17" t="str">
        <f aca="false">IF($B$10=0,"",IFERROR(IF($B$4&gt;0,IF($M192="",1/0,$M192*$B$4),0)+IF($B$5&gt;0,IF($N192="",1/0,$N192*$B$5),0)+IF($B$6&gt;0,IF($O192="",1/0,$O192*$B$6),0),""))</f>
        <v/>
      </c>
      <c r="Q192" s="17" t="s">
        <v>44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192" s="2"/>
      <c r="XFC192" s="6"/>
    </row>
    <row r="193" s="5" customFormat="true" ht="28.5" hidden="false" customHeight="true" outlineLevel="0" collapsed="false">
      <c r="A193" s="16" t="str">
        <f aca="false">IF($T193="","",1+COUNTIF($W$15:$W$728,"&lt;"&amp;W193))</f>
        <v/>
      </c>
      <c r="B193" s="16" t="s">
        <v>6</v>
      </c>
      <c r="C193" s="16" t="s">
        <v>586</v>
      </c>
      <c r="D193" s="16" t="s">
        <v>43</v>
      </c>
      <c r="E193" s="16" t="s">
        <v>44</v>
      </c>
      <c r="F193" s="16" t="s">
        <v>587</v>
      </c>
      <c r="G193" s="16" t="s">
        <v>588</v>
      </c>
      <c r="H193" s="17" t="n">
        <v>1894</v>
      </c>
      <c r="I193" s="17"/>
      <c r="J193" s="17"/>
      <c r="K193" s="17" t="n">
        <v>1895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1894</v>
      </c>
      <c r="N193" s="17" t="str">
        <f aca="false">IF($I193="","",$I193+$L193)</f>
        <v/>
      </c>
      <c r="O193" s="17" t="n">
        <f aca="false">IF($K193="","",$K193+$L193)</f>
        <v>1895</v>
      </c>
      <c r="P193" s="17" t="str">
        <f aca="false">IF($B$10=0,"",IFERROR(IF($B$4&gt;0,IF($M193="",1/0,$M193*$B$4),0)+IF($B$5&gt;0,IF($N193="",1/0,$N193*$B$5),0)+IF($B$6&gt;0,IF($O193="",1/0,$O193*$B$6),0),""))</f>
        <v/>
      </c>
      <c r="Q193" s="17" t="s">
        <v>44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193" s="2"/>
      <c r="XFC193" s="6"/>
    </row>
    <row r="194" s="5" customFormat="true" ht="28.5" hidden="false" customHeight="true" outlineLevel="0" collapsed="false">
      <c r="A194" s="16" t="str">
        <f aca="false">IF($T194="","",1+COUNTIF($W$15:$W$728,"&lt;"&amp;W194))</f>
        <v/>
      </c>
      <c r="B194" s="16" t="s">
        <v>14</v>
      </c>
      <c r="C194" s="16" t="s">
        <v>589</v>
      </c>
      <c r="D194" s="16" t="s">
        <v>43</v>
      </c>
      <c r="E194" s="16" t="s">
        <v>44</v>
      </c>
      <c r="F194" s="16" t="s">
        <v>590</v>
      </c>
      <c r="G194" s="16" t="s">
        <v>591</v>
      </c>
      <c r="H194" s="17" t="n">
        <v>1897</v>
      </c>
      <c r="I194" s="17"/>
      <c r="J194" s="17"/>
      <c r="K194" s="17" t="n">
        <v>1954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1897</v>
      </c>
      <c r="N194" s="17" t="str">
        <f aca="false">IF($I194="","",$I194+$L194)</f>
        <v/>
      </c>
      <c r="O194" s="17" t="n">
        <f aca="false">IF($K194="","",$K194+$L194)</f>
        <v>1954</v>
      </c>
      <c r="P194" s="17" t="str">
        <f aca="false">IF($B$10=0,"",IFERROR(IF($B$4&gt;0,IF($M194="",1/0,$M194*$B$4),0)+IF($B$5&gt;0,IF($N194="",1/0,$N194*$B$5),0)+IF($B$6&gt;0,IF($O194="",1/0,$O194*$B$6),0),""))</f>
        <v/>
      </c>
      <c r="Q194" s="17"/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194" s="2"/>
      <c r="XFC194" s="6"/>
    </row>
    <row r="195" s="5" customFormat="true" ht="28.5" hidden="false" customHeight="true" outlineLevel="0" collapsed="false">
      <c r="A195" s="16" t="str">
        <f aca="false">IF($T195="","",1+COUNTIF($W$15:$W$728,"&lt;"&amp;W195))</f>
        <v/>
      </c>
      <c r="B195" s="16" t="s">
        <v>6</v>
      </c>
      <c r="C195" s="16" t="s">
        <v>592</v>
      </c>
      <c r="D195" s="16" t="s">
        <v>43</v>
      </c>
      <c r="E195" s="16" t="s">
        <v>44</v>
      </c>
      <c r="F195" s="16" t="s">
        <v>593</v>
      </c>
      <c r="G195" s="16" t="s">
        <v>594</v>
      </c>
      <c r="H195" s="17" t="n">
        <v>1849</v>
      </c>
      <c r="I195" s="17"/>
      <c r="J195" s="17"/>
      <c r="K195" s="17" t="n">
        <v>1919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1849</v>
      </c>
      <c r="N195" s="17" t="str">
        <f aca="false">IF($I195="","",$I195+$L195)</f>
        <v/>
      </c>
      <c r="O195" s="17" t="n">
        <f aca="false">IF($K195="","",$K195+$L195)</f>
        <v>1919</v>
      </c>
      <c r="P195" s="17" t="str">
        <f aca="false">IF($B$10=0,"",IFERROR(IF($B$4&gt;0,IF($M195="",1/0,$M195*$B$4),0)+IF($B$5&gt;0,IF($N195="",1/0,$N195*$B$5),0)+IF($B$6&gt;0,IF($O195="",1/0,$O195*$B$6),0),""))</f>
        <v/>
      </c>
      <c r="Q195" s="17"/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195" s="2"/>
      <c r="XFC195" s="6"/>
    </row>
    <row r="196" s="5" customFormat="true" ht="28.5" hidden="false" customHeight="true" outlineLevel="0" collapsed="false">
      <c r="A196" s="16" t="str">
        <f aca="false">IF($T196="","",1+COUNTIF($W$15:$W$728,"&lt;"&amp;W196))</f>
        <v/>
      </c>
      <c r="B196" s="16" t="s">
        <v>14</v>
      </c>
      <c r="C196" s="16" t="s">
        <v>595</v>
      </c>
      <c r="D196" s="16" t="s">
        <v>141</v>
      </c>
      <c r="E196" s="16" t="s">
        <v>44</v>
      </c>
      <c r="F196" s="16" t="s">
        <v>596</v>
      </c>
      <c r="G196" s="16" t="s">
        <v>597</v>
      </c>
      <c r="H196" s="17" t="n">
        <v>1897</v>
      </c>
      <c r="I196" s="17"/>
      <c r="J196" s="17"/>
      <c r="K196" s="17" t="n">
        <v>1954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1897</v>
      </c>
      <c r="N196" s="17" t="str">
        <f aca="false">IF($I196="","",$I196+$L196)</f>
        <v/>
      </c>
      <c r="O196" s="17" t="n">
        <f aca="false">IF($K196="","",$K196+$L196)</f>
        <v>1954</v>
      </c>
      <c r="P196" s="17" t="str">
        <f aca="false">IF($B$10=0,"",IFERROR(IF($B$4&gt;0,IF($M196="",1/0,$M196*$B$4),0)+IF($B$5&gt;0,IF($N196="",1/0,$N196*$B$5),0)+IF($B$6&gt;0,IF($O196="",1/0,$O196*$B$6),0),""))</f>
        <v/>
      </c>
      <c r="Q196" s="17"/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196" s="2"/>
      <c r="XFC196" s="6"/>
    </row>
    <row r="197" s="5" customFormat="true" ht="28.5" hidden="false" customHeight="true" outlineLevel="0" collapsed="false">
      <c r="A197" s="16" t="str">
        <f aca="false">IF($T197="","",1+COUNTIF($W$15:$W$728,"&lt;"&amp;W197))</f>
        <v/>
      </c>
      <c r="B197" s="16" t="s">
        <v>6</v>
      </c>
      <c r="C197" s="16" t="s">
        <v>598</v>
      </c>
      <c r="D197" s="20" t="s">
        <v>131</v>
      </c>
      <c r="E197" s="16" t="s">
        <v>44</v>
      </c>
      <c r="F197" s="16" t="s">
        <v>599</v>
      </c>
      <c r="G197" s="16" t="s">
        <v>600</v>
      </c>
      <c r="H197" s="17" t="n">
        <v>1948</v>
      </c>
      <c r="I197" s="17"/>
      <c r="J197" s="17"/>
      <c r="K197" s="17" t="n">
        <v>1948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1948</v>
      </c>
      <c r="N197" s="17" t="str">
        <f aca="false">IF($I197="","",$I197+$L197)</f>
        <v/>
      </c>
      <c r="O197" s="17" t="n">
        <f aca="false">IF($K197="","",$K197+$L197)</f>
        <v>1948</v>
      </c>
      <c r="P197" s="17" t="str">
        <f aca="false">IF($B$10=0,"",IFERROR(IF($B$4&gt;0,IF($M197="",1/0,$M197*$B$4),0)+IF($B$5&gt;0,IF($N197="",1/0,$N197*$B$5),0)+IF($B$6&gt;0,IF($O197="",1/0,$O197*$B$6),0),""))</f>
        <v/>
      </c>
      <c r="Q197" s="17" t="s">
        <v>44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197" s="2"/>
      <c r="XFC197" s="6"/>
    </row>
    <row r="198" s="5" customFormat="true" ht="28.5" hidden="false" customHeight="true" outlineLevel="0" collapsed="false">
      <c r="A198" s="16" t="str">
        <f aca="false">IF($T198="","",1+COUNTIF($W$15:$W$728,"&lt;"&amp;W198))</f>
        <v/>
      </c>
      <c r="B198" s="16" t="s">
        <v>12</v>
      </c>
      <c r="C198" s="16" t="s">
        <v>601</v>
      </c>
      <c r="D198" s="20" t="s">
        <v>208</v>
      </c>
      <c r="E198" s="16" t="s">
        <v>44</v>
      </c>
      <c r="F198" s="16" t="s">
        <v>602</v>
      </c>
      <c r="G198" s="16" t="s">
        <v>603</v>
      </c>
      <c r="H198" s="17" t="n">
        <v>1890</v>
      </c>
      <c r="I198" s="17"/>
      <c r="J198" s="17"/>
      <c r="K198" s="17" t="n">
        <v>1860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1890</v>
      </c>
      <c r="N198" s="17" t="str">
        <f aca="false">IF($I198="","",$I198+$L198)</f>
        <v/>
      </c>
      <c r="O198" s="17" t="n">
        <f aca="false">IF($K198="","",$K198+$L198)</f>
        <v>1860</v>
      </c>
      <c r="P198" s="17" t="str">
        <f aca="false">IF($B$10=0,"",IFERROR(IF($B$4&gt;0,IF($M198="",1/0,$M198*$B$4),0)+IF($B$5&gt;0,IF($N198="",1/0,$N198*$B$5),0)+IF($B$6&gt;0,IF($O198="",1/0,$O198*$B$6),0),""))</f>
        <v/>
      </c>
      <c r="Q198" s="17"/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198" s="2"/>
      <c r="XFC198" s="6"/>
    </row>
    <row r="199" s="5" customFormat="true" ht="28.5" hidden="false" customHeight="true" outlineLevel="0" collapsed="false">
      <c r="A199" s="16" t="str">
        <f aca="false">IF($T199="","",1+COUNTIF($W$15:$W$728,"&lt;"&amp;W199))</f>
        <v/>
      </c>
      <c r="B199" s="16" t="s">
        <v>10</v>
      </c>
      <c r="C199" s="16" t="s">
        <v>604</v>
      </c>
      <c r="D199" s="16" t="s">
        <v>281</v>
      </c>
      <c r="E199" s="16" t="s">
        <v>58</v>
      </c>
      <c r="F199" s="16" t="s">
        <v>605</v>
      </c>
      <c r="G199" s="16" t="s">
        <v>606</v>
      </c>
      <c r="H199" s="17" t="n">
        <v>1799</v>
      </c>
      <c r="I199" s="17"/>
      <c r="J199" s="17"/>
      <c r="K199" s="17" t="n">
        <v>1799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1799</v>
      </c>
      <c r="N199" s="17" t="str">
        <f aca="false">IF($I199="","",$I199+$L199)</f>
        <v/>
      </c>
      <c r="O199" s="17" t="n">
        <f aca="false">IF($K199="","",$K199+$L199)</f>
        <v>1799</v>
      </c>
      <c r="P199" s="17" t="str">
        <f aca="false">IF($B$10=0,"",IFERROR(IF($B$4&gt;0,IF($M199="",1/0,$M199*$B$4),0)+IF($B$5&gt;0,IF($N199="",1/0,$N199*$B$5),0)+IF($B$6&gt;0,IF($O199="",1/0,$O199*$B$6),0),""))</f>
        <v/>
      </c>
      <c r="Q199" s="17" t="s">
        <v>44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199" s="2"/>
      <c r="XFC199" s="6"/>
    </row>
    <row r="200" s="5" customFormat="true" ht="28.5" hidden="false" customHeight="true" outlineLevel="0" collapsed="false">
      <c r="A200" s="16" t="str">
        <f aca="false">IF($T200="","",1+COUNTIF($W$15:$W$728,"&lt;"&amp;W200))</f>
        <v/>
      </c>
      <c r="B200" s="16" t="s">
        <v>10</v>
      </c>
      <c r="C200" s="16" t="s">
        <v>607</v>
      </c>
      <c r="D200" s="16" t="s">
        <v>281</v>
      </c>
      <c r="E200" s="16" t="s">
        <v>44</v>
      </c>
      <c r="F200" s="16" t="s">
        <v>608</v>
      </c>
      <c r="G200" s="16" t="s">
        <v>609</v>
      </c>
      <c r="H200" s="17" t="n">
        <v>1799</v>
      </c>
      <c r="I200" s="17"/>
      <c r="J200" s="17"/>
      <c r="K200" s="17" t="n">
        <v>1849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1799</v>
      </c>
      <c r="N200" s="17" t="str">
        <f aca="false">IF($I200="","",$I200+$L200)</f>
        <v/>
      </c>
      <c r="O200" s="17" t="n">
        <f aca="false">IF($K200="","",$K200+$L200)</f>
        <v>1849</v>
      </c>
      <c r="P200" s="17" t="str">
        <f aca="false">IF($B$10=0,"",IFERROR(IF($B$4&gt;0,IF($M200="",1/0,$M200*$B$4),0)+IF($B$5&gt;0,IF($N200="",1/0,$N200*$B$5),0)+IF($B$6&gt;0,IF($O200="",1/0,$O200*$B$6),0),""))</f>
        <v/>
      </c>
      <c r="Q200" s="17"/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200" s="2"/>
      <c r="XFC200" s="6"/>
    </row>
    <row r="201" s="5" customFormat="true" ht="28.5" hidden="false" customHeight="true" outlineLevel="0" collapsed="false">
      <c r="A201" s="16" t="str">
        <f aca="false">IF($T201="","",1+COUNTIF($W$15:$W$728,"&lt;"&amp;W201))</f>
        <v/>
      </c>
      <c r="B201" s="16" t="s">
        <v>10</v>
      </c>
      <c r="C201" s="16" t="s">
        <v>610</v>
      </c>
      <c r="D201" s="16" t="s">
        <v>328</v>
      </c>
      <c r="E201" s="16" t="s">
        <v>44</v>
      </c>
      <c r="F201" s="16" t="s">
        <v>611</v>
      </c>
      <c r="G201" s="16" t="s">
        <v>612</v>
      </c>
      <c r="H201" s="17" t="n">
        <v>1780</v>
      </c>
      <c r="I201" s="17"/>
      <c r="J201" s="17"/>
      <c r="K201" s="17" t="n">
        <v>1790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1780</v>
      </c>
      <c r="N201" s="17" t="str">
        <f aca="false">IF($I201="","",$I201+$L201)</f>
        <v/>
      </c>
      <c r="O201" s="17" t="n">
        <f aca="false">IF($K201="","",$K201+$L201)</f>
        <v>1790</v>
      </c>
      <c r="P201" s="17" t="str">
        <f aca="false">IF($B$10=0,"",IFERROR(IF($B$4&gt;0,IF($M201="",1/0,$M201*$B$4),0)+IF($B$5&gt;0,IF($N201="",1/0,$N201*$B$5),0)+IF($B$6&gt;0,IF($O201="",1/0,$O201*$B$6),0),""))</f>
        <v/>
      </c>
      <c r="Q201" s="17"/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201" s="2"/>
      <c r="XFC201" s="6"/>
    </row>
    <row r="202" s="5" customFormat="true" ht="28.5" hidden="false" customHeight="true" outlineLevel="0" collapsed="false">
      <c r="A202" s="16" t="str">
        <f aca="false">IF($T202="","",1+COUNTIF($W$15:$W$728,"&lt;"&amp;W202))</f>
        <v/>
      </c>
      <c r="B202" s="16" t="s">
        <v>10</v>
      </c>
      <c r="C202" s="16" t="s">
        <v>613</v>
      </c>
      <c r="D202" s="16" t="s">
        <v>574</v>
      </c>
      <c r="E202" s="16" t="s">
        <v>44</v>
      </c>
      <c r="F202" s="16" t="s">
        <v>614</v>
      </c>
      <c r="G202" s="16" t="s">
        <v>615</v>
      </c>
      <c r="H202" s="17" t="n">
        <v>1799</v>
      </c>
      <c r="I202" s="17"/>
      <c r="J202" s="17"/>
      <c r="K202" s="17" t="n">
        <v>1796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1799</v>
      </c>
      <c r="N202" s="17" t="str">
        <f aca="false">IF($I202="","",$I202+$L202)</f>
        <v/>
      </c>
      <c r="O202" s="17" t="n">
        <f aca="false">IF($K202="","",$K202+$L202)</f>
        <v>1796</v>
      </c>
      <c r="P202" s="17" t="str">
        <f aca="false">IF($B$10=0,"",IFERROR(IF($B$4&gt;0,IF($M202="",1/0,$M202*$B$4),0)+IF($B$5&gt;0,IF($N202="",1/0,$N202*$B$5),0)+IF($B$6&gt;0,IF($O202="",1/0,$O202*$B$6),0),""))</f>
        <v/>
      </c>
      <c r="Q202" s="17"/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202" s="2"/>
      <c r="XFC202" s="6"/>
    </row>
    <row r="203" s="5" customFormat="true" ht="28.5" hidden="false" customHeight="true" outlineLevel="0" collapsed="false">
      <c r="A203" s="16" t="str">
        <f aca="false">IF($T203="","",1+COUNTIF($W$15:$W$728,"&lt;"&amp;W203))</f>
        <v/>
      </c>
      <c r="B203" s="16" t="s">
        <v>12</v>
      </c>
      <c r="C203" s="16" t="s">
        <v>616</v>
      </c>
      <c r="D203" s="20" t="s">
        <v>303</v>
      </c>
      <c r="E203" s="16" t="s">
        <v>44</v>
      </c>
      <c r="F203" s="16" t="s">
        <v>617</v>
      </c>
      <c r="G203" s="16" t="s">
        <v>618</v>
      </c>
      <c r="H203" s="17" t="n">
        <v>1959</v>
      </c>
      <c r="I203" s="17"/>
      <c r="J203" s="17"/>
      <c r="K203" s="17" t="n">
        <v>2159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1959</v>
      </c>
      <c r="N203" s="17" t="str">
        <f aca="false">IF($I203="","",$I203+$L203)</f>
        <v/>
      </c>
      <c r="O203" s="17" t="n">
        <f aca="false">IF($K203="","",$K203+$L203)</f>
        <v>2159</v>
      </c>
      <c r="P203" s="17" t="str">
        <f aca="false">IF($B$10=0,"",IFERROR(IF($B$4&gt;0,IF($M203="",1/0,$M203*$B$4),0)+IF($B$5&gt;0,IF($N203="",1/0,$N203*$B$5),0)+IF($B$6&gt;0,IF($O203="",1/0,$O203*$B$6),0),""))</f>
        <v/>
      </c>
      <c r="Q203" s="17" t="s">
        <v>44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203" s="2"/>
      <c r="XFC203" s="6"/>
    </row>
    <row r="204" s="5" customFormat="true" ht="28.5" hidden="false" customHeight="true" outlineLevel="0" collapsed="false">
      <c r="A204" s="16" t="str">
        <f aca="false">IF($T204="","",1+COUNTIF($W$15:$W$728,"&lt;"&amp;W204))</f>
        <v/>
      </c>
      <c r="B204" s="16" t="s">
        <v>6</v>
      </c>
      <c r="C204" s="16" t="s">
        <v>619</v>
      </c>
      <c r="D204" s="20" t="s">
        <v>131</v>
      </c>
      <c r="E204" s="16" t="s">
        <v>44</v>
      </c>
      <c r="F204" s="16" t="s">
        <v>620</v>
      </c>
      <c r="G204" s="16" t="s">
        <v>621</v>
      </c>
      <c r="H204" s="17" t="n">
        <v>1894</v>
      </c>
      <c r="I204" s="17"/>
      <c r="J204" s="17"/>
      <c r="K204" s="17" t="n">
        <v>1894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1894</v>
      </c>
      <c r="N204" s="17" t="str">
        <f aca="false">IF($I204="","",$I204+$L204)</f>
        <v/>
      </c>
      <c r="O204" s="17" t="n">
        <f aca="false">IF($K204="","",$K204+$L204)</f>
        <v>1894</v>
      </c>
      <c r="P204" s="17" t="str">
        <f aca="false">IF($B$10=0,"",IFERROR(IF($B$4&gt;0,IF($M204="",1/0,$M204*$B$4),0)+IF($B$5&gt;0,IF($N204="",1/0,$N204*$B$5),0)+IF($B$6&gt;0,IF($O204="",1/0,$O204*$B$6),0),""))</f>
        <v/>
      </c>
      <c r="Q204" s="17" t="s">
        <v>44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204" s="2"/>
      <c r="XFC204" s="6"/>
    </row>
    <row r="205" s="5" customFormat="true" ht="28.5" hidden="false" customHeight="true" outlineLevel="0" collapsed="false">
      <c r="A205" s="16" t="str">
        <f aca="false">IF($T205="","",1+COUNTIF($W$15:$W$728,"&lt;"&amp;W205))</f>
        <v/>
      </c>
      <c r="B205" s="16" t="s">
        <v>10</v>
      </c>
      <c r="C205" s="16" t="s">
        <v>622</v>
      </c>
      <c r="D205" s="16" t="s">
        <v>328</v>
      </c>
      <c r="E205" s="16" t="s">
        <v>44</v>
      </c>
      <c r="F205" s="16" t="s">
        <v>623</v>
      </c>
      <c r="G205" s="16" t="s">
        <v>624</v>
      </c>
      <c r="H205" s="17" t="n">
        <v>1785</v>
      </c>
      <c r="I205" s="17"/>
      <c r="J205" s="17"/>
      <c r="K205" s="17" t="n">
        <v>1785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1785</v>
      </c>
      <c r="N205" s="17" t="str">
        <f aca="false">IF($I205="","",$I205+$L205)</f>
        <v/>
      </c>
      <c r="O205" s="17" t="n">
        <f aca="false">IF($K205="","",$K205+$L205)</f>
        <v>1785</v>
      </c>
      <c r="P205" s="17" t="str">
        <f aca="false">IF($B$10=0,"",IFERROR(IF($B$4&gt;0,IF($M205="",1/0,$M205*$B$4),0)+IF($B$5&gt;0,IF($N205="",1/0,$N205*$B$5),0)+IF($B$6&gt;0,IF($O205="",1/0,$O205*$B$6),0),""))</f>
        <v/>
      </c>
      <c r="Q205" s="17"/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205" s="2"/>
      <c r="XFC205" s="6"/>
    </row>
    <row r="206" s="5" customFormat="true" ht="28.5" hidden="false" customHeight="true" outlineLevel="0" collapsed="false">
      <c r="A206" s="16" t="str">
        <f aca="false">IF($T206="","",1+COUNTIF($W$15:$W$728,"&lt;"&amp;W206))</f>
        <v/>
      </c>
      <c r="B206" s="16" t="s">
        <v>10</v>
      </c>
      <c r="C206" s="16" t="s">
        <v>625</v>
      </c>
      <c r="D206" s="16" t="s">
        <v>328</v>
      </c>
      <c r="E206" s="16" t="s">
        <v>44</v>
      </c>
      <c r="F206" s="16" t="s">
        <v>626</v>
      </c>
      <c r="G206" s="16" t="s">
        <v>627</v>
      </c>
      <c r="H206" s="17" t="n">
        <v>1775</v>
      </c>
      <c r="I206" s="17"/>
      <c r="J206" s="17"/>
      <c r="K206" s="17" t="n">
        <v>1785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1775</v>
      </c>
      <c r="N206" s="17" t="str">
        <f aca="false">IF($I206="","",$I206+$L206)</f>
        <v/>
      </c>
      <c r="O206" s="17" t="n">
        <f aca="false">IF($K206="","",$K206+$L206)</f>
        <v>1785</v>
      </c>
      <c r="P206" s="17" t="str">
        <f aca="false">IF($B$10=0,"",IFERROR(IF($B$4&gt;0,IF($M206="",1/0,$M206*$B$4),0)+IF($B$5&gt;0,IF($N206="",1/0,$N206*$B$5),0)+IF($B$6&gt;0,IF($O206="",1/0,$O206*$B$6),0),""))</f>
        <v/>
      </c>
      <c r="Q206" s="17"/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206" s="2"/>
      <c r="XFC206" s="6"/>
    </row>
    <row r="207" s="5" customFormat="true" ht="28.5" hidden="false" customHeight="true" outlineLevel="0" collapsed="false">
      <c r="A207" s="16" t="str">
        <f aca="false">IF($T207="","",1+COUNTIF($W$15:$W$728,"&lt;"&amp;W207))</f>
        <v/>
      </c>
      <c r="B207" s="16" t="s">
        <v>12</v>
      </c>
      <c r="C207" s="16" t="s">
        <v>628</v>
      </c>
      <c r="D207" s="20" t="s">
        <v>303</v>
      </c>
      <c r="E207" s="16" t="s">
        <v>44</v>
      </c>
      <c r="F207" s="16" t="s">
        <v>629</v>
      </c>
      <c r="G207" s="16" t="s">
        <v>630</v>
      </c>
      <c r="H207" s="17" t="n">
        <v>1945</v>
      </c>
      <c r="I207" s="17"/>
      <c r="J207" s="17"/>
      <c r="K207" s="17" t="n">
        <v>1985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1945</v>
      </c>
      <c r="N207" s="17" t="str">
        <f aca="false">IF($I207="","",$I207+$L207)</f>
        <v/>
      </c>
      <c r="O207" s="17" t="n">
        <f aca="false">IF($K207="","",$K207+$L207)</f>
        <v>1985</v>
      </c>
      <c r="P207" s="17" t="str">
        <f aca="false">IF($B$10=0,"",IFERROR(IF($B$4&gt;0,IF($M207="",1/0,$M207*$B$4),0)+IF($B$5&gt;0,IF($N207="",1/0,$N207*$B$5),0)+IF($B$6&gt;0,IF($O207="",1/0,$O207*$B$6),0),""))</f>
        <v/>
      </c>
      <c r="Q207" s="17"/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207" s="2"/>
      <c r="XFC207" s="6"/>
    </row>
    <row r="208" s="5" customFormat="true" ht="28.5" hidden="false" customHeight="true" outlineLevel="0" collapsed="false">
      <c r="A208" s="16" t="str">
        <f aca="false">IF($T208="","",1+COUNTIF($W$15:$W$728,"&lt;"&amp;W208))</f>
        <v/>
      </c>
      <c r="B208" s="16" t="s">
        <v>10</v>
      </c>
      <c r="C208" s="16" t="s">
        <v>631</v>
      </c>
      <c r="D208" s="16" t="s">
        <v>281</v>
      </c>
      <c r="E208" s="16" t="s">
        <v>44</v>
      </c>
      <c r="F208" s="16" t="s">
        <v>632</v>
      </c>
      <c r="G208" s="16" t="s">
        <v>633</v>
      </c>
      <c r="H208" s="17" t="n">
        <v>1797</v>
      </c>
      <c r="I208" s="17"/>
      <c r="J208" s="17"/>
      <c r="K208" s="17" t="n">
        <v>1799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1797</v>
      </c>
      <c r="N208" s="17" t="str">
        <f aca="false">IF($I208="","",$I208+$L208)</f>
        <v/>
      </c>
      <c r="O208" s="17" t="n">
        <f aca="false">IF($K208="","",$K208+$L208)</f>
        <v>1799</v>
      </c>
      <c r="P208" s="17" t="str">
        <f aca="false">IF($B$10=0,"",IFERROR(IF($B$4&gt;0,IF($M208="",1/0,$M208*$B$4),0)+IF($B$5&gt;0,IF($N208="",1/0,$N208*$B$5),0)+IF($B$6&gt;0,IF($O208="",1/0,$O208*$B$6),0),""))</f>
        <v/>
      </c>
      <c r="Q208" s="17"/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C208" s="6"/>
    </row>
    <row r="209" s="5" customFormat="true" ht="28.5" hidden="false" customHeight="true" outlineLevel="0" collapsed="false">
      <c r="A209" s="16" t="str">
        <f aca="false">IF($T209="","",1+COUNTIF($W$15:$W$728,"&lt;"&amp;W209))</f>
        <v/>
      </c>
      <c r="B209" s="16" t="s">
        <v>6</v>
      </c>
      <c r="C209" s="16" t="s">
        <v>634</v>
      </c>
      <c r="D209" s="16" t="s">
        <v>141</v>
      </c>
      <c r="E209" s="16" t="s">
        <v>44</v>
      </c>
      <c r="F209" s="16" t="s">
        <v>635</v>
      </c>
      <c r="G209" s="16" t="s">
        <v>636</v>
      </c>
      <c r="H209" s="17" t="n">
        <v>1949</v>
      </c>
      <c r="I209" s="17"/>
      <c r="J209" s="17"/>
      <c r="K209" s="17" t="n">
        <v>2049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1949</v>
      </c>
      <c r="N209" s="17" t="str">
        <f aca="false">IF($I209="","",$I209+$L209)</f>
        <v/>
      </c>
      <c r="O209" s="17" t="n">
        <f aca="false">IF($K209="","",$K209+$L209)</f>
        <v>2049</v>
      </c>
      <c r="P209" s="17" t="str">
        <f aca="false">IF($B$10=0,"",IFERROR(IF($B$4&gt;0,IF($M209="",1/0,$M209*$B$4),0)+IF($B$5&gt;0,IF($N209="",1/0,$N209*$B$5),0)+IF($B$6&gt;0,IF($O209="",1/0,$O209*$B$6),0),""))</f>
        <v/>
      </c>
      <c r="Q209" s="17"/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209" s="2"/>
      <c r="XFC209" s="6"/>
    </row>
    <row r="210" s="5" customFormat="true" ht="28.5" hidden="false" customHeight="true" outlineLevel="0" collapsed="false">
      <c r="A210" s="16" t="str">
        <f aca="false">IF($T210="","",1+COUNTIF($W$15:$W$728,"&lt;"&amp;W210))</f>
        <v/>
      </c>
      <c r="B210" s="16" t="s">
        <v>6</v>
      </c>
      <c r="C210" s="16" t="s">
        <v>637</v>
      </c>
      <c r="D210" s="16" t="s">
        <v>328</v>
      </c>
      <c r="E210" s="16" t="s">
        <v>44</v>
      </c>
      <c r="F210" s="16" t="s">
        <v>638</v>
      </c>
      <c r="G210" s="16" t="s">
        <v>639</v>
      </c>
      <c r="H210" s="17" t="n">
        <v>1779</v>
      </c>
      <c r="I210" s="17"/>
      <c r="J210" s="17"/>
      <c r="K210" s="17" t="n">
        <v>1789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1779</v>
      </c>
      <c r="N210" s="17" t="str">
        <f aca="false">IF($I210="","",$I210+$L210)</f>
        <v/>
      </c>
      <c r="O210" s="17" t="n">
        <f aca="false">IF($K210="","",$K210+$L210)</f>
        <v>1789</v>
      </c>
      <c r="P210" s="17" t="str">
        <f aca="false">IF($B$10=0,"",IFERROR(IF($B$4&gt;0,IF($M210="",1/0,$M210*$B$4),0)+IF($B$5&gt;0,IF($N210="",1/0,$N210*$B$5),0)+IF($B$6&gt;0,IF($O210="",1/0,$O210*$B$6),0),""))</f>
        <v/>
      </c>
      <c r="Q210" s="17" t="s">
        <v>44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210" s="2"/>
      <c r="XFC210" s="6"/>
    </row>
    <row r="211" s="5" customFormat="true" ht="28.5" hidden="false" customHeight="true" outlineLevel="0" collapsed="false">
      <c r="A211" s="16" t="str">
        <f aca="false">IF($T211="","",1+COUNTIF($W$15:$W$728,"&lt;"&amp;W211))</f>
        <v/>
      </c>
      <c r="B211" s="16" t="s">
        <v>6</v>
      </c>
      <c r="C211" s="16" t="s">
        <v>640</v>
      </c>
      <c r="D211" s="16" t="s">
        <v>141</v>
      </c>
      <c r="E211" s="16" t="s">
        <v>44</v>
      </c>
      <c r="F211" s="16" t="s">
        <v>641</v>
      </c>
      <c r="G211" s="16" t="s">
        <v>642</v>
      </c>
      <c r="H211" s="17" t="n">
        <v>1899</v>
      </c>
      <c r="I211" s="17"/>
      <c r="J211" s="17"/>
      <c r="K211" s="17" t="n">
        <v>1949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1899</v>
      </c>
      <c r="N211" s="17" t="str">
        <f aca="false">IF($I211="","",$I211+$L211)</f>
        <v/>
      </c>
      <c r="O211" s="17" t="n">
        <f aca="false">IF($K211="","",$K211+$L211)</f>
        <v>1949</v>
      </c>
      <c r="P211" s="17" t="str">
        <f aca="false">IF($B$10=0,"",IFERROR(IF($B$4&gt;0,IF($M211="",1/0,$M211*$B$4),0)+IF($B$5&gt;0,IF($N211="",1/0,$N211*$B$5),0)+IF($B$6&gt;0,IF($O211="",1/0,$O211*$B$6),0),""))</f>
        <v/>
      </c>
      <c r="Q211" s="17" t="s">
        <v>44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211" s="2"/>
      <c r="XFC211" s="6"/>
    </row>
    <row r="212" s="5" customFormat="true" ht="28.5" hidden="false" customHeight="true" outlineLevel="0" collapsed="false">
      <c r="A212" s="16" t="str">
        <f aca="false">IF($T212="","",1+COUNTIF($W$15:$W$728,"&lt;"&amp;W212))</f>
        <v/>
      </c>
      <c r="B212" s="16" t="s">
        <v>10</v>
      </c>
      <c r="C212" s="16" t="s">
        <v>643</v>
      </c>
      <c r="D212" s="16" t="s">
        <v>281</v>
      </c>
      <c r="E212" s="16" t="s">
        <v>44</v>
      </c>
      <c r="F212" s="16" t="s">
        <v>644</v>
      </c>
      <c r="G212" s="16" t="s">
        <v>645</v>
      </c>
      <c r="H212" s="17" t="n">
        <v>1827</v>
      </c>
      <c r="I212" s="17"/>
      <c r="J212" s="17"/>
      <c r="K212" s="17" t="n">
        <v>1838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1827</v>
      </c>
      <c r="N212" s="17" t="str">
        <f aca="false">IF($I212="","",$I212+$L212)</f>
        <v/>
      </c>
      <c r="O212" s="17" t="n">
        <f aca="false">IF($K212="","",$K212+$L212)</f>
        <v>1838</v>
      </c>
      <c r="P212" s="17" t="str">
        <f aca="false">IF($B$10=0,"",IFERROR(IF($B$4&gt;0,IF($M212="",1/0,$M212*$B$4),0)+IF($B$5&gt;0,IF($N212="",1/0,$N212*$B$5),0)+IF($B$6&gt;0,IF($O212="",1/0,$O212*$B$6),0),""))</f>
        <v/>
      </c>
      <c r="Q212" s="17"/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212" s="2"/>
      <c r="XFC212" s="6"/>
    </row>
    <row r="213" s="5" customFormat="true" ht="28.5" hidden="false" customHeight="true" outlineLevel="0" collapsed="false">
      <c r="A213" s="16" t="str">
        <f aca="false">IF($T213="","",1+COUNTIF($W$15:$W$728,"&lt;"&amp;W213))</f>
        <v/>
      </c>
      <c r="B213" s="16" t="s">
        <v>10</v>
      </c>
      <c r="C213" s="16" t="s">
        <v>646</v>
      </c>
      <c r="D213" s="16" t="s">
        <v>574</v>
      </c>
      <c r="E213" s="16" t="s">
        <v>44</v>
      </c>
      <c r="F213" s="16" t="s">
        <v>647</v>
      </c>
      <c r="G213" s="16" t="s">
        <v>648</v>
      </c>
      <c r="H213" s="17" t="n">
        <v>1790</v>
      </c>
      <c r="I213" s="17"/>
      <c r="J213" s="17"/>
      <c r="K213" s="17" t="n">
        <v>1795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1790</v>
      </c>
      <c r="N213" s="17" t="str">
        <f aca="false">IF($I213="","",$I213+$L213)</f>
        <v/>
      </c>
      <c r="O213" s="17" t="n">
        <f aca="false">IF($K213="","",$K213+$L213)</f>
        <v>1795</v>
      </c>
      <c r="P213" s="17" t="str">
        <f aca="false">IF($B$10=0,"",IFERROR(IF($B$4&gt;0,IF($M213="",1/0,$M213*$B$4),0)+IF($B$5&gt;0,IF($N213="",1/0,$N213*$B$5),0)+IF($B$6&gt;0,IF($O213="",1/0,$O213*$B$6),0),""))</f>
        <v/>
      </c>
      <c r="Q213" s="17"/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213" s="2"/>
      <c r="XFC213" s="6"/>
    </row>
    <row r="214" s="5" customFormat="true" ht="28.5" hidden="false" customHeight="true" outlineLevel="0" collapsed="false">
      <c r="A214" s="16" t="str">
        <f aca="false">IF($T214="","",1+COUNTIF($W$15:$W$728,"&lt;"&amp;W214))</f>
        <v/>
      </c>
      <c r="B214" s="16" t="s">
        <v>10</v>
      </c>
      <c r="C214" s="16" t="s">
        <v>649</v>
      </c>
      <c r="D214" s="16" t="s">
        <v>48</v>
      </c>
      <c r="E214" s="16" t="s">
        <v>44</v>
      </c>
      <c r="F214" s="16" t="s">
        <v>650</v>
      </c>
      <c r="G214" s="16" t="s">
        <v>651</v>
      </c>
      <c r="H214" s="17" t="n">
        <v>1819</v>
      </c>
      <c r="I214" s="17"/>
      <c r="J214" s="17"/>
      <c r="K214" s="17" t="n">
        <v>1829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1819</v>
      </c>
      <c r="N214" s="17" t="str">
        <f aca="false">IF($I214="","",$I214+$L214)</f>
        <v/>
      </c>
      <c r="O214" s="17" t="n">
        <f aca="false">IF($K214="","",$K214+$L214)</f>
        <v>1829</v>
      </c>
      <c r="P214" s="17" t="str">
        <f aca="false">IF($B$10=0,"",IFERROR(IF($B$4&gt;0,IF($M214="",1/0,$M214*$B$4),0)+IF($B$5&gt;0,IF($N214="",1/0,$N214*$B$5),0)+IF($B$6&gt;0,IF($O214="",1/0,$O214*$B$6),0),""))</f>
        <v/>
      </c>
      <c r="Q214" s="17" t="s">
        <v>44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214" s="2"/>
      <c r="XFC214" s="6"/>
    </row>
    <row r="215" s="5" customFormat="true" ht="28.5" hidden="false" customHeight="true" outlineLevel="0" collapsed="false">
      <c r="A215" s="16" t="str">
        <f aca="false">IF($T215="","",1+COUNTIF($W$15:$W$728,"&lt;"&amp;W215))</f>
        <v/>
      </c>
      <c r="B215" s="16" t="s">
        <v>10</v>
      </c>
      <c r="C215" s="16" t="s">
        <v>652</v>
      </c>
      <c r="D215" s="16" t="s">
        <v>328</v>
      </c>
      <c r="E215" s="16" t="s">
        <v>44</v>
      </c>
      <c r="F215" s="16" t="s">
        <v>653</v>
      </c>
      <c r="G215" s="16" t="s">
        <v>654</v>
      </c>
      <c r="H215" s="17" t="n">
        <v>1799</v>
      </c>
      <c r="I215" s="17"/>
      <c r="J215" s="17"/>
      <c r="K215" s="17" t="n">
        <v>1828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1799</v>
      </c>
      <c r="N215" s="17" t="str">
        <f aca="false">IF($I215="","",$I215+$L215)</f>
        <v/>
      </c>
      <c r="O215" s="17" t="n">
        <f aca="false">IF($K215="","",$K215+$L215)</f>
        <v>1828</v>
      </c>
      <c r="P215" s="17" t="str">
        <f aca="false">IF($B$10=0,"",IFERROR(IF($B$4&gt;0,IF($M215="",1/0,$M215*$B$4),0)+IF($B$5&gt;0,IF($N215="",1/0,$N215*$B$5),0)+IF($B$6&gt;0,IF($O215="",1/0,$O215*$B$6),0),""))</f>
        <v/>
      </c>
      <c r="Q215" s="17"/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215" s="2"/>
      <c r="XFC215" s="6"/>
    </row>
    <row r="216" s="5" customFormat="true" ht="28.5" hidden="false" customHeight="true" outlineLevel="0" collapsed="false">
      <c r="A216" s="16" t="str">
        <f aca="false">IF($T216="","",1+COUNTIF($W$15:$W$728,"&lt;"&amp;W216))</f>
        <v/>
      </c>
      <c r="B216" s="16" t="s">
        <v>12</v>
      </c>
      <c r="C216" s="16" t="s">
        <v>655</v>
      </c>
      <c r="D216" s="20" t="s">
        <v>303</v>
      </c>
      <c r="E216" s="16" t="s">
        <v>44</v>
      </c>
      <c r="F216" s="16" t="s">
        <v>656</v>
      </c>
      <c r="G216" s="16" t="s">
        <v>657</v>
      </c>
      <c r="H216" s="17" t="n">
        <v>1959</v>
      </c>
      <c r="I216" s="17"/>
      <c r="J216" s="17"/>
      <c r="K216" s="17" t="n">
        <v>1999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1959</v>
      </c>
      <c r="N216" s="17" t="str">
        <f aca="false">IF($I216="","",$I216+$L216)</f>
        <v/>
      </c>
      <c r="O216" s="17" t="n">
        <f aca="false">IF($K216="","",$K216+$L216)</f>
        <v>1999</v>
      </c>
      <c r="P216" s="17" t="str">
        <f aca="false">IF($B$10=0,"",IFERROR(IF($B$4&gt;0,IF($M216="",1/0,$M216*$B$4),0)+IF($B$5&gt;0,IF($N216="",1/0,$N216*$B$5),0)+IF($B$6&gt;0,IF($O216="",1/0,$O216*$B$6),0),""))</f>
        <v/>
      </c>
      <c r="Q216" s="17" t="s">
        <v>44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216" s="2"/>
      <c r="XFC216" s="6"/>
    </row>
    <row r="217" s="5" customFormat="true" ht="28.5" hidden="false" customHeight="true" outlineLevel="0" collapsed="false">
      <c r="A217" s="16" t="str">
        <f aca="false">IF($T217="","",1+COUNTIF($W$15:$W$728,"&lt;"&amp;W217))</f>
        <v/>
      </c>
      <c r="B217" s="16" t="s">
        <v>6</v>
      </c>
      <c r="C217" s="16" t="s">
        <v>658</v>
      </c>
      <c r="D217" s="16" t="s">
        <v>43</v>
      </c>
      <c r="E217" s="16" t="s">
        <v>44</v>
      </c>
      <c r="F217" s="16" t="s">
        <v>659</v>
      </c>
      <c r="G217" s="16" t="s">
        <v>660</v>
      </c>
      <c r="H217" s="17" t="n">
        <v>1999</v>
      </c>
      <c r="I217" s="17"/>
      <c r="J217" s="17"/>
      <c r="K217" s="17" t="n">
        <v>1999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1999</v>
      </c>
      <c r="N217" s="17" t="str">
        <f aca="false">IF($I217="","",$I217+$L217)</f>
        <v/>
      </c>
      <c r="O217" s="17" t="n">
        <f aca="false">IF($K217="","",$K217+$L217)</f>
        <v>1999</v>
      </c>
      <c r="P217" s="17" t="str">
        <f aca="false">IF($B$10=0,"",IFERROR(IF($B$4&gt;0,IF($M217="",1/0,$M217*$B$4),0)+IF($B$5&gt;0,IF($N217="",1/0,$N217*$B$5),0)+IF($B$6&gt;0,IF($O217="",1/0,$O217*$B$6),0),""))</f>
        <v/>
      </c>
      <c r="Q217" s="17" t="s">
        <v>44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217" s="2"/>
      <c r="XFC217" s="6"/>
    </row>
    <row r="218" s="5" customFormat="true" ht="28.5" hidden="false" customHeight="true" outlineLevel="0" collapsed="false">
      <c r="A218" s="16" t="str">
        <f aca="false">IF($T218="","",1+COUNTIF($W$15:$W$728,"&lt;"&amp;W218))</f>
        <v/>
      </c>
      <c r="B218" s="16" t="s">
        <v>14</v>
      </c>
      <c r="C218" s="16" t="s">
        <v>661</v>
      </c>
      <c r="D218" s="16" t="s">
        <v>328</v>
      </c>
      <c r="E218" s="16" t="s">
        <v>44</v>
      </c>
      <c r="F218" s="16" t="s">
        <v>662</v>
      </c>
      <c r="G218" s="16" t="s">
        <v>663</v>
      </c>
      <c r="H218" s="17" t="n">
        <v>1789</v>
      </c>
      <c r="I218" s="17"/>
      <c r="J218" s="17"/>
      <c r="K218" s="17" t="n">
        <v>1799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1789</v>
      </c>
      <c r="N218" s="17" t="str">
        <f aca="false">IF($I218="","",$I218+$L218)</f>
        <v/>
      </c>
      <c r="O218" s="17" t="n">
        <f aca="false">IF($K218="","",$K218+$L218)</f>
        <v>1799</v>
      </c>
      <c r="P218" s="17" t="str">
        <f aca="false">IF($B$10=0,"",IFERROR(IF($B$4&gt;0,IF($M218="",1/0,$M218*$B$4),0)+IF($B$5&gt;0,IF($N218="",1/0,$N218*$B$5),0)+IF($B$6&gt;0,IF($O218="",1/0,$O218*$B$6),0),""))</f>
        <v/>
      </c>
      <c r="Q218" s="17"/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218" s="2"/>
      <c r="XFC218" s="6"/>
    </row>
    <row r="219" s="5" customFormat="true" ht="28.5" hidden="false" customHeight="true" outlineLevel="0" collapsed="false">
      <c r="A219" s="16" t="str">
        <f aca="false">IF($T219="","",1+COUNTIF($W$15:$W$728,"&lt;"&amp;W219))</f>
        <v/>
      </c>
      <c r="B219" s="16" t="s">
        <v>14</v>
      </c>
      <c r="C219" s="16" t="s">
        <v>664</v>
      </c>
      <c r="D219" s="16" t="s">
        <v>328</v>
      </c>
      <c r="E219" s="16" t="s">
        <v>44</v>
      </c>
      <c r="F219" s="16" t="s">
        <v>665</v>
      </c>
      <c r="G219" s="16" t="s">
        <v>666</v>
      </c>
      <c r="H219" s="17" t="n">
        <v>1789</v>
      </c>
      <c r="I219" s="17"/>
      <c r="J219" s="17"/>
      <c r="K219" s="17" t="n">
        <v>1799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1789</v>
      </c>
      <c r="N219" s="17" t="str">
        <f aca="false">IF($I219="","",$I219+$L219)</f>
        <v/>
      </c>
      <c r="O219" s="17" t="n">
        <f aca="false">IF($K219="","",$K219+$L219)</f>
        <v>1799</v>
      </c>
      <c r="P219" s="17" t="str">
        <f aca="false">IF($B$10=0,"",IFERROR(IF($B$4&gt;0,IF($M219="",1/0,$M219*$B$4),0)+IF($B$5&gt;0,IF($N219="",1/0,$N219*$B$5),0)+IF($B$6&gt;0,IF($O219="",1/0,$O219*$B$6),0),""))</f>
        <v/>
      </c>
      <c r="Q219" s="17"/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219" s="2"/>
      <c r="XFC219" s="6"/>
    </row>
    <row r="220" s="5" customFormat="true" ht="28.5" hidden="false" customHeight="true" outlineLevel="0" collapsed="false">
      <c r="A220" s="16" t="str">
        <f aca="false">IF($T220="","",1+COUNTIF($W$15:$W$728,"&lt;"&amp;W220))</f>
        <v/>
      </c>
      <c r="B220" s="16" t="s">
        <v>6</v>
      </c>
      <c r="C220" s="16" t="s">
        <v>667</v>
      </c>
      <c r="D220" s="16" t="s">
        <v>43</v>
      </c>
      <c r="E220" s="16" t="s">
        <v>44</v>
      </c>
      <c r="F220" s="16" t="s">
        <v>668</v>
      </c>
      <c r="G220" s="16" t="s">
        <v>669</v>
      </c>
      <c r="H220" s="17" t="n">
        <v>1995</v>
      </c>
      <c r="I220" s="17"/>
      <c r="J220" s="17"/>
      <c r="K220" s="17" t="n">
        <v>1995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1995</v>
      </c>
      <c r="N220" s="17" t="str">
        <f aca="false">IF($I220="","",$I220+$L220)</f>
        <v/>
      </c>
      <c r="O220" s="17" t="n">
        <f aca="false">IF($K220="","",$K220+$L220)</f>
        <v>1995</v>
      </c>
      <c r="P220" s="17" t="str">
        <f aca="false">IF($B$10=0,"",IFERROR(IF($B$4&gt;0,IF($M220="",1/0,$M220*$B$4),0)+IF($B$5&gt;0,IF($N220="",1/0,$N220*$B$5),0)+IF($B$6&gt;0,IF($O220="",1/0,$O220*$B$6),0),""))</f>
        <v/>
      </c>
      <c r="Q220" s="17" t="s">
        <v>44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220" s="2"/>
      <c r="XFC220" s="6"/>
    </row>
    <row r="221" s="5" customFormat="true" ht="28.5" hidden="false" customHeight="true" outlineLevel="0" collapsed="false">
      <c r="A221" s="16" t="str">
        <f aca="false">IF($T221="","",1+COUNTIF($W$15:$W$728,"&lt;"&amp;W221))</f>
        <v/>
      </c>
      <c r="B221" s="16" t="s">
        <v>6</v>
      </c>
      <c r="C221" s="16" t="s">
        <v>670</v>
      </c>
      <c r="D221" s="16" t="s">
        <v>48</v>
      </c>
      <c r="E221" s="16" t="s">
        <v>44</v>
      </c>
      <c r="F221" s="16" t="s">
        <v>671</v>
      </c>
      <c r="G221" s="16" t="s">
        <v>672</v>
      </c>
      <c r="H221" s="17" t="n">
        <v>1895</v>
      </c>
      <c r="I221" s="17"/>
      <c r="J221" s="17"/>
      <c r="K221" s="17" t="n">
        <v>1895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1895</v>
      </c>
      <c r="N221" s="17" t="str">
        <f aca="false">IF($I221="","",$I221+$L221)</f>
        <v/>
      </c>
      <c r="O221" s="17" t="n">
        <f aca="false">IF($K221="","",$K221+$L221)</f>
        <v>1895</v>
      </c>
      <c r="P221" s="17" t="str">
        <f aca="false">IF($B$10=0,"",IFERROR(IF($B$4&gt;0,IF($M221="",1/0,$M221*$B$4),0)+IF($B$5&gt;0,IF($N221="",1/0,$N221*$B$5),0)+IF($B$6&gt;0,IF($O221="",1/0,$O221*$B$6),0),""))</f>
        <v/>
      </c>
      <c r="Q221" s="17" t="s">
        <v>44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221" s="2"/>
      <c r="XFC221" s="6"/>
    </row>
    <row r="222" s="5" customFormat="true" ht="28.5" hidden="false" customHeight="true" outlineLevel="0" collapsed="false">
      <c r="A222" s="16" t="str">
        <f aca="false">IF($T222="","",1+COUNTIF($W$15:$W$728,"&lt;"&amp;W222))</f>
        <v/>
      </c>
      <c r="B222" s="16" t="s">
        <v>14</v>
      </c>
      <c r="C222" s="16" t="s">
        <v>673</v>
      </c>
      <c r="D222" s="16" t="s">
        <v>141</v>
      </c>
      <c r="E222" s="16" t="s">
        <v>58</v>
      </c>
      <c r="F222" s="16" t="s">
        <v>674</v>
      </c>
      <c r="G222" s="16" t="s">
        <v>675</v>
      </c>
      <c r="H222" s="17" t="n">
        <v>1850</v>
      </c>
      <c r="I222" s="17"/>
      <c r="J222" s="17"/>
      <c r="K222" s="17" t="n">
        <v>1899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1850</v>
      </c>
      <c r="N222" s="17" t="str">
        <f aca="false">IF($I222="","",$I222+$L222)</f>
        <v/>
      </c>
      <c r="O222" s="17" t="n">
        <f aca="false">IF($K222="","",$K222+$L222)</f>
        <v>1899</v>
      </c>
      <c r="P222" s="17" t="str">
        <f aca="false">IF($B$10=0,"",IFERROR(IF($B$4&gt;0,IF($M222="",1/0,$M222*$B$4),0)+IF($B$5&gt;0,IF($N222="",1/0,$N222*$B$5),0)+IF($B$6&gt;0,IF($O222="",1/0,$O222*$B$6),0),""))</f>
        <v/>
      </c>
      <c r="Q222" s="17"/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222" s="2"/>
      <c r="XFC222" s="6"/>
    </row>
    <row r="223" s="5" customFormat="true" ht="28.5" hidden="false" customHeight="true" outlineLevel="0" collapsed="false">
      <c r="A223" s="16" t="str">
        <f aca="false">IF($T223="","",1+COUNTIF($W$15:$W$728,"&lt;"&amp;W223))</f>
        <v/>
      </c>
      <c r="B223" s="16" t="s">
        <v>12</v>
      </c>
      <c r="C223" s="16" t="s">
        <v>676</v>
      </c>
      <c r="D223" s="20" t="s">
        <v>141</v>
      </c>
      <c r="E223" s="16" t="s">
        <v>44</v>
      </c>
      <c r="F223" s="16" t="s">
        <v>677</v>
      </c>
      <c r="G223" s="16" t="s">
        <v>678</v>
      </c>
      <c r="H223" s="17" t="n">
        <v>1975</v>
      </c>
      <c r="I223" s="17"/>
      <c r="J223" s="17"/>
      <c r="K223" s="17" t="n">
        <v>2055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1975</v>
      </c>
      <c r="N223" s="17" t="str">
        <f aca="false">IF($I223="","",$I223+$L223)</f>
        <v/>
      </c>
      <c r="O223" s="17" t="n">
        <f aca="false">IF($K223="","",$K223+$L223)</f>
        <v>2055</v>
      </c>
      <c r="P223" s="17" t="str">
        <f aca="false">IF($B$10=0,"",IFERROR(IF($B$4&gt;0,IF($M223="",1/0,$M223*$B$4),0)+IF($B$5&gt;0,IF($N223="",1/0,$N223*$B$5),0)+IF($B$6&gt;0,IF($O223="",1/0,$O223*$B$6),0),""))</f>
        <v/>
      </c>
      <c r="Q223" s="17"/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223" s="2"/>
      <c r="XFC223" s="6"/>
    </row>
    <row r="224" s="5" customFormat="true" ht="28.5" hidden="false" customHeight="true" outlineLevel="0" collapsed="false">
      <c r="A224" s="16" t="str">
        <f aca="false">IF($T224="","",1+COUNTIF($W$15:$W$728,"&lt;"&amp;W224))</f>
        <v/>
      </c>
      <c r="B224" s="16" t="s">
        <v>6</v>
      </c>
      <c r="C224" s="16" t="s">
        <v>679</v>
      </c>
      <c r="D224" s="16" t="s">
        <v>43</v>
      </c>
      <c r="E224" s="16" t="s">
        <v>44</v>
      </c>
      <c r="F224" s="16" t="s">
        <v>680</v>
      </c>
      <c r="G224" s="16" t="s">
        <v>681</v>
      </c>
      <c r="H224" s="17" t="n">
        <v>1879</v>
      </c>
      <c r="I224" s="17"/>
      <c r="J224" s="17"/>
      <c r="K224" s="17" t="n">
        <v>1899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1879</v>
      </c>
      <c r="N224" s="17" t="str">
        <f aca="false">IF($I224="","",$I224+$L224)</f>
        <v/>
      </c>
      <c r="O224" s="17" t="n">
        <f aca="false">IF($K224="","",$K224+$L224)</f>
        <v>1899</v>
      </c>
      <c r="P224" s="17" t="str">
        <f aca="false">IF($B$10=0,"",IFERROR(IF($B$4&gt;0,IF($M224="",1/0,$M224*$B$4),0)+IF($B$5&gt;0,IF($N224="",1/0,$N224*$B$5),0)+IF($B$6&gt;0,IF($O224="",1/0,$O224*$B$6),0),""))</f>
        <v/>
      </c>
      <c r="Q224" s="17" t="s">
        <v>44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224" s="2"/>
      <c r="XFC224" s="6"/>
    </row>
    <row r="225" s="5" customFormat="true" ht="28.5" hidden="false" customHeight="true" outlineLevel="0" collapsed="false">
      <c r="A225" s="16" t="str">
        <f aca="false">IF($T225="","",1+COUNTIF($W$15:$W$728,"&lt;"&amp;W225))</f>
        <v/>
      </c>
      <c r="B225" s="16" t="s">
        <v>6</v>
      </c>
      <c r="C225" s="16" t="s">
        <v>682</v>
      </c>
      <c r="D225" s="20" t="s">
        <v>131</v>
      </c>
      <c r="E225" s="16" t="s">
        <v>44</v>
      </c>
      <c r="F225" s="16" t="s">
        <v>683</v>
      </c>
      <c r="G225" s="16" t="s">
        <v>684</v>
      </c>
      <c r="H225" s="17" t="n">
        <v>1895</v>
      </c>
      <c r="I225" s="17"/>
      <c r="J225" s="17"/>
      <c r="K225" s="17" t="n">
        <v>1935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1895</v>
      </c>
      <c r="N225" s="17" t="str">
        <f aca="false">IF($I225="","",$I225+$L225)</f>
        <v/>
      </c>
      <c r="O225" s="17" t="n">
        <f aca="false">IF($K225="","",$K225+$L225)</f>
        <v>1935</v>
      </c>
      <c r="P225" s="17" t="str">
        <f aca="false">IF($B$10=0,"",IFERROR(IF($B$4&gt;0,IF($M225="",1/0,$M225*$B$4),0)+IF($B$5&gt;0,IF($N225="",1/0,$N225*$B$5),0)+IF($B$6&gt;0,IF($O225="",1/0,$O225*$B$6),0),""))</f>
        <v/>
      </c>
      <c r="Q225" s="17" t="s">
        <v>44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225" s="2"/>
      <c r="XFC225" s="6"/>
    </row>
    <row r="226" s="5" customFormat="true" ht="28.5" hidden="false" customHeight="true" outlineLevel="0" collapsed="false">
      <c r="A226" s="16" t="str">
        <f aca="false">IF($T226="","",1+COUNTIF($W$15:$W$728,"&lt;"&amp;W226))</f>
        <v/>
      </c>
      <c r="B226" s="16" t="s">
        <v>6</v>
      </c>
      <c r="C226" s="16" t="s">
        <v>685</v>
      </c>
      <c r="D226" s="16" t="s">
        <v>281</v>
      </c>
      <c r="E226" s="16" t="s">
        <v>44</v>
      </c>
      <c r="F226" s="16" t="s">
        <v>686</v>
      </c>
      <c r="G226" s="16" t="s">
        <v>687</v>
      </c>
      <c r="H226" s="17" t="n">
        <v>1826</v>
      </c>
      <c r="I226" s="17"/>
      <c r="J226" s="17"/>
      <c r="K226" s="17" t="n">
        <v>1869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1826</v>
      </c>
      <c r="N226" s="17" t="str">
        <f aca="false">IF($I226="","",$I226+$L226)</f>
        <v/>
      </c>
      <c r="O226" s="17" t="n">
        <f aca="false">IF($K226="","",$K226+$L226)</f>
        <v>1869</v>
      </c>
      <c r="P226" s="17" t="str">
        <f aca="false">IF($B$10=0,"",IFERROR(IF($B$4&gt;0,IF($M226="",1/0,$M226*$B$4),0)+IF($B$5&gt;0,IF($N226="",1/0,$N226*$B$5),0)+IF($B$6&gt;0,IF($O226="",1/0,$O226*$B$6),0),""))</f>
        <v/>
      </c>
      <c r="Q226" s="17" t="s">
        <v>44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226" s="2"/>
      <c r="XFC226" s="6"/>
    </row>
    <row r="227" s="5" customFormat="true" ht="28.5" hidden="false" customHeight="true" outlineLevel="0" collapsed="false">
      <c r="A227" s="16" t="str">
        <f aca="false">IF($T227="","",1+COUNTIF($W$15:$W$728,"&lt;"&amp;W227))</f>
        <v/>
      </c>
      <c r="B227" s="16" t="s">
        <v>12</v>
      </c>
      <c r="C227" s="16" t="s">
        <v>688</v>
      </c>
      <c r="D227" s="20" t="s">
        <v>141</v>
      </c>
      <c r="E227" s="16" t="s">
        <v>44</v>
      </c>
      <c r="F227" s="16" t="s">
        <v>689</v>
      </c>
      <c r="G227" s="16" t="s">
        <v>690</v>
      </c>
      <c r="H227" s="17" t="n">
        <v>1949</v>
      </c>
      <c r="I227" s="17"/>
      <c r="J227" s="17"/>
      <c r="K227" s="17" t="n">
        <v>1999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1949</v>
      </c>
      <c r="N227" s="17" t="str">
        <f aca="false">IF($I227="","",$I227+$L227)</f>
        <v/>
      </c>
      <c r="O227" s="17" t="n">
        <f aca="false">IF($K227="","",$K227+$L227)</f>
        <v>1999</v>
      </c>
      <c r="P227" s="17" t="str">
        <f aca="false">IF($B$10=0,"",IFERROR(IF($B$4&gt;0,IF($M227="",1/0,$M227*$B$4),0)+IF($B$5&gt;0,IF($N227="",1/0,$N227*$B$5),0)+IF($B$6&gt;0,IF($O227="",1/0,$O227*$B$6),0),""))</f>
        <v/>
      </c>
      <c r="Q227" s="17" t="s">
        <v>44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227" s="2"/>
      <c r="XFC227" s="6"/>
    </row>
    <row r="228" s="5" customFormat="true" ht="28.5" hidden="false" customHeight="true" outlineLevel="0" collapsed="false">
      <c r="A228" s="16" t="str">
        <f aca="false">IF($T228="","",1+COUNTIF($W$15:$W$728,"&lt;"&amp;W228))</f>
        <v/>
      </c>
      <c r="B228" s="16" t="s">
        <v>6</v>
      </c>
      <c r="C228" s="16" t="s">
        <v>691</v>
      </c>
      <c r="D228" s="16" t="s">
        <v>48</v>
      </c>
      <c r="E228" s="16" t="s">
        <v>44</v>
      </c>
      <c r="F228" s="16" t="s">
        <v>692</v>
      </c>
      <c r="G228" s="16" t="s">
        <v>693</v>
      </c>
      <c r="H228" s="17" t="n">
        <v>1934</v>
      </c>
      <c r="I228" s="17"/>
      <c r="J228" s="17"/>
      <c r="K228" s="17" t="n">
        <v>1934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1934</v>
      </c>
      <c r="N228" s="17" t="str">
        <f aca="false">IF($I228="","",$I228+$L228)</f>
        <v/>
      </c>
      <c r="O228" s="17" t="n">
        <f aca="false">IF($K228="","",$K228+$L228)</f>
        <v>1934</v>
      </c>
      <c r="P228" s="17" t="str">
        <f aca="false">IF($B$10=0,"",IFERROR(IF($B$4&gt;0,IF($M228="",1/0,$M228*$B$4),0)+IF($B$5&gt;0,IF($N228="",1/0,$N228*$B$5),0)+IF($B$6&gt;0,IF($O228="",1/0,$O228*$B$6),0),""))</f>
        <v/>
      </c>
      <c r="Q228" s="17" t="s">
        <v>44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228" s="2"/>
      <c r="XFC228" s="6"/>
    </row>
    <row r="229" s="5" customFormat="true" ht="28.5" hidden="false" customHeight="true" outlineLevel="0" collapsed="false">
      <c r="A229" s="16" t="str">
        <f aca="false">IF($T229="","",1+COUNTIF($W$15:$W$728,"&lt;"&amp;W229))</f>
        <v/>
      </c>
      <c r="B229" s="16" t="s">
        <v>6</v>
      </c>
      <c r="C229" s="16" t="s">
        <v>694</v>
      </c>
      <c r="D229" s="16" t="s">
        <v>43</v>
      </c>
      <c r="E229" s="16" t="s">
        <v>44</v>
      </c>
      <c r="F229" s="16" t="s">
        <v>695</v>
      </c>
      <c r="G229" s="16" t="s">
        <v>696</v>
      </c>
      <c r="H229" s="17" t="n">
        <v>1894</v>
      </c>
      <c r="I229" s="17"/>
      <c r="J229" s="17"/>
      <c r="K229" s="17" t="n">
        <v>1994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1894</v>
      </c>
      <c r="N229" s="17" t="str">
        <f aca="false">IF($I229="","",$I229+$L229)</f>
        <v/>
      </c>
      <c r="O229" s="17" t="n">
        <f aca="false">IF($K229="","",$K229+$L229)</f>
        <v>1994</v>
      </c>
      <c r="P229" s="17" t="str">
        <f aca="false">IF($B$10=0,"",IFERROR(IF($B$4&gt;0,IF($M229="",1/0,$M229*$B$4),0)+IF($B$5&gt;0,IF($N229="",1/0,$N229*$B$5),0)+IF($B$6&gt;0,IF($O229="",1/0,$O229*$B$6),0),""))</f>
        <v/>
      </c>
      <c r="Q229" s="17" t="s">
        <v>44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229" s="2"/>
      <c r="XFC229" s="6"/>
    </row>
    <row r="230" s="5" customFormat="true" ht="28.5" hidden="false" customHeight="true" outlineLevel="0" collapsed="false">
      <c r="A230" s="16" t="str">
        <f aca="false">IF($T230="","",1+COUNTIF($W$15:$W$728,"&lt;"&amp;W230))</f>
        <v/>
      </c>
      <c r="B230" s="16" t="s">
        <v>6</v>
      </c>
      <c r="C230" s="16" t="s">
        <v>697</v>
      </c>
      <c r="D230" s="20" t="s">
        <v>131</v>
      </c>
      <c r="E230" s="16" t="s">
        <v>44</v>
      </c>
      <c r="F230" s="16" t="s">
        <v>698</v>
      </c>
      <c r="G230" s="16" t="s">
        <v>699</v>
      </c>
      <c r="H230" s="17" t="n">
        <v>1858</v>
      </c>
      <c r="I230" s="17"/>
      <c r="J230" s="17"/>
      <c r="K230" s="17" t="n">
        <v>1878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1858</v>
      </c>
      <c r="N230" s="17" t="str">
        <f aca="false">IF($I230="","",$I230+$L230)</f>
        <v/>
      </c>
      <c r="O230" s="17" t="n">
        <f aca="false">IF($K230="","",$K230+$L230)</f>
        <v>1878</v>
      </c>
      <c r="P230" s="17" t="str">
        <f aca="false">IF($B$10=0,"",IFERROR(IF($B$4&gt;0,IF($M230="",1/0,$M230*$B$4),0)+IF($B$5&gt;0,IF($N230="",1/0,$N230*$B$5),0)+IF($B$6&gt;0,IF($O230="",1/0,$O230*$B$6),0),""))</f>
        <v/>
      </c>
      <c r="Q230" s="17" t="s">
        <v>44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230" s="2"/>
      <c r="XFC230" s="6"/>
    </row>
    <row r="231" s="5" customFormat="true" ht="28.5" hidden="false" customHeight="true" outlineLevel="0" collapsed="false">
      <c r="A231" s="16" t="str">
        <f aca="false">IF($T231="","",1+COUNTIF($W$15:$W$728,"&lt;"&amp;W231))</f>
        <v/>
      </c>
      <c r="B231" s="16" t="s">
        <v>10</v>
      </c>
      <c r="C231" s="16" t="s">
        <v>700</v>
      </c>
      <c r="D231" s="20" t="s">
        <v>131</v>
      </c>
      <c r="E231" s="16" t="s">
        <v>44</v>
      </c>
      <c r="F231" s="16" t="s">
        <v>701</v>
      </c>
      <c r="G231" s="16" t="s">
        <v>702</v>
      </c>
      <c r="H231" s="17" t="n">
        <v>1795</v>
      </c>
      <c r="I231" s="17"/>
      <c r="J231" s="17"/>
      <c r="K231" s="17" t="n">
        <v>1795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1795</v>
      </c>
      <c r="N231" s="17" t="str">
        <f aca="false">IF($I231="","",$I231+$L231)</f>
        <v/>
      </c>
      <c r="O231" s="17" t="n">
        <f aca="false">IF($K231="","",$K231+$L231)</f>
        <v>1795</v>
      </c>
      <c r="P231" s="17" t="str">
        <f aca="false">IF($B$10=0,"",IFERROR(IF($B$4&gt;0,IF($M231="",1/0,$M231*$B$4),0)+IF($B$5&gt;0,IF($N231="",1/0,$N231*$B$5),0)+IF($B$6&gt;0,IF($O231="",1/0,$O231*$B$6),0),""))</f>
        <v/>
      </c>
      <c r="Q231" s="17" t="s">
        <v>44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231" s="2"/>
      <c r="XFC231" s="6"/>
    </row>
    <row r="232" s="5" customFormat="true" ht="28.5" hidden="false" customHeight="true" outlineLevel="0" collapsed="false">
      <c r="A232" s="16" t="str">
        <f aca="false">IF($T232="","",1+COUNTIF($W$15:$W$728,"&lt;"&amp;W232))</f>
        <v/>
      </c>
      <c r="B232" s="16" t="s">
        <v>10</v>
      </c>
      <c r="C232" s="16" t="s">
        <v>703</v>
      </c>
      <c r="D232" s="16" t="s">
        <v>43</v>
      </c>
      <c r="E232" s="16" t="s">
        <v>44</v>
      </c>
      <c r="F232" s="16" t="s">
        <v>704</v>
      </c>
      <c r="G232" s="16" t="s">
        <v>705</v>
      </c>
      <c r="H232" s="17" t="n">
        <v>1849</v>
      </c>
      <c r="I232" s="17"/>
      <c r="J232" s="17"/>
      <c r="K232" s="17" t="n">
        <v>1899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1849</v>
      </c>
      <c r="N232" s="17" t="str">
        <f aca="false">IF($I232="","",$I232+$L232)</f>
        <v/>
      </c>
      <c r="O232" s="17" t="n">
        <f aca="false">IF($K232="","",$K232+$L232)</f>
        <v>1899</v>
      </c>
      <c r="P232" s="17" t="str">
        <f aca="false">IF($B$10=0,"",IFERROR(IF($B$4&gt;0,IF($M232="",1/0,$M232*$B$4),0)+IF($B$5&gt;0,IF($N232="",1/0,$N232*$B$5),0)+IF($B$6&gt;0,IF($O232="",1/0,$O232*$B$6),0),""))</f>
        <v/>
      </c>
      <c r="Q232" s="17"/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232" s="2"/>
      <c r="XFC232" s="6"/>
    </row>
    <row r="233" s="5" customFormat="true" ht="28.5" hidden="false" customHeight="true" outlineLevel="0" collapsed="false">
      <c r="A233" s="16" t="str">
        <f aca="false">IF($T233="","",1+COUNTIF($W$15:$W$728,"&lt;"&amp;W233))</f>
        <v/>
      </c>
      <c r="B233" s="16" t="s">
        <v>14</v>
      </c>
      <c r="C233" s="16" t="s">
        <v>706</v>
      </c>
      <c r="D233" s="16" t="s">
        <v>43</v>
      </c>
      <c r="E233" s="16" t="s">
        <v>44</v>
      </c>
      <c r="F233" s="16" t="s">
        <v>707</v>
      </c>
      <c r="G233" s="16" t="s">
        <v>708</v>
      </c>
      <c r="H233" s="17" t="n">
        <v>1899</v>
      </c>
      <c r="I233" s="17"/>
      <c r="J233" s="17"/>
      <c r="K233" s="17" t="n">
        <v>1999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1899</v>
      </c>
      <c r="N233" s="17" t="str">
        <f aca="false">IF($I233="","",$I233+$L233)</f>
        <v/>
      </c>
      <c r="O233" s="17" t="n">
        <f aca="false">IF($K233="","",$K233+$L233)</f>
        <v>1999</v>
      </c>
      <c r="P233" s="17" t="str">
        <f aca="false">IF($B$10=0,"",IFERROR(IF($B$4&gt;0,IF($M233="",1/0,$M233*$B$4),0)+IF($B$5&gt;0,IF($N233="",1/0,$N233*$B$5),0)+IF($B$6&gt;0,IF($O233="",1/0,$O233*$B$6),0),""))</f>
        <v/>
      </c>
      <c r="Q233" s="17"/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233" s="2"/>
      <c r="XFC233" s="6"/>
    </row>
    <row r="234" s="5" customFormat="true" ht="28.5" hidden="false" customHeight="true" outlineLevel="0" collapsed="false">
      <c r="A234" s="16" t="str">
        <f aca="false">IF($T234="","",1+COUNTIF($W$15:$W$728,"&lt;"&amp;W234))</f>
        <v/>
      </c>
      <c r="B234" s="16" t="s">
        <v>6</v>
      </c>
      <c r="C234" s="16" t="s">
        <v>709</v>
      </c>
      <c r="D234" s="20" t="s">
        <v>131</v>
      </c>
      <c r="E234" s="16" t="s">
        <v>44</v>
      </c>
      <c r="F234" s="16" t="s">
        <v>710</v>
      </c>
      <c r="G234" s="16" t="s">
        <v>711</v>
      </c>
      <c r="H234" s="17" t="n">
        <v>1874</v>
      </c>
      <c r="I234" s="17"/>
      <c r="J234" s="17"/>
      <c r="K234" s="17" t="n">
        <v>1899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1874</v>
      </c>
      <c r="N234" s="17" t="str">
        <f aca="false">IF($I234="","",$I234+$L234)</f>
        <v/>
      </c>
      <c r="O234" s="17" t="n">
        <f aca="false">IF($K234="","",$K234+$L234)</f>
        <v>1899</v>
      </c>
      <c r="P234" s="17" t="str">
        <f aca="false">IF($B$10=0,"",IFERROR(IF($B$4&gt;0,IF($M234="",1/0,$M234*$B$4),0)+IF($B$5&gt;0,IF($N234="",1/0,$N234*$B$5),0)+IF($B$6&gt;0,IF($O234="",1/0,$O234*$B$6),0),""))</f>
        <v/>
      </c>
      <c r="Q234" s="17" t="s">
        <v>44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234" s="2"/>
      <c r="XFC234" s="6"/>
    </row>
    <row r="235" s="5" customFormat="true" ht="28.5" hidden="false" customHeight="true" outlineLevel="0" collapsed="false">
      <c r="A235" s="16" t="str">
        <f aca="false">IF($T235="","",1+COUNTIF($W$15:$W$728,"&lt;"&amp;W235))</f>
        <v/>
      </c>
      <c r="B235" s="16" t="s">
        <v>12</v>
      </c>
      <c r="C235" s="16" t="s">
        <v>712</v>
      </c>
      <c r="D235" s="20" t="s">
        <v>131</v>
      </c>
      <c r="E235" s="16" t="s">
        <v>44</v>
      </c>
      <c r="F235" s="16" t="s">
        <v>713</v>
      </c>
      <c r="G235" s="16" t="s">
        <v>714</v>
      </c>
      <c r="H235" s="17" t="n">
        <v>1919</v>
      </c>
      <c r="I235" s="17"/>
      <c r="J235" s="17"/>
      <c r="K235" s="17" t="n">
        <v>1959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1919</v>
      </c>
      <c r="N235" s="17" t="str">
        <f aca="false">IF($I235="","",$I235+$L235)</f>
        <v/>
      </c>
      <c r="O235" s="17" t="n">
        <f aca="false">IF($K235="","",$K235+$L235)</f>
        <v>1959</v>
      </c>
      <c r="P235" s="17" t="str">
        <f aca="false">IF($B$10=0,"",IFERROR(IF($B$4&gt;0,IF($M235="",1/0,$M235*$B$4),0)+IF($B$5&gt;0,IF($N235="",1/0,$N235*$B$5),0)+IF($B$6&gt;0,IF($O235="",1/0,$O235*$B$6),0),""))</f>
        <v/>
      </c>
      <c r="Q235" s="17" t="s">
        <v>44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235" s="2"/>
      <c r="XFC235" s="6"/>
    </row>
    <row r="236" s="5" customFormat="true" ht="28.5" hidden="false" customHeight="true" outlineLevel="0" collapsed="false">
      <c r="A236" s="16" t="str">
        <f aca="false">IF($T236="","",1+COUNTIF($W$15:$W$728,"&lt;"&amp;W236))</f>
        <v/>
      </c>
      <c r="B236" s="16" t="s">
        <v>10</v>
      </c>
      <c r="C236" s="16" t="s">
        <v>715</v>
      </c>
      <c r="D236" s="16" t="s">
        <v>281</v>
      </c>
      <c r="E236" s="16" t="s">
        <v>44</v>
      </c>
      <c r="F236" s="16" t="s">
        <v>716</v>
      </c>
      <c r="G236" s="16" t="s">
        <v>717</v>
      </c>
      <c r="H236" s="17" t="n">
        <v>1799</v>
      </c>
      <c r="I236" s="17"/>
      <c r="J236" s="17"/>
      <c r="K236" s="17" t="n">
        <v>1789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1799</v>
      </c>
      <c r="N236" s="17" t="str">
        <f aca="false">IF($I236="","",$I236+$L236)</f>
        <v/>
      </c>
      <c r="O236" s="17" t="n">
        <f aca="false">IF($K236="","",$K236+$L236)</f>
        <v>1789</v>
      </c>
      <c r="P236" s="17" t="str">
        <f aca="false">IF($B$10=0,"",IFERROR(IF($B$4&gt;0,IF($M236="",1/0,$M236*$B$4),0)+IF($B$5&gt;0,IF($N236="",1/0,$N236*$B$5),0)+IF($B$6&gt;0,IF($O236="",1/0,$O236*$B$6),0),""))</f>
        <v/>
      </c>
      <c r="Q236" s="17"/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236" s="2"/>
      <c r="XFC236" s="6"/>
    </row>
    <row r="237" s="5" customFormat="true" ht="28.5" hidden="false" customHeight="true" outlineLevel="0" collapsed="false">
      <c r="A237" s="16" t="str">
        <f aca="false">IF($T237="","",1+COUNTIF($W$15:$W$728,"&lt;"&amp;W237))</f>
        <v/>
      </c>
      <c r="B237" s="16" t="s">
        <v>12</v>
      </c>
      <c r="C237" s="16" t="s">
        <v>718</v>
      </c>
      <c r="D237" s="20" t="s">
        <v>208</v>
      </c>
      <c r="E237" s="16" t="s">
        <v>44</v>
      </c>
      <c r="F237" s="16" t="s">
        <v>719</v>
      </c>
      <c r="G237" s="16" t="s">
        <v>720</v>
      </c>
      <c r="H237" s="17" t="n">
        <v>1929</v>
      </c>
      <c r="I237" s="17"/>
      <c r="J237" s="17"/>
      <c r="K237" s="17" t="n">
        <v>1969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1929</v>
      </c>
      <c r="N237" s="17" t="str">
        <f aca="false">IF($I237="","",$I237+$L237)</f>
        <v/>
      </c>
      <c r="O237" s="17" t="n">
        <f aca="false">IF($K237="","",$K237+$L237)</f>
        <v>1969</v>
      </c>
      <c r="P237" s="17" t="str">
        <f aca="false">IF($B$10=0,"",IFERROR(IF($B$4&gt;0,IF($M237="",1/0,$M237*$B$4),0)+IF($B$5&gt;0,IF($N237="",1/0,$N237*$B$5),0)+IF($B$6&gt;0,IF($O237="",1/0,$O237*$B$6),0),""))</f>
        <v/>
      </c>
      <c r="Q237" s="17" t="s">
        <v>44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237" s="2"/>
      <c r="XFC237" s="6"/>
    </row>
    <row r="238" s="5" customFormat="true" ht="28.5" hidden="false" customHeight="true" outlineLevel="0" collapsed="false">
      <c r="A238" s="16" t="str">
        <f aca="false">IF($T238="","",1+COUNTIF($W$15:$W$728,"&lt;"&amp;W238))</f>
        <v/>
      </c>
      <c r="B238" s="16" t="s">
        <v>12</v>
      </c>
      <c r="C238" s="16" t="s">
        <v>721</v>
      </c>
      <c r="D238" s="20" t="s">
        <v>141</v>
      </c>
      <c r="E238" s="16" t="s">
        <v>44</v>
      </c>
      <c r="F238" s="16" t="s">
        <v>722</v>
      </c>
      <c r="G238" s="16" t="s">
        <v>723</v>
      </c>
      <c r="H238" s="17" t="n">
        <v>1998</v>
      </c>
      <c r="I238" s="17"/>
      <c r="J238" s="17"/>
      <c r="K238" s="17" t="n">
        <v>2058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1998</v>
      </c>
      <c r="N238" s="17" t="str">
        <f aca="false">IF($I238="","",$I238+$L238)</f>
        <v/>
      </c>
      <c r="O238" s="17" t="n">
        <f aca="false">IF($K238="","",$K238+$L238)</f>
        <v>2058</v>
      </c>
      <c r="P238" s="17" t="str">
        <f aca="false">IF($B$10=0,"",IFERROR(IF($B$4&gt;0,IF($M238="",1/0,$M238*$B$4),0)+IF($B$5&gt;0,IF($N238="",1/0,$N238*$B$5),0)+IF($B$6&gt;0,IF($O238="",1/0,$O238*$B$6),0),""))</f>
        <v/>
      </c>
      <c r="Q238" s="17" t="s">
        <v>44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238" s="2"/>
      <c r="XFC238" s="6"/>
    </row>
    <row r="239" s="5" customFormat="true" ht="28.5" hidden="false" customHeight="true" outlineLevel="0" collapsed="false">
      <c r="A239" s="16" t="str">
        <f aca="false">IF($T239="","",1+COUNTIF($W$15:$W$728,"&lt;"&amp;W239))</f>
        <v/>
      </c>
      <c r="B239" s="16" t="s">
        <v>12</v>
      </c>
      <c r="C239" s="16" t="s">
        <v>724</v>
      </c>
      <c r="D239" s="20" t="s">
        <v>574</v>
      </c>
      <c r="E239" s="16" t="s">
        <v>44</v>
      </c>
      <c r="F239" s="16" t="s">
        <v>725</v>
      </c>
      <c r="G239" s="16" t="s">
        <v>726</v>
      </c>
      <c r="H239" s="17" t="n">
        <v>1799</v>
      </c>
      <c r="I239" s="17"/>
      <c r="J239" s="17"/>
      <c r="K239" s="17" t="n">
        <v>1795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1799</v>
      </c>
      <c r="N239" s="17" t="str">
        <f aca="false">IF($I239="","",$I239+$L239)</f>
        <v/>
      </c>
      <c r="O239" s="17" t="n">
        <f aca="false">IF($K239="","",$K239+$L239)</f>
        <v>1795</v>
      </c>
      <c r="P239" s="17" t="str">
        <f aca="false">IF($B$10=0,"",IFERROR(IF($B$4&gt;0,IF($M239="",1/0,$M239*$B$4),0)+IF($B$5&gt;0,IF($N239="",1/0,$N239*$B$5),0)+IF($B$6&gt;0,IF($O239="",1/0,$O239*$B$6),0),""))</f>
        <v/>
      </c>
      <c r="Q239" s="17"/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239" s="2"/>
      <c r="XFC239" s="6"/>
    </row>
    <row r="240" s="5" customFormat="true" ht="28.5" hidden="false" customHeight="true" outlineLevel="0" collapsed="false">
      <c r="A240" s="16" t="str">
        <f aca="false">IF($T240="","",1+COUNTIF($W$15:$W$728,"&lt;"&amp;W240))</f>
        <v/>
      </c>
      <c r="B240" s="16" t="s">
        <v>12</v>
      </c>
      <c r="C240" s="16" t="s">
        <v>727</v>
      </c>
      <c r="D240" s="20" t="s">
        <v>208</v>
      </c>
      <c r="E240" s="16" t="s">
        <v>44</v>
      </c>
      <c r="F240" s="16" t="s">
        <v>728</v>
      </c>
      <c r="G240" s="16" t="s">
        <v>729</v>
      </c>
      <c r="H240" s="17" t="n">
        <v>1929</v>
      </c>
      <c r="I240" s="17"/>
      <c r="J240" s="17"/>
      <c r="K240" s="17" t="n">
        <v>2159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1929</v>
      </c>
      <c r="N240" s="17" t="str">
        <f aca="false">IF($I240="","",$I240+$L240)</f>
        <v/>
      </c>
      <c r="O240" s="17" t="n">
        <f aca="false">IF($K240="","",$K240+$L240)</f>
        <v>2159</v>
      </c>
      <c r="P240" s="17" t="str">
        <f aca="false">IF($B$10=0,"",IFERROR(IF($B$4&gt;0,IF($M240="",1/0,$M240*$B$4),0)+IF($B$5&gt;0,IF($N240="",1/0,$N240*$B$5),0)+IF($B$6&gt;0,IF($O240="",1/0,$O240*$B$6),0),""))</f>
        <v/>
      </c>
      <c r="Q240" s="17"/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240" s="2"/>
      <c r="XFC240" s="6"/>
    </row>
    <row r="241" s="5" customFormat="true" ht="28.5" hidden="false" customHeight="true" outlineLevel="0" collapsed="false">
      <c r="A241" s="16" t="str">
        <f aca="false">IF($T241="","",1+COUNTIF($W$15:$W$728,"&lt;"&amp;W241))</f>
        <v/>
      </c>
      <c r="B241" s="16" t="s">
        <v>10</v>
      </c>
      <c r="C241" s="16" t="s">
        <v>730</v>
      </c>
      <c r="D241" s="16" t="s">
        <v>43</v>
      </c>
      <c r="E241" s="16" t="s">
        <v>44</v>
      </c>
      <c r="F241" s="16" t="s">
        <v>731</v>
      </c>
      <c r="G241" s="16" t="s">
        <v>732</v>
      </c>
      <c r="H241" s="17" t="n">
        <v>1859</v>
      </c>
      <c r="I241" s="17"/>
      <c r="J241" s="17"/>
      <c r="K241" s="17" t="n">
        <v>1929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1859</v>
      </c>
      <c r="N241" s="17" t="str">
        <f aca="false">IF($I241="","",$I241+$L241)</f>
        <v/>
      </c>
      <c r="O241" s="17" t="n">
        <f aca="false">IF($K241="","",$K241+$L241)</f>
        <v>1929</v>
      </c>
      <c r="P241" s="17" t="str">
        <f aca="false">IF($B$10=0,"",IFERROR(IF($B$4&gt;0,IF($M241="",1/0,$M241*$B$4),0)+IF($B$5&gt;0,IF($N241="",1/0,$N241*$B$5),0)+IF($B$6&gt;0,IF($O241="",1/0,$O241*$B$6),0),""))</f>
        <v/>
      </c>
      <c r="Q241" s="17"/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241" s="2"/>
      <c r="XFC241" s="6"/>
    </row>
    <row r="242" s="5" customFormat="true" ht="28.5" hidden="false" customHeight="true" outlineLevel="0" collapsed="false">
      <c r="A242" s="16" t="str">
        <f aca="false">IF($T242="","",1+COUNTIF($W$15:$W$728,"&lt;"&amp;W242))</f>
        <v/>
      </c>
      <c r="B242" s="16" t="s">
        <v>14</v>
      </c>
      <c r="C242" s="16" t="s">
        <v>733</v>
      </c>
      <c r="D242" s="16" t="s">
        <v>281</v>
      </c>
      <c r="E242" s="16" t="s">
        <v>44</v>
      </c>
      <c r="F242" s="16" t="s">
        <v>734</v>
      </c>
      <c r="G242" s="16" t="s">
        <v>735</v>
      </c>
      <c r="H242" s="17" t="n">
        <v>1769</v>
      </c>
      <c r="I242" s="17"/>
      <c r="J242" s="17"/>
      <c r="K242" s="17" t="n">
        <v>1829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1769</v>
      </c>
      <c r="N242" s="17" t="str">
        <f aca="false">IF($I242="","",$I242+$L242)</f>
        <v/>
      </c>
      <c r="O242" s="17" t="n">
        <f aca="false">IF($K242="","",$K242+$L242)</f>
        <v>1829</v>
      </c>
      <c r="P242" s="17" t="str">
        <f aca="false">IF($B$10=0,"",IFERROR(IF($B$4&gt;0,IF($M242="",1/0,$M242*$B$4),0)+IF($B$5&gt;0,IF($N242="",1/0,$N242*$B$5),0)+IF($B$6&gt;0,IF($O242="",1/0,$O242*$B$6),0),""))</f>
        <v/>
      </c>
      <c r="Q242" s="17"/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242" s="2"/>
      <c r="XFC242" s="6"/>
    </row>
    <row r="243" s="5" customFormat="true" ht="28.5" hidden="false" customHeight="true" outlineLevel="0" collapsed="false">
      <c r="A243" s="16" t="str">
        <f aca="false">IF($T243="","",1+COUNTIF($W$15:$W$728,"&lt;"&amp;W243))</f>
        <v/>
      </c>
      <c r="B243" s="16" t="s">
        <v>10</v>
      </c>
      <c r="C243" s="16" t="s">
        <v>736</v>
      </c>
      <c r="D243" s="16" t="s">
        <v>281</v>
      </c>
      <c r="E243" s="16" t="s">
        <v>44</v>
      </c>
      <c r="F243" s="16" t="s">
        <v>737</v>
      </c>
      <c r="G243" s="16" t="s">
        <v>738</v>
      </c>
      <c r="H243" s="17" t="n">
        <v>1789</v>
      </c>
      <c r="I243" s="17"/>
      <c r="J243" s="17"/>
      <c r="K243" s="17" t="n">
        <v>1749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1789</v>
      </c>
      <c r="N243" s="17" t="str">
        <f aca="false">IF($I243="","",$I243+$L243)</f>
        <v/>
      </c>
      <c r="O243" s="17" t="n">
        <f aca="false">IF($K243="","",$K243+$L243)</f>
        <v>1749</v>
      </c>
      <c r="P243" s="17" t="str">
        <f aca="false">IF($B$10=0,"",IFERROR(IF($B$4&gt;0,IF($M243="",1/0,$M243*$B$4),0)+IF($B$5&gt;0,IF($N243="",1/0,$N243*$B$5),0)+IF($B$6&gt;0,IF($O243="",1/0,$O243*$B$6),0),""))</f>
        <v/>
      </c>
      <c r="Q243" s="17"/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243" s="2"/>
      <c r="XFC243" s="6"/>
    </row>
    <row r="244" s="5" customFormat="true" ht="28.5" hidden="false" customHeight="true" outlineLevel="0" collapsed="false">
      <c r="A244" s="16" t="str">
        <f aca="false">IF($T244="","",1+COUNTIF($W$15:$W$728,"&lt;"&amp;W244))</f>
        <v/>
      </c>
      <c r="B244" s="16" t="s">
        <v>14</v>
      </c>
      <c r="C244" s="16" t="s">
        <v>739</v>
      </c>
      <c r="D244" s="16" t="s">
        <v>141</v>
      </c>
      <c r="E244" s="16" t="s">
        <v>44</v>
      </c>
      <c r="F244" s="16" t="s">
        <v>740</v>
      </c>
      <c r="G244" s="16" t="s">
        <v>741</v>
      </c>
      <c r="H244" s="17" t="n">
        <v>1789</v>
      </c>
      <c r="I244" s="17"/>
      <c r="J244" s="17"/>
      <c r="K244" s="17" t="n">
        <v>1819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1789</v>
      </c>
      <c r="N244" s="17" t="str">
        <f aca="false">IF($I244="","",$I244+$L244)</f>
        <v/>
      </c>
      <c r="O244" s="17" t="n">
        <f aca="false">IF($K244="","",$K244+$L244)</f>
        <v>1819</v>
      </c>
      <c r="P244" s="17" t="str">
        <f aca="false">IF($B$10=0,"",IFERROR(IF($B$4&gt;0,IF($M244="",1/0,$M244*$B$4),0)+IF($B$5&gt;0,IF($N244="",1/0,$N244*$B$5),0)+IF($B$6&gt;0,IF($O244="",1/0,$O244*$B$6),0),""))</f>
        <v/>
      </c>
      <c r="Q244" s="17"/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244" s="2"/>
      <c r="XFC244" s="6"/>
    </row>
    <row r="245" s="5" customFormat="true" ht="28.5" hidden="false" customHeight="true" outlineLevel="0" collapsed="false">
      <c r="A245" s="16" t="str">
        <f aca="false">IF($T245="","",1+COUNTIF($W$15:$W$728,"&lt;"&amp;W245))</f>
        <v/>
      </c>
      <c r="B245" s="16" t="s">
        <v>14</v>
      </c>
      <c r="C245" s="16" t="s">
        <v>742</v>
      </c>
      <c r="D245" s="16" t="s">
        <v>141</v>
      </c>
      <c r="E245" s="16" t="s">
        <v>44</v>
      </c>
      <c r="F245" s="16" t="s">
        <v>743</v>
      </c>
      <c r="G245" s="16" t="s">
        <v>744</v>
      </c>
      <c r="H245" s="17" t="n">
        <v>1789</v>
      </c>
      <c r="I245" s="17"/>
      <c r="J245" s="17"/>
      <c r="K245" s="17" t="n">
        <v>1819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1789</v>
      </c>
      <c r="N245" s="17" t="str">
        <f aca="false">IF($I245="","",$I245+$L245)</f>
        <v/>
      </c>
      <c r="O245" s="17" t="n">
        <f aca="false">IF($K245="","",$K245+$L245)</f>
        <v>1819</v>
      </c>
      <c r="P245" s="17" t="str">
        <f aca="false">IF($B$10=0,"",IFERROR(IF($B$4&gt;0,IF($M245="",1/0,$M245*$B$4),0)+IF($B$5&gt;0,IF($N245="",1/0,$N245*$B$5),0)+IF($B$6&gt;0,IF($O245="",1/0,$O245*$B$6),0),""))</f>
        <v/>
      </c>
      <c r="Q245" s="17"/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245" s="2"/>
      <c r="XFC245" s="6"/>
    </row>
    <row r="246" s="5" customFormat="true" ht="28.5" hidden="false" customHeight="true" outlineLevel="0" collapsed="false">
      <c r="A246" s="16" t="str">
        <f aca="false">IF($T246="","",1+COUNTIF($W$15:$W$728,"&lt;"&amp;W246))</f>
        <v/>
      </c>
      <c r="B246" s="16" t="s">
        <v>6</v>
      </c>
      <c r="C246" s="16" t="s">
        <v>745</v>
      </c>
      <c r="D246" s="20" t="s">
        <v>131</v>
      </c>
      <c r="E246" s="16" t="s">
        <v>44</v>
      </c>
      <c r="F246" s="16" t="s">
        <v>746</v>
      </c>
      <c r="G246" s="16" t="s">
        <v>747</v>
      </c>
      <c r="H246" s="17" t="n">
        <v>1949</v>
      </c>
      <c r="I246" s="17"/>
      <c r="J246" s="17"/>
      <c r="K246" s="17" t="n">
        <v>1948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1949</v>
      </c>
      <c r="N246" s="17" t="str">
        <f aca="false">IF($I246="","",$I246+$L246)</f>
        <v/>
      </c>
      <c r="O246" s="17" t="n">
        <f aca="false">IF($K246="","",$K246+$L246)</f>
        <v>1948</v>
      </c>
      <c r="P246" s="17" t="str">
        <f aca="false">IF($B$10=0,"",IFERROR(IF($B$4&gt;0,IF($M246="",1/0,$M246*$B$4),0)+IF($B$5&gt;0,IF($N246="",1/0,$N246*$B$5),0)+IF($B$6&gt;0,IF($O246="",1/0,$O246*$B$6),0),""))</f>
        <v/>
      </c>
      <c r="Q246" s="17" t="s">
        <v>44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246" s="2"/>
      <c r="XFC246" s="6"/>
    </row>
    <row r="247" s="5" customFormat="true" ht="28.5" hidden="false" customHeight="true" outlineLevel="0" collapsed="false">
      <c r="A247" s="16" t="str">
        <f aca="false">IF($T247="","",1+COUNTIF($W$15:$W$728,"&lt;"&amp;W247))</f>
        <v/>
      </c>
      <c r="B247" s="16" t="s">
        <v>10</v>
      </c>
      <c r="C247" s="16" t="s">
        <v>748</v>
      </c>
      <c r="D247" s="16" t="s">
        <v>48</v>
      </c>
      <c r="E247" s="16" t="s">
        <v>58</v>
      </c>
      <c r="F247" s="16" t="s">
        <v>749</v>
      </c>
      <c r="G247" s="16" t="s">
        <v>750</v>
      </c>
      <c r="H247" s="17" t="n">
        <v>1759</v>
      </c>
      <c r="I247" s="17"/>
      <c r="J247" s="17"/>
      <c r="K247" s="17" t="n">
        <v>1735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1759</v>
      </c>
      <c r="N247" s="17" t="str">
        <f aca="false">IF($I247="","",$I247+$L247)</f>
        <v/>
      </c>
      <c r="O247" s="17" t="n">
        <f aca="false">IF($K247="","",$K247+$L247)</f>
        <v>1735</v>
      </c>
      <c r="P247" s="17" t="str">
        <f aca="false">IF($B$10=0,"",IFERROR(IF($B$4&gt;0,IF($M247="",1/0,$M247*$B$4),0)+IF($B$5&gt;0,IF($N247="",1/0,$N247*$B$5),0)+IF($B$6&gt;0,IF($O247="",1/0,$O247*$B$6),0),""))</f>
        <v/>
      </c>
      <c r="Q247" s="17"/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247" s="2"/>
      <c r="XFC247" s="6"/>
    </row>
    <row r="248" s="5" customFormat="true" ht="28.5" hidden="false" customHeight="true" outlineLevel="0" collapsed="false">
      <c r="A248" s="16" t="str">
        <f aca="false">IF($T248="","",1+COUNTIF($W$15:$W$728,"&lt;"&amp;W248))</f>
        <v/>
      </c>
      <c r="B248" s="16" t="s">
        <v>10</v>
      </c>
      <c r="C248" s="16" t="s">
        <v>751</v>
      </c>
      <c r="D248" s="16" t="s">
        <v>141</v>
      </c>
      <c r="E248" s="16" t="s">
        <v>44</v>
      </c>
      <c r="F248" s="16" t="s">
        <v>752</v>
      </c>
      <c r="G248" s="16" t="s">
        <v>753</v>
      </c>
      <c r="H248" s="17" t="n">
        <v>1855</v>
      </c>
      <c r="I248" s="17"/>
      <c r="J248" s="17"/>
      <c r="K248" s="17" t="n">
        <v>1895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1855</v>
      </c>
      <c r="N248" s="17" t="str">
        <f aca="false">IF($I248="","",$I248+$L248)</f>
        <v/>
      </c>
      <c r="O248" s="17" t="n">
        <f aca="false">IF($K248="","",$K248+$L248)</f>
        <v>1895</v>
      </c>
      <c r="P248" s="17" t="str">
        <f aca="false">IF($B$10=0,"",IFERROR(IF($B$4&gt;0,IF($M248="",1/0,$M248*$B$4),0)+IF($B$5&gt;0,IF($N248="",1/0,$N248*$B$5),0)+IF($B$6&gt;0,IF($O248="",1/0,$O248*$B$6),0),""))</f>
        <v/>
      </c>
      <c r="Q248" s="17" t="s">
        <v>44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248" s="2"/>
      <c r="XFC248" s="6"/>
    </row>
    <row r="249" s="5" customFormat="true" ht="28.5" hidden="false" customHeight="true" outlineLevel="0" collapsed="false">
      <c r="A249" s="16" t="str">
        <f aca="false">IF($T249="","",1+COUNTIF($W$15:$W$728,"&lt;"&amp;W249))</f>
        <v/>
      </c>
      <c r="B249" s="16" t="s">
        <v>6</v>
      </c>
      <c r="C249" s="16" t="s">
        <v>754</v>
      </c>
      <c r="D249" s="16" t="s">
        <v>43</v>
      </c>
      <c r="E249" s="16" t="s">
        <v>44</v>
      </c>
      <c r="F249" s="16" t="s">
        <v>755</v>
      </c>
      <c r="G249" s="16" t="s">
        <v>170</v>
      </c>
      <c r="H249" s="17" t="n">
        <v>1935</v>
      </c>
      <c r="I249" s="17"/>
      <c r="J249" s="17"/>
      <c r="K249" s="17" t="n">
        <v>1915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1935</v>
      </c>
      <c r="N249" s="17" t="str">
        <f aca="false">IF($I249="","",$I249+$L249)</f>
        <v/>
      </c>
      <c r="O249" s="17" t="n">
        <f aca="false">IF($K249="","",$K249+$L249)</f>
        <v>1915</v>
      </c>
      <c r="P249" s="17" t="str">
        <f aca="false">IF($B$10=0,"",IFERROR(IF($B$4&gt;0,IF($M249="",1/0,$M249*$B$4),0)+IF($B$5&gt;0,IF($N249="",1/0,$N249*$B$5),0)+IF($B$6&gt;0,IF($O249="",1/0,$O249*$B$6),0),""))</f>
        <v/>
      </c>
      <c r="Q249" s="17" t="s">
        <v>44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249" s="2"/>
      <c r="XFC249" s="6"/>
    </row>
    <row r="250" s="5" customFormat="true" ht="28.5" hidden="false" customHeight="true" outlineLevel="0" collapsed="false">
      <c r="A250" s="16" t="str">
        <f aca="false">IF($T250="","",1+COUNTIF($W$15:$W$728,"&lt;"&amp;W250))</f>
        <v/>
      </c>
      <c r="B250" s="16" t="s">
        <v>10</v>
      </c>
      <c r="C250" s="16" t="s">
        <v>756</v>
      </c>
      <c r="D250" s="16" t="s">
        <v>281</v>
      </c>
      <c r="E250" s="16" t="s">
        <v>44</v>
      </c>
      <c r="F250" s="16" t="s">
        <v>757</v>
      </c>
      <c r="G250" s="16" t="s">
        <v>758</v>
      </c>
      <c r="H250" s="17" t="n">
        <v>1799</v>
      </c>
      <c r="I250" s="17"/>
      <c r="J250" s="17"/>
      <c r="K250" s="17" t="n">
        <v>1799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1799</v>
      </c>
      <c r="N250" s="17" t="str">
        <f aca="false">IF($I250="","",$I250+$L250)</f>
        <v/>
      </c>
      <c r="O250" s="17" t="n">
        <f aca="false">IF($K250="","",$K250+$L250)</f>
        <v>1799</v>
      </c>
      <c r="P250" s="17" t="str">
        <f aca="false">IF($B$10=0,"",IFERROR(IF($B$4&gt;0,IF($M250="",1/0,$M250*$B$4),0)+IF($B$5&gt;0,IF($N250="",1/0,$N250*$B$5),0)+IF($B$6&gt;0,IF($O250="",1/0,$O250*$B$6),0),""))</f>
        <v/>
      </c>
      <c r="Q250" s="17"/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250" s="2"/>
      <c r="XFC250" s="6"/>
    </row>
    <row r="251" s="5" customFormat="true" ht="28.5" hidden="false" customHeight="true" outlineLevel="0" collapsed="false">
      <c r="A251" s="16" t="str">
        <f aca="false">IF($T251="","",1+COUNTIF($W$15:$W$728,"&lt;"&amp;W251))</f>
        <v/>
      </c>
      <c r="B251" s="16" t="s">
        <v>10</v>
      </c>
      <c r="C251" s="16" t="s">
        <v>759</v>
      </c>
      <c r="D251" s="16" t="s">
        <v>48</v>
      </c>
      <c r="E251" s="16" t="s">
        <v>44</v>
      </c>
      <c r="F251" s="16" t="s">
        <v>760</v>
      </c>
      <c r="G251" s="16" t="s">
        <v>761</v>
      </c>
      <c r="H251" s="17" t="n">
        <v>1855</v>
      </c>
      <c r="I251" s="17"/>
      <c r="J251" s="17"/>
      <c r="K251" s="17" t="n">
        <v>1895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1855</v>
      </c>
      <c r="N251" s="17" t="str">
        <f aca="false">IF($I251="","",$I251+$L251)</f>
        <v/>
      </c>
      <c r="O251" s="17" t="n">
        <f aca="false">IF($K251="","",$K251+$L251)</f>
        <v>1895</v>
      </c>
      <c r="P251" s="17" t="str">
        <f aca="false">IF($B$10=0,"",IFERROR(IF($B$4&gt;0,IF($M251="",1/0,$M251*$B$4),0)+IF($B$5&gt;0,IF($N251="",1/0,$N251*$B$5),0)+IF($B$6&gt;0,IF($O251="",1/0,$O251*$B$6),0),""))</f>
        <v/>
      </c>
      <c r="Q251" s="17"/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251" s="2"/>
      <c r="XFC251" s="6"/>
    </row>
    <row r="252" s="5" customFormat="true" ht="28.5" hidden="false" customHeight="true" outlineLevel="0" collapsed="false">
      <c r="A252" s="16" t="str">
        <f aca="false">IF($T252="","",1+COUNTIF($W$15:$W$728,"&lt;"&amp;W252))</f>
        <v/>
      </c>
      <c r="B252" s="16" t="s">
        <v>10</v>
      </c>
      <c r="C252" s="16" t="s">
        <v>762</v>
      </c>
      <c r="D252" s="16" t="s">
        <v>43</v>
      </c>
      <c r="E252" s="16" t="s">
        <v>44</v>
      </c>
      <c r="F252" s="16" t="s">
        <v>763</v>
      </c>
      <c r="G252" s="16" t="s">
        <v>764</v>
      </c>
      <c r="H252" s="17" t="n">
        <v>1868</v>
      </c>
      <c r="I252" s="17"/>
      <c r="J252" s="17"/>
      <c r="K252" s="17" t="n">
        <v>1866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1868</v>
      </c>
      <c r="N252" s="17" t="str">
        <f aca="false">IF($I252="","",$I252+$L252)</f>
        <v/>
      </c>
      <c r="O252" s="17" t="n">
        <f aca="false">IF($K252="","",$K252+$L252)</f>
        <v>1866</v>
      </c>
      <c r="P252" s="17" t="str">
        <f aca="false">IF($B$10=0,"",IFERROR(IF($B$4&gt;0,IF($M252="",1/0,$M252*$B$4),0)+IF($B$5&gt;0,IF($N252="",1/0,$N252*$B$5),0)+IF($B$6&gt;0,IF($O252="",1/0,$O252*$B$6),0),""))</f>
        <v/>
      </c>
      <c r="Q252" s="17"/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252" s="2"/>
      <c r="XFC252" s="6"/>
    </row>
    <row r="253" s="5" customFormat="true" ht="28.5" hidden="false" customHeight="true" outlineLevel="0" collapsed="false">
      <c r="A253" s="16" t="str">
        <f aca="false">IF($T253="","",1+COUNTIF($W$15:$W$728,"&lt;"&amp;W253))</f>
        <v/>
      </c>
      <c r="B253" s="16" t="s">
        <v>12</v>
      </c>
      <c r="C253" s="16" t="s">
        <v>765</v>
      </c>
      <c r="D253" s="20" t="s">
        <v>574</v>
      </c>
      <c r="E253" s="16" t="s">
        <v>44</v>
      </c>
      <c r="F253" s="16" t="s">
        <v>766</v>
      </c>
      <c r="G253" s="16" t="s">
        <v>767</v>
      </c>
      <c r="H253" s="17" t="n">
        <v>1920</v>
      </c>
      <c r="I253" s="17"/>
      <c r="J253" s="17"/>
      <c r="K253" s="17" t="n">
        <v>2000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1920</v>
      </c>
      <c r="N253" s="17" t="str">
        <f aca="false">IF($I253="","",$I253+$L253)</f>
        <v/>
      </c>
      <c r="O253" s="17" t="n">
        <f aca="false">IF($K253="","",$K253+$L253)</f>
        <v>2000</v>
      </c>
      <c r="P253" s="17" t="str">
        <f aca="false">IF($B$10=0,"",IFERROR(IF($B$4&gt;0,IF($M253="",1/0,$M253*$B$4),0)+IF($B$5&gt;0,IF($N253="",1/0,$N253*$B$5),0)+IF($B$6&gt;0,IF($O253="",1/0,$O253*$B$6),0),""))</f>
        <v/>
      </c>
      <c r="Q253" s="17"/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253" s="2"/>
      <c r="XFC253" s="6"/>
    </row>
    <row r="254" s="5" customFormat="true" ht="28.5" hidden="false" customHeight="true" outlineLevel="0" collapsed="false">
      <c r="A254" s="16" t="str">
        <f aca="false">IF($T254="","",1+COUNTIF($W$15:$W$728,"&lt;"&amp;W254))</f>
        <v/>
      </c>
      <c r="B254" s="16" t="s">
        <v>12</v>
      </c>
      <c r="C254" s="16" t="s">
        <v>768</v>
      </c>
      <c r="D254" s="20" t="s">
        <v>574</v>
      </c>
      <c r="E254" s="16" t="s">
        <v>44</v>
      </c>
      <c r="F254" s="16" t="s">
        <v>769</v>
      </c>
      <c r="G254" s="16" t="s">
        <v>770</v>
      </c>
      <c r="H254" s="17" t="n">
        <v>1920</v>
      </c>
      <c r="I254" s="17"/>
      <c r="J254" s="17"/>
      <c r="K254" s="17" t="n">
        <v>2000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1920</v>
      </c>
      <c r="N254" s="17" t="str">
        <f aca="false">IF($I254="","",$I254+$L254)</f>
        <v/>
      </c>
      <c r="O254" s="17" t="n">
        <f aca="false">IF($K254="","",$K254+$L254)</f>
        <v>2000</v>
      </c>
      <c r="P254" s="17" t="str">
        <f aca="false">IF($B$10=0,"",IFERROR(IF($B$4&gt;0,IF($M254="",1/0,$M254*$B$4),0)+IF($B$5&gt;0,IF($N254="",1/0,$N254*$B$5),0)+IF($B$6&gt;0,IF($O254="",1/0,$O254*$B$6),0),""))</f>
        <v/>
      </c>
      <c r="Q254" s="17"/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254" s="2"/>
      <c r="XFC254" s="6"/>
    </row>
    <row r="255" s="5" customFormat="true" ht="28.5" hidden="false" customHeight="true" outlineLevel="0" collapsed="false">
      <c r="A255" s="16" t="str">
        <f aca="false">IF($T255="","",1+COUNTIF($W$15:$W$728,"&lt;"&amp;W255))</f>
        <v/>
      </c>
      <c r="B255" s="16" t="s">
        <v>12</v>
      </c>
      <c r="C255" s="16" t="s">
        <v>771</v>
      </c>
      <c r="D255" s="20" t="s">
        <v>303</v>
      </c>
      <c r="E255" s="16" t="s">
        <v>44</v>
      </c>
      <c r="F255" s="16" t="s">
        <v>772</v>
      </c>
      <c r="G255" s="16" t="s">
        <v>773</v>
      </c>
      <c r="H255" s="17" t="n">
        <v>1920</v>
      </c>
      <c r="I255" s="17"/>
      <c r="J255" s="17"/>
      <c r="K255" s="17" t="n">
        <v>2000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1920</v>
      </c>
      <c r="N255" s="17" t="str">
        <f aca="false">IF($I255="","",$I255+$L255)</f>
        <v/>
      </c>
      <c r="O255" s="17" t="n">
        <f aca="false">IF($K255="","",$K255+$L255)</f>
        <v>2000</v>
      </c>
      <c r="P255" s="17" t="str">
        <f aca="false">IF($B$10=0,"",IFERROR(IF($B$4&gt;0,IF($M255="",1/0,$M255*$B$4),0)+IF($B$5&gt;0,IF($N255="",1/0,$N255*$B$5),0)+IF($B$6&gt;0,IF($O255="",1/0,$O255*$B$6),0),""))</f>
        <v/>
      </c>
      <c r="Q255" s="17"/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255" s="2"/>
      <c r="XFC255" s="6"/>
    </row>
    <row r="256" s="5" customFormat="true" ht="28.5" hidden="false" customHeight="true" outlineLevel="0" collapsed="false">
      <c r="A256" s="16" t="str">
        <f aca="false">IF($T256="","",1+COUNTIF($W$15:$W$728,"&lt;"&amp;W256))</f>
        <v/>
      </c>
      <c r="B256" s="16" t="s">
        <v>10</v>
      </c>
      <c r="C256" s="16" t="s">
        <v>774</v>
      </c>
      <c r="D256" s="20" t="s">
        <v>131</v>
      </c>
      <c r="E256" s="16" t="s">
        <v>44</v>
      </c>
      <c r="F256" s="16" t="s">
        <v>775</v>
      </c>
      <c r="G256" s="16" t="s">
        <v>776</v>
      </c>
      <c r="H256" s="17" t="n">
        <v>1859</v>
      </c>
      <c r="I256" s="17"/>
      <c r="J256" s="17"/>
      <c r="K256" s="17" t="n">
        <v>1899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1859</v>
      </c>
      <c r="N256" s="17" t="str">
        <f aca="false">IF($I256="","",$I256+$L256)</f>
        <v/>
      </c>
      <c r="O256" s="17" t="n">
        <f aca="false">IF($K256="","",$K256+$L256)</f>
        <v>1899</v>
      </c>
      <c r="P256" s="17" t="str">
        <f aca="false">IF($B$10=0,"",IFERROR(IF($B$4&gt;0,IF($M256="",1/0,$M256*$B$4),0)+IF($B$5&gt;0,IF($N256="",1/0,$N256*$B$5),0)+IF($B$6&gt;0,IF($O256="",1/0,$O256*$B$6),0),""))</f>
        <v/>
      </c>
      <c r="Q256" s="17" t="s">
        <v>44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256" s="2"/>
      <c r="XFC256" s="6"/>
    </row>
    <row r="257" s="5" customFormat="true" ht="28.5" hidden="false" customHeight="true" outlineLevel="0" collapsed="false">
      <c r="A257" s="16" t="str">
        <f aca="false">IF($T257="","",1+COUNTIF($W$15:$W$728,"&lt;"&amp;W257))</f>
        <v/>
      </c>
      <c r="B257" s="16" t="s">
        <v>6</v>
      </c>
      <c r="C257" s="16" t="s">
        <v>777</v>
      </c>
      <c r="D257" s="16" t="s">
        <v>141</v>
      </c>
      <c r="E257" s="16" t="s">
        <v>44</v>
      </c>
      <c r="F257" s="16" t="s">
        <v>778</v>
      </c>
      <c r="G257" s="16" t="s">
        <v>779</v>
      </c>
      <c r="H257" s="17" t="n">
        <v>1899</v>
      </c>
      <c r="I257" s="17"/>
      <c r="J257" s="17"/>
      <c r="K257" s="17" t="n">
        <v>1899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1899</v>
      </c>
      <c r="N257" s="17" t="str">
        <f aca="false">IF($I257="","",$I257+$L257)</f>
        <v/>
      </c>
      <c r="O257" s="17" t="n">
        <f aca="false">IF($K257="","",$K257+$L257)</f>
        <v>1899</v>
      </c>
      <c r="P257" s="17" t="str">
        <f aca="false">IF($B$10=0,"",IFERROR(IF($B$4&gt;0,IF($M257="",1/0,$M257*$B$4),0)+IF($B$5&gt;0,IF($N257="",1/0,$N257*$B$5),0)+IF($B$6&gt;0,IF($O257="",1/0,$O257*$B$6),0),""))</f>
        <v/>
      </c>
      <c r="Q257" s="17"/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257" s="2"/>
      <c r="XFC257" s="6"/>
    </row>
    <row r="258" s="5" customFormat="true" ht="28.5" hidden="false" customHeight="true" outlineLevel="0" collapsed="false">
      <c r="A258" s="16" t="str">
        <f aca="false">IF($T258="","",1+COUNTIF($W$15:$W$728,"&lt;"&amp;W258))</f>
        <v/>
      </c>
      <c r="B258" s="16" t="s">
        <v>12</v>
      </c>
      <c r="C258" s="16" t="s">
        <v>780</v>
      </c>
      <c r="D258" s="20" t="s">
        <v>141</v>
      </c>
      <c r="E258" s="16" t="s">
        <v>44</v>
      </c>
      <c r="F258" s="16" t="s">
        <v>781</v>
      </c>
      <c r="G258" s="16" t="s">
        <v>782</v>
      </c>
      <c r="H258" s="17" t="n">
        <v>1959</v>
      </c>
      <c r="I258" s="17"/>
      <c r="J258" s="17"/>
      <c r="K258" s="17" t="n">
        <v>2159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1959</v>
      </c>
      <c r="N258" s="17" t="str">
        <f aca="false">IF($I258="","",$I258+$L258)</f>
        <v/>
      </c>
      <c r="O258" s="17" t="n">
        <f aca="false">IF($K258="","",$K258+$L258)</f>
        <v>2159</v>
      </c>
      <c r="P258" s="17" t="str">
        <f aca="false">IF($B$10=0,"",IFERROR(IF($B$4&gt;0,IF($M258="",1/0,$M258*$B$4),0)+IF($B$5&gt;0,IF($N258="",1/0,$N258*$B$5),0)+IF($B$6&gt;0,IF($O258="",1/0,$O258*$B$6),0),""))</f>
        <v/>
      </c>
      <c r="Q258" s="17"/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258" s="2"/>
      <c r="XFC258" s="6"/>
    </row>
    <row r="259" s="5" customFormat="true" ht="28.5" hidden="false" customHeight="true" outlineLevel="0" collapsed="false">
      <c r="A259" s="16" t="str">
        <f aca="false">IF($T259="","",1+COUNTIF($W$15:$W$728,"&lt;"&amp;W259))</f>
        <v/>
      </c>
      <c r="B259" s="16" t="s">
        <v>12</v>
      </c>
      <c r="C259" s="16" t="s">
        <v>783</v>
      </c>
      <c r="D259" s="20" t="s">
        <v>141</v>
      </c>
      <c r="E259" s="16" t="s">
        <v>44</v>
      </c>
      <c r="F259" s="16" t="s">
        <v>784</v>
      </c>
      <c r="G259" s="16" t="s">
        <v>785</v>
      </c>
      <c r="H259" s="17" t="n">
        <v>1924</v>
      </c>
      <c r="I259" s="17"/>
      <c r="J259" s="17"/>
      <c r="K259" s="17" t="n">
        <v>2154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1924</v>
      </c>
      <c r="N259" s="17" t="str">
        <f aca="false">IF($I259="","",$I259+$L259)</f>
        <v/>
      </c>
      <c r="O259" s="17" t="n">
        <f aca="false">IF($K259="","",$K259+$L259)</f>
        <v>2154</v>
      </c>
      <c r="P259" s="17" t="str">
        <f aca="false">IF($B$10=0,"",IFERROR(IF($B$4&gt;0,IF($M259="",1/0,$M259*$B$4),0)+IF($B$5&gt;0,IF($N259="",1/0,$N259*$B$5),0)+IF($B$6&gt;0,IF($O259="",1/0,$O259*$B$6),0),""))</f>
        <v/>
      </c>
      <c r="Q259" s="17"/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259" s="2"/>
      <c r="XFC259" s="6"/>
    </row>
    <row r="260" s="5" customFormat="true" ht="28.5" hidden="false" customHeight="true" outlineLevel="0" collapsed="false">
      <c r="A260" s="16" t="str">
        <f aca="false">IF($T260="","",1+COUNTIF($W$15:$W$728,"&lt;"&amp;W260))</f>
        <v/>
      </c>
      <c r="B260" s="16" t="s">
        <v>10</v>
      </c>
      <c r="C260" s="16" t="s">
        <v>786</v>
      </c>
      <c r="D260" s="16" t="s">
        <v>281</v>
      </c>
      <c r="E260" s="16" t="s">
        <v>44</v>
      </c>
      <c r="F260" s="16" t="s">
        <v>787</v>
      </c>
      <c r="G260" s="16" t="s">
        <v>788</v>
      </c>
      <c r="H260" s="17" t="n">
        <v>1799</v>
      </c>
      <c r="I260" s="17"/>
      <c r="J260" s="17"/>
      <c r="K260" s="17" t="n">
        <v>1849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1799</v>
      </c>
      <c r="N260" s="17" t="str">
        <f aca="false">IF($I260="","",$I260+$L260)</f>
        <v/>
      </c>
      <c r="O260" s="17" t="n">
        <f aca="false">IF($K260="","",$K260+$L260)</f>
        <v>1849</v>
      </c>
      <c r="P260" s="17" t="str">
        <f aca="false">IF($B$10=0,"",IFERROR(IF($B$4&gt;0,IF($M260="",1/0,$M260*$B$4),0)+IF($B$5&gt;0,IF($N260="",1/0,$N260*$B$5),0)+IF($B$6&gt;0,IF($O260="",1/0,$O260*$B$6),0),""))</f>
        <v/>
      </c>
      <c r="Q260" s="17"/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260" s="2"/>
      <c r="XFC260" s="6"/>
    </row>
    <row r="261" s="5" customFormat="true" ht="28.5" hidden="false" customHeight="true" outlineLevel="0" collapsed="false">
      <c r="A261" s="16" t="str">
        <f aca="false">IF($T261="","",1+COUNTIF($W$15:$W$728,"&lt;"&amp;W261))</f>
        <v/>
      </c>
      <c r="B261" s="16" t="s">
        <v>8</v>
      </c>
      <c r="C261" s="16" t="s">
        <v>412</v>
      </c>
      <c r="D261" s="20" t="s">
        <v>131</v>
      </c>
      <c r="E261" s="16" t="s">
        <v>44</v>
      </c>
      <c r="F261" s="16" t="s">
        <v>789</v>
      </c>
      <c r="G261" s="16" t="s">
        <v>790</v>
      </c>
      <c r="H261" s="17" t="n">
        <v>1899</v>
      </c>
      <c r="I261" s="17"/>
      <c r="J261" s="17"/>
      <c r="K261" s="17" t="n">
        <v>1949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1899</v>
      </c>
      <c r="N261" s="17" t="str">
        <f aca="false">IF($I261="","",$I261+$L261)</f>
        <v/>
      </c>
      <c r="O261" s="17" t="n">
        <f aca="false">IF($K261="","",$K261+$L261)</f>
        <v>1949</v>
      </c>
      <c r="P261" s="17" t="str">
        <f aca="false">IF($B$10=0,"",IFERROR(IF($B$4&gt;0,IF($M261="",1/0,$M261*$B$4),0)+IF($B$5&gt;0,IF($N261="",1/0,$N261*$B$5),0)+IF($B$6&gt;0,IF($O261="",1/0,$O261*$B$6),0),""))</f>
        <v/>
      </c>
      <c r="Q261" s="17" t="s">
        <v>44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261" s="2"/>
      <c r="XFC261" s="6"/>
    </row>
    <row r="262" s="5" customFormat="true" ht="28.5" hidden="false" customHeight="true" outlineLevel="0" collapsed="false">
      <c r="A262" s="16" t="str">
        <f aca="false">IF($T262="","",1+COUNTIF($W$15:$W$728,"&lt;"&amp;W262))</f>
        <v/>
      </c>
      <c r="B262" s="16" t="s">
        <v>6</v>
      </c>
      <c r="C262" s="16" t="s">
        <v>791</v>
      </c>
      <c r="D262" s="16" t="s">
        <v>141</v>
      </c>
      <c r="E262" s="16" t="s">
        <v>44</v>
      </c>
      <c r="F262" s="16" t="s">
        <v>792</v>
      </c>
      <c r="G262" s="16" t="s">
        <v>793</v>
      </c>
      <c r="H262" s="17" t="n">
        <v>1898</v>
      </c>
      <c r="I262" s="17"/>
      <c r="J262" s="17"/>
      <c r="K262" s="17" t="n">
        <v>1940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1898</v>
      </c>
      <c r="N262" s="17" t="str">
        <f aca="false">IF($I262="","",$I262+$L262)</f>
        <v/>
      </c>
      <c r="O262" s="17" t="n">
        <f aca="false">IF($K262="","",$K262+$L262)</f>
        <v>1940</v>
      </c>
      <c r="P262" s="17" t="str">
        <f aca="false">IF($B$10=0,"",IFERROR(IF($B$4&gt;0,IF($M262="",1/0,$M262*$B$4),0)+IF($B$5&gt;0,IF($N262="",1/0,$N262*$B$5),0)+IF($B$6&gt;0,IF($O262="",1/0,$O262*$B$6),0),""))</f>
        <v/>
      </c>
      <c r="Q262" s="17" t="s">
        <v>44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262" s="2"/>
      <c r="XFC262" s="6"/>
    </row>
    <row r="263" s="5" customFormat="true" ht="28.5" hidden="false" customHeight="true" outlineLevel="0" collapsed="false">
      <c r="A263" s="16" t="str">
        <f aca="false">IF($T263="","",1+COUNTIF($W$15:$W$728,"&lt;"&amp;W263))</f>
        <v/>
      </c>
      <c r="B263" s="16" t="s">
        <v>6</v>
      </c>
      <c r="C263" s="16" t="s">
        <v>794</v>
      </c>
      <c r="D263" s="16" t="s">
        <v>43</v>
      </c>
      <c r="E263" s="16" t="s">
        <v>44</v>
      </c>
      <c r="F263" s="16" t="s">
        <v>795</v>
      </c>
      <c r="G263" s="16" t="s">
        <v>796</v>
      </c>
      <c r="H263" s="17" t="n">
        <v>1893</v>
      </c>
      <c r="I263" s="17"/>
      <c r="J263" s="17"/>
      <c r="K263" s="17" t="n">
        <v>1897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1893</v>
      </c>
      <c r="N263" s="17" t="str">
        <f aca="false">IF($I263="","",$I263+$L263)</f>
        <v/>
      </c>
      <c r="O263" s="17" t="n">
        <f aca="false">IF($K263="","",$K263+$L263)</f>
        <v>1897</v>
      </c>
      <c r="P263" s="17" t="str">
        <f aca="false">IF($B$10=0,"",IFERROR(IF($B$4&gt;0,IF($M263="",1/0,$M263*$B$4),0)+IF($B$5&gt;0,IF($N263="",1/0,$N263*$B$5),0)+IF($B$6&gt;0,IF($O263="",1/0,$O263*$B$6),0),""))</f>
        <v/>
      </c>
      <c r="Q263" s="17" t="s">
        <v>44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263" s="2"/>
      <c r="XFC263" s="6"/>
    </row>
    <row r="264" s="5" customFormat="true" ht="28.5" hidden="false" customHeight="true" outlineLevel="0" collapsed="false">
      <c r="A264" s="16" t="str">
        <f aca="false">IF($T264="","",1+COUNTIF($W$15:$W$728,"&lt;"&amp;W264))</f>
        <v/>
      </c>
      <c r="B264" s="16" t="s">
        <v>14</v>
      </c>
      <c r="C264" s="16" t="s">
        <v>797</v>
      </c>
      <c r="D264" s="16" t="s">
        <v>48</v>
      </c>
      <c r="E264" s="16" t="s">
        <v>44</v>
      </c>
      <c r="F264" s="16" t="s">
        <v>798</v>
      </c>
      <c r="G264" s="16" t="s">
        <v>799</v>
      </c>
      <c r="H264" s="17" t="n">
        <v>1992</v>
      </c>
      <c r="I264" s="17"/>
      <c r="J264" s="17"/>
      <c r="K264" s="17" t="n">
        <v>1922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1992</v>
      </c>
      <c r="N264" s="17" t="str">
        <f aca="false">IF($I264="","",$I264+$L264)</f>
        <v/>
      </c>
      <c r="O264" s="17" t="n">
        <f aca="false">IF($K264="","",$K264+$L264)</f>
        <v>1922</v>
      </c>
      <c r="P264" s="17" t="str">
        <f aca="false">IF($B$10=0,"",IFERROR(IF($B$4&gt;0,IF($M264="",1/0,$M264*$B$4),0)+IF($B$5&gt;0,IF($N264="",1/0,$N264*$B$5),0)+IF($B$6&gt;0,IF($O264="",1/0,$O264*$B$6),0),""))</f>
        <v/>
      </c>
      <c r="Q264" s="17"/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264" s="2"/>
      <c r="XFC264" s="6"/>
    </row>
    <row r="265" s="5" customFormat="true" ht="28.5" hidden="false" customHeight="true" outlineLevel="0" collapsed="false">
      <c r="A265" s="16" t="str">
        <f aca="false">IF($T265="","",1+COUNTIF($W$15:$W$728,"&lt;"&amp;W265))</f>
        <v/>
      </c>
      <c r="B265" s="16" t="s">
        <v>12</v>
      </c>
      <c r="C265" s="16" t="s">
        <v>800</v>
      </c>
      <c r="D265" s="20" t="s">
        <v>303</v>
      </c>
      <c r="E265" s="16" t="s">
        <v>44</v>
      </c>
      <c r="F265" s="16" t="s">
        <v>801</v>
      </c>
      <c r="G265" s="16" t="s">
        <v>802</v>
      </c>
      <c r="H265" s="17" t="n">
        <v>1894</v>
      </c>
      <c r="I265" s="17"/>
      <c r="J265" s="17"/>
      <c r="K265" s="17" t="n">
        <v>1994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1894</v>
      </c>
      <c r="N265" s="17" t="str">
        <f aca="false">IF($I265="","",$I265+$L265)</f>
        <v/>
      </c>
      <c r="O265" s="17" t="n">
        <f aca="false">IF($K265="","",$K265+$L265)</f>
        <v>1994</v>
      </c>
      <c r="P265" s="17" t="str">
        <f aca="false">IF($B$10=0,"",IFERROR(IF($B$4&gt;0,IF($M265="",1/0,$M265*$B$4),0)+IF($B$5&gt;0,IF($N265="",1/0,$N265*$B$5),0)+IF($B$6&gt;0,IF($O265="",1/0,$O265*$B$6),0),""))</f>
        <v/>
      </c>
      <c r="Q265" s="17"/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265" s="2"/>
      <c r="XFC265" s="6"/>
    </row>
    <row r="266" s="5" customFormat="true" ht="28.5" hidden="false" customHeight="true" outlineLevel="0" collapsed="false">
      <c r="A266" s="16" t="str">
        <f aca="false">IF($T266="","",1+COUNTIF($W$15:$W$728,"&lt;"&amp;W266))</f>
        <v/>
      </c>
      <c r="B266" s="16" t="s">
        <v>12</v>
      </c>
      <c r="C266" s="16" t="s">
        <v>803</v>
      </c>
      <c r="D266" s="20" t="s">
        <v>574</v>
      </c>
      <c r="E266" s="16" t="s">
        <v>44</v>
      </c>
      <c r="F266" s="16" t="s">
        <v>804</v>
      </c>
      <c r="G266" s="16" t="s">
        <v>805</v>
      </c>
      <c r="H266" s="17" t="n">
        <v>1798</v>
      </c>
      <c r="I266" s="17"/>
      <c r="J266" s="17"/>
      <c r="K266" s="17" t="n">
        <v>1788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1798</v>
      </c>
      <c r="N266" s="17" t="str">
        <f aca="false">IF($I266="","",$I266+$L266)</f>
        <v/>
      </c>
      <c r="O266" s="17" t="n">
        <f aca="false">IF($K266="","",$K266+$L266)</f>
        <v>1788</v>
      </c>
      <c r="P266" s="17" t="str">
        <f aca="false">IF($B$10=0,"",IFERROR(IF($B$4&gt;0,IF($M266="",1/0,$M266*$B$4),0)+IF($B$5&gt;0,IF($N266="",1/0,$N266*$B$5),0)+IF($B$6&gt;0,IF($O266="",1/0,$O266*$B$6),0),""))</f>
        <v/>
      </c>
      <c r="Q266" s="17"/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266" s="2"/>
      <c r="XFC266" s="6"/>
    </row>
    <row r="267" s="5" customFormat="true" ht="28.5" hidden="false" customHeight="true" outlineLevel="0" collapsed="false">
      <c r="A267" s="16" t="str">
        <f aca="false">IF($T267="","",1+COUNTIF($W$15:$W$728,"&lt;"&amp;W267))</f>
        <v/>
      </c>
      <c r="B267" s="16" t="s">
        <v>6</v>
      </c>
      <c r="C267" s="16" t="s">
        <v>806</v>
      </c>
      <c r="D267" s="20" t="s">
        <v>131</v>
      </c>
      <c r="E267" s="16" t="s">
        <v>44</v>
      </c>
      <c r="F267" s="16" t="s">
        <v>807</v>
      </c>
      <c r="G267" s="16" t="s">
        <v>808</v>
      </c>
      <c r="H267" s="17" t="n">
        <v>1970</v>
      </c>
      <c r="I267" s="17"/>
      <c r="J267" s="17"/>
      <c r="K267" s="17" t="n">
        <v>2050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1970</v>
      </c>
      <c r="N267" s="17" t="str">
        <f aca="false">IF($I267="","",$I267+$L267)</f>
        <v/>
      </c>
      <c r="O267" s="17" t="n">
        <f aca="false">IF($K267="","",$K267+$L267)</f>
        <v>2050</v>
      </c>
      <c r="P267" s="17" t="str">
        <f aca="false">IF($B$10=0,"",IFERROR(IF($B$4&gt;0,IF($M267="",1/0,$M267*$B$4),0)+IF($B$5&gt;0,IF($N267="",1/0,$N267*$B$5),0)+IF($B$6&gt;0,IF($O267="",1/0,$O267*$B$6),0),""))</f>
        <v/>
      </c>
      <c r="Q267" s="17" t="s">
        <v>44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267" s="2"/>
      <c r="XFC267" s="6"/>
    </row>
    <row r="268" s="5" customFormat="true" ht="28.5" hidden="false" customHeight="true" outlineLevel="0" collapsed="false">
      <c r="A268" s="16" t="str">
        <f aca="false">IF($T268="","",1+COUNTIF($W$15:$W$728,"&lt;"&amp;W268))</f>
        <v/>
      </c>
      <c r="B268" s="16" t="s">
        <v>6</v>
      </c>
      <c r="C268" s="16" t="s">
        <v>809</v>
      </c>
      <c r="D268" s="20" t="s">
        <v>131</v>
      </c>
      <c r="E268" s="16" t="s">
        <v>44</v>
      </c>
      <c r="F268" s="16" t="s">
        <v>810</v>
      </c>
      <c r="G268" s="16" t="s">
        <v>811</v>
      </c>
      <c r="H268" s="17" t="n">
        <v>1929</v>
      </c>
      <c r="I268" s="17"/>
      <c r="J268" s="17"/>
      <c r="K268" s="17" t="n">
        <v>1969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1929</v>
      </c>
      <c r="N268" s="17" t="str">
        <f aca="false">IF($I268="","",$I268+$L268)</f>
        <v/>
      </c>
      <c r="O268" s="17" t="n">
        <f aca="false">IF($K268="","",$K268+$L268)</f>
        <v>1969</v>
      </c>
      <c r="P268" s="17" t="str">
        <f aca="false">IF($B$10=0,"",IFERROR(IF($B$4&gt;0,IF($M268="",1/0,$M268*$B$4),0)+IF($B$5&gt;0,IF($N268="",1/0,$N268*$B$5),0)+IF($B$6&gt;0,IF($O268="",1/0,$O268*$B$6),0),""))</f>
        <v/>
      </c>
      <c r="Q268" s="17"/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268" s="2"/>
      <c r="XFC268" s="6"/>
    </row>
    <row r="269" s="5" customFormat="true" ht="28.5" hidden="false" customHeight="true" outlineLevel="0" collapsed="false">
      <c r="A269" s="16" t="str">
        <f aca="false">IF($T269="","",1+COUNTIF($W$15:$W$728,"&lt;"&amp;W269))</f>
        <v/>
      </c>
      <c r="B269" s="16" t="s">
        <v>6</v>
      </c>
      <c r="C269" s="16" t="s">
        <v>812</v>
      </c>
      <c r="D269" s="16" t="s">
        <v>141</v>
      </c>
      <c r="E269" s="16" t="s">
        <v>44</v>
      </c>
      <c r="F269" s="16" t="s">
        <v>813</v>
      </c>
      <c r="G269" s="16" t="s">
        <v>814</v>
      </c>
      <c r="H269" s="17" t="n">
        <v>1904</v>
      </c>
      <c r="I269" s="17"/>
      <c r="J269" s="17"/>
      <c r="K269" s="17" t="n">
        <v>1964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1904</v>
      </c>
      <c r="N269" s="17" t="str">
        <f aca="false">IF($I269="","",$I269+$L269)</f>
        <v/>
      </c>
      <c r="O269" s="17" t="n">
        <f aca="false">IF($K269="","",$K269+$L269)</f>
        <v>1964</v>
      </c>
      <c r="P269" s="17" t="str">
        <f aca="false">IF($B$10=0,"",IFERROR(IF($B$4&gt;0,IF($M269="",1/0,$M269*$B$4),0)+IF($B$5&gt;0,IF($N269="",1/0,$N269*$B$5),0)+IF($B$6&gt;0,IF($O269="",1/0,$O269*$B$6),0),""))</f>
        <v/>
      </c>
      <c r="Q269" s="17" t="s">
        <v>44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269" s="2"/>
      <c r="XFC269" s="6"/>
    </row>
    <row r="270" s="5" customFormat="true" ht="28.5" hidden="false" customHeight="true" outlineLevel="0" collapsed="false">
      <c r="A270" s="16" t="str">
        <f aca="false">IF($T270="","",1+COUNTIF($W$15:$W$728,"&lt;"&amp;W270))</f>
        <v/>
      </c>
      <c r="B270" s="16" t="s">
        <v>6</v>
      </c>
      <c r="C270" s="16" t="s">
        <v>815</v>
      </c>
      <c r="D270" s="16" t="s">
        <v>141</v>
      </c>
      <c r="E270" s="16" t="s">
        <v>44</v>
      </c>
      <c r="F270" s="16" t="s">
        <v>816</v>
      </c>
      <c r="G270" s="16" t="s">
        <v>817</v>
      </c>
      <c r="H270" s="17" t="n">
        <v>1929</v>
      </c>
      <c r="I270" s="17"/>
      <c r="J270" s="17"/>
      <c r="K270" s="17" t="n">
        <v>1969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1929</v>
      </c>
      <c r="N270" s="17" t="str">
        <f aca="false">IF($I270="","",$I270+$L270)</f>
        <v/>
      </c>
      <c r="O270" s="17" t="n">
        <f aca="false">IF($K270="","",$K270+$L270)</f>
        <v>1969</v>
      </c>
      <c r="P270" s="17" t="str">
        <f aca="false">IF($B$10=0,"",IFERROR(IF($B$4&gt;0,IF($M270="",1/0,$M270*$B$4),0)+IF($B$5&gt;0,IF($N270="",1/0,$N270*$B$5),0)+IF($B$6&gt;0,IF($O270="",1/0,$O270*$B$6),0),""))</f>
        <v/>
      </c>
      <c r="Q270" s="17"/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270" s="2"/>
      <c r="XFC270" s="6"/>
    </row>
    <row r="271" s="5" customFormat="true" ht="28.5" hidden="false" customHeight="true" outlineLevel="0" collapsed="false">
      <c r="A271" s="16" t="str">
        <f aca="false">IF($T271="","",1+COUNTIF($W$15:$W$728,"&lt;"&amp;W271))</f>
        <v/>
      </c>
      <c r="B271" s="16" t="s">
        <v>6</v>
      </c>
      <c r="C271" s="16" t="s">
        <v>818</v>
      </c>
      <c r="D271" s="16" t="s">
        <v>43</v>
      </c>
      <c r="E271" s="16" t="s">
        <v>44</v>
      </c>
      <c r="F271" s="16" t="s">
        <v>819</v>
      </c>
      <c r="G271" s="16" t="s">
        <v>820</v>
      </c>
      <c r="H271" s="17" t="n">
        <v>1959</v>
      </c>
      <c r="I271" s="17"/>
      <c r="J271" s="17"/>
      <c r="K271" s="17" t="n">
        <v>2059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1959</v>
      </c>
      <c r="N271" s="17" t="str">
        <f aca="false">IF($I271="","",$I271+$L271)</f>
        <v/>
      </c>
      <c r="O271" s="17" t="n">
        <f aca="false">IF($K271="","",$K271+$L271)</f>
        <v>2059</v>
      </c>
      <c r="P271" s="17" t="str">
        <f aca="false">IF($B$10=0,"",IFERROR(IF($B$4&gt;0,IF($M271="",1/0,$M271*$B$4),0)+IF($B$5&gt;0,IF($N271="",1/0,$N271*$B$5),0)+IF($B$6&gt;0,IF($O271="",1/0,$O271*$B$6),0),""))</f>
        <v/>
      </c>
      <c r="Q271" s="17" t="s">
        <v>44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271" s="2"/>
      <c r="XFC271" s="6"/>
    </row>
    <row r="272" s="5" customFormat="true" ht="28.5" hidden="false" customHeight="true" outlineLevel="0" collapsed="false">
      <c r="A272" s="16" t="str">
        <f aca="false">IF($T272="","",1+COUNTIF($W$15:$W$728,"&lt;"&amp;W272))</f>
        <v/>
      </c>
      <c r="B272" s="16" t="s">
        <v>12</v>
      </c>
      <c r="C272" s="16" t="s">
        <v>821</v>
      </c>
      <c r="D272" s="16" t="s">
        <v>328</v>
      </c>
      <c r="E272" s="16" t="s">
        <v>44</v>
      </c>
      <c r="F272" s="16" t="s">
        <v>822</v>
      </c>
      <c r="G272" s="16" t="s">
        <v>823</v>
      </c>
      <c r="H272" s="17" t="n">
        <v>1780</v>
      </c>
      <c r="I272" s="17"/>
      <c r="J272" s="17"/>
      <c r="K272" s="17" t="n">
        <v>1790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1780</v>
      </c>
      <c r="N272" s="17" t="str">
        <f aca="false">IF($I272="","",$I272+$L272)</f>
        <v/>
      </c>
      <c r="O272" s="17" t="n">
        <f aca="false">IF($K272="","",$K272+$L272)</f>
        <v>1790</v>
      </c>
      <c r="P272" s="17" t="str">
        <f aca="false">IF($B$10=0,"",IFERROR(IF($B$4&gt;0,IF($M272="",1/0,$M272*$B$4),0)+IF($B$5&gt;0,IF($N272="",1/0,$N272*$B$5),0)+IF($B$6&gt;0,IF($O272="",1/0,$O272*$B$6),0),""))</f>
        <v/>
      </c>
      <c r="Q272" s="17"/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272" s="2"/>
      <c r="XFC272" s="6"/>
    </row>
    <row r="273" s="5" customFormat="true" ht="28.5" hidden="false" customHeight="true" outlineLevel="0" collapsed="false">
      <c r="A273" s="16" t="str">
        <f aca="false">IF($T273="","",1+COUNTIF($W$15:$W$728,"&lt;"&amp;W273))</f>
        <v/>
      </c>
      <c r="B273" s="16" t="s">
        <v>12</v>
      </c>
      <c r="C273" s="16" t="s">
        <v>824</v>
      </c>
      <c r="D273" s="20" t="s">
        <v>141</v>
      </c>
      <c r="E273" s="16" t="s">
        <v>44</v>
      </c>
      <c r="F273" s="16" t="s">
        <v>825</v>
      </c>
      <c r="G273" s="16" t="s">
        <v>826</v>
      </c>
      <c r="H273" s="17" t="n">
        <v>1914</v>
      </c>
      <c r="I273" s="17"/>
      <c r="J273" s="17"/>
      <c r="K273" s="17" t="n">
        <v>1998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1914</v>
      </c>
      <c r="N273" s="17" t="str">
        <f aca="false">IF($I273="","",$I273+$L273)</f>
        <v/>
      </c>
      <c r="O273" s="17" t="n">
        <f aca="false">IF($K273="","",$K273+$L273)</f>
        <v>1998</v>
      </c>
      <c r="P273" s="17" t="str">
        <f aca="false">IF($B$10=0,"",IFERROR(IF($B$4&gt;0,IF($M273="",1/0,$M273*$B$4),0)+IF($B$5&gt;0,IF($N273="",1/0,$N273*$B$5),0)+IF($B$6&gt;0,IF($O273="",1/0,$O273*$B$6),0),""))</f>
        <v/>
      </c>
      <c r="Q273" s="17"/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273" s="2"/>
      <c r="XFC273" s="6"/>
    </row>
    <row r="274" s="5" customFormat="true" ht="28.5" hidden="false" customHeight="true" outlineLevel="0" collapsed="false">
      <c r="A274" s="16" t="str">
        <f aca="false">IF($T274="","",1+COUNTIF($W$15:$W$728,"&lt;"&amp;W274))</f>
        <v/>
      </c>
      <c r="B274" s="16" t="s">
        <v>6</v>
      </c>
      <c r="C274" s="16" t="s">
        <v>827</v>
      </c>
      <c r="D274" s="16" t="s">
        <v>574</v>
      </c>
      <c r="E274" s="16" t="s">
        <v>44</v>
      </c>
      <c r="F274" s="16" t="s">
        <v>828</v>
      </c>
      <c r="G274" s="16" t="s">
        <v>829</v>
      </c>
      <c r="H274" s="17" t="n">
        <v>1799</v>
      </c>
      <c r="I274" s="17"/>
      <c r="J274" s="17"/>
      <c r="K274" s="17" t="n">
        <v>1799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1799</v>
      </c>
      <c r="N274" s="17" t="str">
        <f aca="false">IF($I274="","",$I274+$L274)</f>
        <v/>
      </c>
      <c r="O274" s="17" t="n">
        <f aca="false">IF($K274="","",$K274+$L274)</f>
        <v>1799</v>
      </c>
      <c r="P274" s="17" t="str">
        <f aca="false">IF($B$10=0,"",IFERROR(IF($B$4&gt;0,IF($M274="",1/0,$M274*$B$4),0)+IF($B$5&gt;0,IF($N274="",1/0,$N274*$B$5),0)+IF($B$6&gt;0,IF($O274="",1/0,$O274*$B$6),0),""))</f>
        <v/>
      </c>
      <c r="Q274" s="17" t="s">
        <v>44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274" s="2"/>
      <c r="XFC274" s="6"/>
    </row>
    <row r="275" s="5" customFormat="true" ht="28.5" hidden="false" customHeight="true" outlineLevel="0" collapsed="false">
      <c r="A275" s="16" t="str">
        <f aca="false">IF($T275="","",1+COUNTIF($W$15:$W$728,"&lt;"&amp;W275))</f>
        <v/>
      </c>
      <c r="B275" s="16" t="s">
        <v>6</v>
      </c>
      <c r="C275" s="16" t="s">
        <v>830</v>
      </c>
      <c r="D275" s="16" t="s">
        <v>48</v>
      </c>
      <c r="E275" s="16" t="s">
        <v>44</v>
      </c>
      <c r="F275" s="16" t="s">
        <v>831</v>
      </c>
      <c r="G275" s="16" t="s">
        <v>832</v>
      </c>
      <c r="H275" s="17" t="n">
        <v>1939</v>
      </c>
      <c r="I275" s="17"/>
      <c r="J275" s="17"/>
      <c r="K275" s="17" t="n">
        <v>1939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1939</v>
      </c>
      <c r="N275" s="17" t="str">
        <f aca="false">IF($I275="","",$I275+$L275)</f>
        <v/>
      </c>
      <c r="O275" s="17" t="n">
        <f aca="false">IF($K275="","",$K275+$L275)</f>
        <v>1939</v>
      </c>
      <c r="P275" s="17" t="str">
        <f aca="false">IF($B$10=0,"",IFERROR(IF($B$4&gt;0,IF($M275="",1/0,$M275*$B$4),0)+IF($B$5&gt;0,IF($N275="",1/0,$N275*$B$5),0)+IF($B$6&gt;0,IF($O275="",1/0,$O275*$B$6),0),""))</f>
        <v/>
      </c>
      <c r="Q275" s="17" t="s">
        <v>44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275" s="2"/>
      <c r="XFC275" s="6"/>
    </row>
    <row r="276" s="5" customFormat="true" ht="28.5" hidden="false" customHeight="true" outlineLevel="0" collapsed="false">
      <c r="A276" s="16" t="str">
        <f aca="false">IF($T276="","",1+COUNTIF($W$15:$W$728,"&lt;"&amp;W276))</f>
        <v/>
      </c>
      <c r="B276" s="16" t="s">
        <v>6</v>
      </c>
      <c r="C276" s="16" t="s">
        <v>833</v>
      </c>
      <c r="D276" s="20" t="s">
        <v>131</v>
      </c>
      <c r="E276" s="16" t="s">
        <v>44</v>
      </c>
      <c r="F276" s="16" t="s">
        <v>834</v>
      </c>
      <c r="G276" s="16" t="s">
        <v>835</v>
      </c>
      <c r="H276" s="17" t="n">
        <v>1945</v>
      </c>
      <c r="I276" s="17"/>
      <c r="J276" s="17"/>
      <c r="K276" s="17" t="n">
        <v>1925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1945</v>
      </c>
      <c r="N276" s="17" t="str">
        <f aca="false">IF($I276="","",$I276+$L276)</f>
        <v/>
      </c>
      <c r="O276" s="17" t="n">
        <f aca="false">IF($K276="","",$K276+$L276)</f>
        <v>1925</v>
      </c>
      <c r="P276" s="17" t="str">
        <f aca="false">IF($B$10=0,"",IFERROR(IF($B$4&gt;0,IF($M276="",1/0,$M276*$B$4),0)+IF($B$5&gt;0,IF($N276="",1/0,$N276*$B$5),0)+IF($B$6&gt;0,IF($O276="",1/0,$O276*$B$6),0),""))</f>
        <v/>
      </c>
      <c r="Q276" s="17" t="s">
        <v>44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276" s="2"/>
      <c r="XFC276" s="6"/>
    </row>
    <row r="277" s="5" customFormat="true" ht="28.5" hidden="false" customHeight="true" outlineLevel="0" collapsed="false">
      <c r="A277" s="16" t="str">
        <f aca="false">IF($T277="","",1+COUNTIF($W$15:$W$728,"&lt;"&amp;W277))</f>
        <v/>
      </c>
      <c r="B277" s="16" t="s">
        <v>6</v>
      </c>
      <c r="C277" s="16" t="s">
        <v>836</v>
      </c>
      <c r="D277" s="16" t="s">
        <v>48</v>
      </c>
      <c r="E277" s="16" t="s">
        <v>44</v>
      </c>
      <c r="F277" s="16" t="s">
        <v>837</v>
      </c>
      <c r="G277" s="16" t="s">
        <v>838</v>
      </c>
      <c r="H277" s="17" t="n">
        <v>1885</v>
      </c>
      <c r="I277" s="17"/>
      <c r="J277" s="17"/>
      <c r="K277" s="17" t="n">
        <v>1885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1885</v>
      </c>
      <c r="N277" s="17" t="str">
        <f aca="false">IF($I277="","",$I277+$L277)</f>
        <v/>
      </c>
      <c r="O277" s="17" t="n">
        <f aca="false">IF($K277="","",$K277+$L277)</f>
        <v>1885</v>
      </c>
      <c r="P277" s="17" t="str">
        <f aca="false">IF($B$10=0,"",IFERROR(IF($B$4&gt;0,IF($M277="",1/0,$M277*$B$4),0)+IF($B$5&gt;0,IF($N277="",1/0,$N277*$B$5),0)+IF($B$6&gt;0,IF($O277="",1/0,$O277*$B$6),0),""))</f>
        <v/>
      </c>
      <c r="Q277" s="17" t="s">
        <v>44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277" s="2"/>
      <c r="XFC277" s="6"/>
    </row>
    <row r="278" s="5" customFormat="true" ht="28.5" hidden="false" customHeight="true" outlineLevel="0" collapsed="false">
      <c r="A278" s="16" t="str">
        <f aca="false">IF($T278="","",1+COUNTIF($W$15:$W$728,"&lt;"&amp;W278))</f>
        <v/>
      </c>
      <c r="B278" s="16" t="s">
        <v>6</v>
      </c>
      <c r="C278" s="16" t="s">
        <v>839</v>
      </c>
      <c r="D278" s="16" t="s">
        <v>48</v>
      </c>
      <c r="E278" s="16" t="s">
        <v>44</v>
      </c>
      <c r="F278" s="16" t="s">
        <v>840</v>
      </c>
      <c r="G278" s="16" t="s">
        <v>170</v>
      </c>
      <c r="H278" s="17" t="n">
        <v>1885</v>
      </c>
      <c r="I278" s="17"/>
      <c r="J278" s="17"/>
      <c r="K278" s="17" t="n">
        <v>1885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1885</v>
      </c>
      <c r="N278" s="17" t="str">
        <f aca="false">IF($I278="","",$I278+$L278)</f>
        <v/>
      </c>
      <c r="O278" s="17" t="n">
        <f aca="false">IF($K278="","",$K278+$L278)</f>
        <v>1885</v>
      </c>
      <c r="P278" s="17" t="str">
        <f aca="false">IF($B$10=0,"",IFERROR(IF($B$4&gt;0,IF($M278="",1/0,$M278*$B$4),0)+IF($B$5&gt;0,IF($N278="",1/0,$N278*$B$5),0)+IF($B$6&gt;0,IF($O278="",1/0,$O278*$B$6),0),""))</f>
        <v/>
      </c>
      <c r="Q278" s="17"/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278" s="2"/>
      <c r="XFC278" s="6"/>
    </row>
    <row r="279" s="5" customFormat="true" ht="28.5" hidden="false" customHeight="true" outlineLevel="0" collapsed="false">
      <c r="A279" s="16" t="str">
        <f aca="false">IF($T279="","",1+COUNTIF($W$15:$W$728,"&lt;"&amp;W279))</f>
        <v/>
      </c>
      <c r="B279" s="16" t="s">
        <v>10</v>
      </c>
      <c r="C279" s="16" t="s">
        <v>841</v>
      </c>
      <c r="D279" s="16" t="s">
        <v>281</v>
      </c>
      <c r="E279" s="16" t="s">
        <v>44</v>
      </c>
      <c r="F279" s="16" t="s">
        <v>842</v>
      </c>
      <c r="G279" s="16" t="s">
        <v>843</v>
      </c>
      <c r="H279" s="17" t="n">
        <v>1799</v>
      </c>
      <c r="I279" s="17"/>
      <c r="J279" s="17"/>
      <c r="K279" s="17" t="n">
        <v>1799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1799</v>
      </c>
      <c r="N279" s="17" t="str">
        <f aca="false">IF($I279="","",$I279+$L279)</f>
        <v/>
      </c>
      <c r="O279" s="17" t="n">
        <f aca="false">IF($K279="","",$K279+$L279)</f>
        <v>1799</v>
      </c>
      <c r="P279" s="17" t="str">
        <f aca="false">IF($B$10=0,"",IFERROR(IF($B$4&gt;0,IF($M279="",1/0,$M279*$B$4),0)+IF($B$5&gt;0,IF($N279="",1/0,$N279*$B$5),0)+IF($B$6&gt;0,IF($O279="",1/0,$O279*$B$6),0),""))</f>
        <v/>
      </c>
      <c r="Q279" s="17"/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279" s="2"/>
      <c r="XFC279" s="6"/>
    </row>
    <row r="280" s="5" customFormat="true" ht="28.5" hidden="false" customHeight="true" outlineLevel="0" collapsed="false">
      <c r="A280" s="16" t="str">
        <f aca="false">IF($T280="","",1+COUNTIF($W$15:$W$728,"&lt;"&amp;W280))</f>
        <v/>
      </c>
      <c r="B280" s="16" t="s">
        <v>6</v>
      </c>
      <c r="C280" s="16" t="s">
        <v>844</v>
      </c>
      <c r="D280" s="16" t="s">
        <v>43</v>
      </c>
      <c r="E280" s="16" t="s">
        <v>44</v>
      </c>
      <c r="F280" s="16" t="s">
        <v>845</v>
      </c>
      <c r="G280" s="16" t="s">
        <v>846</v>
      </c>
      <c r="H280" s="17" t="n">
        <v>1909</v>
      </c>
      <c r="I280" s="17"/>
      <c r="J280" s="17"/>
      <c r="K280" s="17" t="n">
        <v>1945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1909</v>
      </c>
      <c r="N280" s="17" t="str">
        <f aca="false">IF($I280="","",$I280+$L280)</f>
        <v/>
      </c>
      <c r="O280" s="17" t="n">
        <f aca="false">IF($K280="","",$K280+$L280)</f>
        <v>1945</v>
      </c>
      <c r="P280" s="17" t="str">
        <f aca="false">IF($B$10=0,"",IFERROR(IF($B$4&gt;0,IF($M280="",1/0,$M280*$B$4),0)+IF($B$5&gt;0,IF($N280="",1/0,$N280*$B$5),0)+IF($B$6&gt;0,IF($O280="",1/0,$O280*$B$6),0),""))</f>
        <v/>
      </c>
      <c r="Q280" s="17" t="s">
        <v>44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280" s="2"/>
      <c r="XFC280" s="6"/>
    </row>
    <row r="281" s="5" customFormat="true" ht="28.5" hidden="false" customHeight="true" outlineLevel="0" collapsed="false">
      <c r="A281" s="16" t="str">
        <f aca="false">IF($T281="","",1+COUNTIF($W$15:$W$728,"&lt;"&amp;W281))</f>
        <v/>
      </c>
      <c r="B281" s="16" t="s">
        <v>6</v>
      </c>
      <c r="C281" s="16" t="s">
        <v>847</v>
      </c>
      <c r="D281" s="16" t="s">
        <v>141</v>
      </c>
      <c r="E281" s="16" t="s">
        <v>44</v>
      </c>
      <c r="F281" s="16" t="s">
        <v>848</v>
      </c>
      <c r="G281" s="16" t="s">
        <v>849</v>
      </c>
      <c r="H281" s="17" t="n">
        <v>1905</v>
      </c>
      <c r="I281" s="17"/>
      <c r="J281" s="17"/>
      <c r="K281" s="17" t="n">
        <v>1965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1905</v>
      </c>
      <c r="N281" s="17" t="str">
        <f aca="false">IF($I281="","",$I281+$L281)</f>
        <v/>
      </c>
      <c r="O281" s="17" t="n">
        <f aca="false">IF($K281="","",$K281+$L281)</f>
        <v>1965</v>
      </c>
      <c r="P281" s="17" t="str">
        <f aca="false">IF($B$10=0,"",IFERROR(IF($B$4&gt;0,IF($M281="",1/0,$M281*$B$4),0)+IF($B$5&gt;0,IF($N281="",1/0,$N281*$B$5),0)+IF($B$6&gt;0,IF($O281="",1/0,$O281*$B$6),0),""))</f>
        <v/>
      </c>
      <c r="Q281" s="17" t="s">
        <v>44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281" s="2"/>
      <c r="XFC281" s="6"/>
    </row>
    <row r="282" s="5" customFormat="true" ht="28.5" hidden="false" customHeight="true" outlineLevel="0" collapsed="false">
      <c r="A282" s="16" t="str">
        <f aca="false">IF($T282="","",1+COUNTIF($W$15:$W$728,"&lt;"&amp;W282))</f>
        <v/>
      </c>
      <c r="B282" s="16" t="s">
        <v>6</v>
      </c>
      <c r="C282" s="16" t="s">
        <v>850</v>
      </c>
      <c r="D282" s="16" t="s">
        <v>48</v>
      </c>
      <c r="E282" s="16" t="s">
        <v>44</v>
      </c>
      <c r="F282" s="16" t="s">
        <v>851</v>
      </c>
      <c r="G282" s="16" t="s">
        <v>852</v>
      </c>
      <c r="H282" s="17" t="n">
        <v>1820</v>
      </c>
      <c r="I282" s="17"/>
      <c r="J282" s="17"/>
      <c r="K282" s="17" t="n">
        <v>1830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1820</v>
      </c>
      <c r="N282" s="17" t="str">
        <f aca="false">IF($I282="","",$I282+$L282)</f>
        <v/>
      </c>
      <c r="O282" s="17" t="n">
        <f aca="false">IF($K282="","",$K282+$L282)</f>
        <v>1830</v>
      </c>
      <c r="P282" s="17" t="str">
        <f aca="false">IF($B$10=0,"",IFERROR(IF($B$4&gt;0,IF($M282="",1/0,$M282*$B$4),0)+IF($B$5&gt;0,IF($N282="",1/0,$N282*$B$5),0)+IF($B$6&gt;0,IF($O282="",1/0,$O282*$B$6),0),""))</f>
        <v/>
      </c>
      <c r="Q282" s="17" t="s">
        <v>44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282" s="2"/>
      <c r="XFC282" s="6"/>
    </row>
    <row r="283" s="5" customFormat="true" ht="28.5" hidden="false" customHeight="true" outlineLevel="0" collapsed="false">
      <c r="A283" s="16" t="str">
        <f aca="false">IF($T283="","",1+COUNTIF($W$15:$W$728,"&lt;"&amp;W283))</f>
        <v/>
      </c>
      <c r="B283" s="16" t="s">
        <v>6</v>
      </c>
      <c r="C283" s="16" t="s">
        <v>853</v>
      </c>
      <c r="D283" s="16" t="s">
        <v>43</v>
      </c>
      <c r="E283" s="16" t="s">
        <v>44</v>
      </c>
      <c r="F283" s="16" t="s">
        <v>854</v>
      </c>
      <c r="G283" s="16" t="s">
        <v>855</v>
      </c>
      <c r="H283" s="17" t="n">
        <v>1995</v>
      </c>
      <c r="I283" s="17"/>
      <c r="J283" s="17"/>
      <c r="K283" s="17" t="n">
        <v>1995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1995</v>
      </c>
      <c r="N283" s="17" t="str">
        <f aca="false">IF($I283="","",$I283+$L283)</f>
        <v/>
      </c>
      <c r="O283" s="17" t="n">
        <f aca="false">IF($K283="","",$K283+$L283)</f>
        <v>1995</v>
      </c>
      <c r="P283" s="17" t="str">
        <f aca="false">IF($B$10=0,"",IFERROR(IF($B$4&gt;0,IF($M283="",1/0,$M283*$B$4),0)+IF($B$5&gt;0,IF($N283="",1/0,$N283*$B$5),0)+IF($B$6&gt;0,IF($O283="",1/0,$O283*$B$6),0),""))</f>
        <v/>
      </c>
      <c r="Q283" s="17" t="s">
        <v>44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283" s="2"/>
      <c r="XFC283" s="6"/>
    </row>
    <row r="284" s="5" customFormat="true" ht="28.5" hidden="false" customHeight="true" outlineLevel="0" collapsed="false">
      <c r="A284" s="16" t="str">
        <f aca="false">IF($T284="","",1+COUNTIF($W$15:$W$728,"&lt;"&amp;W284))</f>
        <v/>
      </c>
      <c r="B284" s="16" t="s">
        <v>6</v>
      </c>
      <c r="C284" s="16" t="s">
        <v>856</v>
      </c>
      <c r="D284" s="16" t="s">
        <v>48</v>
      </c>
      <c r="E284" s="16" t="s">
        <v>44</v>
      </c>
      <c r="F284" s="16" t="s">
        <v>857</v>
      </c>
      <c r="G284" s="16" t="s">
        <v>858</v>
      </c>
      <c r="H284" s="17" t="n">
        <v>1868</v>
      </c>
      <c r="I284" s="17"/>
      <c r="J284" s="17"/>
      <c r="K284" s="17" t="n">
        <v>1878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1868</v>
      </c>
      <c r="N284" s="17" t="str">
        <f aca="false">IF($I284="","",$I284+$L284)</f>
        <v/>
      </c>
      <c r="O284" s="17" t="n">
        <f aca="false">IF($K284="","",$K284+$L284)</f>
        <v>1878</v>
      </c>
      <c r="P284" s="17" t="str">
        <f aca="false">IF($B$10=0,"",IFERROR(IF($B$4&gt;0,IF($M284="",1/0,$M284*$B$4),0)+IF($B$5&gt;0,IF($N284="",1/0,$N284*$B$5),0)+IF($B$6&gt;0,IF($O284="",1/0,$O284*$B$6),0),""))</f>
        <v/>
      </c>
      <c r="Q284" s="17" t="s">
        <v>44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284" s="2"/>
      <c r="XFC284" s="6"/>
    </row>
    <row r="285" s="5" customFormat="true" ht="28.5" hidden="false" customHeight="true" outlineLevel="0" collapsed="false">
      <c r="A285" s="16" t="str">
        <f aca="false">IF($T285="","",1+COUNTIF($W$15:$W$728,"&lt;"&amp;W285))</f>
        <v/>
      </c>
      <c r="B285" s="16" t="s">
        <v>6</v>
      </c>
      <c r="C285" s="16" t="s">
        <v>469</v>
      </c>
      <c r="D285" s="16" t="s">
        <v>43</v>
      </c>
      <c r="E285" s="16" t="s">
        <v>44</v>
      </c>
      <c r="F285" s="16" t="s">
        <v>859</v>
      </c>
      <c r="G285" s="16" t="s">
        <v>860</v>
      </c>
      <c r="H285" s="17" t="n">
        <v>1899</v>
      </c>
      <c r="I285" s="17"/>
      <c r="J285" s="17"/>
      <c r="K285" s="17" t="n">
        <v>1899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1899</v>
      </c>
      <c r="N285" s="17" t="str">
        <f aca="false">IF($I285="","",$I285+$L285)</f>
        <v/>
      </c>
      <c r="O285" s="17" t="n">
        <f aca="false">IF($K285="","",$K285+$L285)</f>
        <v>1899</v>
      </c>
      <c r="P285" s="17" t="str">
        <f aca="false">IF($B$10=0,"",IFERROR(IF($B$4&gt;0,IF($M285="",1/0,$M285*$B$4),0)+IF($B$5&gt;0,IF($N285="",1/0,$N285*$B$5),0)+IF($B$6&gt;0,IF($O285="",1/0,$O285*$B$6),0),""))</f>
        <v/>
      </c>
      <c r="Q285" s="17" t="s">
        <v>44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285" s="2"/>
      <c r="XFC285" s="6"/>
    </row>
    <row r="286" s="5" customFormat="true" ht="28.5" hidden="false" customHeight="true" outlineLevel="0" collapsed="false">
      <c r="A286" s="16" t="str">
        <f aca="false">IF($T286="","",1+COUNTIF($W$15:$W$728,"&lt;"&amp;W286))</f>
        <v/>
      </c>
      <c r="B286" s="16" t="s">
        <v>6</v>
      </c>
      <c r="C286" s="16" t="s">
        <v>861</v>
      </c>
      <c r="D286" s="20" t="s">
        <v>131</v>
      </c>
      <c r="E286" s="16" t="s">
        <v>44</v>
      </c>
      <c r="F286" s="16" t="s">
        <v>862</v>
      </c>
      <c r="G286" s="16" t="s">
        <v>863</v>
      </c>
      <c r="H286" s="17" t="n">
        <v>1955</v>
      </c>
      <c r="I286" s="17"/>
      <c r="J286" s="17"/>
      <c r="K286" s="17" t="n">
        <v>1995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1955</v>
      </c>
      <c r="N286" s="17" t="str">
        <f aca="false">IF($I286="","",$I286+$L286)</f>
        <v/>
      </c>
      <c r="O286" s="17" t="n">
        <f aca="false">IF($K286="","",$K286+$L286)</f>
        <v>1995</v>
      </c>
      <c r="P286" s="17" t="str">
        <f aca="false">IF($B$10=0,"",IFERROR(IF($B$4&gt;0,IF($M286="",1/0,$M286*$B$4),0)+IF($B$5&gt;0,IF($N286="",1/0,$N286*$B$5),0)+IF($B$6&gt;0,IF($O286="",1/0,$O286*$B$6),0),""))</f>
        <v/>
      </c>
      <c r="Q286" s="17"/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286" s="2"/>
      <c r="XFC286" s="6"/>
    </row>
    <row r="287" s="5" customFormat="true" ht="28.5" hidden="false" customHeight="true" outlineLevel="0" collapsed="false">
      <c r="A287" s="16" t="str">
        <f aca="false">IF($T287="","",1+COUNTIF($W$15:$W$728,"&lt;"&amp;W287))</f>
        <v/>
      </c>
      <c r="B287" s="16" t="s">
        <v>6</v>
      </c>
      <c r="C287" s="16" t="s">
        <v>864</v>
      </c>
      <c r="D287" s="16" t="s">
        <v>43</v>
      </c>
      <c r="E287" s="16" t="s">
        <v>44</v>
      </c>
      <c r="F287" s="16" t="s">
        <v>865</v>
      </c>
      <c r="G287" s="16" t="s">
        <v>866</v>
      </c>
      <c r="H287" s="17" t="n">
        <v>1895</v>
      </c>
      <c r="I287" s="17"/>
      <c r="J287" s="17"/>
      <c r="K287" s="17" t="n">
        <v>1995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1895</v>
      </c>
      <c r="N287" s="17" t="str">
        <f aca="false">IF($I287="","",$I287+$L287)</f>
        <v/>
      </c>
      <c r="O287" s="17" t="n">
        <f aca="false">IF($K287="","",$K287+$L287)</f>
        <v>1995</v>
      </c>
      <c r="P287" s="17" t="str">
        <f aca="false">IF($B$10=0,"",IFERROR(IF($B$4&gt;0,IF($M287="",1/0,$M287*$B$4),0)+IF($B$5&gt;0,IF($N287="",1/0,$N287*$B$5),0)+IF($B$6&gt;0,IF($O287="",1/0,$O287*$B$6),0),""))</f>
        <v/>
      </c>
      <c r="Q287" s="17" t="s">
        <v>44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287" s="2"/>
      <c r="XFC287" s="6"/>
    </row>
    <row r="288" s="5" customFormat="true" ht="28.5" hidden="false" customHeight="true" outlineLevel="0" collapsed="false">
      <c r="A288" s="16" t="str">
        <f aca="false">IF($T288="","",1+COUNTIF($W$15:$W$728,"&lt;"&amp;W288))</f>
        <v/>
      </c>
      <c r="B288" s="16" t="s">
        <v>12</v>
      </c>
      <c r="C288" s="16" t="s">
        <v>867</v>
      </c>
      <c r="D288" s="16" t="s">
        <v>281</v>
      </c>
      <c r="E288" s="16" t="s">
        <v>44</v>
      </c>
      <c r="F288" s="16" t="s">
        <v>868</v>
      </c>
      <c r="G288" s="16" t="s">
        <v>869</v>
      </c>
      <c r="H288" s="17" t="n">
        <v>1836</v>
      </c>
      <c r="I288" s="17"/>
      <c r="J288" s="17"/>
      <c r="K288" s="17" t="n">
        <v>1839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1836</v>
      </c>
      <c r="N288" s="17" t="str">
        <f aca="false">IF($I288="","",$I288+$L288)</f>
        <v/>
      </c>
      <c r="O288" s="17" t="n">
        <f aca="false">IF($K288="","",$K288+$L288)</f>
        <v>1839</v>
      </c>
      <c r="P288" s="17" t="str">
        <f aca="false">IF($B$10=0,"",IFERROR(IF($B$4&gt;0,IF($M288="",1/0,$M288*$B$4),0)+IF($B$5&gt;0,IF($N288="",1/0,$N288*$B$5),0)+IF($B$6&gt;0,IF($O288="",1/0,$O288*$B$6),0),""))</f>
        <v/>
      </c>
      <c r="Q288" s="17" t="s">
        <v>44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21" t="n">
        <f aca="false">IF($T288="",1000000000000000,$T288)</f>
        <v>1000000000000000</v>
      </c>
      <c r="X288" s="2"/>
      <c r="XFC288" s="6"/>
    </row>
    <row r="289" s="5" customFormat="true" ht="28.5" hidden="false" customHeight="true" outlineLevel="0" collapsed="false">
      <c r="A289" s="16" t="str">
        <f aca="false">IF($T289="","",1+COUNTIF($W$15:$W$728,"&lt;"&amp;W289))</f>
        <v/>
      </c>
      <c r="B289" s="16" t="s">
        <v>12</v>
      </c>
      <c r="C289" s="16" t="s">
        <v>870</v>
      </c>
      <c r="D289" s="20" t="s">
        <v>141</v>
      </c>
      <c r="E289" s="16" t="s">
        <v>44</v>
      </c>
      <c r="F289" s="16" t="s">
        <v>871</v>
      </c>
      <c r="G289" s="16" t="s">
        <v>872</v>
      </c>
      <c r="H289" s="17" t="n">
        <v>1919</v>
      </c>
      <c r="I289" s="17"/>
      <c r="J289" s="17"/>
      <c r="K289" s="17" t="n">
        <v>1949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1919</v>
      </c>
      <c r="N289" s="17" t="str">
        <f aca="false">IF($I289="","",$I289+$L289)</f>
        <v/>
      </c>
      <c r="O289" s="17" t="n">
        <f aca="false">IF($K289="","",$K289+$L289)</f>
        <v>1949</v>
      </c>
      <c r="P289" s="17" t="str">
        <f aca="false">IF($B$10=0,"",IFERROR(IF($B$4&gt;0,IF($M289="",1/0,$M289*$B$4),0)+IF($B$5&gt;0,IF($N289="",1/0,$N289*$B$5),0)+IF($B$6&gt;0,IF($O289="",1/0,$O289*$B$6),0),""))</f>
        <v/>
      </c>
      <c r="Q289" s="17"/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289" s="2"/>
      <c r="XFC289" s="6"/>
    </row>
    <row r="290" s="5" customFormat="true" ht="28.5" hidden="false" customHeight="true" outlineLevel="0" collapsed="false">
      <c r="A290" s="16" t="str">
        <f aca="false">IF($T290="","",1+COUNTIF($W$15:$W$728,"&lt;"&amp;W290))</f>
        <v/>
      </c>
      <c r="B290" s="16" t="s">
        <v>14</v>
      </c>
      <c r="C290" s="16" t="s">
        <v>873</v>
      </c>
      <c r="D290" s="16" t="s">
        <v>43</v>
      </c>
      <c r="E290" s="16" t="s">
        <v>44</v>
      </c>
      <c r="F290" s="16" t="s">
        <v>874</v>
      </c>
      <c r="G290" s="16" t="s">
        <v>875</v>
      </c>
      <c r="H290" s="17" t="n">
        <v>1859</v>
      </c>
      <c r="I290" s="17"/>
      <c r="J290" s="17"/>
      <c r="K290" s="17" t="n">
        <v>1899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1859</v>
      </c>
      <c r="N290" s="17" t="str">
        <f aca="false">IF($I290="","",$I290+$L290)</f>
        <v/>
      </c>
      <c r="O290" s="17" t="n">
        <f aca="false">IF($K290="","",$K290+$L290)</f>
        <v>1899</v>
      </c>
      <c r="P290" s="17" t="str">
        <f aca="false">IF($B$10=0,"",IFERROR(IF($B$4&gt;0,IF($M290="",1/0,$M290*$B$4),0)+IF($B$5&gt;0,IF($N290="",1/0,$N290*$B$5),0)+IF($B$6&gt;0,IF($O290="",1/0,$O290*$B$6),0),""))</f>
        <v/>
      </c>
      <c r="Q290" s="17" t="s">
        <v>44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290" s="2"/>
      <c r="XFC290" s="6"/>
    </row>
    <row r="291" s="5" customFormat="true" ht="28.5" hidden="false" customHeight="true" outlineLevel="0" collapsed="false">
      <c r="A291" s="16" t="str">
        <f aca="false">IF($T291="","",1+COUNTIF($W$15:$W$728,"&lt;"&amp;W291))</f>
        <v/>
      </c>
      <c r="B291" s="16" t="s">
        <v>6</v>
      </c>
      <c r="C291" s="16" t="s">
        <v>876</v>
      </c>
      <c r="D291" s="16" t="s">
        <v>43</v>
      </c>
      <c r="E291" s="16" t="s">
        <v>44</v>
      </c>
      <c r="F291" s="16" t="s">
        <v>877</v>
      </c>
      <c r="G291" s="16" t="s">
        <v>878</v>
      </c>
      <c r="H291" s="17" t="n">
        <v>1934</v>
      </c>
      <c r="I291" s="17"/>
      <c r="J291" s="17"/>
      <c r="K291" s="17" t="n">
        <v>1994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1934</v>
      </c>
      <c r="N291" s="17" t="str">
        <f aca="false">IF($I291="","",$I291+$L291)</f>
        <v/>
      </c>
      <c r="O291" s="17" t="n">
        <f aca="false">IF($K291="","",$K291+$L291)</f>
        <v>1994</v>
      </c>
      <c r="P291" s="17" t="str">
        <f aca="false">IF($B$10=0,"",IFERROR(IF($B$4&gt;0,IF($M291="",1/0,$M291*$B$4),0)+IF($B$5&gt;0,IF($N291="",1/0,$N291*$B$5),0)+IF($B$6&gt;0,IF($O291="",1/0,$O291*$B$6),0),""))</f>
        <v/>
      </c>
      <c r="Q291" s="17" t="s">
        <v>44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291" s="2"/>
      <c r="XFC291" s="6"/>
    </row>
    <row r="292" s="5" customFormat="true" ht="28.5" hidden="false" customHeight="true" outlineLevel="0" collapsed="false">
      <c r="A292" s="16" t="str">
        <f aca="false">IF($T292="","",1+COUNTIF($W$15:$W$728,"&lt;"&amp;W292))</f>
        <v/>
      </c>
      <c r="B292" s="16" t="s">
        <v>6</v>
      </c>
      <c r="C292" s="16" t="s">
        <v>879</v>
      </c>
      <c r="D292" s="20" t="s">
        <v>131</v>
      </c>
      <c r="E292" s="16" t="s">
        <v>44</v>
      </c>
      <c r="F292" s="16" t="s">
        <v>880</v>
      </c>
      <c r="G292" s="16" t="s">
        <v>881</v>
      </c>
      <c r="H292" s="17" t="n">
        <v>1945</v>
      </c>
      <c r="I292" s="17"/>
      <c r="J292" s="17"/>
      <c r="K292" s="17" t="n">
        <v>1975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1945</v>
      </c>
      <c r="N292" s="17" t="str">
        <f aca="false">IF($I292="","",$I292+$L292)</f>
        <v/>
      </c>
      <c r="O292" s="17" t="n">
        <f aca="false">IF($K292="","",$K292+$L292)</f>
        <v>1975</v>
      </c>
      <c r="P292" s="17" t="str">
        <f aca="false">IF($B$10=0,"",IFERROR(IF($B$4&gt;0,IF($M292="",1/0,$M292*$B$4),0)+IF($B$5&gt;0,IF($N292="",1/0,$N292*$B$5),0)+IF($B$6&gt;0,IF($O292="",1/0,$O292*$B$6),0),""))</f>
        <v/>
      </c>
      <c r="Q292" s="17" t="s">
        <v>44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292" s="2"/>
      <c r="XFC292" s="6"/>
    </row>
    <row r="293" s="5" customFormat="true" ht="28.5" hidden="false" customHeight="true" outlineLevel="0" collapsed="false">
      <c r="A293" s="16" t="str">
        <f aca="false">IF($T293="","",1+COUNTIF($W$15:$W$728,"&lt;"&amp;W293))</f>
        <v/>
      </c>
      <c r="B293" s="16" t="s">
        <v>6</v>
      </c>
      <c r="C293" s="16" t="s">
        <v>882</v>
      </c>
      <c r="D293" s="16" t="s">
        <v>43</v>
      </c>
      <c r="E293" s="16" t="s">
        <v>44</v>
      </c>
      <c r="F293" s="16" t="s">
        <v>883</v>
      </c>
      <c r="G293" s="16" t="s">
        <v>884</v>
      </c>
      <c r="H293" s="17" t="n">
        <v>1945</v>
      </c>
      <c r="I293" s="17"/>
      <c r="J293" s="17"/>
      <c r="K293" s="17" t="n">
        <v>1985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1945</v>
      </c>
      <c r="N293" s="17" t="str">
        <f aca="false">IF($I293="","",$I293+$L293)</f>
        <v/>
      </c>
      <c r="O293" s="17" t="n">
        <f aca="false">IF($K293="","",$K293+$L293)</f>
        <v>1985</v>
      </c>
      <c r="P293" s="17" t="str">
        <f aca="false">IF($B$10=0,"",IFERROR(IF($B$4&gt;0,IF($M293="",1/0,$M293*$B$4),0)+IF($B$5&gt;0,IF($N293="",1/0,$N293*$B$5),0)+IF($B$6&gt;0,IF($O293="",1/0,$O293*$B$6),0),""))</f>
        <v/>
      </c>
      <c r="Q293" s="17"/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293" s="2"/>
      <c r="XFC293" s="6"/>
    </row>
    <row r="294" s="5" customFormat="true" ht="28.5" hidden="false" customHeight="true" outlineLevel="0" collapsed="false">
      <c r="A294" s="16" t="str">
        <f aca="false">IF($T294="","",1+COUNTIF($W$15:$W$728,"&lt;"&amp;W294))</f>
        <v/>
      </c>
      <c r="B294" s="16" t="s">
        <v>14</v>
      </c>
      <c r="C294" s="16" t="s">
        <v>885</v>
      </c>
      <c r="D294" s="16" t="s">
        <v>43</v>
      </c>
      <c r="E294" s="16" t="s">
        <v>44</v>
      </c>
      <c r="F294" s="16" t="s">
        <v>886</v>
      </c>
      <c r="G294" s="16" t="s">
        <v>887</v>
      </c>
      <c r="H294" s="17" t="n">
        <v>1925</v>
      </c>
      <c r="I294" s="17"/>
      <c r="J294" s="17"/>
      <c r="K294" s="17" t="n">
        <v>1895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1925</v>
      </c>
      <c r="N294" s="17" t="str">
        <f aca="false">IF($I294="","",$I294+$L294)</f>
        <v/>
      </c>
      <c r="O294" s="17" t="n">
        <f aca="false">IF($K294="","",$K294+$L294)</f>
        <v>1895</v>
      </c>
      <c r="P294" s="17" t="str">
        <f aca="false">IF($B$10=0,"",IFERROR(IF($B$4&gt;0,IF($M294="",1/0,$M294*$B$4),0)+IF($B$5&gt;0,IF($N294="",1/0,$N294*$B$5),0)+IF($B$6&gt;0,IF($O294="",1/0,$O294*$B$6),0),""))</f>
        <v/>
      </c>
      <c r="Q294" s="17"/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294" s="2"/>
      <c r="XFC294" s="6"/>
    </row>
    <row r="295" s="5" customFormat="true" ht="28.5" hidden="false" customHeight="true" outlineLevel="0" collapsed="false">
      <c r="A295" s="16" t="str">
        <f aca="false">IF($T295="","",1+COUNTIF($W$15:$W$728,"&lt;"&amp;W295))</f>
        <v/>
      </c>
      <c r="B295" s="16" t="s">
        <v>12</v>
      </c>
      <c r="C295" s="16" t="s">
        <v>888</v>
      </c>
      <c r="D295" s="20" t="s">
        <v>574</v>
      </c>
      <c r="E295" s="16" t="s">
        <v>58</v>
      </c>
      <c r="F295" s="16" t="s">
        <v>889</v>
      </c>
      <c r="G295" s="16" t="s">
        <v>890</v>
      </c>
      <c r="H295" s="17" t="n">
        <v>1915</v>
      </c>
      <c r="I295" s="17"/>
      <c r="J295" s="17"/>
      <c r="K295" s="17" t="n">
        <v>1935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1915</v>
      </c>
      <c r="N295" s="17" t="str">
        <f aca="false">IF($I295="","",$I295+$L295)</f>
        <v/>
      </c>
      <c r="O295" s="17" t="n">
        <f aca="false">IF($K295="","",$K295+$L295)</f>
        <v>1935</v>
      </c>
      <c r="P295" s="17" t="str">
        <f aca="false">IF($B$10=0,"",IFERROR(IF($B$4&gt;0,IF($M295="",1/0,$M295*$B$4),0)+IF($B$5&gt;0,IF($N295="",1/0,$N295*$B$5),0)+IF($B$6&gt;0,IF($O295="",1/0,$O295*$B$6),0),""))</f>
        <v/>
      </c>
      <c r="Q295" s="17"/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295" s="2"/>
      <c r="XFC295" s="6"/>
    </row>
    <row r="296" s="5" customFormat="true" ht="28.5" hidden="false" customHeight="true" outlineLevel="0" collapsed="false">
      <c r="A296" s="16" t="str">
        <f aca="false">IF($T296="","",1+COUNTIF($W$15:$W$728,"&lt;"&amp;W296))</f>
        <v/>
      </c>
      <c r="B296" s="16" t="s">
        <v>12</v>
      </c>
      <c r="C296" s="16" t="s">
        <v>891</v>
      </c>
      <c r="D296" s="20" t="s">
        <v>303</v>
      </c>
      <c r="E296" s="16" t="s">
        <v>44</v>
      </c>
      <c r="F296" s="16" t="s">
        <v>892</v>
      </c>
      <c r="G296" s="16" t="s">
        <v>893</v>
      </c>
      <c r="H296" s="17" t="n">
        <v>1919</v>
      </c>
      <c r="I296" s="17"/>
      <c r="J296" s="17"/>
      <c r="K296" s="17" t="n">
        <v>1959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1919</v>
      </c>
      <c r="N296" s="17" t="str">
        <f aca="false">IF($I296="","",$I296+$L296)</f>
        <v/>
      </c>
      <c r="O296" s="17" t="n">
        <f aca="false">IF($K296="","",$K296+$L296)</f>
        <v>1959</v>
      </c>
      <c r="P296" s="17" t="str">
        <f aca="false">IF($B$10=0,"",IFERROR(IF($B$4&gt;0,IF($M296="",1/0,$M296*$B$4),0)+IF($B$5&gt;0,IF($N296="",1/0,$N296*$B$5),0)+IF($B$6&gt;0,IF($O296="",1/0,$O296*$B$6),0),""))</f>
        <v/>
      </c>
      <c r="Q296" s="17" t="s">
        <v>44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296" s="2"/>
      <c r="XFC296" s="6"/>
    </row>
    <row r="297" s="5" customFormat="true" ht="28.5" hidden="false" customHeight="true" outlineLevel="0" collapsed="false">
      <c r="A297" s="16" t="str">
        <f aca="false">IF($T297="","",1+COUNTIF($W$15:$W$728,"&lt;"&amp;W297))</f>
        <v/>
      </c>
      <c r="B297" s="16" t="s">
        <v>12</v>
      </c>
      <c r="C297" s="16" t="s">
        <v>894</v>
      </c>
      <c r="D297" s="20" t="s">
        <v>131</v>
      </c>
      <c r="E297" s="16" t="s">
        <v>44</v>
      </c>
      <c r="F297" s="16" t="s">
        <v>895</v>
      </c>
      <c r="G297" s="16" t="s">
        <v>896</v>
      </c>
      <c r="H297" s="17" t="n">
        <v>1959</v>
      </c>
      <c r="I297" s="17"/>
      <c r="J297" s="17"/>
      <c r="K297" s="17" t="n">
        <v>1999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1959</v>
      </c>
      <c r="N297" s="17" t="str">
        <f aca="false">IF($I297="","",$I297+$L297)</f>
        <v/>
      </c>
      <c r="O297" s="17" t="n">
        <f aca="false">IF($K297="","",$K297+$L297)</f>
        <v>1999</v>
      </c>
      <c r="P297" s="17" t="str">
        <f aca="false">IF($B$10=0,"",IFERROR(IF($B$4&gt;0,IF($M297="",1/0,$M297*$B$4),0)+IF($B$5&gt;0,IF($N297="",1/0,$N297*$B$5),0)+IF($B$6&gt;0,IF($O297="",1/0,$O297*$B$6),0),""))</f>
        <v/>
      </c>
      <c r="Q297" s="17"/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297" s="2"/>
      <c r="XFC297" s="6"/>
    </row>
    <row r="298" s="5" customFormat="true" ht="28.5" hidden="false" customHeight="true" outlineLevel="0" collapsed="false">
      <c r="A298" s="16" t="str">
        <f aca="false">IF($T298="","",1+COUNTIF($W$15:$W$728,"&lt;"&amp;W298))</f>
        <v/>
      </c>
      <c r="B298" s="16" t="s">
        <v>12</v>
      </c>
      <c r="C298" s="16" t="s">
        <v>897</v>
      </c>
      <c r="D298" s="20" t="s">
        <v>131</v>
      </c>
      <c r="E298" s="16" t="s">
        <v>58</v>
      </c>
      <c r="F298" s="16" t="s">
        <v>898</v>
      </c>
      <c r="G298" s="16" t="s">
        <v>899</v>
      </c>
      <c r="H298" s="17" t="n">
        <v>1828</v>
      </c>
      <c r="I298" s="17"/>
      <c r="J298" s="17"/>
      <c r="K298" s="17" t="n">
        <v>1828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1828</v>
      </c>
      <c r="N298" s="17" t="str">
        <f aca="false">IF($I298="","",$I298+$L298)</f>
        <v/>
      </c>
      <c r="O298" s="17" t="n">
        <f aca="false">IF($K298="","",$K298+$L298)</f>
        <v>1828</v>
      </c>
      <c r="P298" s="17" t="str">
        <f aca="false">IF($B$10=0,"",IFERROR(IF($B$4&gt;0,IF($M298="",1/0,$M298*$B$4),0)+IF($B$5&gt;0,IF($N298="",1/0,$N298*$B$5),0)+IF($B$6&gt;0,IF($O298="",1/0,$O298*$B$6),0),""))</f>
        <v/>
      </c>
      <c r="Q298" s="17"/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298" s="2"/>
      <c r="XFC298" s="6"/>
    </row>
    <row r="299" s="5" customFormat="true" ht="28.5" hidden="false" customHeight="true" outlineLevel="0" collapsed="false">
      <c r="A299" s="16" t="str">
        <f aca="false">IF($T299="","",1+COUNTIF($W$15:$W$728,"&lt;"&amp;W299))</f>
        <v/>
      </c>
      <c r="B299" s="16" t="s">
        <v>12</v>
      </c>
      <c r="C299" s="16" t="s">
        <v>900</v>
      </c>
      <c r="D299" s="20" t="s">
        <v>141</v>
      </c>
      <c r="E299" s="16" t="s">
        <v>44</v>
      </c>
      <c r="F299" s="16" t="s">
        <v>901</v>
      </c>
      <c r="G299" s="16" t="s">
        <v>902</v>
      </c>
      <c r="H299" s="17" t="n">
        <v>1995</v>
      </c>
      <c r="I299" s="17"/>
      <c r="J299" s="17"/>
      <c r="K299" s="17" t="n">
        <v>2095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1995</v>
      </c>
      <c r="N299" s="17" t="str">
        <f aca="false">IF($I299="","",$I299+$L299)</f>
        <v/>
      </c>
      <c r="O299" s="17" t="n">
        <f aca="false">IF($K299="","",$K299+$L299)</f>
        <v>2095</v>
      </c>
      <c r="P299" s="17" t="str">
        <f aca="false">IF($B$10=0,"",IFERROR(IF($B$4&gt;0,IF($M299="",1/0,$M299*$B$4),0)+IF($B$5&gt;0,IF($N299="",1/0,$N299*$B$5),0)+IF($B$6&gt;0,IF($O299="",1/0,$O299*$B$6),0),""))</f>
        <v/>
      </c>
      <c r="Q299" s="17"/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299" s="2"/>
      <c r="XFC299" s="6"/>
    </row>
    <row r="300" s="5" customFormat="true" ht="28.5" hidden="false" customHeight="true" outlineLevel="0" collapsed="false">
      <c r="A300" s="16" t="str">
        <f aca="false">IF($T300="","",1+COUNTIF($W$15:$W$728,"&lt;"&amp;W300))</f>
        <v/>
      </c>
      <c r="B300" s="16" t="s">
        <v>12</v>
      </c>
      <c r="C300" s="16" t="s">
        <v>903</v>
      </c>
      <c r="D300" s="20" t="s">
        <v>208</v>
      </c>
      <c r="E300" s="16" t="s">
        <v>44</v>
      </c>
      <c r="F300" s="16" t="s">
        <v>904</v>
      </c>
      <c r="G300" s="16" t="s">
        <v>905</v>
      </c>
      <c r="H300" s="17" t="n">
        <v>1878</v>
      </c>
      <c r="I300" s="17"/>
      <c r="J300" s="17"/>
      <c r="K300" s="17" t="n">
        <v>1928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1878</v>
      </c>
      <c r="N300" s="17" t="str">
        <f aca="false">IF($I300="","",$I300+$L300)</f>
        <v/>
      </c>
      <c r="O300" s="17" t="n">
        <f aca="false">IF($K300="","",$K300+$L300)</f>
        <v>1928</v>
      </c>
      <c r="P300" s="17" t="str">
        <f aca="false">IF($B$10=0,"",IFERROR(IF($B$4&gt;0,IF($M300="",1/0,$M300*$B$4),0)+IF($B$5&gt;0,IF($N300="",1/0,$N300*$B$5),0)+IF($B$6&gt;0,IF($O300="",1/0,$O300*$B$6),0),""))</f>
        <v/>
      </c>
      <c r="Q300" s="17"/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300" s="2"/>
      <c r="XFC300" s="6"/>
    </row>
    <row r="301" s="5" customFormat="true" ht="28.5" hidden="false" customHeight="true" outlineLevel="0" collapsed="false">
      <c r="A301" s="16" t="str">
        <f aca="false">IF($T301="","",1+COUNTIF($W$15:$W$728,"&lt;"&amp;W301))</f>
        <v/>
      </c>
      <c r="B301" s="16" t="s">
        <v>10</v>
      </c>
      <c r="C301" s="16" t="s">
        <v>906</v>
      </c>
      <c r="D301" s="16" t="s">
        <v>574</v>
      </c>
      <c r="E301" s="16" t="s">
        <v>44</v>
      </c>
      <c r="F301" s="16" t="s">
        <v>907</v>
      </c>
      <c r="G301" s="16" t="s">
        <v>908</v>
      </c>
      <c r="H301" s="17" t="n">
        <v>1769</v>
      </c>
      <c r="I301" s="17"/>
      <c r="J301" s="17"/>
      <c r="K301" s="17" t="n">
        <v>1769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1769</v>
      </c>
      <c r="N301" s="17" t="str">
        <f aca="false">IF($I301="","",$I301+$L301)</f>
        <v/>
      </c>
      <c r="O301" s="17" t="n">
        <f aca="false">IF($K301="","",$K301+$L301)</f>
        <v>1769</v>
      </c>
      <c r="P301" s="17" t="str">
        <f aca="false">IF($B$10=0,"",IFERROR(IF($B$4&gt;0,IF($M301="",1/0,$M301*$B$4),0)+IF($B$5&gt;0,IF($N301="",1/0,$N301*$B$5),0)+IF($B$6&gt;0,IF($O301="",1/0,$O301*$B$6),0),""))</f>
        <v/>
      </c>
      <c r="Q301" s="17"/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301" s="2"/>
      <c r="XFC301" s="6"/>
    </row>
    <row r="302" s="5" customFormat="true" ht="28.5" hidden="false" customHeight="true" outlineLevel="0" collapsed="false">
      <c r="A302" s="16" t="str">
        <f aca="false">IF($T302="","",1+COUNTIF($W$15:$W$728,"&lt;"&amp;W302))</f>
        <v/>
      </c>
      <c r="B302" s="16" t="s">
        <v>12</v>
      </c>
      <c r="C302" s="16" t="s">
        <v>864</v>
      </c>
      <c r="D302" s="20" t="s">
        <v>303</v>
      </c>
      <c r="E302" s="16" t="s">
        <v>58</v>
      </c>
      <c r="F302" s="16" t="s">
        <v>909</v>
      </c>
      <c r="G302" s="16" t="s">
        <v>910</v>
      </c>
      <c r="H302" s="17" t="n">
        <v>1898</v>
      </c>
      <c r="I302" s="17"/>
      <c r="J302" s="17"/>
      <c r="K302" s="17" t="n">
        <v>1978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1898</v>
      </c>
      <c r="N302" s="17" t="str">
        <f aca="false">IF($I302="","",$I302+$L302)</f>
        <v/>
      </c>
      <c r="O302" s="17" t="n">
        <f aca="false">IF($K302="","",$K302+$L302)</f>
        <v>1978</v>
      </c>
      <c r="P302" s="17" t="str">
        <f aca="false">IF($B$10=0,"",IFERROR(IF($B$4&gt;0,IF($M302="",1/0,$M302*$B$4),0)+IF($B$5&gt;0,IF($N302="",1/0,$N302*$B$5),0)+IF($B$6&gt;0,IF($O302="",1/0,$O302*$B$6),0),""))</f>
        <v/>
      </c>
      <c r="Q302" s="17"/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302" s="2"/>
      <c r="XFC302" s="6"/>
    </row>
    <row r="303" s="5" customFormat="true" ht="28.5" hidden="false" customHeight="true" outlineLevel="0" collapsed="false">
      <c r="A303" s="16" t="str">
        <f aca="false">IF($T303="","",1+COUNTIF($W$15:$W$728,"&lt;"&amp;W303))</f>
        <v/>
      </c>
      <c r="B303" s="16" t="s">
        <v>6</v>
      </c>
      <c r="C303" s="16" t="s">
        <v>911</v>
      </c>
      <c r="D303" s="20" t="s">
        <v>131</v>
      </c>
      <c r="E303" s="16" t="s">
        <v>44</v>
      </c>
      <c r="F303" s="16" t="s">
        <v>912</v>
      </c>
      <c r="G303" s="16" t="s">
        <v>913</v>
      </c>
      <c r="H303" s="17" t="n">
        <v>1875</v>
      </c>
      <c r="I303" s="17"/>
      <c r="J303" s="17"/>
      <c r="K303" s="17" t="n">
        <v>1895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1875</v>
      </c>
      <c r="N303" s="17" t="str">
        <f aca="false">IF($I303="","",$I303+$L303)</f>
        <v/>
      </c>
      <c r="O303" s="17" t="n">
        <f aca="false">IF($K303="","",$K303+$L303)</f>
        <v>1895</v>
      </c>
      <c r="P303" s="17" t="str">
        <f aca="false">IF($B$10=0,"",IFERROR(IF($B$4&gt;0,IF($M303="",1/0,$M303*$B$4),0)+IF($B$5&gt;0,IF($N303="",1/0,$N303*$B$5),0)+IF($B$6&gt;0,IF($O303="",1/0,$O303*$B$6),0),""))</f>
        <v/>
      </c>
      <c r="Q303" s="17" t="s">
        <v>44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303" s="2"/>
      <c r="XFC303" s="6"/>
    </row>
    <row r="304" s="5" customFormat="true" ht="28.5" hidden="false" customHeight="true" outlineLevel="0" collapsed="false">
      <c r="A304" s="16" t="str">
        <f aca="false">IF($T304="","",1+COUNTIF($W$15:$W$728,"&lt;"&amp;W304))</f>
        <v/>
      </c>
      <c r="B304" s="16" t="s">
        <v>10</v>
      </c>
      <c r="C304" s="16" t="s">
        <v>914</v>
      </c>
      <c r="D304" s="16" t="s">
        <v>141</v>
      </c>
      <c r="E304" s="16" t="s">
        <v>44</v>
      </c>
      <c r="F304" s="16" t="s">
        <v>915</v>
      </c>
      <c r="G304" s="16" t="s">
        <v>916</v>
      </c>
      <c r="H304" s="17" t="n">
        <v>1859</v>
      </c>
      <c r="I304" s="17"/>
      <c r="J304" s="17"/>
      <c r="K304" s="17" t="n">
        <v>1859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1859</v>
      </c>
      <c r="N304" s="17" t="str">
        <f aca="false">IF($I304="","",$I304+$L304)</f>
        <v/>
      </c>
      <c r="O304" s="17" t="n">
        <f aca="false">IF($K304="","",$K304+$L304)</f>
        <v>1859</v>
      </c>
      <c r="P304" s="17" t="str">
        <f aca="false">IF($B$10=0,"",IFERROR(IF($B$4&gt;0,IF($M304="",1/0,$M304*$B$4),0)+IF($B$5&gt;0,IF($N304="",1/0,$N304*$B$5),0)+IF($B$6&gt;0,IF($O304="",1/0,$O304*$B$6),0),""))</f>
        <v/>
      </c>
      <c r="Q304" s="17"/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304" s="2"/>
      <c r="XFC304" s="6"/>
    </row>
    <row r="305" s="5" customFormat="true" ht="28.5" hidden="false" customHeight="true" outlineLevel="0" collapsed="false">
      <c r="A305" s="16" t="str">
        <f aca="false">IF($T305="","",1+COUNTIF($W$15:$W$728,"&lt;"&amp;W305))</f>
        <v/>
      </c>
      <c r="B305" s="16" t="s">
        <v>12</v>
      </c>
      <c r="C305" s="16" t="s">
        <v>917</v>
      </c>
      <c r="D305" s="20" t="s">
        <v>574</v>
      </c>
      <c r="E305" s="16" t="s">
        <v>44</v>
      </c>
      <c r="F305" s="16" t="s">
        <v>918</v>
      </c>
      <c r="G305" s="16" t="s">
        <v>919</v>
      </c>
      <c r="H305" s="17" t="n">
        <v>1799</v>
      </c>
      <c r="I305" s="17"/>
      <c r="J305" s="17"/>
      <c r="K305" s="17" t="n">
        <v>1849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1799</v>
      </c>
      <c r="N305" s="17" t="str">
        <f aca="false">IF($I305="","",$I305+$L305)</f>
        <v/>
      </c>
      <c r="O305" s="17" t="n">
        <f aca="false">IF($K305="","",$K305+$L305)</f>
        <v>1849</v>
      </c>
      <c r="P305" s="17" t="str">
        <f aca="false">IF($B$10=0,"",IFERROR(IF($B$4&gt;0,IF($M305="",1/0,$M305*$B$4),0)+IF($B$5&gt;0,IF($N305="",1/0,$N305*$B$5),0)+IF($B$6&gt;0,IF($O305="",1/0,$O305*$B$6),0),""))</f>
        <v/>
      </c>
      <c r="Q305" s="17"/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305" s="2"/>
      <c r="XFC305" s="6"/>
    </row>
    <row r="306" s="5" customFormat="true" ht="28.5" hidden="false" customHeight="true" outlineLevel="0" collapsed="false">
      <c r="A306" s="16" t="str">
        <f aca="false">IF($T306="","",1+COUNTIF($W$15:$W$728,"&lt;"&amp;W306))</f>
        <v/>
      </c>
      <c r="B306" s="16" t="s">
        <v>8</v>
      </c>
      <c r="C306" s="16" t="s">
        <v>920</v>
      </c>
      <c r="D306" s="16" t="s">
        <v>43</v>
      </c>
      <c r="E306" s="16" t="s">
        <v>44</v>
      </c>
      <c r="F306" s="16" t="s">
        <v>921</v>
      </c>
      <c r="G306" s="16" t="s">
        <v>922</v>
      </c>
      <c r="H306" s="17" t="n">
        <v>1799</v>
      </c>
      <c r="I306" s="17"/>
      <c r="J306" s="17"/>
      <c r="K306" s="17" t="n">
        <v>1819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1799</v>
      </c>
      <c r="N306" s="17" t="str">
        <f aca="false">IF($I306="","",$I306+$L306)</f>
        <v/>
      </c>
      <c r="O306" s="17" t="n">
        <f aca="false">IF($K306="","",$K306+$L306)</f>
        <v>1819</v>
      </c>
      <c r="P306" s="17" t="str">
        <f aca="false">IF($B$10=0,"",IFERROR(IF($B$4&gt;0,IF($M306="",1/0,$M306*$B$4),0)+IF($B$5&gt;0,IF($N306="",1/0,$N306*$B$5),0)+IF($B$6&gt;0,IF($O306="",1/0,$O306*$B$6),0),""))</f>
        <v/>
      </c>
      <c r="Q306" s="17" t="s">
        <v>44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306" s="2"/>
      <c r="XFC306" s="6"/>
    </row>
    <row r="307" s="5" customFormat="true" ht="28.5" hidden="false" customHeight="true" outlineLevel="0" collapsed="false">
      <c r="A307" s="16" t="str">
        <f aca="false">IF($T307="","",1+COUNTIF($W$15:$W$728,"&lt;"&amp;W307))</f>
        <v/>
      </c>
      <c r="B307" s="16" t="s">
        <v>8</v>
      </c>
      <c r="C307" s="16" t="s">
        <v>923</v>
      </c>
      <c r="D307" s="16" t="s">
        <v>574</v>
      </c>
      <c r="E307" s="16" t="s">
        <v>44</v>
      </c>
      <c r="F307" s="16" t="s">
        <v>924</v>
      </c>
      <c r="G307" s="16" t="s">
        <v>925</v>
      </c>
      <c r="H307" s="17" t="n">
        <v>1799</v>
      </c>
      <c r="I307" s="17"/>
      <c r="J307" s="17"/>
      <c r="K307" s="17" t="n">
        <v>1815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1799</v>
      </c>
      <c r="N307" s="17" t="str">
        <f aca="false">IF($I307="","",$I307+$L307)</f>
        <v/>
      </c>
      <c r="O307" s="17" t="n">
        <f aca="false">IF($K307="","",$K307+$L307)</f>
        <v>1815</v>
      </c>
      <c r="P307" s="17" t="str">
        <f aca="false">IF($B$10=0,"",IFERROR(IF($B$4&gt;0,IF($M307="",1/0,$M307*$B$4),0)+IF($B$5&gt;0,IF($N307="",1/0,$N307*$B$5),0)+IF($B$6&gt;0,IF($O307="",1/0,$O307*$B$6),0),""))</f>
        <v/>
      </c>
      <c r="Q307" s="17"/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307" s="2"/>
      <c r="XFC307" s="6"/>
    </row>
    <row r="308" s="5" customFormat="true" ht="28.5" hidden="false" customHeight="true" outlineLevel="0" collapsed="false">
      <c r="A308" s="16" t="str">
        <f aca="false">IF($T308="","",1+COUNTIF($W$15:$W$728,"&lt;"&amp;W308))</f>
        <v/>
      </c>
      <c r="B308" s="16" t="s">
        <v>14</v>
      </c>
      <c r="C308" s="16" t="s">
        <v>926</v>
      </c>
      <c r="D308" s="16" t="s">
        <v>43</v>
      </c>
      <c r="E308" s="16" t="s">
        <v>44</v>
      </c>
      <c r="F308" s="16" t="s">
        <v>927</v>
      </c>
      <c r="G308" s="16" t="s">
        <v>928</v>
      </c>
      <c r="H308" s="17" t="n">
        <v>1912</v>
      </c>
      <c r="I308" s="17"/>
      <c r="J308" s="17"/>
      <c r="K308" s="17" t="n">
        <v>1932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1912</v>
      </c>
      <c r="N308" s="17" t="str">
        <f aca="false">IF($I308="","",$I308+$L308)</f>
        <v/>
      </c>
      <c r="O308" s="17" t="n">
        <f aca="false">IF($K308="","",$K308+$L308)</f>
        <v>1932</v>
      </c>
      <c r="P308" s="17" t="str">
        <f aca="false">IF($B$10=0,"",IFERROR(IF($B$4&gt;0,IF($M308="",1/0,$M308*$B$4),0)+IF($B$5&gt;0,IF($N308="",1/0,$N308*$B$5),0)+IF($B$6&gt;0,IF($O308="",1/0,$O308*$B$6),0),""))</f>
        <v/>
      </c>
      <c r="Q308" s="17"/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308" s="2"/>
      <c r="XFC308" s="6"/>
    </row>
    <row r="309" s="5" customFormat="true" ht="28.5" hidden="false" customHeight="true" outlineLevel="0" collapsed="false">
      <c r="A309" s="16" t="str">
        <f aca="false">IF($T309="","",1+COUNTIF($W$15:$W$728,"&lt;"&amp;W309))</f>
        <v/>
      </c>
      <c r="B309" s="16" t="s">
        <v>6</v>
      </c>
      <c r="C309" s="16" t="s">
        <v>929</v>
      </c>
      <c r="D309" s="16" t="s">
        <v>141</v>
      </c>
      <c r="E309" s="16" t="s">
        <v>44</v>
      </c>
      <c r="F309" s="16" t="s">
        <v>930</v>
      </c>
      <c r="G309" s="16" t="s">
        <v>931</v>
      </c>
      <c r="H309" s="17" t="n">
        <v>1899</v>
      </c>
      <c r="I309" s="17"/>
      <c r="J309" s="17"/>
      <c r="K309" s="17" t="n">
        <v>1899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1899</v>
      </c>
      <c r="N309" s="17" t="str">
        <f aca="false">IF($I309="","",$I309+$L309)</f>
        <v/>
      </c>
      <c r="O309" s="17" t="n">
        <f aca="false">IF($K309="","",$K309+$L309)</f>
        <v>1899</v>
      </c>
      <c r="P309" s="17" t="str">
        <f aca="false">IF($B$10=0,"",IFERROR(IF($B$4&gt;0,IF($M309="",1/0,$M309*$B$4),0)+IF($B$5&gt;0,IF($N309="",1/0,$N309*$B$5),0)+IF($B$6&gt;0,IF($O309="",1/0,$O309*$B$6),0),""))</f>
        <v/>
      </c>
      <c r="Q309" s="17" t="s">
        <v>44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309" s="2"/>
      <c r="XFC309" s="6"/>
    </row>
    <row r="310" s="5" customFormat="true" ht="28.5" hidden="false" customHeight="true" outlineLevel="0" collapsed="false">
      <c r="A310" s="16" t="str">
        <f aca="false">IF($T310="","",1+COUNTIF($W$15:$W$728,"&lt;"&amp;W310))</f>
        <v/>
      </c>
      <c r="B310" s="16" t="s">
        <v>10</v>
      </c>
      <c r="C310" s="16" t="s">
        <v>932</v>
      </c>
      <c r="D310" s="16" t="s">
        <v>43</v>
      </c>
      <c r="E310" s="16" t="s">
        <v>44</v>
      </c>
      <c r="F310" s="16" t="s">
        <v>933</v>
      </c>
      <c r="G310" s="16" t="s">
        <v>934</v>
      </c>
      <c r="H310" s="17" t="n">
        <v>1849</v>
      </c>
      <c r="I310" s="17"/>
      <c r="J310" s="17"/>
      <c r="K310" s="17" t="n">
        <v>1859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1849</v>
      </c>
      <c r="N310" s="17" t="str">
        <f aca="false">IF($I310="","",$I310+$L310)</f>
        <v/>
      </c>
      <c r="O310" s="17" t="n">
        <f aca="false">IF($K310="","",$K310+$L310)</f>
        <v>1859</v>
      </c>
      <c r="P310" s="17" t="str">
        <f aca="false">IF($B$10=0,"",IFERROR(IF($B$4&gt;0,IF($M310="",1/0,$M310*$B$4),0)+IF($B$5&gt;0,IF($N310="",1/0,$N310*$B$5),0)+IF($B$6&gt;0,IF($O310="",1/0,$O310*$B$6),0),""))</f>
        <v/>
      </c>
      <c r="Q310" s="17"/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310" s="2"/>
      <c r="XFC310" s="6"/>
    </row>
    <row r="311" s="5" customFormat="true" ht="28.5" hidden="false" customHeight="true" outlineLevel="0" collapsed="false">
      <c r="A311" s="16" t="str">
        <f aca="false">IF($T311="","",1+COUNTIF($W$15:$W$728,"&lt;"&amp;W311))</f>
        <v/>
      </c>
      <c r="B311" s="16" t="s">
        <v>10</v>
      </c>
      <c r="C311" s="16" t="s">
        <v>935</v>
      </c>
      <c r="D311" s="16" t="s">
        <v>43</v>
      </c>
      <c r="E311" s="16" t="s">
        <v>44</v>
      </c>
      <c r="F311" s="16" t="s">
        <v>936</v>
      </c>
      <c r="G311" s="16" t="s">
        <v>937</v>
      </c>
      <c r="H311" s="17" t="n">
        <v>1859</v>
      </c>
      <c r="I311" s="17"/>
      <c r="J311" s="17"/>
      <c r="K311" s="17" t="n">
        <v>1899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1859</v>
      </c>
      <c r="N311" s="17" t="str">
        <f aca="false">IF($I311="","",$I311+$L311)</f>
        <v/>
      </c>
      <c r="O311" s="17" t="n">
        <f aca="false">IF($K311="","",$K311+$L311)</f>
        <v>1899</v>
      </c>
      <c r="P311" s="17" t="str">
        <f aca="false">IF($B$10=0,"",IFERROR(IF($B$4&gt;0,IF($M311="",1/0,$M311*$B$4),0)+IF($B$5&gt;0,IF($N311="",1/0,$N311*$B$5),0)+IF($B$6&gt;0,IF($O311="",1/0,$O311*$B$6),0),""))</f>
        <v/>
      </c>
      <c r="Q311" s="17"/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311" s="2"/>
      <c r="XFC311" s="6"/>
    </row>
    <row r="312" s="5" customFormat="true" ht="28.5" hidden="false" customHeight="true" outlineLevel="0" collapsed="false">
      <c r="A312" s="16" t="str">
        <f aca="false">IF($T312="","",1+COUNTIF($W$15:$W$728,"&lt;"&amp;W312))</f>
        <v/>
      </c>
      <c r="B312" s="16" t="s">
        <v>10</v>
      </c>
      <c r="C312" s="16" t="s">
        <v>938</v>
      </c>
      <c r="D312" s="16" t="s">
        <v>43</v>
      </c>
      <c r="E312" s="16" t="s">
        <v>44</v>
      </c>
      <c r="F312" s="16" t="s">
        <v>939</v>
      </c>
      <c r="G312" s="16" t="s">
        <v>940</v>
      </c>
      <c r="H312" s="17" t="n">
        <v>1849</v>
      </c>
      <c r="I312" s="17"/>
      <c r="J312" s="17"/>
      <c r="K312" s="17" t="n">
        <v>1899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1849</v>
      </c>
      <c r="N312" s="17" t="str">
        <f aca="false">IF($I312="","",$I312+$L312)</f>
        <v/>
      </c>
      <c r="O312" s="17" t="n">
        <f aca="false">IF($K312="","",$K312+$L312)</f>
        <v>1899</v>
      </c>
      <c r="P312" s="17" t="str">
        <f aca="false">IF($B$10=0,"",IFERROR(IF($B$4&gt;0,IF($M312="",1/0,$M312*$B$4),0)+IF($B$5&gt;0,IF($N312="",1/0,$N312*$B$5),0)+IF($B$6&gt;0,IF($O312="",1/0,$O312*$B$6),0),""))</f>
        <v/>
      </c>
      <c r="Q312" s="17"/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312" s="2"/>
      <c r="XFC312" s="6"/>
    </row>
    <row r="313" s="5" customFormat="true" ht="28.5" hidden="false" customHeight="true" outlineLevel="0" collapsed="false">
      <c r="A313" s="16" t="str">
        <f aca="false">IF($T313="","",1+COUNTIF($W$15:$W$728,"&lt;"&amp;W313))</f>
        <v/>
      </c>
      <c r="B313" s="16" t="s">
        <v>10</v>
      </c>
      <c r="C313" s="16" t="s">
        <v>941</v>
      </c>
      <c r="D313" s="16" t="s">
        <v>141</v>
      </c>
      <c r="E313" s="16" t="s">
        <v>44</v>
      </c>
      <c r="F313" s="16" t="s">
        <v>942</v>
      </c>
      <c r="G313" s="16" t="s">
        <v>943</v>
      </c>
      <c r="H313" s="17" t="n">
        <v>1899</v>
      </c>
      <c r="I313" s="17"/>
      <c r="J313" s="17"/>
      <c r="K313" s="17" t="n">
        <v>1899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1899</v>
      </c>
      <c r="N313" s="17" t="str">
        <f aca="false">IF($I313="","",$I313+$L313)</f>
        <v/>
      </c>
      <c r="O313" s="17" t="n">
        <f aca="false">IF($K313="","",$K313+$L313)</f>
        <v>1899</v>
      </c>
      <c r="P313" s="17" t="str">
        <f aca="false">IF($B$10=0,"",IFERROR(IF($B$4&gt;0,IF($M313="",1/0,$M313*$B$4),0)+IF($B$5&gt;0,IF($N313="",1/0,$N313*$B$5),0)+IF($B$6&gt;0,IF($O313="",1/0,$O313*$B$6),0),""))</f>
        <v/>
      </c>
      <c r="Q313" s="17"/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313" s="2"/>
      <c r="XFC313" s="6"/>
    </row>
    <row r="314" s="5" customFormat="true" ht="28.5" hidden="false" customHeight="true" outlineLevel="0" collapsed="false">
      <c r="A314" s="16" t="str">
        <f aca="false">IF($T314="","",1+COUNTIF($W$15:$W$728,"&lt;"&amp;W314))</f>
        <v/>
      </c>
      <c r="B314" s="16" t="s">
        <v>10</v>
      </c>
      <c r="C314" s="16" t="s">
        <v>944</v>
      </c>
      <c r="D314" s="16" t="s">
        <v>43</v>
      </c>
      <c r="E314" s="16" t="s">
        <v>44</v>
      </c>
      <c r="F314" s="16" t="s">
        <v>945</v>
      </c>
      <c r="G314" s="16" t="s">
        <v>946</v>
      </c>
      <c r="H314" s="17" t="n">
        <v>1899</v>
      </c>
      <c r="I314" s="17"/>
      <c r="J314" s="17"/>
      <c r="K314" s="17" t="n">
        <v>1964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1899</v>
      </c>
      <c r="N314" s="17" t="str">
        <f aca="false">IF($I314="","",$I314+$L314)</f>
        <v/>
      </c>
      <c r="O314" s="17" t="n">
        <f aca="false">IF($K314="","",$K314+$L314)</f>
        <v>1964</v>
      </c>
      <c r="P314" s="17" t="str">
        <f aca="false">IF($B$10=0,"",IFERROR(IF($B$4&gt;0,IF($M314="",1/0,$M314*$B$4),0)+IF($B$5&gt;0,IF($N314="",1/0,$N314*$B$5),0)+IF($B$6&gt;0,IF($O314="",1/0,$O314*$B$6),0),""))</f>
        <v/>
      </c>
      <c r="Q314" s="17"/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314" s="2"/>
      <c r="XFC314" s="6"/>
    </row>
    <row r="315" s="5" customFormat="true" ht="28.5" hidden="false" customHeight="true" outlineLevel="0" collapsed="false">
      <c r="A315" s="16" t="str">
        <f aca="false">IF($T315="","",1+COUNTIF($W$15:$W$728,"&lt;"&amp;W315))</f>
        <v/>
      </c>
      <c r="B315" s="16" t="s">
        <v>12</v>
      </c>
      <c r="C315" s="16" t="s">
        <v>947</v>
      </c>
      <c r="D315" s="20" t="s">
        <v>303</v>
      </c>
      <c r="E315" s="16" t="s">
        <v>44</v>
      </c>
      <c r="F315" s="16" t="s">
        <v>948</v>
      </c>
      <c r="G315" s="16" t="s">
        <v>949</v>
      </c>
      <c r="H315" s="17" t="n">
        <v>1959</v>
      </c>
      <c r="I315" s="17"/>
      <c r="J315" s="17"/>
      <c r="K315" s="17" t="n">
        <v>1999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1959</v>
      </c>
      <c r="N315" s="17" t="str">
        <f aca="false">IF($I315="","",$I315+$L315)</f>
        <v/>
      </c>
      <c r="O315" s="17" t="n">
        <f aca="false">IF($K315="","",$K315+$L315)</f>
        <v>1999</v>
      </c>
      <c r="P315" s="17" t="str">
        <f aca="false">IF($B$10=0,"",IFERROR(IF($B$4&gt;0,IF($M315="",1/0,$M315*$B$4),0)+IF($B$5&gt;0,IF($N315="",1/0,$N315*$B$5),0)+IF($B$6&gt;0,IF($O315="",1/0,$O315*$B$6),0),""))</f>
        <v/>
      </c>
      <c r="Q315" s="17"/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315" s="2"/>
      <c r="XFC315" s="6"/>
    </row>
    <row r="316" s="5" customFormat="true" ht="28.5" hidden="false" customHeight="true" outlineLevel="0" collapsed="false">
      <c r="A316" s="16" t="str">
        <f aca="false">IF($T316="","",1+COUNTIF($W$15:$W$728,"&lt;"&amp;W316))</f>
        <v/>
      </c>
      <c r="B316" s="16" t="s">
        <v>6</v>
      </c>
      <c r="C316" s="16" t="s">
        <v>950</v>
      </c>
      <c r="D316" s="16" t="s">
        <v>141</v>
      </c>
      <c r="E316" s="16" t="s">
        <v>44</v>
      </c>
      <c r="F316" s="16" t="s">
        <v>951</v>
      </c>
      <c r="G316" s="16" t="s">
        <v>952</v>
      </c>
      <c r="H316" s="17" t="n">
        <v>1875</v>
      </c>
      <c r="I316" s="17"/>
      <c r="J316" s="17"/>
      <c r="K316" s="17" t="n">
        <v>1945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1875</v>
      </c>
      <c r="N316" s="17" t="str">
        <f aca="false">IF($I316="","",$I316+$L316)</f>
        <v/>
      </c>
      <c r="O316" s="17" t="n">
        <f aca="false">IF($K316="","",$K316+$L316)</f>
        <v>1945</v>
      </c>
      <c r="P316" s="17" t="str">
        <f aca="false">IF($B$10=0,"",IFERROR(IF($B$4&gt;0,IF($M316="",1/0,$M316*$B$4),0)+IF($B$5&gt;0,IF($N316="",1/0,$N316*$B$5),0)+IF($B$6&gt;0,IF($O316="",1/0,$O316*$B$6),0),""))</f>
        <v/>
      </c>
      <c r="Q316" s="17" t="s">
        <v>44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316" s="2"/>
      <c r="XFC316" s="6"/>
    </row>
    <row r="317" s="5" customFormat="true" ht="28.5" hidden="false" customHeight="true" outlineLevel="0" collapsed="false">
      <c r="A317" s="16" t="str">
        <f aca="false">IF($T317="","",1+COUNTIF($W$15:$W$728,"&lt;"&amp;W317))</f>
        <v/>
      </c>
      <c r="B317" s="16" t="s">
        <v>6</v>
      </c>
      <c r="C317" s="16" t="s">
        <v>953</v>
      </c>
      <c r="D317" s="16" t="s">
        <v>43</v>
      </c>
      <c r="E317" s="16" t="s">
        <v>44</v>
      </c>
      <c r="F317" s="16" t="s">
        <v>954</v>
      </c>
      <c r="G317" s="16" t="s">
        <v>955</v>
      </c>
      <c r="H317" s="17" t="n">
        <v>1874</v>
      </c>
      <c r="I317" s="17"/>
      <c r="J317" s="17"/>
      <c r="K317" s="17" t="n">
        <v>1944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1874</v>
      </c>
      <c r="N317" s="17" t="str">
        <f aca="false">IF($I317="","",$I317+$L317)</f>
        <v/>
      </c>
      <c r="O317" s="17" t="n">
        <f aca="false">IF($K317="","",$K317+$L317)</f>
        <v>1944</v>
      </c>
      <c r="P317" s="17" t="str">
        <f aca="false">IF($B$10=0,"",IFERROR(IF($B$4&gt;0,IF($M317="",1/0,$M317*$B$4),0)+IF($B$5&gt;0,IF($N317="",1/0,$N317*$B$5),0)+IF($B$6&gt;0,IF($O317="",1/0,$O317*$B$6),0),""))</f>
        <v/>
      </c>
      <c r="Q317" s="17" t="s">
        <v>44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317" s="2"/>
      <c r="XFC317" s="6"/>
    </row>
    <row r="318" s="5" customFormat="true" ht="28.5" hidden="false" customHeight="true" outlineLevel="0" collapsed="false">
      <c r="A318" s="16" t="str">
        <f aca="false">IF($T318="","",1+COUNTIF($W$15:$W$728,"&lt;"&amp;W318))</f>
        <v/>
      </c>
      <c r="B318" s="16" t="s">
        <v>6</v>
      </c>
      <c r="C318" s="16" t="s">
        <v>956</v>
      </c>
      <c r="D318" s="16" t="s">
        <v>43</v>
      </c>
      <c r="E318" s="16" t="s">
        <v>44</v>
      </c>
      <c r="F318" s="16" t="s">
        <v>957</v>
      </c>
      <c r="G318" s="16" t="s">
        <v>958</v>
      </c>
      <c r="H318" s="17" t="n">
        <v>1899</v>
      </c>
      <c r="I318" s="17"/>
      <c r="J318" s="17"/>
      <c r="K318" s="17" t="n">
        <v>1899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1899</v>
      </c>
      <c r="N318" s="17" t="str">
        <f aca="false">IF($I318="","",$I318+$L318)</f>
        <v/>
      </c>
      <c r="O318" s="17" t="n">
        <f aca="false">IF($K318="","",$K318+$L318)</f>
        <v>1899</v>
      </c>
      <c r="P318" s="17" t="str">
        <f aca="false">IF($B$10=0,"",IFERROR(IF($B$4&gt;0,IF($M318="",1/0,$M318*$B$4),0)+IF($B$5&gt;0,IF($N318="",1/0,$N318*$B$5),0)+IF($B$6&gt;0,IF($O318="",1/0,$O318*$B$6),0),""))</f>
        <v/>
      </c>
      <c r="Q318" s="17" t="s">
        <v>44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318" s="2"/>
      <c r="XFC318" s="6"/>
    </row>
    <row r="319" s="5" customFormat="true" ht="28.5" hidden="false" customHeight="true" outlineLevel="0" collapsed="false">
      <c r="A319" s="16" t="str">
        <f aca="false">IF($T319="","",1+COUNTIF($W$15:$W$728,"&lt;"&amp;W319))</f>
        <v/>
      </c>
      <c r="B319" s="16" t="s">
        <v>10</v>
      </c>
      <c r="C319" s="16" t="s">
        <v>959</v>
      </c>
      <c r="D319" s="16" t="s">
        <v>43</v>
      </c>
      <c r="E319" s="16" t="s">
        <v>44</v>
      </c>
      <c r="F319" s="16" t="s">
        <v>960</v>
      </c>
      <c r="G319" s="16" t="s">
        <v>961</v>
      </c>
      <c r="H319" s="17" t="n">
        <v>1849</v>
      </c>
      <c r="I319" s="17"/>
      <c r="J319" s="17"/>
      <c r="K319" s="17" t="n">
        <v>1899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1849</v>
      </c>
      <c r="N319" s="17" t="str">
        <f aca="false">IF($I319="","",$I319+$L319)</f>
        <v/>
      </c>
      <c r="O319" s="17" t="n">
        <f aca="false">IF($K319="","",$K319+$L319)</f>
        <v>1899</v>
      </c>
      <c r="P319" s="17" t="str">
        <f aca="false">IF($B$10=0,"",IFERROR(IF($B$4&gt;0,IF($M319="",1/0,$M319*$B$4),0)+IF($B$5&gt;0,IF($N319="",1/0,$N319*$B$5),0)+IF($B$6&gt;0,IF($O319="",1/0,$O319*$B$6),0),""))</f>
        <v/>
      </c>
      <c r="Q319" s="17"/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319" s="2"/>
      <c r="XFC319" s="6"/>
    </row>
    <row r="320" s="5" customFormat="true" ht="28.5" hidden="false" customHeight="true" outlineLevel="0" collapsed="false">
      <c r="A320" s="16" t="str">
        <f aca="false">IF($T320="","",1+COUNTIF($W$15:$W$728,"&lt;"&amp;W320))</f>
        <v/>
      </c>
      <c r="B320" s="16" t="s">
        <v>12</v>
      </c>
      <c r="C320" s="16" t="s">
        <v>962</v>
      </c>
      <c r="D320" s="20" t="s">
        <v>141</v>
      </c>
      <c r="E320" s="16" t="s">
        <v>44</v>
      </c>
      <c r="F320" s="16" t="s">
        <v>963</v>
      </c>
      <c r="G320" s="16" t="s">
        <v>964</v>
      </c>
      <c r="H320" s="17" t="n">
        <v>1929</v>
      </c>
      <c r="I320" s="17"/>
      <c r="J320" s="17"/>
      <c r="K320" s="17" t="n">
        <v>1999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1929</v>
      </c>
      <c r="N320" s="17" t="str">
        <f aca="false">IF($I320="","",$I320+$L320)</f>
        <v/>
      </c>
      <c r="O320" s="17" t="n">
        <f aca="false">IF($K320="","",$K320+$L320)</f>
        <v>1999</v>
      </c>
      <c r="P320" s="17" t="str">
        <f aca="false">IF($B$10=0,"",IFERROR(IF($B$4&gt;0,IF($M320="",1/0,$M320*$B$4),0)+IF($B$5&gt;0,IF($N320="",1/0,$N320*$B$5),0)+IF($B$6&gt;0,IF($O320="",1/0,$O320*$B$6),0),""))</f>
        <v/>
      </c>
      <c r="Q320" s="17"/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320" s="2"/>
      <c r="XFC320" s="6"/>
    </row>
    <row r="321" s="5" customFormat="true" ht="28.5" hidden="false" customHeight="true" outlineLevel="0" collapsed="false">
      <c r="A321" s="16" t="str">
        <f aca="false">IF($T321="","",1+COUNTIF($W$15:$W$728,"&lt;"&amp;W321))</f>
        <v/>
      </c>
      <c r="B321" s="16" t="s">
        <v>10</v>
      </c>
      <c r="C321" s="16" t="s">
        <v>965</v>
      </c>
      <c r="D321" s="16" t="s">
        <v>281</v>
      </c>
      <c r="E321" s="16" t="s">
        <v>44</v>
      </c>
      <c r="F321" s="16" t="s">
        <v>966</v>
      </c>
      <c r="G321" s="16" t="s">
        <v>967</v>
      </c>
      <c r="H321" s="17" t="n">
        <v>1799</v>
      </c>
      <c r="I321" s="17"/>
      <c r="J321" s="17"/>
      <c r="K321" s="17" t="n">
        <v>1799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1799</v>
      </c>
      <c r="N321" s="17" t="str">
        <f aca="false">IF($I321="","",$I321+$L321)</f>
        <v/>
      </c>
      <c r="O321" s="17" t="n">
        <f aca="false">IF($K321="","",$K321+$L321)</f>
        <v>1799</v>
      </c>
      <c r="P321" s="17" t="str">
        <f aca="false">IF($B$10=0,"",IFERROR(IF($B$4&gt;0,IF($M321="",1/0,$M321*$B$4),0)+IF($B$5&gt;0,IF($N321="",1/0,$N321*$B$5),0)+IF($B$6&gt;0,IF($O321="",1/0,$O321*$B$6),0),""))</f>
        <v/>
      </c>
      <c r="Q321" s="17"/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321" s="2"/>
      <c r="XFC321" s="6"/>
    </row>
    <row r="322" s="5" customFormat="true" ht="28.5" hidden="false" customHeight="true" outlineLevel="0" collapsed="false">
      <c r="A322" s="16" t="str">
        <f aca="false">IF($T322="","",1+COUNTIF($W$15:$W$728,"&lt;"&amp;W322))</f>
        <v/>
      </c>
      <c r="B322" s="16" t="s">
        <v>10</v>
      </c>
      <c r="C322" s="16" t="s">
        <v>968</v>
      </c>
      <c r="D322" s="16" t="s">
        <v>48</v>
      </c>
      <c r="E322" s="16" t="s">
        <v>44</v>
      </c>
      <c r="F322" s="16" t="s">
        <v>969</v>
      </c>
      <c r="G322" s="16" t="s">
        <v>970</v>
      </c>
      <c r="H322" s="17" t="n">
        <v>1829</v>
      </c>
      <c r="I322" s="17"/>
      <c r="J322" s="17"/>
      <c r="K322" s="17" t="n">
        <v>1849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1829</v>
      </c>
      <c r="N322" s="17" t="str">
        <f aca="false">IF($I322="","",$I322+$L322)</f>
        <v/>
      </c>
      <c r="O322" s="17" t="n">
        <f aca="false">IF($K322="","",$K322+$L322)</f>
        <v>1849</v>
      </c>
      <c r="P322" s="17" t="str">
        <f aca="false">IF($B$10=0,"",IFERROR(IF($B$4&gt;0,IF($M322="",1/0,$M322*$B$4),0)+IF($B$5&gt;0,IF($N322="",1/0,$N322*$B$5),0)+IF($B$6&gt;0,IF($O322="",1/0,$O322*$B$6),0),""))</f>
        <v/>
      </c>
      <c r="Q322" s="17"/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322" s="2"/>
      <c r="XFC322" s="6"/>
    </row>
    <row r="323" s="5" customFormat="true" ht="28.5" hidden="false" customHeight="true" outlineLevel="0" collapsed="false">
      <c r="A323" s="16" t="str">
        <f aca="false">IF($T323="","",1+COUNTIF($W$15:$W$728,"&lt;"&amp;W323))</f>
        <v/>
      </c>
      <c r="B323" s="16" t="s">
        <v>10</v>
      </c>
      <c r="C323" s="16" t="s">
        <v>971</v>
      </c>
      <c r="D323" s="20" t="s">
        <v>131</v>
      </c>
      <c r="E323" s="16" t="s">
        <v>44</v>
      </c>
      <c r="F323" s="16" t="s">
        <v>972</v>
      </c>
      <c r="G323" s="16" t="s">
        <v>973</v>
      </c>
      <c r="H323" s="17" t="n">
        <v>1859</v>
      </c>
      <c r="I323" s="17"/>
      <c r="J323" s="17"/>
      <c r="K323" s="17" t="n">
        <v>1997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1859</v>
      </c>
      <c r="N323" s="17" t="str">
        <f aca="false">IF($I323="","",$I323+$L323)</f>
        <v/>
      </c>
      <c r="O323" s="17" t="n">
        <f aca="false">IF($K323="","",$K323+$L323)</f>
        <v>1997</v>
      </c>
      <c r="P323" s="17" t="str">
        <f aca="false">IF($B$10=0,"",IFERROR(IF($B$4&gt;0,IF($M323="",1/0,$M323*$B$4),0)+IF($B$5&gt;0,IF($N323="",1/0,$N323*$B$5),0)+IF($B$6&gt;0,IF($O323="",1/0,$O323*$B$6),0),""))</f>
        <v/>
      </c>
      <c r="Q323" s="17"/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323" s="2"/>
      <c r="XFC323" s="6"/>
    </row>
    <row r="324" s="5" customFormat="true" ht="28.5" hidden="false" customHeight="true" outlineLevel="0" collapsed="false">
      <c r="A324" s="16" t="str">
        <f aca="false">IF($T324="","",1+COUNTIF($W$15:$W$728,"&lt;"&amp;W324))</f>
        <v/>
      </c>
      <c r="B324" s="16" t="s">
        <v>12</v>
      </c>
      <c r="C324" s="16" t="s">
        <v>974</v>
      </c>
      <c r="D324" s="20" t="s">
        <v>303</v>
      </c>
      <c r="E324" s="16" t="s">
        <v>44</v>
      </c>
      <c r="F324" s="16" t="s">
        <v>975</v>
      </c>
      <c r="G324" s="16" t="s">
        <v>976</v>
      </c>
      <c r="H324" s="17" t="n">
        <v>1899</v>
      </c>
      <c r="I324" s="17"/>
      <c r="J324" s="17"/>
      <c r="K324" s="17" t="n">
        <v>1998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1899</v>
      </c>
      <c r="N324" s="17" t="str">
        <f aca="false">IF($I324="","",$I324+$L324)</f>
        <v/>
      </c>
      <c r="O324" s="17" t="n">
        <f aca="false">IF($K324="","",$K324+$L324)</f>
        <v>1998</v>
      </c>
      <c r="P324" s="17" t="str">
        <f aca="false">IF($B$10=0,"",IFERROR(IF($B$4&gt;0,IF($M324="",1/0,$M324*$B$4),0)+IF($B$5&gt;0,IF($N324="",1/0,$N324*$B$5),0)+IF($B$6&gt;0,IF($O324="",1/0,$O324*$B$6),0),""))</f>
        <v/>
      </c>
      <c r="Q324" s="17" t="s">
        <v>44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324" s="2"/>
      <c r="XFC324" s="6"/>
    </row>
    <row r="325" s="5" customFormat="true" ht="28.5" hidden="false" customHeight="true" outlineLevel="0" collapsed="false">
      <c r="A325" s="16" t="str">
        <f aca="false">IF($T325="","",1+COUNTIF($W$15:$W$728,"&lt;"&amp;W325))</f>
        <v/>
      </c>
      <c r="B325" s="16" t="s">
        <v>12</v>
      </c>
      <c r="C325" s="16" t="s">
        <v>977</v>
      </c>
      <c r="D325" s="20" t="s">
        <v>141</v>
      </c>
      <c r="E325" s="16" t="s">
        <v>44</v>
      </c>
      <c r="F325" s="16" t="s">
        <v>978</v>
      </c>
      <c r="G325" s="16" t="s">
        <v>979</v>
      </c>
      <c r="H325" s="17" t="n">
        <v>1919</v>
      </c>
      <c r="I325" s="17"/>
      <c r="J325" s="17"/>
      <c r="K325" s="17" t="n">
        <v>1929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1919</v>
      </c>
      <c r="N325" s="17" t="str">
        <f aca="false">IF($I325="","",$I325+$L325)</f>
        <v/>
      </c>
      <c r="O325" s="17" t="n">
        <f aca="false">IF($K325="","",$K325+$L325)</f>
        <v>1929</v>
      </c>
      <c r="P325" s="17" t="str">
        <f aca="false">IF($B$10=0,"",IFERROR(IF($B$4&gt;0,IF($M325="",1/0,$M325*$B$4),0)+IF($B$5&gt;0,IF($N325="",1/0,$N325*$B$5),0)+IF($B$6&gt;0,IF($O325="",1/0,$O325*$B$6),0),""))</f>
        <v/>
      </c>
      <c r="Q325" s="17"/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325" s="2"/>
      <c r="XFC325" s="6"/>
    </row>
    <row r="326" s="5" customFormat="true" ht="28.5" hidden="false" customHeight="true" outlineLevel="0" collapsed="false">
      <c r="A326" s="16" t="str">
        <f aca="false">IF($T326="","",1+COUNTIF($W$15:$W$728,"&lt;"&amp;W326))</f>
        <v/>
      </c>
      <c r="B326" s="16" t="s">
        <v>10</v>
      </c>
      <c r="C326" s="16" t="s">
        <v>980</v>
      </c>
      <c r="D326" s="16" t="s">
        <v>574</v>
      </c>
      <c r="E326" s="16" t="s">
        <v>44</v>
      </c>
      <c r="F326" s="16" t="s">
        <v>981</v>
      </c>
      <c r="G326" s="16" t="s">
        <v>982</v>
      </c>
      <c r="H326" s="17" t="n">
        <v>1833</v>
      </c>
      <c r="I326" s="17"/>
      <c r="J326" s="17"/>
      <c r="K326" s="17" t="n">
        <v>1808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1833</v>
      </c>
      <c r="N326" s="17" t="str">
        <f aca="false">IF($I326="","",$I326+$L326)</f>
        <v/>
      </c>
      <c r="O326" s="17" t="n">
        <f aca="false">IF($K326="","",$K326+$L326)</f>
        <v>1808</v>
      </c>
      <c r="P326" s="17" t="str">
        <f aca="false">IF($B$10=0,"",IFERROR(IF($B$4&gt;0,IF($M326="",1/0,$M326*$B$4),0)+IF($B$5&gt;0,IF($N326="",1/0,$N326*$B$5),0)+IF($B$6&gt;0,IF($O326="",1/0,$O326*$B$6),0),""))</f>
        <v/>
      </c>
      <c r="Q326" s="17"/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326" s="2"/>
      <c r="XFC326" s="6"/>
    </row>
    <row r="327" s="5" customFormat="true" ht="28.5" hidden="false" customHeight="true" outlineLevel="0" collapsed="false">
      <c r="A327" s="16" t="str">
        <f aca="false">IF($T327="","",1+COUNTIF($W$15:$W$728,"&lt;"&amp;W327))</f>
        <v/>
      </c>
      <c r="B327" s="16" t="s">
        <v>14</v>
      </c>
      <c r="C327" s="16" t="s">
        <v>983</v>
      </c>
      <c r="D327" s="16" t="s">
        <v>141</v>
      </c>
      <c r="E327" s="16" t="s">
        <v>44</v>
      </c>
      <c r="F327" s="16" t="s">
        <v>984</v>
      </c>
      <c r="G327" s="16" t="s">
        <v>985</v>
      </c>
      <c r="H327" s="17" t="n">
        <v>1892</v>
      </c>
      <c r="I327" s="17"/>
      <c r="J327" s="17"/>
      <c r="K327" s="17" t="n">
        <v>1892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1892</v>
      </c>
      <c r="N327" s="17" t="str">
        <f aca="false">IF($I327="","",$I327+$L327)</f>
        <v/>
      </c>
      <c r="O327" s="17" t="n">
        <f aca="false">IF($K327="","",$K327+$L327)</f>
        <v>1892</v>
      </c>
      <c r="P327" s="17" t="str">
        <f aca="false">IF($B$10=0,"",IFERROR(IF($B$4&gt;0,IF($M327="",1/0,$M327*$B$4),0)+IF($B$5&gt;0,IF($N327="",1/0,$N327*$B$5),0)+IF($B$6&gt;0,IF($O327="",1/0,$O327*$B$6),0),""))</f>
        <v/>
      </c>
      <c r="Q327" s="17"/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327" s="2"/>
      <c r="XFC327" s="6"/>
    </row>
    <row r="328" s="5" customFormat="true" ht="28.5" hidden="false" customHeight="true" outlineLevel="0" collapsed="false">
      <c r="A328" s="16" t="str">
        <f aca="false">IF($T328="","",1+COUNTIF($W$15:$W$728,"&lt;"&amp;W328))</f>
        <v/>
      </c>
      <c r="B328" s="16" t="s">
        <v>12</v>
      </c>
      <c r="C328" s="16" t="s">
        <v>986</v>
      </c>
      <c r="D328" s="20" t="s">
        <v>303</v>
      </c>
      <c r="E328" s="16" t="s">
        <v>44</v>
      </c>
      <c r="F328" s="16" t="s">
        <v>987</v>
      </c>
      <c r="G328" s="16" t="s">
        <v>988</v>
      </c>
      <c r="H328" s="17" t="n">
        <v>1924</v>
      </c>
      <c r="I328" s="17"/>
      <c r="J328" s="17"/>
      <c r="K328" s="17" t="n">
        <v>1994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1924</v>
      </c>
      <c r="N328" s="17" t="str">
        <f aca="false">IF($I328="","",$I328+$L328)</f>
        <v/>
      </c>
      <c r="O328" s="17" t="n">
        <f aca="false">IF($K328="","",$K328+$L328)</f>
        <v>1994</v>
      </c>
      <c r="P328" s="17" t="str">
        <f aca="false">IF($B$10=0,"",IFERROR(IF($B$4&gt;0,IF($M328="",1/0,$M328*$B$4),0)+IF($B$5&gt;0,IF($N328="",1/0,$N328*$B$5),0)+IF($B$6&gt;0,IF($O328="",1/0,$O328*$B$6),0),""))</f>
        <v/>
      </c>
      <c r="Q328" s="17" t="s">
        <v>44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328" s="2"/>
      <c r="XFC328" s="6"/>
    </row>
    <row r="329" s="5" customFormat="true" ht="28.5" hidden="false" customHeight="true" outlineLevel="0" collapsed="false">
      <c r="A329" s="16" t="str">
        <f aca="false">IF($T329="","",1+COUNTIF($W$15:$W$728,"&lt;"&amp;W329))</f>
        <v/>
      </c>
      <c r="B329" s="16" t="s">
        <v>14</v>
      </c>
      <c r="C329" s="16" t="s">
        <v>989</v>
      </c>
      <c r="D329" s="16" t="s">
        <v>141</v>
      </c>
      <c r="E329" s="16" t="s">
        <v>44</v>
      </c>
      <c r="F329" s="16" t="s">
        <v>990</v>
      </c>
      <c r="G329" s="16" t="s">
        <v>991</v>
      </c>
      <c r="H329" s="17" t="n">
        <v>1942</v>
      </c>
      <c r="I329" s="17"/>
      <c r="J329" s="17"/>
      <c r="K329" s="17" t="n">
        <v>1942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1942</v>
      </c>
      <c r="N329" s="17" t="str">
        <f aca="false">IF($I329="","",$I329+$L329)</f>
        <v/>
      </c>
      <c r="O329" s="17" t="n">
        <f aca="false">IF($K329="","",$K329+$L329)</f>
        <v>1942</v>
      </c>
      <c r="P329" s="17" t="str">
        <f aca="false">IF($B$10=0,"",IFERROR(IF($B$4&gt;0,IF($M329="",1/0,$M329*$B$4),0)+IF($B$5&gt;0,IF($N329="",1/0,$N329*$B$5),0)+IF($B$6&gt;0,IF($O329="",1/0,$O329*$B$6),0),""))</f>
        <v/>
      </c>
      <c r="Q329" s="17"/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329" s="2"/>
      <c r="XFC329" s="6"/>
    </row>
    <row r="330" s="5" customFormat="true" ht="28.5" hidden="false" customHeight="true" outlineLevel="0" collapsed="false">
      <c r="A330" s="16" t="str">
        <f aca="false">IF($T330="","",1+COUNTIF($W$15:$W$728,"&lt;"&amp;W330))</f>
        <v/>
      </c>
      <c r="B330" s="16" t="s">
        <v>14</v>
      </c>
      <c r="C330" s="16" t="s">
        <v>992</v>
      </c>
      <c r="D330" s="16" t="s">
        <v>141</v>
      </c>
      <c r="E330" s="16" t="s">
        <v>44</v>
      </c>
      <c r="F330" s="16" t="s">
        <v>993</v>
      </c>
      <c r="G330" s="16" t="s">
        <v>994</v>
      </c>
      <c r="H330" s="17" t="n">
        <v>1875</v>
      </c>
      <c r="I330" s="17"/>
      <c r="J330" s="17"/>
      <c r="K330" s="17" t="n">
        <v>1920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1875</v>
      </c>
      <c r="N330" s="17" t="str">
        <f aca="false">IF($I330="","",$I330+$L330)</f>
        <v/>
      </c>
      <c r="O330" s="17" t="n">
        <f aca="false">IF($K330="","",$K330+$L330)</f>
        <v>1920</v>
      </c>
      <c r="P330" s="17" t="str">
        <f aca="false">IF($B$10=0,"",IFERROR(IF($B$4&gt;0,IF($M330="",1/0,$M330*$B$4),0)+IF($B$5&gt;0,IF($N330="",1/0,$N330*$B$5),0)+IF($B$6&gt;0,IF($O330="",1/0,$O330*$B$6),0),""))</f>
        <v/>
      </c>
      <c r="Q330" s="17"/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330" s="2"/>
      <c r="XFC330" s="6"/>
    </row>
    <row r="331" s="5" customFormat="true" ht="28.5" hidden="false" customHeight="true" outlineLevel="0" collapsed="false">
      <c r="A331" s="16" t="str">
        <f aca="false">IF($T331="","",1+COUNTIF($W$15:$W$728,"&lt;"&amp;W331))</f>
        <v/>
      </c>
      <c r="B331" s="16" t="s">
        <v>6</v>
      </c>
      <c r="C331" s="16" t="s">
        <v>995</v>
      </c>
      <c r="D331" s="16" t="s">
        <v>43</v>
      </c>
      <c r="E331" s="16" t="s">
        <v>44</v>
      </c>
      <c r="F331" s="16" t="s">
        <v>996</v>
      </c>
      <c r="G331" s="16" t="s">
        <v>997</v>
      </c>
      <c r="H331" s="17" t="n">
        <v>1949</v>
      </c>
      <c r="I331" s="17"/>
      <c r="J331" s="17"/>
      <c r="K331" s="17" t="n">
        <v>2049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1949</v>
      </c>
      <c r="N331" s="17" t="str">
        <f aca="false">IF($I331="","",$I331+$L331)</f>
        <v/>
      </c>
      <c r="O331" s="17" t="n">
        <f aca="false">IF($K331="","",$K331+$L331)</f>
        <v>2049</v>
      </c>
      <c r="P331" s="17" t="str">
        <f aca="false">IF($B$10=0,"",IFERROR(IF($B$4&gt;0,IF($M331="",1/0,$M331*$B$4),0)+IF($B$5&gt;0,IF($N331="",1/0,$N331*$B$5),0)+IF($B$6&gt;0,IF($O331="",1/0,$O331*$B$6),0),""))</f>
        <v/>
      </c>
      <c r="Q331" s="17" t="s">
        <v>44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331" s="2"/>
      <c r="XFC331" s="6"/>
    </row>
    <row r="332" s="5" customFormat="true" ht="28.5" hidden="false" customHeight="true" outlineLevel="0" collapsed="false">
      <c r="A332" s="16" t="str">
        <f aca="false">IF($T332="","",1+COUNTIF($W$15:$W$728,"&lt;"&amp;W332))</f>
        <v/>
      </c>
      <c r="B332" s="16" t="s">
        <v>6</v>
      </c>
      <c r="C332" s="16" t="s">
        <v>998</v>
      </c>
      <c r="D332" s="16" t="s">
        <v>48</v>
      </c>
      <c r="E332" s="16" t="s">
        <v>44</v>
      </c>
      <c r="F332" s="16" t="s">
        <v>999</v>
      </c>
      <c r="G332" s="16" t="s">
        <v>1000</v>
      </c>
      <c r="H332" s="17" t="n">
        <v>1805</v>
      </c>
      <c r="I332" s="17"/>
      <c r="J332" s="17"/>
      <c r="K332" s="17" t="n">
        <v>1805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1805</v>
      </c>
      <c r="N332" s="17" t="str">
        <f aca="false">IF($I332="","",$I332+$L332)</f>
        <v/>
      </c>
      <c r="O332" s="17" t="n">
        <f aca="false">IF($K332="","",$K332+$L332)</f>
        <v>1805</v>
      </c>
      <c r="P332" s="17" t="str">
        <f aca="false">IF($B$10=0,"",IFERROR(IF($B$4&gt;0,IF($M332="",1/0,$M332*$B$4),0)+IF($B$5&gt;0,IF($N332="",1/0,$N332*$B$5),0)+IF($B$6&gt;0,IF($O332="",1/0,$O332*$B$6),0),""))</f>
        <v/>
      </c>
      <c r="Q332" s="17" t="s">
        <v>44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332" s="2"/>
      <c r="XFC332" s="6"/>
    </row>
    <row r="333" s="5" customFormat="true" ht="28.5" hidden="false" customHeight="true" outlineLevel="0" collapsed="false">
      <c r="A333" s="16" t="str">
        <f aca="false">IF($T333="","",1+COUNTIF($W$15:$W$728,"&lt;"&amp;W333))</f>
        <v/>
      </c>
      <c r="B333" s="16" t="s">
        <v>6</v>
      </c>
      <c r="C333" s="16" t="s">
        <v>1001</v>
      </c>
      <c r="D333" s="16" t="s">
        <v>43</v>
      </c>
      <c r="E333" s="16" t="s">
        <v>44</v>
      </c>
      <c r="F333" s="16" t="s">
        <v>1002</v>
      </c>
      <c r="G333" s="16" t="s">
        <v>1003</v>
      </c>
      <c r="H333" s="17" t="n">
        <v>1875</v>
      </c>
      <c r="I333" s="17"/>
      <c r="J333" s="17"/>
      <c r="K333" s="17" t="n">
        <v>1945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1875</v>
      </c>
      <c r="N333" s="17" t="str">
        <f aca="false">IF($I333="","",$I333+$L333)</f>
        <v/>
      </c>
      <c r="O333" s="17" t="n">
        <f aca="false">IF($K333="","",$K333+$L333)</f>
        <v>1945</v>
      </c>
      <c r="P333" s="17" t="str">
        <f aca="false">IF($B$10=0,"",IFERROR(IF($B$4&gt;0,IF($M333="",1/0,$M333*$B$4),0)+IF($B$5&gt;0,IF($N333="",1/0,$N333*$B$5),0)+IF($B$6&gt;0,IF($O333="",1/0,$O333*$B$6),0),""))</f>
        <v/>
      </c>
      <c r="Q333" s="17" t="s">
        <v>44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333" s="2"/>
      <c r="XFC333" s="6"/>
    </row>
    <row r="334" s="5" customFormat="true" ht="28.5" hidden="false" customHeight="true" outlineLevel="0" collapsed="false">
      <c r="A334" s="16" t="str">
        <f aca="false">IF($T334="","",1+COUNTIF($W$15:$W$728,"&lt;"&amp;W334))</f>
        <v/>
      </c>
      <c r="B334" s="16" t="s">
        <v>10</v>
      </c>
      <c r="C334" s="16" t="s">
        <v>1004</v>
      </c>
      <c r="D334" s="16" t="s">
        <v>141</v>
      </c>
      <c r="E334" s="16" t="s">
        <v>44</v>
      </c>
      <c r="F334" s="16" t="s">
        <v>1005</v>
      </c>
      <c r="G334" s="16" t="s">
        <v>1006</v>
      </c>
      <c r="H334" s="17" t="n">
        <v>1833</v>
      </c>
      <c r="I334" s="17"/>
      <c r="J334" s="17"/>
      <c r="K334" s="17" t="n">
        <v>1833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1833</v>
      </c>
      <c r="N334" s="17" t="str">
        <f aca="false">IF($I334="","",$I334+$L334)</f>
        <v/>
      </c>
      <c r="O334" s="17" t="n">
        <f aca="false">IF($K334="","",$K334+$L334)</f>
        <v>1833</v>
      </c>
      <c r="P334" s="17" t="str">
        <f aca="false">IF($B$10=0,"",IFERROR(IF($B$4&gt;0,IF($M334="",1/0,$M334*$B$4),0)+IF($B$5&gt;0,IF($N334="",1/0,$N334*$B$5),0)+IF($B$6&gt;0,IF($O334="",1/0,$O334*$B$6),0),""))</f>
        <v/>
      </c>
      <c r="Q334" s="17"/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334" s="2"/>
      <c r="XFC334" s="6"/>
    </row>
    <row r="335" s="5" customFormat="true" ht="28.5" hidden="false" customHeight="true" outlineLevel="0" collapsed="false">
      <c r="A335" s="16" t="str">
        <f aca="false">IF($T335="","",1+COUNTIF($W$15:$W$728,"&lt;"&amp;W335))</f>
        <v/>
      </c>
      <c r="B335" s="16" t="s">
        <v>8</v>
      </c>
      <c r="C335" s="16" t="s">
        <v>1007</v>
      </c>
      <c r="D335" s="16" t="s">
        <v>281</v>
      </c>
      <c r="E335" s="16" t="s">
        <v>44</v>
      </c>
      <c r="F335" s="16" t="s">
        <v>1008</v>
      </c>
      <c r="G335" s="16" t="s">
        <v>1009</v>
      </c>
      <c r="H335" s="17" t="n">
        <v>1873</v>
      </c>
      <c r="I335" s="17"/>
      <c r="J335" s="17"/>
      <c r="K335" s="17" t="n">
        <v>1893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1873</v>
      </c>
      <c r="N335" s="17" t="str">
        <f aca="false">IF($I335="","",$I335+$L335)</f>
        <v/>
      </c>
      <c r="O335" s="17" t="n">
        <f aca="false">IF($K335="","",$K335+$L335)</f>
        <v>1893</v>
      </c>
      <c r="P335" s="17" t="str">
        <f aca="false">IF($B$10=0,"",IFERROR(IF($B$4&gt;0,IF($M335="",1/0,$M335*$B$4),0)+IF($B$5&gt;0,IF($N335="",1/0,$N335*$B$5),0)+IF($B$6&gt;0,IF($O335="",1/0,$O335*$B$6),0),""))</f>
        <v/>
      </c>
      <c r="Q335" s="17"/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335" s="2"/>
      <c r="XFC335" s="6"/>
    </row>
    <row r="336" s="5" customFormat="true" ht="28.5" hidden="false" customHeight="true" outlineLevel="0" collapsed="false">
      <c r="A336" s="16" t="str">
        <f aca="false">IF($T336="","",1+COUNTIF($W$15:$W$728,"&lt;"&amp;W336))</f>
        <v/>
      </c>
      <c r="B336" s="16" t="s">
        <v>8</v>
      </c>
      <c r="C336" s="16" t="s">
        <v>864</v>
      </c>
      <c r="D336" s="16" t="s">
        <v>581</v>
      </c>
      <c r="E336" s="16" t="s">
        <v>58</v>
      </c>
      <c r="F336" s="16" t="s">
        <v>1010</v>
      </c>
      <c r="G336" s="16" t="s">
        <v>1011</v>
      </c>
      <c r="H336" s="17" t="n">
        <v>1853</v>
      </c>
      <c r="I336" s="17"/>
      <c r="J336" s="17"/>
      <c r="K336" s="17" t="n">
        <v>1873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1853</v>
      </c>
      <c r="N336" s="17" t="str">
        <f aca="false">IF($I336="","",$I336+$L336)</f>
        <v/>
      </c>
      <c r="O336" s="17" t="n">
        <f aca="false">IF($K336="","",$K336+$L336)</f>
        <v>1873</v>
      </c>
      <c r="P336" s="17" t="str">
        <f aca="false">IF($B$10=0,"",IFERROR(IF($B$4&gt;0,IF($M336="",1/0,$M336*$B$4),0)+IF($B$5&gt;0,IF($N336="",1/0,$N336*$B$5),0)+IF($B$6&gt;0,IF($O336="",1/0,$O336*$B$6),0),""))</f>
        <v/>
      </c>
      <c r="Q336" s="17"/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336" s="2"/>
      <c r="XFC336" s="6"/>
    </row>
    <row r="337" s="5" customFormat="true" ht="28.5" hidden="false" customHeight="true" outlineLevel="0" collapsed="false">
      <c r="A337" s="16" t="str">
        <f aca="false">IF($T337="","",1+COUNTIF($W$15:$W$728,"&lt;"&amp;W337))</f>
        <v/>
      </c>
      <c r="B337" s="16" t="s">
        <v>10</v>
      </c>
      <c r="C337" s="16" t="s">
        <v>1012</v>
      </c>
      <c r="D337" s="16" t="s">
        <v>141</v>
      </c>
      <c r="E337" s="16" t="s">
        <v>44</v>
      </c>
      <c r="F337" s="16" t="s">
        <v>1013</v>
      </c>
      <c r="G337" s="16" t="s">
        <v>1014</v>
      </c>
      <c r="H337" s="17" t="n">
        <v>1844</v>
      </c>
      <c r="I337" s="17"/>
      <c r="J337" s="17"/>
      <c r="K337" s="17" t="n">
        <v>1842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1844</v>
      </c>
      <c r="N337" s="17" t="str">
        <f aca="false">IF($I337="","",$I337+$L337)</f>
        <v/>
      </c>
      <c r="O337" s="17" t="n">
        <f aca="false">IF($K337="","",$K337+$L337)</f>
        <v>1842</v>
      </c>
      <c r="P337" s="17" t="str">
        <f aca="false">IF($B$10=0,"",IFERROR(IF($B$4&gt;0,IF($M337="",1/0,$M337*$B$4),0)+IF($B$5&gt;0,IF($N337="",1/0,$N337*$B$5),0)+IF($B$6&gt;0,IF($O337="",1/0,$O337*$B$6),0),""))</f>
        <v/>
      </c>
      <c r="Q337" s="17"/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337" s="2"/>
      <c r="XFC337" s="6"/>
    </row>
    <row r="338" s="5" customFormat="true" ht="28.5" hidden="false" customHeight="true" outlineLevel="0" collapsed="false">
      <c r="A338" s="16" t="str">
        <f aca="false">IF($T338="","",1+COUNTIF($W$15:$W$728,"&lt;"&amp;W338))</f>
        <v/>
      </c>
      <c r="B338" s="16" t="s">
        <v>12</v>
      </c>
      <c r="C338" s="16" t="s">
        <v>1015</v>
      </c>
      <c r="D338" s="20" t="s">
        <v>141</v>
      </c>
      <c r="E338" s="16" t="s">
        <v>44</v>
      </c>
      <c r="F338" s="16" t="s">
        <v>1016</v>
      </c>
      <c r="G338" s="16" t="s">
        <v>1017</v>
      </c>
      <c r="H338" s="17" t="n">
        <v>1894</v>
      </c>
      <c r="I338" s="17"/>
      <c r="J338" s="17"/>
      <c r="K338" s="17" t="n">
        <v>1894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1894</v>
      </c>
      <c r="N338" s="17" t="str">
        <f aca="false">IF($I338="","",$I338+$L338)</f>
        <v/>
      </c>
      <c r="O338" s="17" t="n">
        <f aca="false">IF($K338="","",$K338+$L338)</f>
        <v>1894</v>
      </c>
      <c r="P338" s="17" t="str">
        <f aca="false">IF($B$10=0,"",IFERROR(IF($B$4&gt;0,IF($M338="",1/0,$M338*$B$4),0)+IF($B$5&gt;0,IF($N338="",1/0,$N338*$B$5),0)+IF($B$6&gt;0,IF($O338="",1/0,$O338*$B$6),0),""))</f>
        <v/>
      </c>
      <c r="Q338" s="17"/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338" s="2"/>
      <c r="XFC338" s="6"/>
    </row>
    <row r="339" s="5" customFormat="true" ht="28.5" hidden="false" customHeight="true" outlineLevel="0" collapsed="false">
      <c r="A339" s="16" t="str">
        <f aca="false">IF($T339="","",1+COUNTIF($W$15:$W$728,"&lt;"&amp;W339))</f>
        <v/>
      </c>
      <c r="B339" s="16" t="s">
        <v>10</v>
      </c>
      <c r="C339" s="16" t="s">
        <v>1018</v>
      </c>
      <c r="D339" s="16" t="s">
        <v>281</v>
      </c>
      <c r="E339" s="16" t="s">
        <v>58</v>
      </c>
      <c r="F339" s="16" t="s">
        <v>1019</v>
      </c>
      <c r="G339" s="16" t="s">
        <v>1020</v>
      </c>
      <c r="H339" s="17" t="n">
        <v>1834</v>
      </c>
      <c r="I339" s="17"/>
      <c r="J339" s="17"/>
      <c r="K339" s="17" t="n">
        <v>1824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1834</v>
      </c>
      <c r="N339" s="17" t="str">
        <f aca="false">IF($I339="","",$I339+$L339)</f>
        <v/>
      </c>
      <c r="O339" s="17" t="n">
        <f aca="false">IF($K339="","",$K339+$L339)</f>
        <v>1824</v>
      </c>
      <c r="P339" s="17" t="str">
        <f aca="false">IF($B$10=0,"",IFERROR(IF($B$4&gt;0,IF($M339="",1/0,$M339*$B$4),0)+IF($B$5&gt;0,IF($N339="",1/0,$N339*$B$5),0)+IF($B$6&gt;0,IF($O339="",1/0,$O339*$B$6),0),""))</f>
        <v/>
      </c>
      <c r="Q339" s="17"/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339" s="2"/>
      <c r="XFC339" s="6"/>
    </row>
    <row r="340" s="5" customFormat="true" ht="28.5" hidden="false" customHeight="true" outlineLevel="0" collapsed="false">
      <c r="A340" s="16" t="str">
        <f aca="false">IF($T340="","",1+COUNTIF($W$15:$W$728,"&lt;"&amp;W340))</f>
        <v/>
      </c>
      <c r="B340" s="16" t="s">
        <v>6</v>
      </c>
      <c r="C340" s="16" t="s">
        <v>1021</v>
      </c>
      <c r="D340" s="16" t="s">
        <v>43</v>
      </c>
      <c r="E340" s="16" t="s">
        <v>44</v>
      </c>
      <c r="F340" s="16" t="s">
        <v>1022</v>
      </c>
      <c r="G340" s="16" t="s">
        <v>1023</v>
      </c>
      <c r="H340" s="17" t="n">
        <v>1905</v>
      </c>
      <c r="I340" s="17"/>
      <c r="J340" s="17"/>
      <c r="K340" s="17" t="n">
        <v>1969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1905</v>
      </c>
      <c r="N340" s="17" t="str">
        <f aca="false">IF($I340="","",$I340+$L340)</f>
        <v/>
      </c>
      <c r="O340" s="17" t="n">
        <f aca="false">IF($K340="","",$K340+$L340)</f>
        <v>1969</v>
      </c>
      <c r="P340" s="17" t="str">
        <f aca="false">IF($B$10=0,"",IFERROR(IF($B$4&gt;0,IF($M340="",1/0,$M340*$B$4),0)+IF($B$5&gt;0,IF($N340="",1/0,$N340*$B$5),0)+IF($B$6&gt;0,IF($O340="",1/0,$O340*$B$6),0),""))</f>
        <v/>
      </c>
      <c r="Q340" s="17" t="s">
        <v>44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340" s="2"/>
      <c r="XFC340" s="6"/>
    </row>
    <row r="341" s="5" customFormat="true" ht="28.5" hidden="false" customHeight="true" outlineLevel="0" collapsed="false">
      <c r="A341" s="16" t="str">
        <f aca="false">IF($T341="","",1+COUNTIF($W$15:$W$728,"&lt;"&amp;W341))</f>
        <v/>
      </c>
      <c r="B341" s="16" t="s">
        <v>8</v>
      </c>
      <c r="C341" s="16" t="s">
        <v>1024</v>
      </c>
      <c r="D341" s="16" t="s">
        <v>43</v>
      </c>
      <c r="E341" s="16" t="s">
        <v>44</v>
      </c>
      <c r="F341" s="16" t="s">
        <v>1025</v>
      </c>
      <c r="G341" s="16" t="s">
        <v>1026</v>
      </c>
      <c r="H341" s="17" t="n">
        <v>1885</v>
      </c>
      <c r="I341" s="17"/>
      <c r="J341" s="17"/>
      <c r="K341" s="17" t="n">
        <v>1920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1885</v>
      </c>
      <c r="N341" s="17" t="str">
        <f aca="false">IF($I341="","",$I341+$L341)</f>
        <v/>
      </c>
      <c r="O341" s="17" t="n">
        <f aca="false">IF($K341="","",$K341+$L341)</f>
        <v>1920</v>
      </c>
      <c r="P341" s="17" t="str">
        <f aca="false">IF($B$10=0,"",IFERROR(IF($B$4&gt;0,IF($M341="",1/0,$M341*$B$4),0)+IF($B$5&gt;0,IF($N341="",1/0,$N341*$B$5),0)+IF($B$6&gt;0,IF($O341="",1/0,$O341*$B$6),0),""))</f>
        <v/>
      </c>
      <c r="Q341" s="17"/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341" s="2"/>
      <c r="XFC341" s="6"/>
    </row>
    <row r="342" s="5" customFormat="true" ht="28.5" hidden="false" customHeight="true" outlineLevel="0" collapsed="false">
      <c r="A342" s="16" t="str">
        <f aca="false">IF($T342="","",1+COUNTIF($W$15:$W$728,"&lt;"&amp;W342))</f>
        <v/>
      </c>
      <c r="B342" s="16" t="s">
        <v>6</v>
      </c>
      <c r="C342" s="16" t="s">
        <v>1027</v>
      </c>
      <c r="D342" s="16" t="s">
        <v>141</v>
      </c>
      <c r="E342" s="16" t="s">
        <v>44</v>
      </c>
      <c r="F342" s="16" t="s">
        <v>1028</v>
      </c>
      <c r="G342" s="16" t="s">
        <v>1029</v>
      </c>
      <c r="H342" s="17" t="n">
        <v>1924</v>
      </c>
      <c r="I342" s="17"/>
      <c r="J342" s="17"/>
      <c r="K342" s="17" t="n">
        <v>1944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1924</v>
      </c>
      <c r="N342" s="17" t="str">
        <f aca="false">IF($I342="","",$I342+$L342)</f>
        <v/>
      </c>
      <c r="O342" s="17" t="n">
        <f aca="false">IF($K342="","",$K342+$L342)</f>
        <v>1944</v>
      </c>
      <c r="P342" s="17" t="str">
        <f aca="false">IF($B$10=0,"",IFERROR(IF($B$4&gt;0,IF($M342="",1/0,$M342*$B$4),0)+IF($B$5&gt;0,IF($N342="",1/0,$N342*$B$5),0)+IF($B$6&gt;0,IF($O342="",1/0,$O342*$B$6),0),""))</f>
        <v/>
      </c>
      <c r="Q342" s="17" t="s">
        <v>44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342" s="2"/>
      <c r="XFC342" s="6"/>
    </row>
    <row r="343" s="5" customFormat="true" ht="28.5" hidden="false" customHeight="true" outlineLevel="0" collapsed="false">
      <c r="A343" s="16" t="str">
        <f aca="false">IF($T343="","",1+COUNTIF($W$15:$W$728,"&lt;"&amp;W343))</f>
        <v/>
      </c>
      <c r="B343" s="16" t="s">
        <v>12</v>
      </c>
      <c r="C343" s="16" t="s">
        <v>1030</v>
      </c>
      <c r="D343" s="20" t="s">
        <v>303</v>
      </c>
      <c r="E343" s="16" t="s">
        <v>44</v>
      </c>
      <c r="F343" s="16" t="s">
        <v>1031</v>
      </c>
      <c r="G343" s="16" t="s">
        <v>1032</v>
      </c>
      <c r="H343" s="17" t="n">
        <v>1964</v>
      </c>
      <c r="I343" s="17"/>
      <c r="J343" s="17"/>
      <c r="K343" s="17" t="n">
        <v>2095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1964</v>
      </c>
      <c r="N343" s="17" t="str">
        <f aca="false">IF($I343="","",$I343+$L343)</f>
        <v/>
      </c>
      <c r="O343" s="17" t="n">
        <f aca="false">IF($K343="","",$K343+$L343)</f>
        <v>2095</v>
      </c>
      <c r="P343" s="17" t="str">
        <f aca="false">IF($B$10=0,"",IFERROR(IF($B$4&gt;0,IF($M343="",1/0,$M343*$B$4),0)+IF($B$5&gt;0,IF($N343="",1/0,$N343*$B$5),0)+IF($B$6&gt;0,IF($O343="",1/0,$O343*$B$6),0),""))</f>
        <v/>
      </c>
      <c r="Q343" s="17"/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343" s="2"/>
      <c r="XFC343" s="6"/>
    </row>
    <row r="344" s="5" customFormat="true" ht="28.5" hidden="false" customHeight="true" outlineLevel="0" collapsed="false">
      <c r="A344" s="16" t="str">
        <f aca="false">IF($T344="","",1+COUNTIF($W$15:$W$728,"&lt;"&amp;W344))</f>
        <v/>
      </c>
      <c r="B344" s="16" t="s">
        <v>12</v>
      </c>
      <c r="C344" s="16" t="s">
        <v>1033</v>
      </c>
      <c r="D344" s="20" t="s">
        <v>141</v>
      </c>
      <c r="E344" s="16" t="s">
        <v>44</v>
      </c>
      <c r="F344" s="16" t="s">
        <v>1034</v>
      </c>
      <c r="G344" s="16" t="s">
        <v>1035</v>
      </c>
      <c r="H344" s="17" t="n">
        <v>1964</v>
      </c>
      <c r="I344" s="17"/>
      <c r="J344" s="17"/>
      <c r="K344" s="17" t="n">
        <v>2094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1964</v>
      </c>
      <c r="N344" s="17" t="str">
        <f aca="false">IF($I344="","",$I344+$L344)</f>
        <v/>
      </c>
      <c r="O344" s="17" t="n">
        <f aca="false">IF($K344="","",$K344+$L344)</f>
        <v>2094</v>
      </c>
      <c r="P344" s="17" t="str">
        <f aca="false">IF($B$10=0,"",IFERROR(IF($B$4&gt;0,IF($M344="",1/0,$M344*$B$4),0)+IF($B$5&gt;0,IF($N344="",1/0,$N344*$B$5),0)+IF($B$6&gt;0,IF($O344="",1/0,$O344*$B$6),0),""))</f>
        <v/>
      </c>
      <c r="Q344" s="17"/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344" s="2"/>
      <c r="XFC344" s="6"/>
    </row>
    <row r="345" s="5" customFormat="true" ht="28.5" hidden="false" customHeight="true" outlineLevel="0" collapsed="false">
      <c r="A345" s="16" t="str">
        <f aca="false">IF($T345="","",1+COUNTIF($W$15:$W$728,"&lt;"&amp;W345))</f>
        <v/>
      </c>
      <c r="B345" s="16" t="s">
        <v>6</v>
      </c>
      <c r="C345" s="16" t="s">
        <v>1036</v>
      </c>
      <c r="D345" s="16" t="s">
        <v>141</v>
      </c>
      <c r="E345" s="16" t="s">
        <v>44</v>
      </c>
      <c r="F345" s="16" t="s">
        <v>1037</v>
      </c>
      <c r="G345" s="16" t="s">
        <v>1038</v>
      </c>
      <c r="H345" s="17" t="n">
        <v>1894</v>
      </c>
      <c r="I345" s="17"/>
      <c r="J345" s="17"/>
      <c r="K345" s="17" t="n">
        <v>1944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1894</v>
      </c>
      <c r="N345" s="17" t="str">
        <f aca="false">IF($I345="","",$I345+$L345)</f>
        <v/>
      </c>
      <c r="O345" s="17" t="n">
        <f aca="false">IF($K345="","",$K345+$L345)</f>
        <v>1944</v>
      </c>
      <c r="P345" s="17" t="str">
        <f aca="false">IF($B$10=0,"",IFERROR(IF($B$4&gt;0,IF($M345="",1/0,$M345*$B$4),0)+IF($B$5&gt;0,IF($N345="",1/0,$N345*$B$5),0)+IF($B$6&gt;0,IF($O345="",1/0,$O345*$B$6),0),""))</f>
        <v/>
      </c>
      <c r="Q345" s="17" t="s">
        <v>44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345" s="2"/>
      <c r="XFC345" s="6"/>
    </row>
    <row r="346" s="5" customFormat="true" ht="28.5" hidden="false" customHeight="true" outlineLevel="0" collapsed="false">
      <c r="A346" s="16" t="str">
        <f aca="false">IF($T346="","",1+COUNTIF($W$15:$W$728,"&lt;"&amp;W346))</f>
        <v/>
      </c>
      <c r="B346" s="16" t="s">
        <v>10</v>
      </c>
      <c r="C346" s="16" t="s">
        <v>1039</v>
      </c>
      <c r="D346" s="16" t="s">
        <v>43</v>
      </c>
      <c r="E346" s="16" t="s">
        <v>44</v>
      </c>
      <c r="F346" s="16" t="s">
        <v>1040</v>
      </c>
      <c r="G346" s="16" t="s">
        <v>1041</v>
      </c>
      <c r="H346" s="17" t="n">
        <v>1919</v>
      </c>
      <c r="I346" s="17"/>
      <c r="J346" s="17"/>
      <c r="K346" s="17" t="n">
        <v>1929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1919</v>
      </c>
      <c r="N346" s="17" t="str">
        <f aca="false">IF($I346="","",$I346+$L346)</f>
        <v/>
      </c>
      <c r="O346" s="17" t="n">
        <f aca="false">IF($K346="","",$K346+$L346)</f>
        <v>1929</v>
      </c>
      <c r="P346" s="17" t="str">
        <f aca="false">IF($B$10=0,"",IFERROR(IF($B$4&gt;0,IF($M346="",1/0,$M346*$B$4),0)+IF($B$5&gt;0,IF($N346="",1/0,$N346*$B$5),0)+IF($B$6&gt;0,IF($O346="",1/0,$O346*$B$6),0),""))</f>
        <v/>
      </c>
      <c r="Q346" s="17"/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346" s="2"/>
      <c r="XFC346" s="6"/>
    </row>
    <row r="347" s="5" customFormat="true" ht="28.5" hidden="false" customHeight="true" outlineLevel="0" collapsed="false">
      <c r="A347" s="16" t="str">
        <f aca="false">IF($T347="","",1+COUNTIF($W$15:$W$728,"&lt;"&amp;W347))</f>
        <v/>
      </c>
      <c r="B347" s="16" t="s">
        <v>6</v>
      </c>
      <c r="C347" s="16" t="s">
        <v>1042</v>
      </c>
      <c r="D347" s="16" t="s">
        <v>43</v>
      </c>
      <c r="E347" s="16" t="s">
        <v>44</v>
      </c>
      <c r="F347" s="16" t="s">
        <v>1043</v>
      </c>
      <c r="G347" s="16" t="s">
        <v>1044</v>
      </c>
      <c r="H347" s="17" t="n">
        <v>1875</v>
      </c>
      <c r="I347" s="17"/>
      <c r="J347" s="17"/>
      <c r="K347" s="17" t="n">
        <v>1875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1875</v>
      </c>
      <c r="N347" s="17" t="str">
        <f aca="false">IF($I347="","",$I347+$L347)</f>
        <v/>
      </c>
      <c r="O347" s="17" t="n">
        <f aca="false">IF($K347="","",$K347+$L347)</f>
        <v>1875</v>
      </c>
      <c r="P347" s="17" t="str">
        <f aca="false">IF($B$10=0,"",IFERROR(IF($B$4&gt;0,IF($M347="",1/0,$M347*$B$4),0)+IF($B$5&gt;0,IF($N347="",1/0,$N347*$B$5),0)+IF($B$6&gt;0,IF($O347="",1/0,$O347*$B$6),0),""))</f>
        <v/>
      </c>
      <c r="Q347" s="17" t="s">
        <v>44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347" s="2"/>
      <c r="XFC347" s="6"/>
    </row>
    <row r="348" s="5" customFormat="true" ht="28.5" hidden="false" customHeight="true" outlineLevel="0" collapsed="false">
      <c r="A348" s="16" t="str">
        <f aca="false">IF($T348="","",1+COUNTIF($W$15:$W$728,"&lt;"&amp;W348))</f>
        <v/>
      </c>
      <c r="B348" s="16" t="s">
        <v>6</v>
      </c>
      <c r="C348" s="16" t="s">
        <v>1045</v>
      </c>
      <c r="D348" s="20" t="s">
        <v>131</v>
      </c>
      <c r="E348" s="16" t="s">
        <v>44</v>
      </c>
      <c r="F348" s="16" t="s">
        <v>1046</v>
      </c>
      <c r="G348" s="16" t="s">
        <v>1047</v>
      </c>
      <c r="H348" s="17" t="n">
        <v>1899</v>
      </c>
      <c r="I348" s="17"/>
      <c r="J348" s="17"/>
      <c r="K348" s="17" t="n">
        <v>1899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1899</v>
      </c>
      <c r="N348" s="17" t="str">
        <f aca="false">IF($I348="","",$I348+$L348)</f>
        <v/>
      </c>
      <c r="O348" s="17" t="n">
        <f aca="false">IF($K348="","",$K348+$L348)</f>
        <v>1899</v>
      </c>
      <c r="P348" s="17" t="str">
        <f aca="false">IF($B$10=0,"",IFERROR(IF($B$4&gt;0,IF($M348="",1/0,$M348*$B$4),0)+IF($B$5&gt;0,IF($N348="",1/0,$N348*$B$5),0)+IF($B$6&gt;0,IF($O348="",1/0,$O348*$B$6),0),""))</f>
        <v/>
      </c>
      <c r="Q348" s="17" t="s">
        <v>44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348" s="2"/>
      <c r="XFC348" s="6"/>
    </row>
    <row r="349" s="5" customFormat="true" ht="28.5" hidden="false" customHeight="true" outlineLevel="0" collapsed="false">
      <c r="A349" s="16" t="str">
        <f aca="false">IF($T349="","",1+COUNTIF($W$15:$W$728,"&lt;"&amp;W349))</f>
        <v/>
      </c>
      <c r="B349" s="16" t="s">
        <v>12</v>
      </c>
      <c r="C349" s="16" t="s">
        <v>1048</v>
      </c>
      <c r="D349" s="20" t="s">
        <v>574</v>
      </c>
      <c r="E349" s="16" t="s">
        <v>44</v>
      </c>
      <c r="F349" s="16" t="s">
        <v>1049</v>
      </c>
      <c r="G349" s="16" t="s">
        <v>1050</v>
      </c>
      <c r="H349" s="17" t="n">
        <v>1830</v>
      </c>
      <c r="I349" s="17"/>
      <c r="J349" s="17"/>
      <c r="K349" s="17" t="n">
        <v>1850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1830</v>
      </c>
      <c r="N349" s="17" t="str">
        <f aca="false">IF($I349="","",$I349+$L349)</f>
        <v/>
      </c>
      <c r="O349" s="17" t="n">
        <f aca="false">IF($K349="","",$K349+$L349)</f>
        <v>1850</v>
      </c>
      <c r="P349" s="17" t="str">
        <f aca="false">IF($B$10=0,"",IFERROR(IF($B$4&gt;0,IF($M349="",1/0,$M349*$B$4),0)+IF($B$5&gt;0,IF($N349="",1/0,$N349*$B$5),0)+IF($B$6&gt;0,IF($O349="",1/0,$O349*$B$6),0),""))</f>
        <v/>
      </c>
      <c r="Q349" s="17"/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349" s="2"/>
      <c r="XFC349" s="6"/>
    </row>
    <row r="350" s="5" customFormat="true" ht="28.5" hidden="false" customHeight="true" outlineLevel="0" collapsed="false">
      <c r="A350" s="16" t="str">
        <f aca="false">IF($T350="","",1+COUNTIF($W$15:$W$728,"&lt;"&amp;W350))</f>
        <v/>
      </c>
      <c r="B350" s="16" t="s">
        <v>12</v>
      </c>
      <c r="C350" s="16" t="s">
        <v>1051</v>
      </c>
      <c r="D350" s="20" t="s">
        <v>574</v>
      </c>
      <c r="E350" s="16" t="s">
        <v>58</v>
      </c>
      <c r="F350" s="16" t="s">
        <v>1052</v>
      </c>
      <c r="G350" s="16" t="s">
        <v>1053</v>
      </c>
      <c r="H350" s="17" t="n">
        <v>1830</v>
      </c>
      <c r="I350" s="17"/>
      <c r="J350" s="17"/>
      <c r="K350" s="17" t="n">
        <v>1850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1830</v>
      </c>
      <c r="N350" s="17" t="str">
        <f aca="false">IF($I350="","",$I350+$L350)</f>
        <v/>
      </c>
      <c r="O350" s="17" t="n">
        <f aca="false">IF($K350="","",$K350+$L350)</f>
        <v>1850</v>
      </c>
      <c r="P350" s="17" t="str">
        <f aca="false">IF($B$10=0,"",IFERROR(IF($B$4&gt;0,IF($M350="",1/0,$M350*$B$4),0)+IF($B$5&gt;0,IF($N350="",1/0,$N350*$B$5),0)+IF($B$6&gt;0,IF($O350="",1/0,$O350*$B$6),0),""))</f>
        <v/>
      </c>
      <c r="Q350" s="17"/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350" s="2"/>
      <c r="XFC350" s="6"/>
    </row>
    <row r="351" s="5" customFormat="true" ht="28.5" hidden="false" customHeight="true" outlineLevel="0" collapsed="false">
      <c r="A351" s="16" t="str">
        <f aca="false">IF($T351="","",1+COUNTIF($W$15:$W$728,"&lt;"&amp;W351))</f>
        <v/>
      </c>
      <c r="B351" s="16" t="s">
        <v>12</v>
      </c>
      <c r="C351" s="16" t="s">
        <v>1054</v>
      </c>
      <c r="D351" s="20" t="s">
        <v>574</v>
      </c>
      <c r="E351" s="16" t="s">
        <v>44</v>
      </c>
      <c r="F351" s="16" t="s">
        <v>1055</v>
      </c>
      <c r="G351" s="16" t="s">
        <v>1056</v>
      </c>
      <c r="H351" s="17" t="n">
        <v>1798</v>
      </c>
      <c r="I351" s="17"/>
      <c r="J351" s="17"/>
      <c r="K351" s="17" t="n">
        <v>1848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1798</v>
      </c>
      <c r="N351" s="17" t="str">
        <f aca="false">IF($I351="","",$I351+$L351)</f>
        <v/>
      </c>
      <c r="O351" s="17" t="n">
        <f aca="false">IF($K351="","",$K351+$L351)</f>
        <v>1848</v>
      </c>
      <c r="P351" s="17" t="str">
        <f aca="false">IF($B$10=0,"",IFERROR(IF($B$4&gt;0,IF($M351="",1/0,$M351*$B$4),0)+IF($B$5&gt;0,IF($N351="",1/0,$N351*$B$5),0)+IF($B$6&gt;0,IF($O351="",1/0,$O351*$B$6),0),""))</f>
        <v/>
      </c>
      <c r="Q351" s="17"/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351" s="2"/>
      <c r="XFC351" s="6"/>
    </row>
    <row r="352" s="5" customFormat="true" ht="28.5" hidden="false" customHeight="true" outlineLevel="0" collapsed="false">
      <c r="A352" s="16" t="str">
        <f aca="false">IF($T352="","",1+COUNTIF($W$15:$W$728,"&lt;"&amp;W352))</f>
        <v/>
      </c>
      <c r="B352" s="16" t="s">
        <v>12</v>
      </c>
      <c r="C352" s="16" t="s">
        <v>1057</v>
      </c>
      <c r="D352" s="20" t="s">
        <v>574</v>
      </c>
      <c r="E352" s="16" t="s">
        <v>58</v>
      </c>
      <c r="F352" s="16" t="s">
        <v>1058</v>
      </c>
      <c r="G352" s="16" t="s">
        <v>1059</v>
      </c>
      <c r="H352" s="17" t="n">
        <v>1830</v>
      </c>
      <c r="I352" s="17"/>
      <c r="J352" s="17"/>
      <c r="K352" s="17" t="n">
        <v>1850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1830</v>
      </c>
      <c r="N352" s="17" t="str">
        <f aca="false">IF($I352="","",$I352+$L352)</f>
        <v/>
      </c>
      <c r="O352" s="17" t="n">
        <f aca="false">IF($K352="","",$K352+$L352)</f>
        <v>1850</v>
      </c>
      <c r="P352" s="17" t="str">
        <f aca="false">IF($B$10=0,"",IFERROR(IF($B$4&gt;0,IF($M352="",1/0,$M352*$B$4),0)+IF($B$5&gt;0,IF($N352="",1/0,$N352*$B$5),0)+IF($B$6&gt;0,IF($O352="",1/0,$O352*$B$6),0),""))</f>
        <v/>
      </c>
      <c r="Q352" s="17"/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352" s="2"/>
      <c r="XFC352" s="6"/>
    </row>
    <row r="353" s="5" customFormat="true" ht="28.5" hidden="false" customHeight="true" outlineLevel="0" collapsed="false">
      <c r="A353" s="16" t="str">
        <f aca="false">IF($T353="","",1+COUNTIF($W$15:$W$728,"&lt;"&amp;W353))</f>
        <v/>
      </c>
      <c r="B353" s="16" t="s">
        <v>10</v>
      </c>
      <c r="C353" s="16" t="s">
        <v>1060</v>
      </c>
      <c r="D353" s="16" t="s">
        <v>141</v>
      </c>
      <c r="E353" s="16" t="s">
        <v>44</v>
      </c>
      <c r="F353" s="16" t="s">
        <v>1061</v>
      </c>
      <c r="G353" s="16" t="s">
        <v>1062</v>
      </c>
      <c r="H353" s="17" t="n">
        <v>1885</v>
      </c>
      <c r="I353" s="17"/>
      <c r="J353" s="17"/>
      <c r="K353" s="17" t="n">
        <v>1865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1885</v>
      </c>
      <c r="N353" s="17" t="str">
        <f aca="false">IF($I353="","",$I353+$L353)</f>
        <v/>
      </c>
      <c r="O353" s="17" t="n">
        <f aca="false">IF($K353="","",$K353+$L353)</f>
        <v>1865</v>
      </c>
      <c r="P353" s="17" t="str">
        <f aca="false">IF($B$10=0,"",IFERROR(IF($B$4&gt;0,IF($M353="",1/0,$M353*$B$4),0)+IF($B$5&gt;0,IF($N353="",1/0,$N353*$B$5),0)+IF($B$6&gt;0,IF($O353="",1/0,$O353*$B$6),0),""))</f>
        <v/>
      </c>
      <c r="Q353" s="17" t="s">
        <v>44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353" s="2"/>
      <c r="XFC353" s="6"/>
    </row>
    <row r="354" s="5" customFormat="true" ht="28.5" hidden="false" customHeight="true" outlineLevel="0" collapsed="false">
      <c r="A354" s="16" t="str">
        <f aca="false">IF($T354="","",1+COUNTIF($W$15:$W$728,"&lt;"&amp;W354))</f>
        <v/>
      </c>
      <c r="B354" s="16" t="s">
        <v>6</v>
      </c>
      <c r="C354" s="16" t="s">
        <v>1063</v>
      </c>
      <c r="D354" s="16" t="s">
        <v>141</v>
      </c>
      <c r="E354" s="16" t="s">
        <v>44</v>
      </c>
      <c r="F354" s="16" t="s">
        <v>1064</v>
      </c>
      <c r="G354" s="16" t="s">
        <v>1065</v>
      </c>
      <c r="H354" s="17" t="n">
        <v>1919</v>
      </c>
      <c r="I354" s="17"/>
      <c r="J354" s="17"/>
      <c r="K354" s="17" t="n">
        <v>1919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1919</v>
      </c>
      <c r="N354" s="17" t="str">
        <f aca="false">IF($I354="","",$I354+$L354)</f>
        <v/>
      </c>
      <c r="O354" s="17" t="n">
        <f aca="false">IF($K354="","",$K354+$L354)</f>
        <v>1919</v>
      </c>
      <c r="P354" s="17" t="str">
        <f aca="false">IF($B$10=0,"",IFERROR(IF($B$4&gt;0,IF($M354="",1/0,$M354*$B$4),0)+IF($B$5&gt;0,IF($N354="",1/0,$N354*$B$5),0)+IF($B$6&gt;0,IF($O354="",1/0,$O354*$B$6),0),""))</f>
        <v/>
      </c>
      <c r="Q354" s="17" t="s">
        <v>44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354" s="2"/>
      <c r="XFC354" s="6"/>
    </row>
    <row r="355" s="5" customFormat="true" ht="28.5" hidden="false" customHeight="true" outlineLevel="0" collapsed="false">
      <c r="A355" s="16" t="str">
        <f aca="false">IF($T355="","",1+COUNTIF($W$15:$W$728,"&lt;"&amp;W355))</f>
        <v/>
      </c>
      <c r="B355" s="16" t="s">
        <v>8</v>
      </c>
      <c r="C355" s="16" t="s">
        <v>1066</v>
      </c>
      <c r="D355" s="16" t="s">
        <v>141</v>
      </c>
      <c r="E355" s="16" t="s">
        <v>44</v>
      </c>
      <c r="F355" s="16" t="s">
        <v>1067</v>
      </c>
      <c r="G355" s="16" t="s">
        <v>1068</v>
      </c>
      <c r="H355" s="17" t="n">
        <v>1825</v>
      </c>
      <c r="I355" s="17"/>
      <c r="J355" s="17"/>
      <c r="K355" s="17" t="n">
        <v>1865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1825</v>
      </c>
      <c r="N355" s="17" t="str">
        <f aca="false">IF($I355="","",$I355+$L355)</f>
        <v/>
      </c>
      <c r="O355" s="17" t="n">
        <f aca="false">IF($K355="","",$K355+$L355)</f>
        <v>1865</v>
      </c>
      <c r="P355" s="17" t="str">
        <f aca="false">IF($B$10=0,"",IFERROR(IF($B$4&gt;0,IF($M355="",1/0,$M355*$B$4),0)+IF($B$5&gt;0,IF($N355="",1/0,$N355*$B$5),0)+IF($B$6&gt;0,IF($O355="",1/0,$O355*$B$6),0),""))</f>
        <v/>
      </c>
      <c r="Q355" s="17" t="s">
        <v>44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355" s="2"/>
      <c r="XFC355" s="6"/>
    </row>
    <row r="356" s="5" customFormat="true" ht="28.5" hidden="false" customHeight="true" outlineLevel="0" collapsed="false">
      <c r="A356" s="16" t="str">
        <f aca="false">IF($T356="","",1+COUNTIF($W$15:$W$728,"&lt;"&amp;W356))</f>
        <v/>
      </c>
      <c r="B356" s="16" t="s">
        <v>6</v>
      </c>
      <c r="C356" s="16" t="s">
        <v>1069</v>
      </c>
      <c r="D356" s="16" t="s">
        <v>48</v>
      </c>
      <c r="E356" s="16" t="s">
        <v>44</v>
      </c>
      <c r="F356" s="16" t="s">
        <v>1070</v>
      </c>
      <c r="G356" s="16" t="s">
        <v>1071</v>
      </c>
      <c r="H356" s="17" t="n">
        <v>1879</v>
      </c>
      <c r="I356" s="17"/>
      <c r="J356" s="17"/>
      <c r="K356" s="17" t="n">
        <v>1869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1879</v>
      </c>
      <c r="N356" s="17" t="str">
        <f aca="false">IF($I356="","",$I356+$L356)</f>
        <v/>
      </c>
      <c r="O356" s="17" t="n">
        <f aca="false">IF($K356="","",$K356+$L356)</f>
        <v>1869</v>
      </c>
      <c r="P356" s="17" t="str">
        <f aca="false">IF($B$10=0,"",IFERROR(IF($B$4&gt;0,IF($M356="",1/0,$M356*$B$4),0)+IF($B$5&gt;0,IF($N356="",1/0,$N356*$B$5),0)+IF($B$6&gt;0,IF($O356="",1/0,$O356*$B$6),0),""))</f>
        <v/>
      </c>
      <c r="Q356" s="17" t="s">
        <v>44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356" s="2"/>
      <c r="XFC356" s="6"/>
    </row>
    <row r="357" s="5" customFormat="true" ht="28.5" hidden="false" customHeight="true" outlineLevel="0" collapsed="false">
      <c r="A357" s="16" t="str">
        <f aca="false">IF($T357="","",1+COUNTIF($W$15:$W$728,"&lt;"&amp;W357))</f>
        <v/>
      </c>
      <c r="B357" s="16" t="s">
        <v>6</v>
      </c>
      <c r="C357" s="16" t="s">
        <v>1072</v>
      </c>
      <c r="D357" s="16" t="s">
        <v>141</v>
      </c>
      <c r="E357" s="16" t="s">
        <v>44</v>
      </c>
      <c r="F357" s="16" t="s">
        <v>1073</v>
      </c>
      <c r="G357" s="16" t="s">
        <v>1074</v>
      </c>
      <c r="H357" s="17" t="n">
        <v>1885</v>
      </c>
      <c r="I357" s="17"/>
      <c r="J357" s="17"/>
      <c r="K357" s="17" t="n">
        <v>1855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1885</v>
      </c>
      <c r="N357" s="17" t="str">
        <f aca="false">IF($I357="","",$I357+$L357)</f>
        <v/>
      </c>
      <c r="O357" s="17" t="n">
        <f aca="false">IF($K357="","",$K357+$L357)</f>
        <v>1855</v>
      </c>
      <c r="P357" s="17" t="str">
        <f aca="false">IF($B$10=0,"",IFERROR(IF($B$4&gt;0,IF($M357="",1/0,$M357*$B$4),0)+IF($B$5&gt;0,IF($N357="",1/0,$N357*$B$5),0)+IF($B$6&gt;0,IF($O357="",1/0,$O357*$B$6),0),""))</f>
        <v/>
      </c>
      <c r="Q357" s="17" t="s">
        <v>44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357" s="2"/>
      <c r="XFC357" s="6"/>
    </row>
    <row r="358" s="5" customFormat="true" ht="28.5" hidden="false" customHeight="true" outlineLevel="0" collapsed="false">
      <c r="A358" s="16" t="str">
        <f aca="false">IF($T358="","",1+COUNTIF($W$15:$W$728,"&lt;"&amp;W358))</f>
        <v/>
      </c>
      <c r="B358" s="16" t="s">
        <v>6</v>
      </c>
      <c r="C358" s="16" t="s">
        <v>153</v>
      </c>
      <c r="D358" s="16" t="s">
        <v>281</v>
      </c>
      <c r="E358" s="16" t="s">
        <v>44</v>
      </c>
      <c r="F358" s="16" t="s">
        <v>1075</v>
      </c>
      <c r="G358" s="16" t="s">
        <v>1076</v>
      </c>
      <c r="H358" s="17" t="n">
        <v>1865</v>
      </c>
      <c r="I358" s="17"/>
      <c r="J358" s="17"/>
      <c r="K358" s="17" t="n">
        <v>1885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1865</v>
      </c>
      <c r="N358" s="17" t="str">
        <f aca="false">IF($I358="","",$I358+$L358)</f>
        <v/>
      </c>
      <c r="O358" s="17" t="n">
        <f aca="false">IF($K358="","",$K358+$L358)</f>
        <v>1885</v>
      </c>
      <c r="P358" s="17" t="str">
        <f aca="false">IF($B$10=0,"",IFERROR(IF($B$4&gt;0,IF($M358="",1/0,$M358*$B$4),0)+IF($B$5&gt;0,IF($N358="",1/0,$N358*$B$5),0)+IF($B$6&gt;0,IF($O358="",1/0,$O358*$B$6),0),""))</f>
        <v/>
      </c>
      <c r="Q358" s="17" t="s">
        <v>44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358" s="2"/>
      <c r="XFC358" s="6"/>
    </row>
    <row r="359" s="5" customFormat="true" ht="28.5" hidden="false" customHeight="true" outlineLevel="0" collapsed="false">
      <c r="A359" s="16" t="str">
        <f aca="false">IF($T359="","",1+COUNTIF($W$15:$W$728,"&lt;"&amp;W359))</f>
        <v/>
      </c>
      <c r="B359" s="16" t="s">
        <v>6</v>
      </c>
      <c r="C359" s="16" t="s">
        <v>667</v>
      </c>
      <c r="D359" s="20" t="s">
        <v>131</v>
      </c>
      <c r="E359" s="16" t="s">
        <v>44</v>
      </c>
      <c r="F359" s="16" t="s">
        <v>1077</v>
      </c>
      <c r="G359" s="16" t="s">
        <v>1078</v>
      </c>
      <c r="H359" s="17" t="n">
        <v>1945</v>
      </c>
      <c r="I359" s="17"/>
      <c r="J359" s="17"/>
      <c r="K359" s="17" t="n">
        <v>1995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1945</v>
      </c>
      <c r="N359" s="17" t="str">
        <f aca="false">IF($I359="","",$I359+$L359)</f>
        <v/>
      </c>
      <c r="O359" s="17" t="n">
        <f aca="false">IF($K359="","",$K359+$L359)</f>
        <v>1995</v>
      </c>
      <c r="P359" s="17" t="str">
        <f aca="false">IF($B$10=0,"",IFERROR(IF($B$4&gt;0,IF($M359="",1/0,$M359*$B$4),0)+IF($B$5&gt;0,IF($N359="",1/0,$N359*$B$5),0)+IF($B$6&gt;0,IF($O359="",1/0,$O359*$B$6),0),""))</f>
        <v/>
      </c>
      <c r="Q359" s="17" t="s">
        <v>44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359" s="2"/>
      <c r="XFC359" s="6"/>
    </row>
    <row r="360" s="5" customFormat="true" ht="28.5" hidden="false" customHeight="true" outlineLevel="0" collapsed="false">
      <c r="A360" s="16" t="str">
        <f aca="false">IF($T360="","",1+COUNTIF($W$15:$W$728,"&lt;"&amp;W360))</f>
        <v/>
      </c>
      <c r="B360" s="16" t="s">
        <v>8</v>
      </c>
      <c r="C360" s="16" t="s">
        <v>1079</v>
      </c>
      <c r="D360" s="20" t="s">
        <v>131</v>
      </c>
      <c r="E360" s="16" t="s">
        <v>44</v>
      </c>
      <c r="F360" s="16" t="s">
        <v>1080</v>
      </c>
      <c r="G360" s="16" t="s">
        <v>1081</v>
      </c>
      <c r="H360" s="17" t="n">
        <v>1958</v>
      </c>
      <c r="I360" s="17"/>
      <c r="J360" s="17"/>
      <c r="K360" s="17" t="n">
        <v>1998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1958</v>
      </c>
      <c r="N360" s="17" t="str">
        <f aca="false">IF($I360="","",$I360+$L360)</f>
        <v/>
      </c>
      <c r="O360" s="17" t="n">
        <f aca="false">IF($K360="","",$K360+$L360)</f>
        <v>1998</v>
      </c>
      <c r="P360" s="17" t="str">
        <f aca="false">IF($B$10=0,"",IFERROR(IF($B$4&gt;0,IF($M360="",1/0,$M360*$B$4),0)+IF($B$5&gt;0,IF($N360="",1/0,$N360*$B$5),0)+IF($B$6&gt;0,IF($O360="",1/0,$O360*$B$6),0),""))</f>
        <v/>
      </c>
      <c r="Q360" s="17"/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360" s="2"/>
      <c r="XFC360" s="6"/>
    </row>
    <row r="361" s="5" customFormat="true" ht="28.5" hidden="false" customHeight="true" outlineLevel="0" collapsed="false">
      <c r="A361" s="16" t="str">
        <f aca="false">IF($T361="","",1+COUNTIF($W$15:$W$728,"&lt;"&amp;W361))</f>
        <v/>
      </c>
      <c r="B361" s="16" t="s">
        <v>6</v>
      </c>
      <c r="C361" s="16" t="s">
        <v>1082</v>
      </c>
      <c r="D361" s="16" t="s">
        <v>141</v>
      </c>
      <c r="E361" s="16" t="s">
        <v>44</v>
      </c>
      <c r="F361" s="16" t="s">
        <v>1083</v>
      </c>
      <c r="G361" s="16" t="s">
        <v>1084</v>
      </c>
      <c r="H361" s="17" t="n">
        <v>1946</v>
      </c>
      <c r="I361" s="17"/>
      <c r="J361" s="17"/>
      <c r="K361" s="17" t="n">
        <v>2046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1946</v>
      </c>
      <c r="N361" s="17" t="str">
        <f aca="false">IF($I361="","",$I361+$L361)</f>
        <v/>
      </c>
      <c r="O361" s="17" t="n">
        <f aca="false">IF($K361="","",$K361+$L361)</f>
        <v>2046</v>
      </c>
      <c r="P361" s="17" t="str">
        <f aca="false">IF($B$10=0,"",IFERROR(IF($B$4&gt;0,IF($M361="",1/0,$M361*$B$4),0)+IF($B$5&gt;0,IF($N361="",1/0,$N361*$B$5),0)+IF($B$6&gt;0,IF($O361="",1/0,$O361*$B$6),0),""))</f>
        <v/>
      </c>
      <c r="Q361" s="17" t="s">
        <v>44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361" s="2"/>
      <c r="XFC361" s="6"/>
    </row>
    <row r="362" s="5" customFormat="true" ht="28.5" hidden="false" customHeight="true" outlineLevel="0" collapsed="false">
      <c r="A362" s="16" t="str">
        <f aca="false">IF($T362="","",1+COUNTIF($W$15:$W$728,"&lt;"&amp;W362))</f>
        <v/>
      </c>
      <c r="B362" s="16" t="s">
        <v>10</v>
      </c>
      <c r="C362" s="16" t="s">
        <v>1085</v>
      </c>
      <c r="D362" s="16" t="s">
        <v>48</v>
      </c>
      <c r="E362" s="16" t="s">
        <v>44</v>
      </c>
      <c r="F362" s="16" t="s">
        <v>1086</v>
      </c>
      <c r="G362" s="16" t="s">
        <v>1087</v>
      </c>
      <c r="H362" s="17" t="n">
        <v>1797</v>
      </c>
      <c r="I362" s="17"/>
      <c r="J362" s="17"/>
      <c r="K362" s="17" t="n">
        <v>1895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1797</v>
      </c>
      <c r="N362" s="17" t="str">
        <f aca="false">IF($I362="","",$I362+$L362)</f>
        <v/>
      </c>
      <c r="O362" s="17" t="n">
        <f aca="false">IF($K362="","",$K362+$L362)</f>
        <v>1895</v>
      </c>
      <c r="P362" s="17" t="str">
        <f aca="false">IF($B$10=0,"",IFERROR(IF($B$4&gt;0,IF($M362="",1/0,$M362*$B$4),0)+IF($B$5&gt;0,IF($N362="",1/0,$N362*$B$5),0)+IF($B$6&gt;0,IF($O362="",1/0,$O362*$B$6),0),""))</f>
        <v/>
      </c>
      <c r="Q362" s="17"/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362" s="2"/>
      <c r="XFC362" s="6"/>
    </row>
    <row r="363" s="5" customFormat="true" ht="28.5" hidden="false" customHeight="true" outlineLevel="0" collapsed="false">
      <c r="A363" s="16" t="str">
        <f aca="false">IF($T363="","",1+COUNTIF($W$15:$W$728,"&lt;"&amp;W363))</f>
        <v/>
      </c>
      <c r="B363" s="16" t="s">
        <v>10</v>
      </c>
      <c r="C363" s="16" t="s">
        <v>1088</v>
      </c>
      <c r="D363" s="16" t="s">
        <v>281</v>
      </c>
      <c r="E363" s="16" t="s">
        <v>44</v>
      </c>
      <c r="F363" s="16" t="s">
        <v>1089</v>
      </c>
      <c r="G363" s="16" t="s">
        <v>1090</v>
      </c>
      <c r="H363" s="17" t="n">
        <v>1789</v>
      </c>
      <c r="I363" s="17"/>
      <c r="J363" s="17"/>
      <c r="K363" s="17" t="n">
        <v>1789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1789</v>
      </c>
      <c r="N363" s="17" t="str">
        <f aca="false">IF($I363="","",$I363+$L363)</f>
        <v/>
      </c>
      <c r="O363" s="17" t="n">
        <f aca="false">IF($K363="","",$K363+$L363)</f>
        <v>1789</v>
      </c>
      <c r="P363" s="17" t="str">
        <f aca="false">IF($B$10=0,"",IFERROR(IF($B$4&gt;0,IF($M363="",1/0,$M363*$B$4),0)+IF($B$5&gt;0,IF($N363="",1/0,$N363*$B$5),0)+IF($B$6&gt;0,IF($O363="",1/0,$O363*$B$6),0),""))</f>
        <v/>
      </c>
      <c r="Q363" s="17"/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363" s="2"/>
      <c r="XFC363" s="6"/>
    </row>
    <row r="364" s="5" customFormat="true" ht="28.5" hidden="false" customHeight="true" outlineLevel="0" collapsed="false">
      <c r="A364" s="16" t="str">
        <f aca="false">IF($T364="","",1+COUNTIF($W$15:$W$728,"&lt;"&amp;W364))</f>
        <v/>
      </c>
      <c r="B364" s="16" t="s">
        <v>6</v>
      </c>
      <c r="C364" s="16" t="s">
        <v>1091</v>
      </c>
      <c r="D364" s="16" t="s">
        <v>48</v>
      </c>
      <c r="E364" s="16" t="s">
        <v>44</v>
      </c>
      <c r="F364" s="16" t="s">
        <v>1092</v>
      </c>
      <c r="G364" s="16" t="s">
        <v>1093</v>
      </c>
      <c r="H364" s="17" t="n">
        <v>1919</v>
      </c>
      <c r="I364" s="17"/>
      <c r="J364" s="17"/>
      <c r="K364" s="17" t="n">
        <v>1919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1919</v>
      </c>
      <c r="N364" s="17" t="str">
        <f aca="false">IF($I364="","",$I364+$L364)</f>
        <v/>
      </c>
      <c r="O364" s="17" t="n">
        <f aca="false">IF($K364="","",$K364+$L364)</f>
        <v>1919</v>
      </c>
      <c r="P364" s="17" t="str">
        <f aca="false">IF($B$10=0,"",IFERROR(IF($B$4&gt;0,IF($M364="",1/0,$M364*$B$4),0)+IF($B$5&gt;0,IF($N364="",1/0,$N364*$B$5),0)+IF($B$6&gt;0,IF($O364="",1/0,$O364*$B$6),0),""))</f>
        <v/>
      </c>
      <c r="Q364" s="17" t="s">
        <v>44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364" s="2"/>
      <c r="XFC364" s="6"/>
    </row>
    <row r="365" s="5" customFormat="true" ht="28.5" hidden="false" customHeight="true" outlineLevel="0" collapsed="false">
      <c r="A365" s="16" t="str">
        <f aca="false">IF($T365="","",1+COUNTIF($W$15:$W$728,"&lt;"&amp;W365))</f>
        <v/>
      </c>
      <c r="B365" s="16" t="s">
        <v>6</v>
      </c>
      <c r="C365" s="16" t="s">
        <v>1094</v>
      </c>
      <c r="D365" s="16" t="s">
        <v>281</v>
      </c>
      <c r="E365" s="16" t="s">
        <v>44</v>
      </c>
      <c r="F365" s="16" t="s">
        <v>1095</v>
      </c>
      <c r="G365" s="16" t="s">
        <v>1096</v>
      </c>
      <c r="H365" s="17" t="n">
        <v>1899</v>
      </c>
      <c r="I365" s="17"/>
      <c r="J365" s="17"/>
      <c r="K365" s="17" t="n">
        <v>1899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1899</v>
      </c>
      <c r="N365" s="17" t="str">
        <f aca="false">IF($I365="","",$I365+$L365)</f>
        <v/>
      </c>
      <c r="O365" s="17" t="n">
        <f aca="false">IF($K365="","",$K365+$L365)</f>
        <v>1899</v>
      </c>
      <c r="P365" s="17" t="str">
        <f aca="false">IF($B$10=0,"",IFERROR(IF($B$4&gt;0,IF($M365="",1/0,$M365*$B$4),0)+IF($B$5&gt;0,IF($N365="",1/0,$N365*$B$5),0)+IF($B$6&gt;0,IF($O365="",1/0,$O365*$B$6),0),""))</f>
        <v/>
      </c>
      <c r="Q365" s="17" t="s">
        <v>44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365" s="2"/>
      <c r="XFC365" s="6"/>
    </row>
    <row r="366" s="5" customFormat="true" ht="28.5" hidden="false" customHeight="true" outlineLevel="0" collapsed="false">
      <c r="A366" s="16" t="str">
        <f aca="false">IF($T366="","",1+COUNTIF($W$15:$W$728,"&lt;"&amp;W366))</f>
        <v/>
      </c>
      <c r="B366" s="16" t="s">
        <v>6</v>
      </c>
      <c r="C366" s="16" t="s">
        <v>1097</v>
      </c>
      <c r="D366" s="16" t="s">
        <v>141</v>
      </c>
      <c r="E366" s="16" t="s">
        <v>44</v>
      </c>
      <c r="F366" s="16" t="s">
        <v>1098</v>
      </c>
      <c r="G366" s="16" t="s">
        <v>1099</v>
      </c>
      <c r="H366" s="17" t="n">
        <v>1949</v>
      </c>
      <c r="I366" s="17"/>
      <c r="J366" s="17"/>
      <c r="K366" s="17" t="n">
        <v>2049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1949</v>
      </c>
      <c r="N366" s="17" t="str">
        <f aca="false">IF($I366="","",$I366+$L366)</f>
        <v/>
      </c>
      <c r="O366" s="17" t="n">
        <f aca="false">IF($K366="","",$K366+$L366)</f>
        <v>2049</v>
      </c>
      <c r="P366" s="17" t="str">
        <f aca="false">IF($B$10=0,"",IFERROR(IF($B$4&gt;0,IF($M366="",1/0,$M366*$B$4),0)+IF($B$5&gt;0,IF($N366="",1/0,$N366*$B$5),0)+IF($B$6&gt;0,IF($O366="",1/0,$O366*$B$6),0),""))</f>
        <v/>
      </c>
      <c r="Q366" s="17" t="s">
        <v>44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366" s="2"/>
      <c r="XFC366" s="6"/>
    </row>
    <row r="367" s="5" customFormat="true" ht="28.5" hidden="false" customHeight="true" outlineLevel="0" collapsed="false">
      <c r="A367" s="16" t="str">
        <f aca="false">IF($T367="","",1+COUNTIF($W$15:$W$728,"&lt;"&amp;W367))</f>
        <v/>
      </c>
      <c r="B367" s="16" t="s">
        <v>6</v>
      </c>
      <c r="C367" s="16" t="s">
        <v>1100</v>
      </c>
      <c r="D367" s="20" t="s">
        <v>131</v>
      </c>
      <c r="E367" s="16" t="s">
        <v>44</v>
      </c>
      <c r="F367" s="16" t="s">
        <v>1101</v>
      </c>
      <c r="G367" s="16" t="s">
        <v>1102</v>
      </c>
      <c r="H367" s="17" t="n">
        <v>1895</v>
      </c>
      <c r="I367" s="17"/>
      <c r="J367" s="17"/>
      <c r="K367" s="17" t="n">
        <v>1894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1895</v>
      </c>
      <c r="N367" s="17" t="str">
        <f aca="false">IF($I367="","",$I367+$L367)</f>
        <v/>
      </c>
      <c r="O367" s="17" t="n">
        <f aca="false">IF($K367="","",$K367+$L367)</f>
        <v>1894</v>
      </c>
      <c r="P367" s="17" t="str">
        <f aca="false">IF($B$10=0,"",IFERROR(IF($B$4&gt;0,IF($M367="",1/0,$M367*$B$4),0)+IF($B$5&gt;0,IF($N367="",1/0,$N367*$B$5),0)+IF($B$6&gt;0,IF($O367="",1/0,$O367*$B$6),0),""))</f>
        <v/>
      </c>
      <c r="Q367" s="17" t="s">
        <v>44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367" s="2"/>
      <c r="XFC367" s="6"/>
    </row>
    <row r="368" s="5" customFormat="true" ht="28.5" hidden="false" customHeight="true" outlineLevel="0" collapsed="false">
      <c r="A368" s="16" t="str">
        <f aca="false">IF($T368="","",1+COUNTIF($W$15:$W$728,"&lt;"&amp;W368))</f>
        <v/>
      </c>
      <c r="B368" s="16" t="s">
        <v>6</v>
      </c>
      <c r="C368" s="16" t="s">
        <v>1103</v>
      </c>
      <c r="D368" s="16" t="s">
        <v>141</v>
      </c>
      <c r="E368" s="16" t="s">
        <v>44</v>
      </c>
      <c r="F368" s="16" t="s">
        <v>1104</v>
      </c>
      <c r="G368" s="16" t="s">
        <v>1105</v>
      </c>
      <c r="H368" s="17" t="n">
        <v>1899</v>
      </c>
      <c r="I368" s="17"/>
      <c r="J368" s="17"/>
      <c r="K368" s="17" t="n">
        <v>1899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1899</v>
      </c>
      <c r="N368" s="17" t="str">
        <f aca="false">IF($I368="","",$I368+$L368)</f>
        <v/>
      </c>
      <c r="O368" s="17" t="n">
        <f aca="false">IF($K368="","",$K368+$L368)</f>
        <v>1899</v>
      </c>
      <c r="P368" s="17" t="str">
        <f aca="false">IF($B$10=0,"",IFERROR(IF($B$4&gt;0,IF($M368="",1/0,$M368*$B$4),0)+IF($B$5&gt;0,IF($N368="",1/0,$N368*$B$5),0)+IF($B$6&gt;0,IF($O368="",1/0,$O368*$B$6),0),""))</f>
        <v/>
      </c>
      <c r="Q368" s="17" t="s">
        <v>44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368" s="2"/>
      <c r="XFC368" s="6"/>
    </row>
    <row r="369" s="5" customFormat="true" ht="28.5" hidden="false" customHeight="true" outlineLevel="0" collapsed="false">
      <c r="A369" s="16" t="str">
        <f aca="false">IF($T369="","",1+COUNTIF($W$15:$W$728,"&lt;"&amp;W369))</f>
        <v/>
      </c>
      <c r="B369" s="16" t="s">
        <v>14</v>
      </c>
      <c r="C369" s="16" t="s">
        <v>1106</v>
      </c>
      <c r="D369" s="20" t="s">
        <v>131</v>
      </c>
      <c r="E369" s="16" t="s">
        <v>44</v>
      </c>
      <c r="F369" s="16" t="s">
        <v>1107</v>
      </c>
      <c r="G369" s="16" t="s">
        <v>1108</v>
      </c>
      <c r="H369" s="17" t="n">
        <v>1940</v>
      </c>
      <c r="I369" s="17"/>
      <c r="J369" s="17"/>
      <c r="K369" s="17" t="n">
        <v>1970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1940</v>
      </c>
      <c r="N369" s="17" t="str">
        <f aca="false">IF($I369="","",$I369+$L369)</f>
        <v/>
      </c>
      <c r="O369" s="17" t="n">
        <f aca="false">IF($K369="","",$K369+$L369)</f>
        <v>1970</v>
      </c>
      <c r="P369" s="17" t="str">
        <f aca="false">IF($B$10=0,"",IFERROR(IF($B$4&gt;0,IF($M369="",1/0,$M369*$B$4),0)+IF($B$5&gt;0,IF($N369="",1/0,$N369*$B$5),0)+IF($B$6&gt;0,IF($O369="",1/0,$O369*$B$6),0),""))</f>
        <v/>
      </c>
      <c r="Q369" s="17"/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369" s="2"/>
      <c r="XFC369" s="6"/>
    </row>
    <row r="370" s="5" customFormat="true" ht="28.5" hidden="false" customHeight="true" outlineLevel="0" collapsed="false">
      <c r="A370" s="16" t="str">
        <f aca="false">IF($T370="","",1+COUNTIF($W$15:$W$728,"&lt;"&amp;W370))</f>
        <v/>
      </c>
      <c r="B370" s="16" t="s">
        <v>6</v>
      </c>
      <c r="C370" s="16" t="s">
        <v>1109</v>
      </c>
      <c r="D370" s="20" t="s">
        <v>131</v>
      </c>
      <c r="E370" s="16" t="s">
        <v>44</v>
      </c>
      <c r="F370" s="16" t="s">
        <v>1110</v>
      </c>
      <c r="G370" s="16" t="s">
        <v>1111</v>
      </c>
      <c r="H370" s="17" t="n">
        <v>1899</v>
      </c>
      <c r="I370" s="17"/>
      <c r="J370" s="17"/>
      <c r="K370" s="17" t="n">
        <v>1949</v>
      </c>
      <c r="L370" s="17" t="n">
        <f aca="false">IF(AND(IFERROR(SEARCH("현대오일뱅크",$C370),0)&gt;0,IFERROR(SEARCH("직영",$C370),0)&gt;0),$B$13,0)</f>
        <v>0</v>
      </c>
      <c r="M370" s="17" t="n">
        <f aca="false">IF($H370="","",$H370+$L370)</f>
        <v>1899</v>
      </c>
      <c r="N370" s="17" t="str">
        <f aca="false">IF($I370="","",$I370+$L370)</f>
        <v/>
      </c>
      <c r="O370" s="17" t="n">
        <f aca="false">IF($K370="","",$K370+$L370)</f>
        <v>1949</v>
      </c>
      <c r="P370" s="17" t="str">
        <f aca="false">IF($B$10=0,"",IFERROR(IF($B$4&gt;0,IF($M370="",1/0,$M370*$B$4),0)+IF($B$5&gt;0,IF($N370="",1/0,$N370*$B$5),0)+IF($B$6&gt;0,IF($O370="",1/0,$O370*$B$6),0),""))</f>
        <v/>
      </c>
      <c r="Q370" s="17" t="s">
        <v>44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370" s="2"/>
      <c r="XFC370" s="6"/>
    </row>
    <row r="371" s="5" customFormat="true" ht="28.5" hidden="false" customHeight="true" outlineLevel="0" collapsed="false">
      <c r="A371" s="16" t="str">
        <f aca="false">IF($T371="","",1+COUNTIF($W$15:$W$728,"&lt;"&amp;W371))</f>
        <v/>
      </c>
      <c r="B371" s="16" t="s">
        <v>14</v>
      </c>
      <c r="C371" s="16" t="s">
        <v>1112</v>
      </c>
      <c r="D371" s="16" t="s">
        <v>43</v>
      </c>
      <c r="E371" s="16" t="s">
        <v>58</v>
      </c>
      <c r="F371" s="16" t="s">
        <v>1113</v>
      </c>
      <c r="G371" s="16" t="s">
        <v>1114</v>
      </c>
      <c r="H371" s="17" t="n">
        <v>1752</v>
      </c>
      <c r="I371" s="17"/>
      <c r="J371" s="17"/>
      <c r="K371" s="17" t="n">
        <v>1708</v>
      </c>
      <c r="L371" s="17" t="n">
        <v>0</v>
      </c>
      <c r="M371" s="17" t="n">
        <f aca="false">IF($H371="","",$H371+$L371)</f>
        <v>1752</v>
      </c>
      <c r="N371" s="17" t="str">
        <f aca="false">IF($I371="","",$I371+$L371)</f>
        <v/>
      </c>
      <c r="O371" s="17" t="n">
        <f aca="false">IF($K371="","",$K371+$L371)</f>
        <v>1708</v>
      </c>
      <c r="P371" s="17" t="str">
        <f aca="false">IF($B$10=0,"",IFERROR(IF($B$4&gt;0,IF($M371="",1/0,$M371*$B$4),0)+IF($B$5&gt;0,IF($N371="",1/0,$N371*$B$5),0)+IF($B$6&gt;0,IF($O371="",1/0,$O371*$B$6),0),""))</f>
        <v/>
      </c>
      <c r="Q371" s="17" t="s">
        <v>44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371" s="2"/>
      <c r="XFC371" s="6"/>
    </row>
    <row r="372" s="5" customFormat="true" ht="28.5" hidden="false" customHeight="true" outlineLevel="0" collapsed="false">
      <c r="A372" s="16" t="str">
        <f aca="false">IF($T372="","",1+COUNTIF($W$15:$W$728,"&lt;"&amp;W372))</f>
        <v/>
      </c>
      <c r="B372" s="16" t="s">
        <v>6</v>
      </c>
      <c r="C372" s="16" t="s">
        <v>1115</v>
      </c>
      <c r="D372" s="20" t="s">
        <v>131</v>
      </c>
      <c r="E372" s="16" t="s">
        <v>44</v>
      </c>
      <c r="F372" s="16" t="s">
        <v>1116</v>
      </c>
      <c r="G372" s="16" t="s">
        <v>1117</v>
      </c>
      <c r="H372" s="17" t="n">
        <v>1855</v>
      </c>
      <c r="I372" s="17"/>
      <c r="J372" s="17"/>
      <c r="K372" s="17" t="n">
        <v>1895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1855</v>
      </c>
      <c r="N372" s="17" t="str">
        <f aca="false">IF($I372="","",$I372+$L372)</f>
        <v/>
      </c>
      <c r="O372" s="17" t="n">
        <f aca="false">IF($K372="","",$K372+$L372)</f>
        <v>1895</v>
      </c>
      <c r="P372" s="17" t="str">
        <f aca="false">IF($B$10=0,"",IFERROR(IF($B$4&gt;0,IF($M372="",1/0,$M372*$B$4),0)+IF($B$5&gt;0,IF($N372="",1/0,$N372*$B$5),0)+IF($B$6&gt;0,IF($O372="",1/0,$O372*$B$6),0),""))</f>
        <v/>
      </c>
      <c r="Q372" s="17" t="s">
        <v>44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372" s="2"/>
      <c r="XFC372" s="6"/>
    </row>
    <row r="373" s="5" customFormat="true" ht="28.5" hidden="false" customHeight="true" outlineLevel="0" collapsed="false">
      <c r="A373" s="16" t="str">
        <f aca="false">IF($T373="","",1+COUNTIF($W$15:$W$728,"&lt;"&amp;W373))</f>
        <v/>
      </c>
      <c r="B373" s="16" t="s">
        <v>12</v>
      </c>
      <c r="C373" s="16" t="s">
        <v>1118</v>
      </c>
      <c r="D373" s="20" t="s">
        <v>303</v>
      </c>
      <c r="E373" s="16" t="s">
        <v>44</v>
      </c>
      <c r="F373" s="16" t="s">
        <v>1119</v>
      </c>
      <c r="G373" s="16" t="s">
        <v>1120</v>
      </c>
      <c r="H373" s="17" t="n">
        <v>1959</v>
      </c>
      <c r="I373" s="17"/>
      <c r="J373" s="17"/>
      <c r="K373" s="17" t="n">
        <v>1987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1959</v>
      </c>
      <c r="N373" s="17" t="str">
        <f aca="false">IF($I373="","",$I373+$L373)</f>
        <v/>
      </c>
      <c r="O373" s="17" t="n">
        <f aca="false">IF($K373="","",$K373+$L373)</f>
        <v>1987</v>
      </c>
      <c r="P373" s="17" t="str">
        <f aca="false">IF($B$10=0,"",IFERROR(IF($B$4&gt;0,IF($M373="",1/0,$M373*$B$4),0)+IF($B$5&gt;0,IF($N373="",1/0,$N373*$B$5),0)+IF($B$6&gt;0,IF($O373="",1/0,$O373*$B$6),0),""))</f>
        <v/>
      </c>
      <c r="Q373" s="17" t="s">
        <v>44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373" s="2"/>
      <c r="XFC373" s="6"/>
    </row>
    <row r="374" s="5" customFormat="true" ht="28.5" hidden="false" customHeight="true" outlineLevel="0" collapsed="false">
      <c r="A374" s="16" t="str">
        <f aca="false">IF($T374="","",1+COUNTIF($W$15:$W$728,"&lt;"&amp;W374))</f>
        <v/>
      </c>
      <c r="B374" s="16" t="s">
        <v>12</v>
      </c>
      <c r="C374" s="16" t="s">
        <v>1121</v>
      </c>
      <c r="D374" s="20" t="s">
        <v>208</v>
      </c>
      <c r="E374" s="16" t="s">
        <v>44</v>
      </c>
      <c r="F374" s="16" t="s">
        <v>1122</v>
      </c>
      <c r="G374" s="16" t="s">
        <v>1123</v>
      </c>
      <c r="H374" s="17" t="n">
        <v>1899</v>
      </c>
      <c r="I374" s="17"/>
      <c r="J374" s="17"/>
      <c r="K374" s="17" t="n">
        <v>1959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1899</v>
      </c>
      <c r="N374" s="17" t="str">
        <f aca="false">IF($I374="","",$I374+$L374)</f>
        <v/>
      </c>
      <c r="O374" s="17" t="n">
        <f aca="false">IF($K374="","",$K374+$L374)</f>
        <v>1959</v>
      </c>
      <c r="P374" s="17" t="str">
        <f aca="false">IF($B$10=0,"",IFERROR(IF($B$4&gt;0,IF($M374="",1/0,$M374*$B$4),0)+IF($B$5&gt;0,IF($N374="",1/0,$N374*$B$5),0)+IF($B$6&gt;0,IF($O374="",1/0,$O374*$B$6),0),""))</f>
        <v/>
      </c>
      <c r="Q374" s="17"/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374" s="2"/>
      <c r="XFC374" s="6"/>
    </row>
    <row r="375" s="5" customFormat="true" ht="28.5" hidden="false" customHeight="true" outlineLevel="0" collapsed="false">
      <c r="A375" s="16" t="str">
        <f aca="false">IF($T375="","",1+COUNTIF($W$15:$W$728,"&lt;"&amp;W375))</f>
        <v/>
      </c>
      <c r="B375" s="16" t="s">
        <v>14</v>
      </c>
      <c r="C375" s="16" t="s">
        <v>1124</v>
      </c>
      <c r="D375" s="16" t="s">
        <v>141</v>
      </c>
      <c r="E375" s="16" t="s">
        <v>44</v>
      </c>
      <c r="F375" s="16" t="s">
        <v>1125</v>
      </c>
      <c r="G375" s="16" t="s">
        <v>1126</v>
      </c>
      <c r="H375" s="17" t="n">
        <v>1825</v>
      </c>
      <c r="I375" s="17"/>
      <c r="J375" s="17"/>
      <c r="K375" s="17" t="n">
        <v>1883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1825</v>
      </c>
      <c r="N375" s="17" t="str">
        <f aca="false">IF($I375="","",$I375+$L375)</f>
        <v/>
      </c>
      <c r="O375" s="17" t="n">
        <f aca="false">IF($K375="","",$K375+$L375)</f>
        <v>1883</v>
      </c>
      <c r="P375" s="17" t="str">
        <f aca="false">IF($B$10=0,"",IFERROR(IF($B$4&gt;0,IF($M375="",1/0,$M375*$B$4),0)+IF($B$5&gt;0,IF($N375="",1/0,$N375*$B$5),0)+IF($B$6&gt;0,IF($O375="",1/0,$O375*$B$6),0),""))</f>
        <v/>
      </c>
      <c r="Q375" s="17"/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375" s="2"/>
      <c r="XFC375" s="6"/>
    </row>
    <row r="376" s="5" customFormat="true" ht="28.5" hidden="false" customHeight="true" outlineLevel="0" collapsed="false">
      <c r="A376" s="16" t="str">
        <f aca="false">IF($T376="","",1+COUNTIF($W$15:$W$728,"&lt;"&amp;W376))</f>
        <v/>
      </c>
      <c r="B376" s="16" t="s">
        <v>12</v>
      </c>
      <c r="C376" s="16" t="s">
        <v>1127</v>
      </c>
      <c r="D376" s="20" t="s">
        <v>303</v>
      </c>
      <c r="E376" s="16" t="s">
        <v>44</v>
      </c>
      <c r="F376" s="16" t="s">
        <v>1128</v>
      </c>
      <c r="G376" s="16" t="s">
        <v>1129</v>
      </c>
      <c r="H376" s="17" t="n">
        <v>1925</v>
      </c>
      <c r="I376" s="17"/>
      <c r="J376" s="17"/>
      <c r="K376" s="17" t="n">
        <v>1995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1925</v>
      </c>
      <c r="N376" s="17" t="str">
        <f aca="false">IF($I376="","",$I376+$L376)</f>
        <v/>
      </c>
      <c r="O376" s="17" t="n">
        <f aca="false">IF($K376="","",$K376+$L376)</f>
        <v>1995</v>
      </c>
      <c r="P376" s="17" t="str">
        <f aca="false">IF($B$10=0,"",IFERROR(IF($B$4&gt;0,IF($M376="",1/0,$M376*$B$4),0)+IF($B$5&gt;0,IF($N376="",1/0,$N376*$B$5),0)+IF($B$6&gt;0,IF($O376="",1/0,$O376*$B$6),0),""))</f>
        <v/>
      </c>
      <c r="Q376" s="17"/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376" s="2"/>
      <c r="XFC376" s="6"/>
    </row>
    <row r="377" s="5" customFormat="true" ht="28.5" hidden="false" customHeight="true" outlineLevel="0" collapsed="false">
      <c r="A377" s="16" t="str">
        <f aca="false">IF($T377="","",1+COUNTIF($W$15:$W$728,"&lt;"&amp;W377))</f>
        <v/>
      </c>
      <c r="B377" s="16" t="s">
        <v>6</v>
      </c>
      <c r="C377" s="16" t="s">
        <v>1130</v>
      </c>
      <c r="D377" s="16" t="s">
        <v>581</v>
      </c>
      <c r="E377" s="16" t="s">
        <v>44</v>
      </c>
      <c r="F377" s="16" t="s">
        <v>1131</v>
      </c>
      <c r="G377" s="16" t="s">
        <v>1132</v>
      </c>
      <c r="H377" s="17" t="n">
        <v>1925</v>
      </c>
      <c r="I377" s="17"/>
      <c r="J377" s="17"/>
      <c r="K377" s="17" t="n">
        <v>1925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1925</v>
      </c>
      <c r="N377" s="17" t="str">
        <f aca="false">IF($I377="","",$I377+$L377)</f>
        <v/>
      </c>
      <c r="O377" s="17" t="n">
        <f aca="false">IF($K377="","",$K377+$L377)</f>
        <v>1925</v>
      </c>
      <c r="P377" s="17" t="str">
        <f aca="false">IF($B$10=0,"",IFERROR(IF($B$4&gt;0,IF($M377="",1/0,$M377*$B$4),0)+IF($B$5&gt;0,IF($N377="",1/0,$N377*$B$5),0)+IF($B$6&gt;0,IF($O377="",1/0,$O377*$B$6),0),""))</f>
        <v/>
      </c>
      <c r="Q377" s="17" t="s">
        <v>44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377" s="2"/>
      <c r="XFC377" s="6"/>
    </row>
    <row r="378" s="5" customFormat="true" ht="28.5" hidden="false" customHeight="true" outlineLevel="0" collapsed="false">
      <c r="A378" s="16" t="str">
        <f aca="false">IF($T378="","",1+COUNTIF($W$15:$W$728,"&lt;"&amp;W378))</f>
        <v/>
      </c>
      <c r="B378" s="16" t="s">
        <v>10</v>
      </c>
      <c r="C378" s="16" t="s">
        <v>412</v>
      </c>
      <c r="D378" s="16" t="s">
        <v>43</v>
      </c>
      <c r="E378" s="16" t="s">
        <v>58</v>
      </c>
      <c r="F378" s="16" t="s">
        <v>1133</v>
      </c>
      <c r="G378" s="16" t="s">
        <v>1134</v>
      </c>
      <c r="H378" s="17" t="n">
        <v>1948</v>
      </c>
      <c r="I378" s="17"/>
      <c r="J378" s="17"/>
      <c r="K378" s="17" t="n">
        <v>1968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1948</v>
      </c>
      <c r="N378" s="17" t="str">
        <f aca="false">IF($I378="","",$I378+$L378)</f>
        <v/>
      </c>
      <c r="O378" s="17" t="n">
        <f aca="false">IF($K378="","",$K378+$L378)</f>
        <v>1968</v>
      </c>
      <c r="P378" s="17" t="str">
        <f aca="false">IF($B$10=0,"",IFERROR(IF($B$4&gt;0,IF($M378="",1/0,$M378*$B$4),0)+IF($B$5&gt;0,IF($N378="",1/0,$N378*$B$5),0)+IF($B$6&gt;0,IF($O378="",1/0,$O378*$B$6),0),""))</f>
        <v/>
      </c>
      <c r="Q378" s="17"/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378" s="2"/>
      <c r="XFC378" s="6"/>
    </row>
    <row r="379" s="5" customFormat="true" ht="28.5" hidden="false" customHeight="true" outlineLevel="0" collapsed="false">
      <c r="A379" s="16" t="str">
        <f aca="false">IF($T379="","",1+COUNTIF($W$15:$W$728,"&lt;"&amp;W379))</f>
        <v/>
      </c>
      <c r="B379" s="16" t="s">
        <v>10</v>
      </c>
      <c r="C379" s="16" t="s">
        <v>1135</v>
      </c>
      <c r="D379" s="20" t="s">
        <v>131</v>
      </c>
      <c r="E379" s="16" t="s">
        <v>44</v>
      </c>
      <c r="F379" s="16" t="s">
        <v>1136</v>
      </c>
      <c r="G379" s="16" t="s">
        <v>1137</v>
      </c>
      <c r="H379" s="17" t="n">
        <v>1939</v>
      </c>
      <c r="I379" s="17"/>
      <c r="J379" s="17"/>
      <c r="K379" s="17" t="n">
        <v>1959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1939</v>
      </c>
      <c r="N379" s="17" t="str">
        <f aca="false">IF($I379="","",$I379+$L379)</f>
        <v/>
      </c>
      <c r="O379" s="17" t="n">
        <f aca="false">IF($K379="","",$K379+$L379)</f>
        <v>1959</v>
      </c>
      <c r="P379" s="17" t="str">
        <f aca="false">IF($B$10=0,"",IFERROR(IF($B$4&gt;0,IF($M379="",1/0,$M379*$B$4),0)+IF($B$5&gt;0,IF($N379="",1/0,$N379*$B$5),0)+IF($B$6&gt;0,IF($O379="",1/0,$O379*$B$6),0),""))</f>
        <v/>
      </c>
      <c r="Q379" s="17"/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379" s="2"/>
      <c r="XFC379" s="6"/>
    </row>
    <row r="380" s="5" customFormat="true" ht="28.5" hidden="false" customHeight="true" outlineLevel="0" collapsed="false">
      <c r="A380" s="16" t="str">
        <f aca="false">IF($T380="","",1+COUNTIF($W$15:$W$728,"&lt;"&amp;W380))</f>
        <v/>
      </c>
      <c r="B380" s="16" t="s">
        <v>10</v>
      </c>
      <c r="C380" s="16" t="s">
        <v>1138</v>
      </c>
      <c r="D380" s="16" t="s">
        <v>141</v>
      </c>
      <c r="E380" s="16" t="s">
        <v>44</v>
      </c>
      <c r="F380" s="16" t="s">
        <v>1139</v>
      </c>
      <c r="G380" s="16" t="s">
        <v>1140</v>
      </c>
      <c r="H380" s="17" t="n">
        <v>1938</v>
      </c>
      <c r="I380" s="17"/>
      <c r="J380" s="17"/>
      <c r="K380" s="17" t="n">
        <v>1968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1938</v>
      </c>
      <c r="N380" s="17" t="str">
        <f aca="false">IF($I380="","",$I380+$L380)</f>
        <v/>
      </c>
      <c r="O380" s="17" t="n">
        <f aca="false">IF($K380="","",$K380+$L380)</f>
        <v>1968</v>
      </c>
      <c r="P380" s="17" t="str">
        <f aca="false">IF($B$10=0,"",IFERROR(IF($B$4&gt;0,IF($M380="",1/0,$M380*$B$4),0)+IF($B$5&gt;0,IF($N380="",1/0,$N380*$B$5),0)+IF($B$6&gt;0,IF($O380="",1/0,$O380*$B$6),0),""))</f>
        <v/>
      </c>
      <c r="Q380" s="17"/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380" s="2"/>
      <c r="XFC380" s="6"/>
    </row>
    <row r="381" s="5" customFormat="true" ht="28.5" hidden="false" customHeight="true" outlineLevel="0" collapsed="false">
      <c r="A381" s="16" t="str">
        <f aca="false">IF($T381="","",1+COUNTIF($W$15:$W$728,"&lt;"&amp;W381))</f>
        <v/>
      </c>
      <c r="B381" s="16" t="s">
        <v>10</v>
      </c>
      <c r="C381" s="16" t="s">
        <v>1141</v>
      </c>
      <c r="D381" s="16" t="s">
        <v>48</v>
      </c>
      <c r="E381" s="16" t="s">
        <v>44</v>
      </c>
      <c r="F381" s="16" t="s">
        <v>1142</v>
      </c>
      <c r="G381" s="16" t="s">
        <v>1143</v>
      </c>
      <c r="H381" s="17" t="n">
        <v>1948</v>
      </c>
      <c r="I381" s="17"/>
      <c r="J381" s="17"/>
      <c r="K381" s="17" t="n">
        <v>1968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1948</v>
      </c>
      <c r="N381" s="17" t="str">
        <f aca="false">IF($I381="","",$I381+$L381)</f>
        <v/>
      </c>
      <c r="O381" s="17" t="n">
        <f aca="false">IF($K381="","",$K381+$L381)</f>
        <v>1968</v>
      </c>
      <c r="P381" s="17" t="str">
        <f aca="false">IF($B$10=0,"",IFERROR(IF($B$4&gt;0,IF($M381="",1/0,$M381*$B$4),0)+IF($B$5&gt;0,IF($N381="",1/0,$N381*$B$5),0)+IF($B$6&gt;0,IF($O381="",1/0,$O381*$B$6),0),""))</f>
        <v/>
      </c>
      <c r="Q381" s="17"/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381" s="2"/>
      <c r="XFC381" s="6"/>
    </row>
    <row r="382" s="5" customFormat="true" ht="28.5" hidden="false" customHeight="true" outlineLevel="0" collapsed="false">
      <c r="A382" s="16" t="str">
        <f aca="false">IF($T382="","",1+COUNTIF($W$15:$W$728,"&lt;"&amp;W382))</f>
        <v/>
      </c>
      <c r="B382" s="16" t="s">
        <v>6</v>
      </c>
      <c r="C382" s="16" t="s">
        <v>1144</v>
      </c>
      <c r="D382" s="20" t="s">
        <v>131</v>
      </c>
      <c r="E382" s="16" t="s">
        <v>58</v>
      </c>
      <c r="F382" s="16" t="s">
        <v>1145</v>
      </c>
      <c r="G382" s="16" t="s">
        <v>1146</v>
      </c>
      <c r="H382" s="17" t="n">
        <v>1938</v>
      </c>
      <c r="I382" s="17"/>
      <c r="J382" s="17"/>
      <c r="K382" s="17" t="n">
        <v>1938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1938</v>
      </c>
      <c r="N382" s="17" t="str">
        <f aca="false">IF($I382="","",$I382+$L382)</f>
        <v/>
      </c>
      <c r="O382" s="17" t="n">
        <f aca="false">IF($K382="","",$K382+$L382)</f>
        <v>1938</v>
      </c>
      <c r="P382" s="17" t="str">
        <f aca="false">IF($B$10=0,"",IFERROR(IF($B$4&gt;0,IF($M382="",1/0,$M382*$B$4),0)+IF($B$5&gt;0,IF($N382="",1/0,$N382*$B$5),0)+IF($B$6&gt;0,IF($O382="",1/0,$O382*$B$6),0),""))</f>
        <v/>
      </c>
      <c r="Q382" s="17" t="s">
        <v>44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382" s="2"/>
      <c r="XFC382" s="6"/>
    </row>
    <row r="383" s="5" customFormat="true" ht="28.5" hidden="false" customHeight="true" outlineLevel="0" collapsed="false">
      <c r="A383" s="16" t="str">
        <f aca="false">IF($T383="","",1+COUNTIF($W$15:$W$728,"&lt;"&amp;W383))</f>
        <v/>
      </c>
      <c r="B383" s="16" t="s">
        <v>6</v>
      </c>
      <c r="C383" s="16" t="s">
        <v>1147</v>
      </c>
      <c r="D383" s="20" t="s">
        <v>131</v>
      </c>
      <c r="E383" s="16" t="s">
        <v>44</v>
      </c>
      <c r="F383" s="16" t="s">
        <v>1148</v>
      </c>
      <c r="G383" s="16" t="s">
        <v>1149</v>
      </c>
      <c r="H383" s="17" t="n">
        <v>1850</v>
      </c>
      <c r="I383" s="17"/>
      <c r="J383" s="17"/>
      <c r="K383" s="17" t="n">
        <v>1850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1850</v>
      </c>
      <c r="N383" s="17" t="str">
        <f aca="false">IF($I383="","",$I383+$L383)</f>
        <v/>
      </c>
      <c r="O383" s="17" t="n">
        <f aca="false">IF($K383="","",$K383+$L383)</f>
        <v>1850</v>
      </c>
      <c r="P383" s="17" t="str">
        <f aca="false">IF($B$10=0,"",IFERROR(IF($B$4&gt;0,IF($M383="",1/0,$M383*$B$4),0)+IF($B$5&gt;0,IF($N383="",1/0,$N383*$B$5),0)+IF($B$6&gt;0,IF($O383="",1/0,$O383*$B$6),0),""))</f>
        <v/>
      </c>
      <c r="Q383" s="17" t="s">
        <v>44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383" s="2"/>
      <c r="XFC383" s="6"/>
    </row>
    <row r="384" s="5" customFormat="true" ht="28.5" hidden="false" customHeight="true" outlineLevel="0" collapsed="false">
      <c r="A384" s="16" t="str">
        <f aca="false">IF($T384="","",1+COUNTIF($W$15:$W$728,"&lt;"&amp;W384))</f>
        <v/>
      </c>
      <c r="B384" s="16" t="s">
        <v>12</v>
      </c>
      <c r="C384" s="16" t="s">
        <v>1150</v>
      </c>
      <c r="D384" s="20" t="s">
        <v>131</v>
      </c>
      <c r="E384" s="16" t="s">
        <v>44</v>
      </c>
      <c r="F384" s="16" t="s">
        <v>1151</v>
      </c>
      <c r="G384" s="16" t="s">
        <v>1152</v>
      </c>
      <c r="H384" s="17" t="n">
        <v>1929</v>
      </c>
      <c r="I384" s="17"/>
      <c r="J384" s="17"/>
      <c r="K384" s="17" t="n">
        <v>1959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1929</v>
      </c>
      <c r="N384" s="17" t="str">
        <f aca="false">IF($I384="","",$I384+$L384)</f>
        <v/>
      </c>
      <c r="O384" s="17" t="n">
        <f aca="false">IF($K384="","",$K384+$L384)</f>
        <v>1959</v>
      </c>
      <c r="P384" s="17" t="str">
        <f aca="false">IF($B$10=0,"",IFERROR(IF($B$4&gt;0,IF($M384="",1/0,$M384*$B$4),0)+IF($B$5&gt;0,IF($N384="",1/0,$N384*$B$5),0)+IF($B$6&gt;0,IF($O384="",1/0,$O384*$B$6),0),""))</f>
        <v/>
      </c>
      <c r="Q384" s="17" t="s">
        <v>44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384" s="2"/>
      <c r="XFC384" s="6"/>
    </row>
    <row r="385" s="5" customFormat="true" ht="28.5" hidden="false" customHeight="true" outlineLevel="0" collapsed="false">
      <c r="A385" s="16" t="str">
        <f aca="false">IF($T385="","",1+COUNTIF($W$15:$W$728,"&lt;"&amp;W385))</f>
        <v/>
      </c>
      <c r="B385" s="16" t="s">
        <v>10</v>
      </c>
      <c r="C385" s="16" t="s">
        <v>1153</v>
      </c>
      <c r="D385" s="20" t="s">
        <v>131</v>
      </c>
      <c r="E385" s="16" t="s">
        <v>44</v>
      </c>
      <c r="F385" s="16" t="s">
        <v>1154</v>
      </c>
      <c r="G385" s="16" t="s">
        <v>1155</v>
      </c>
      <c r="H385" s="17" t="n">
        <v>1855</v>
      </c>
      <c r="I385" s="17"/>
      <c r="J385" s="17"/>
      <c r="K385" s="17" t="n">
        <v>1895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1855</v>
      </c>
      <c r="N385" s="17" t="str">
        <f aca="false">IF($I385="","",$I385+$L385)</f>
        <v/>
      </c>
      <c r="O385" s="17" t="n">
        <f aca="false">IF($K385="","",$K385+$L385)</f>
        <v>1895</v>
      </c>
      <c r="P385" s="17" t="str">
        <f aca="false">IF($B$10=0,"",IFERROR(IF($B$4&gt;0,IF($M385="",1/0,$M385*$B$4),0)+IF($B$5&gt;0,IF($N385="",1/0,$N385*$B$5),0)+IF($B$6&gt;0,IF($O385="",1/0,$O385*$B$6),0),""))</f>
        <v/>
      </c>
      <c r="Q385" s="17"/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385" s="2"/>
      <c r="XFC385" s="6"/>
    </row>
    <row r="386" s="5" customFormat="true" ht="28.5" hidden="false" customHeight="true" outlineLevel="0" collapsed="false">
      <c r="A386" s="16" t="str">
        <f aca="false">IF($T386="","",1+COUNTIF($W$15:$W$728,"&lt;"&amp;W386))</f>
        <v/>
      </c>
      <c r="B386" s="16" t="s">
        <v>10</v>
      </c>
      <c r="C386" s="16" t="s">
        <v>1156</v>
      </c>
      <c r="D386" s="20" t="s">
        <v>131</v>
      </c>
      <c r="E386" s="16" t="s">
        <v>44</v>
      </c>
      <c r="F386" s="16" t="s">
        <v>1157</v>
      </c>
      <c r="G386" s="16" t="s">
        <v>1158</v>
      </c>
      <c r="H386" s="17" t="n">
        <v>1855</v>
      </c>
      <c r="I386" s="17"/>
      <c r="J386" s="17"/>
      <c r="K386" s="17" t="n">
        <v>1895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1855</v>
      </c>
      <c r="N386" s="17" t="str">
        <f aca="false">IF($I386="","",$I386+$L386)</f>
        <v/>
      </c>
      <c r="O386" s="17" t="n">
        <f aca="false">IF($K386="","",$K386+$L386)</f>
        <v>1895</v>
      </c>
      <c r="P386" s="17" t="str">
        <f aca="false">IF($B$10=0,"",IFERROR(IF($B$4&gt;0,IF($M386="",1/0,$M386*$B$4),0)+IF($B$5&gt;0,IF($N386="",1/0,$N386*$B$5),0)+IF($B$6&gt;0,IF($O386="",1/0,$O386*$B$6),0),""))</f>
        <v/>
      </c>
      <c r="Q386" s="17"/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386" s="2"/>
      <c r="XFC386" s="6"/>
    </row>
    <row r="387" s="5" customFormat="true" ht="28.5" hidden="false" customHeight="true" outlineLevel="0" collapsed="false">
      <c r="A387" s="16" t="str">
        <f aca="false">IF($T387="","",1+COUNTIF($W$15:$W$728,"&lt;"&amp;W387))</f>
        <v/>
      </c>
      <c r="B387" s="16" t="s">
        <v>10</v>
      </c>
      <c r="C387" s="16" t="s">
        <v>1159</v>
      </c>
      <c r="D387" s="16" t="s">
        <v>281</v>
      </c>
      <c r="E387" s="16" t="s">
        <v>44</v>
      </c>
      <c r="F387" s="16" t="s">
        <v>1160</v>
      </c>
      <c r="G387" s="16" t="s">
        <v>1161</v>
      </c>
      <c r="H387" s="17" t="n">
        <v>1830</v>
      </c>
      <c r="I387" s="17"/>
      <c r="J387" s="17"/>
      <c r="K387" s="17" t="n">
        <v>1850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1830</v>
      </c>
      <c r="N387" s="17" t="str">
        <f aca="false">IF($I387="","",$I387+$L387)</f>
        <v/>
      </c>
      <c r="O387" s="17" t="n">
        <f aca="false">IF($K387="","",$K387+$L387)</f>
        <v>1850</v>
      </c>
      <c r="P387" s="17" t="str">
        <f aca="false">IF($B$10=0,"",IFERROR(IF($B$4&gt;0,IF($M387="",1/0,$M387*$B$4),0)+IF($B$5&gt;0,IF($N387="",1/0,$N387*$B$5),0)+IF($B$6&gt;0,IF($O387="",1/0,$O387*$B$6),0),""))</f>
        <v/>
      </c>
      <c r="Q387" s="17"/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387" s="2"/>
      <c r="XFC387" s="6"/>
    </row>
    <row r="388" s="5" customFormat="true" ht="28.5" hidden="false" customHeight="true" outlineLevel="0" collapsed="false">
      <c r="A388" s="16" t="str">
        <f aca="false">IF($T388="","",1+COUNTIF($W$15:$W$728,"&lt;"&amp;W388))</f>
        <v/>
      </c>
      <c r="B388" s="16" t="s">
        <v>12</v>
      </c>
      <c r="C388" s="16" t="s">
        <v>1162</v>
      </c>
      <c r="D388" s="20" t="s">
        <v>141</v>
      </c>
      <c r="E388" s="16" t="s">
        <v>44</v>
      </c>
      <c r="F388" s="16" t="s">
        <v>1163</v>
      </c>
      <c r="G388" s="16" t="s">
        <v>1164</v>
      </c>
      <c r="H388" s="17" t="n">
        <v>1959</v>
      </c>
      <c r="I388" s="17"/>
      <c r="J388" s="17"/>
      <c r="K388" s="17" t="n">
        <v>2195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1959</v>
      </c>
      <c r="N388" s="17" t="str">
        <f aca="false">IF($I388="","",$I388+$L388)</f>
        <v/>
      </c>
      <c r="O388" s="17" t="n">
        <f aca="false">IF($K388="","",$K388+$L388)</f>
        <v>2195</v>
      </c>
      <c r="P388" s="17" t="str">
        <f aca="false">IF($B$10=0,"",IFERROR(IF($B$4&gt;0,IF($M388="",1/0,$M388*$B$4),0)+IF($B$5&gt;0,IF($N388="",1/0,$N388*$B$5),0)+IF($B$6&gt;0,IF($O388="",1/0,$O388*$B$6),0),""))</f>
        <v/>
      </c>
      <c r="Q388" s="17"/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388" s="2"/>
      <c r="XFC388" s="6"/>
    </row>
    <row r="389" s="5" customFormat="true" ht="28.5" hidden="false" customHeight="true" outlineLevel="0" collapsed="false">
      <c r="A389" s="16" t="str">
        <f aca="false">IF($T389="","",1+COUNTIF($W$15:$W$728,"&lt;"&amp;W389))</f>
        <v/>
      </c>
      <c r="B389" s="16" t="s">
        <v>10</v>
      </c>
      <c r="C389" s="16" t="s">
        <v>1165</v>
      </c>
      <c r="D389" s="20" t="s">
        <v>131</v>
      </c>
      <c r="E389" s="16" t="s">
        <v>44</v>
      </c>
      <c r="F389" s="16" t="s">
        <v>1166</v>
      </c>
      <c r="G389" s="16" t="s">
        <v>1167</v>
      </c>
      <c r="H389" s="17" t="n">
        <v>1855</v>
      </c>
      <c r="I389" s="17"/>
      <c r="J389" s="17"/>
      <c r="K389" s="17" t="n">
        <v>1895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1855</v>
      </c>
      <c r="N389" s="17" t="str">
        <f aca="false">IF($I389="","",$I389+$L389)</f>
        <v/>
      </c>
      <c r="O389" s="17" t="n">
        <f aca="false">IF($K389="","",$K389+$L389)</f>
        <v>1895</v>
      </c>
      <c r="P389" s="17" t="str">
        <f aca="false">IF($B$10=0,"",IFERROR(IF($B$4&gt;0,IF($M389="",1/0,$M389*$B$4),0)+IF($B$5&gt;0,IF($N389="",1/0,$N389*$B$5),0)+IF($B$6&gt;0,IF($O389="",1/0,$O389*$B$6),0),""))</f>
        <v/>
      </c>
      <c r="Q389" s="17"/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389" s="2"/>
      <c r="XFC389" s="6"/>
    </row>
    <row r="390" s="5" customFormat="true" ht="28.5" hidden="false" customHeight="true" outlineLevel="0" collapsed="false">
      <c r="A390" s="16" t="str">
        <f aca="false">IF($T390="","",1+COUNTIF($W$15:$W$728,"&lt;"&amp;W390))</f>
        <v/>
      </c>
      <c r="B390" s="16" t="s">
        <v>6</v>
      </c>
      <c r="C390" s="16" t="s">
        <v>1168</v>
      </c>
      <c r="D390" s="16" t="s">
        <v>48</v>
      </c>
      <c r="E390" s="16" t="s">
        <v>44</v>
      </c>
      <c r="F390" s="16" t="s">
        <v>1169</v>
      </c>
      <c r="G390" s="16" t="s">
        <v>1170</v>
      </c>
      <c r="H390" s="17" t="n">
        <v>1899</v>
      </c>
      <c r="I390" s="17"/>
      <c r="J390" s="17"/>
      <c r="K390" s="17" t="n">
        <v>1949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1899</v>
      </c>
      <c r="N390" s="17" t="str">
        <f aca="false">IF($I390="","",$I390+$L390)</f>
        <v/>
      </c>
      <c r="O390" s="17" t="n">
        <f aca="false">IF($K390="","",$K390+$L390)</f>
        <v>1949</v>
      </c>
      <c r="P390" s="17" t="str">
        <f aca="false">IF($B$10=0,"",IFERROR(IF($B$4&gt;0,IF($M390="",1/0,$M390*$B$4),0)+IF($B$5&gt;0,IF($N390="",1/0,$N390*$B$5),0)+IF($B$6&gt;0,IF($O390="",1/0,$O390*$B$6),0),""))</f>
        <v/>
      </c>
      <c r="Q390" s="17" t="s">
        <v>44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390" s="2"/>
      <c r="XFC390" s="6"/>
    </row>
    <row r="391" s="5" customFormat="true" ht="28.5" hidden="false" customHeight="true" outlineLevel="0" collapsed="false">
      <c r="A391" s="16" t="str">
        <f aca="false">IF($T391="","",1+COUNTIF($W$15:$W$728,"&lt;"&amp;W391))</f>
        <v/>
      </c>
      <c r="B391" s="16" t="s">
        <v>6</v>
      </c>
      <c r="C391" s="16" t="s">
        <v>1171</v>
      </c>
      <c r="D391" s="20" t="s">
        <v>131</v>
      </c>
      <c r="E391" s="16" t="s">
        <v>44</v>
      </c>
      <c r="F391" s="16" t="s">
        <v>1172</v>
      </c>
      <c r="G391" s="16" t="s">
        <v>1173</v>
      </c>
      <c r="H391" s="17" t="n">
        <v>1829</v>
      </c>
      <c r="I391" s="17"/>
      <c r="J391" s="17"/>
      <c r="K391" s="17" t="n">
        <v>1829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1829</v>
      </c>
      <c r="N391" s="17" t="str">
        <f aca="false">IF($I391="","",$I391+$L391)</f>
        <v/>
      </c>
      <c r="O391" s="17" t="n">
        <f aca="false">IF($K391="","",$K391+$L391)</f>
        <v>1829</v>
      </c>
      <c r="P391" s="17" t="str">
        <f aca="false">IF($B$10=0,"",IFERROR(IF($B$4&gt;0,IF($M391="",1/0,$M391*$B$4),0)+IF($B$5&gt;0,IF($N391="",1/0,$N391*$B$5),0)+IF($B$6&gt;0,IF($O391="",1/0,$O391*$B$6),0),""))</f>
        <v/>
      </c>
      <c r="Q391" s="17" t="s">
        <v>44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391" s="2"/>
      <c r="XFC391" s="6"/>
    </row>
    <row r="392" s="5" customFormat="true" ht="28.5" hidden="false" customHeight="true" outlineLevel="0" collapsed="false">
      <c r="A392" s="16" t="str">
        <f aca="false">IF($T392="","",1+COUNTIF($W$15:$W$728,"&lt;"&amp;W392))</f>
        <v/>
      </c>
      <c r="B392" s="16" t="s">
        <v>6</v>
      </c>
      <c r="C392" s="16" t="s">
        <v>1174</v>
      </c>
      <c r="D392" s="16" t="s">
        <v>141</v>
      </c>
      <c r="E392" s="16" t="s">
        <v>44</v>
      </c>
      <c r="F392" s="16" t="s">
        <v>1175</v>
      </c>
      <c r="G392" s="16" t="s">
        <v>1176</v>
      </c>
      <c r="H392" s="17" t="n">
        <v>1949</v>
      </c>
      <c r="I392" s="17"/>
      <c r="J392" s="17"/>
      <c r="K392" s="17" t="n">
        <v>1969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1949</v>
      </c>
      <c r="N392" s="17" t="str">
        <f aca="false">IF($I392="","",$I392+$L392)</f>
        <v/>
      </c>
      <c r="O392" s="17" t="n">
        <f aca="false">IF($K392="","",$K392+$L392)</f>
        <v>1969</v>
      </c>
      <c r="P392" s="17" t="str">
        <f aca="false">IF($B$10=0,"",IFERROR(IF($B$4&gt;0,IF($M392="",1/0,$M392*$B$4),0)+IF($B$5&gt;0,IF($N392="",1/0,$N392*$B$5),0)+IF($B$6&gt;0,IF($O392="",1/0,$O392*$B$6),0),""))</f>
        <v/>
      </c>
      <c r="Q392" s="17" t="s">
        <v>44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392" s="2"/>
      <c r="XFC392" s="6"/>
    </row>
    <row r="393" s="5" customFormat="true" ht="28.5" hidden="false" customHeight="true" outlineLevel="0" collapsed="false">
      <c r="A393" s="16" t="str">
        <f aca="false">IF($T393="","",1+COUNTIF($W$15:$W$728,"&lt;"&amp;W393))</f>
        <v/>
      </c>
      <c r="B393" s="16" t="s">
        <v>10</v>
      </c>
      <c r="C393" s="16" t="s">
        <v>1177</v>
      </c>
      <c r="D393" s="16" t="s">
        <v>43</v>
      </c>
      <c r="E393" s="16" t="s">
        <v>44</v>
      </c>
      <c r="F393" s="16" t="s">
        <v>1178</v>
      </c>
      <c r="G393" s="16" t="s">
        <v>1179</v>
      </c>
      <c r="H393" s="17" t="n">
        <v>1879</v>
      </c>
      <c r="I393" s="17"/>
      <c r="J393" s="17"/>
      <c r="K393" s="17" t="n">
        <v>1959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1879</v>
      </c>
      <c r="N393" s="17" t="str">
        <f aca="false">IF($I393="","",$I393+$L393)</f>
        <v/>
      </c>
      <c r="O393" s="17" t="n">
        <f aca="false">IF($K393="","",$K393+$L393)</f>
        <v>1959</v>
      </c>
      <c r="P393" s="17" t="str">
        <f aca="false">IF($B$10=0,"",IFERROR(IF($B$4&gt;0,IF($M393="",1/0,$M393*$B$4),0)+IF($B$5&gt;0,IF($N393="",1/0,$N393*$B$5),0)+IF($B$6&gt;0,IF($O393="",1/0,$O393*$B$6),0),""))</f>
        <v/>
      </c>
      <c r="Q393" s="17"/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393" s="2"/>
      <c r="XFC393" s="6"/>
    </row>
    <row r="394" s="5" customFormat="true" ht="28.5" hidden="false" customHeight="true" outlineLevel="0" collapsed="false">
      <c r="A394" s="16" t="str">
        <f aca="false">IF($T394="","",1+COUNTIF($W$15:$W$728,"&lt;"&amp;W394))</f>
        <v/>
      </c>
      <c r="B394" s="16" t="s">
        <v>6</v>
      </c>
      <c r="C394" s="16" t="s">
        <v>1180</v>
      </c>
      <c r="D394" s="20" t="s">
        <v>131</v>
      </c>
      <c r="E394" s="16" t="s">
        <v>44</v>
      </c>
      <c r="F394" s="16" t="s">
        <v>1181</v>
      </c>
      <c r="G394" s="16" t="s">
        <v>1182</v>
      </c>
      <c r="H394" s="17" t="n">
        <v>1899</v>
      </c>
      <c r="I394" s="17"/>
      <c r="J394" s="17"/>
      <c r="K394" s="17" t="n">
        <v>1899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1899</v>
      </c>
      <c r="N394" s="17" t="str">
        <f aca="false">IF($I394="","",$I394+$L394)</f>
        <v/>
      </c>
      <c r="O394" s="17" t="n">
        <f aca="false">IF($K394="","",$K394+$L394)</f>
        <v>1899</v>
      </c>
      <c r="P394" s="17" t="str">
        <f aca="false">IF($B$10=0,"",IFERROR(IF($B$4&gt;0,IF($M394="",1/0,$M394*$B$4),0)+IF($B$5&gt;0,IF($N394="",1/0,$N394*$B$5),0)+IF($B$6&gt;0,IF($O394="",1/0,$O394*$B$6),0),""))</f>
        <v/>
      </c>
      <c r="Q394" s="17"/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394" s="2"/>
      <c r="XFC394" s="6"/>
    </row>
    <row r="395" s="5" customFormat="true" ht="28.5" hidden="false" customHeight="true" outlineLevel="0" collapsed="false">
      <c r="A395" s="16" t="str">
        <f aca="false">IF($T395="","",1+COUNTIF($W$15:$W$728,"&lt;"&amp;W395))</f>
        <v/>
      </c>
      <c r="B395" s="16" t="s">
        <v>10</v>
      </c>
      <c r="C395" s="16" t="s">
        <v>1183</v>
      </c>
      <c r="D395" s="16" t="s">
        <v>581</v>
      </c>
      <c r="E395" s="16" t="s">
        <v>44</v>
      </c>
      <c r="F395" s="16" t="s">
        <v>1184</v>
      </c>
      <c r="G395" s="16" t="s">
        <v>1185</v>
      </c>
      <c r="H395" s="17" t="n">
        <v>1899</v>
      </c>
      <c r="I395" s="17"/>
      <c r="J395" s="17"/>
      <c r="K395" s="17" t="n">
        <v>1899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1899</v>
      </c>
      <c r="N395" s="17" t="str">
        <f aca="false">IF($I395="","",$I395+$L395)</f>
        <v/>
      </c>
      <c r="O395" s="17" t="n">
        <f aca="false">IF($K395="","",$K395+$L395)</f>
        <v>1899</v>
      </c>
      <c r="P395" s="17" t="str">
        <f aca="false">IF($B$10=0,"",IFERROR(IF($B$4&gt;0,IF($M395="",1/0,$M395*$B$4),0)+IF($B$5&gt;0,IF($N395="",1/0,$N395*$B$5),0)+IF($B$6&gt;0,IF($O395="",1/0,$O395*$B$6),0),""))</f>
        <v/>
      </c>
      <c r="Q395" s="17"/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395" s="2"/>
      <c r="XFC395" s="6"/>
    </row>
    <row r="396" s="5" customFormat="true" ht="28.5" hidden="false" customHeight="true" outlineLevel="0" collapsed="false">
      <c r="A396" s="16" t="str">
        <f aca="false">IF($T396="","",1+COUNTIF($W$15:$W$728,"&lt;"&amp;W396))</f>
        <v/>
      </c>
      <c r="B396" s="16" t="s">
        <v>10</v>
      </c>
      <c r="C396" s="16" t="s">
        <v>1186</v>
      </c>
      <c r="D396" s="16" t="s">
        <v>43</v>
      </c>
      <c r="E396" s="16" t="s">
        <v>44</v>
      </c>
      <c r="F396" s="16" t="s">
        <v>1187</v>
      </c>
      <c r="G396" s="16" t="s">
        <v>1188</v>
      </c>
      <c r="H396" s="17" t="n">
        <v>1899</v>
      </c>
      <c r="I396" s="17"/>
      <c r="J396" s="17"/>
      <c r="K396" s="17" t="n">
        <v>1859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1899</v>
      </c>
      <c r="N396" s="17" t="str">
        <f aca="false">IF($I396="","",$I396+$L396)</f>
        <v/>
      </c>
      <c r="O396" s="17" t="n">
        <f aca="false">IF($K396="","",$K396+$L396)</f>
        <v>1859</v>
      </c>
      <c r="P396" s="17" t="str">
        <f aca="false">IF($B$10=0,"",IFERROR(IF($B$4&gt;0,IF($M396="",1/0,$M396*$B$4),0)+IF($B$5&gt;0,IF($N396="",1/0,$N396*$B$5),0)+IF($B$6&gt;0,IF($O396="",1/0,$O396*$B$6),0),""))</f>
        <v/>
      </c>
      <c r="Q396" s="17"/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396" s="2"/>
      <c r="XFC396" s="6"/>
    </row>
    <row r="397" s="5" customFormat="true" ht="28.5" hidden="false" customHeight="true" outlineLevel="0" collapsed="false">
      <c r="A397" s="16" t="str">
        <f aca="false">IF($T397="","",1+COUNTIF($W$15:$W$728,"&lt;"&amp;W397))</f>
        <v/>
      </c>
      <c r="B397" s="16" t="s">
        <v>10</v>
      </c>
      <c r="C397" s="16" t="s">
        <v>1189</v>
      </c>
      <c r="D397" s="16" t="s">
        <v>581</v>
      </c>
      <c r="E397" s="16" t="s">
        <v>44</v>
      </c>
      <c r="F397" s="16" t="s">
        <v>1190</v>
      </c>
      <c r="G397" s="16" t="s">
        <v>1191</v>
      </c>
      <c r="H397" s="17" t="n">
        <v>1899</v>
      </c>
      <c r="I397" s="17"/>
      <c r="J397" s="17"/>
      <c r="K397" s="17" t="n">
        <v>1789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1899</v>
      </c>
      <c r="N397" s="17" t="str">
        <f aca="false">IF($I397="","",$I397+$L397)</f>
        <v/>
      </c>
      <c r="O397" s="17" t="n">
        <f aca="false">IF($K397="","",$K397+$L397)</f>
        <v>1789</v>
      </c>
      <c r="P397" s="17" t="str">
        <f aca="false">IF($B$10=0,"",IFERROR(IF($B$4&gt;0,IF($M397="",1/0,$M397*$B$4),0)+IF($B$5&gt;0,IF($N397="",1/0,$N397*$B$5),0)+IF($B$6&gt;0,IF($O397="",1/0,$O397*$B$6),0),""))</f>
        <v/>
      </c>
      <c r="Q397" s="17"/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397" s="2"/>
      <c r="XFC397" s="6"/>
    </row>
    <row r="398" s="5" customFormat="true" ht="28.5" hidden="false" customHeight="true" outlineLevel="0" collapsed="false">
      <c r="A398" s="16" t="str">
        <f aca="false">IF($T398="","",1+COUNTIF($W$15:$W$728,"&lt;"&amp;W398))</f>
        <v/>
      </c>
      <c r="B398" s="16" t="s">
        <v>10</v>
      </c>
      <c r="C398" s="16" t="s">
        <v>1192</v>
      </c>
      <c r="D398" s="16" t="s">
        <v>43</v>
      </c>
      <c r="E398" s="16" t="s">
        <v>44</v>
      </c>
      <c r="F398" s="16" t="s">
        <v>1193</v>
      </c>
      <c r="G398" s="16" t="s">
        <v>1194</v>
      </c>
      <c r="H398" s="17" t="n">
        <v>1899</v>
      </c>
      <c r="I398" s="17"/>
      <c r="J398" s="17"/>
      <c r="K398" s="17" t="n">
        <v>1899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1899</v>
      </c>
      <c r="N398" s="17" t="str">
        <f aca="false">IF($I398="","",$I398+$L398)</f>
        <v/>
      </c>
      <c r="O398" s="17" t="n">
        <f aca="false">IF($K398="","",$K398+$L398)</f>
        <v>1899</v>
      </c>
      <c r="P398" s="17" t="str">
        <f aca="false">IF($B$10=0,"",IFERROR(IF($B$4&gt;0,IF($M398="",1/0,$M398*$B$4),0)+IF($B$5&gt;0,IF($N398="",1/0,$N398*$B$5),0)+IF($B$6&gt;0,IF($O398="",1/0,$O398*$B$6),0),""))</f>
        <v/>
      </c>
      <c r="Q398" s="17"/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398" s="2"/>
      <c r="XFC398" s="6"/>
    </row>
    <row r="399" s="5" customFormat="true" ht="28.5" hidden="false" customHeight="true" outlineLevel="0" collapsed="false">
      <c r="A399" s="16" t="str">
        <f aca="false">IF($T399="","",1+COUNTIF($W$15:$W$728,"&lt;"&amp;W399))</f>
        <v/>
      </c>
      <c r="B399" s="16" t="s">
        <v>8</v>
      </c>
      <c r="C399" s="16" t="s">
        <v>1195</v>
      </c>
      <c r="D399" s="16" t="s">
        <v>574</v>
      </c>
      <c r="E399" s="16" t="s">
        <v>44</v>
      </c>
      <c r="F399" s="16" t="s">
        <v>1196</v>
      </c>
      <c r="G399" s="16" t="s">
        <v>1197</v>
      </c>
      <c r="H399" s="17" t="n">
        <v>1799</v>
      </c>
      <c r="I399" s="17"/>
      <c r="J399" s="17"/>
      <c r="K399" s="17" t="n">
        <v>1799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1799</v>
      </c>
      <c r="N399" s="17" t="str">
        <f aca="false">IF($I399="","",$I399+$L399)</f>
        <v/>
      </c>
      <c r="O399" s="17" t="n">
        <f aca="false">IF($K399="","",$K399+$L399)</f>
        <v>1799</v>
      </c>
      <c r="P399" s="17" t="str">
        <f aca="false">IF($B$10=0,"",IFERROR(IF($B$4&gt;0,IF($M399="",1/0,$M399*$B$4),0)+IF($B$5&gt;0,IF($N399="",1/0,$N399*$B$5),0)+IF($B$6&gt;0,IF($O399="",1/0,$O399*$B$6),0),""))</f>
        <v/>
      </c>
      <c r="Q399" s="17"/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399" s="2"/>
      <c r="XFC399" s="6"/>
    </row>
    <row r="400" s="5" customFormat="true" ht="28.5" hidden="false" customHeight="true" outlineLevel="0" collapsed="false">
      <c r="A400" s="16" t="str">
        <f aca="false">IF($T400="","",1+COUNTIF($W$15:$W$728,"&lt;"&amp;W400))</f>
        <v/>
      </c>
      <c r="B400" s="16" t="s">
        <v>6</v>
      </c>
      <c r="C400" s="16" t="s">
        <v>1198</v>
      </c>
      <c r="D400" s="16" t="s">
        <v>141</v>
      </c>
      <c r="E400" s="16" t="s">
        <v>44</v>
      </c>
      <c r="F400" s="16" t="s">
        <v>1199</v>
      </c>
      <c r="G400" s="16" t="s">
        <v>1200</v>
      </c>
      <c r="H400" s="17" t="n">
        <v>1949</v>
      </c>
      <c r="I400" s="17"/>
      <c r="J400" s="17"/>
      <c r="K400" s="17" t="n">
        <v>1999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1949</v>
      </c>
      <c r="N400" s="17" t="str">
        <f aca="false">IF($I400="","",$I400+$L400)</f>
        <v/>
      </c>
      <c r="O400" s="17" t="n">
        <f aca="false">IF($K400="","",$K400+$L400)</f>
        <v>1999</v>
      </c>
      <c r="P400" s="17" t="str">
        <f aca="false">IF($B$10=0,"",IFERROR(IF($B$4&gt;0,IF($M400="",1/0,$M400*$B$4),0)+IF($B$5&gt;0,IF($N400="",1/0,$N400*$B$5),0)+IF($B$6&gt;0,IF($O400="",1/0,$O400*$B$6),0),""))</f>
        <v/>
      </c>
      <c r="Q400" s="17" t="s">
        <v>44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400" s="2"/>
      <c r="XFC400" s="6"/>
    </row>
    <row r="401" s="5" customFormat="true" ht="28.5" hidden="false" customHeight="true" outlineLevel="0" collapsed="false">
      <c r="A401" s="16" t="str">
        <f aca="false">IF($T401="","",1+COUNTIF($W$15:$W$728,"&lt;"&amp;W401))</f>
        <v/>
      </c>
      <c r="B401" s="16" t="s">
        <v>14</v>
      </c>
      <c r="C401" s="16" t="s">
        <v>1201</v>
      </c>
      <c r="D401" s="16" t="s">
        <v>48</v>
      </c>
      <c r="E401" s="16" t="s">
        <v>44</v>
      </c>
      <c r="F401" s="16" t="s">
        <v>1202</v>
      </c>
      <c r="G401" s="16" t="s">
        <v>1203</v>
      </c>
      <c r="H401" s="17" t="n">
        <v>1882</v>
      </c>
      <c r="I401" s="17"/>
      <c r="J401" s="17"/>
      <c r="K401" s="17" t="n">
        <v>1872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1882</v>
      </c>
      <c r="N401" s="17" t="str">
        <f aca="false">IF($I401="","",$I401+$L401)</f>
        <v/>
      </c>
      <c r="O401" s="17" t="n">
        <f aca="false">IF($K401="","",$K401+$L401)</f>
        <v>1872</v>
      </c>
      <c r="P401" s="17" t="str">
        <f aca="false">IF($B$10=0,"",IFERROR(IF($B$4&gt;0,IF($M401="",1/0,$M401*$B$4),0)+IF($B$5&gt;0,IF($N401="",1/0,$N401*$B$5),0)+IF($B$6&gt;0,IF($O401="",1/0,$O401*$B$6),0),""))</f>
        <v/>
      </c>
      <c r="Q401" s="17" t="s">
        <v>44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401" s="2"/>
      <c r="XFC401" s="6"/>
    </row>
    <row r="402" s="5" customFormat="true" ht="28.5" hidden="false" customHeight="true" outlineLevel="0" collapsed="false">
      <c r="A402" s="16" t="str">
        <f aca="false">IF($T402="","",1+COUNTIF($W$15:$W$728,"&lt;"&amp;W402))</f>
        <v/>
      </c>
      <c r="B402" s="16" t="s">
        <v>14</v>
      </c>
      <c r="C402" s="16" t="s">
        <v>1204</v>
      </c>
      <c r="D402" s="16" t="s">
        <v>141</v>
      </c>
      <c r="E402" s="16" t="s">
        <v>44</v>
      </c>
      <c r="F402" s="16" t="s">
        <v>1205</v>
      </c>
      <c r="G402" s="16" t="s">
        <v>1206</v>
      </c>
      <c r="H402" s="17" t="n">
        <v>1892</v>
      </c>
      <c r="I402" s="17"/>
      <c r="J402" s="17"/>
      <c r="K402" s="17" t="n">
        <v>1892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1892</v>
      </c>
      <c r="N402" s="17" t="str">
        <f aca="false">IF($I402="","",$I402+$L402)</f>
        <v/>
      </c>
      <c r="O402" s="17" t="n">
        <f aca="false">IF($K402="","",$K402+$L402)</f>
        <v>1892</v>
      </c>
      <c r="P402" s="17" t="str">
        <f aca="false">IF($B$10=0,"",IFERROR(IF($B$4&gt;0,IF($M402="",1/0,$M402*$B$4),0)+IF($B$5&gt;0,IF($N402="",1/0,$N402*$B$5),0)+IF($B$6&gt;0,IF($O402="",1/0,$O402*$B$6),0),""))</f>
        <v/>
      </c>
      <c r="Q402" s="17" t="s">
        <v>44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402" s="2"/>
      <c r="XFC402" s="6"/>
    </row>
    <row r="403" s="5" customFormat="true" ht="28.5" hidden="false" customHeight="true" outlineLevel="0" collapsed="false">
      <c r="A403" s="16" t="str">
        <f aca="false">IF($T403="","",1+COUNTIF($W$15:$W$728,"&lt;"&amp;W403))</f>
        <v/>
      </c>
      <c r="B403" s="16" t="s">
        <v>6</v>
      </c>
      <c r="C403" s="16" t="s">
        <v>1207</v>
      </c>
      <c r="D403" s="16" t="s">
        <v>141</v>
      </c>
      <c r="E403" s="16" t="s">
        <v>44</v>
      </c>
      <c r="F403" s="16" t="s">
        <v>1208</v>
      </c>
      <c r="G403" s="16" t="s">
        <v>1209</v>
      </c>
      <c r="H403" s="17" t="n">
        <v>1945</v>
      </c>
      <c r="I403" s="17"/>
      <c r="J403" s="17"/>
      <c r="K403" s="17" t="n">
        <v>1995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1945</v>
      </c>
      <c r="N403" s="17" t="str">
        <f aca="false">IF($I403="","",$I403+$L403)</f>
        <v/>
      </c>
      <c r="O403" s="17" t="n">
        <f aca="false">IF($K403="","",$K403+$L403)</f>
        <v>1995</v>
      </c>
      <c r="P403" s="17" t="str">
        <f aca="false">IF($B$10=0,"",IFERROR(IF($B$4&gt;0,IF($M403="",1/0,$M403*$B$4),0)+IF($B$5&gt;0,IF($N403="",1/0,$N403*$B$5),0)+IF($B$6&gt;0,IF($O403="",1/0,$O403*$B$6),0),""))</f>
        <v/>
      </c>
      <c r="Q403" s="17" t="s">
        <v>44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403" s="2"/>
      <c r="XFC403" s="6"/>
    </row>
    <row r="404" s="5" customFormat="true" ht="28.5" hidden="false" customHeight="true" outlineLevel="0" collapsed="false">
      <c r="A404" s="16" t="str">
        <f aca="false">IF($T404="","",1+COUNTIF($W$15:$W$728,"&lt;"&amp;W404))</f>
        <v/>
      </c>
      <c r="B404" s="16" t="s">
        <v>6</v>
      </c>
      <c r="C404" s="16" t="s">
        <v>1210</v>
      </c>
      <c r="D404" s="16" t="s">
        <v>43</v>
      </c>
      <c r="E404" s="16" t="s">
        <v>58</v>
      </c>
      <c r="F404" s="16" t="s">
        <v>1211</v>
      </c>
      <c r="G404" s="16" t="s">
        <v>1212</v>
      </c>
      <c r="H404" s="17" t="n">
        <v>1997</v>
      </c>
      <c r="I404" s="17"/>
      <c r="J404" s="17"/>
      <c r="K404" s="17" t="n">
        <v>1997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1997</v>
      </c>
      <c r="N404" s="17" t="str">
        <f aca="false">IF($I404="","",$I404+$L404)</f>
        <v/>
      </c>
      <c r="O404" s="17" t="n">
        <f aca="false">IF($K404="","",$K404+$L404)</f>
        <v>1997</v>
      </c>
      <c r="P404" s="17" t="str">
        <f aca="false">IF($B$10=0,"",IFERROR(IF($B$4&gt;0,IF($M404="",1/0,$M404*$B$4),0)+IF($B$5&gt;0,IF($N404="",1/0,$N404*$B$5),0)+IF($B$6&gt;0,IF($O404="",1/0,$O404*$B$6),0),""))</f>
        <v/>
      </c>
      <c r="Q404" s="17" t="s">
        <v>44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404" s="2"/>
      <c r="XFC404" s="6"/>
    </row>
    <row r="405" s="5" customFormat="true" ht="28.5" hidden="false" customHeight="true" outlineLevel="0" collapsed="false">
      <c r="A405" s="16" t="str">
        <f aca="false">IF($T405="","",1+COUNTIF($W$15:$W$728,"&lt;"&amp;W405))</f>
        <v/>
      </c>
      <c r="B405" s="16" t="s">
        <v>6</v>
      </c>
      <c r="C405" s="16" t="s">
        <v>1213</v>
      </c>
      <c r="D405" s="20" t="s">
        <v>131</v>
      </c>
      <c r="E405" s="16" t="s">
        <v>44</v>
      </c>
      <c r="F405" s="16" t="s">
        <v>1214</v>
      </c>
      <c r="G405" s="16" t="s">
        <v>1215</v>
      </c>
      <c r="H405" s="17" t="n">
        <v>1997</v>
      </c>
      <c r="I405" s="17"/>
      <c r="J405" s="17"/>
      <c r="K405" s="17" t="n">
        <v>1997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1997</v>
      </c>
      <c r="N405" s="17" t="str">
        <f aca="false">IF($I405="","",$I405+$L405)</f>
        <v/>
      </c>
      <c r="O405" s="17" t="n">
        <f aca="false">IF($K405="","",$K405+$L405)</f>
        <v>1997</v>
      </c>
      <c r="P405" s="17" t="str">
        <f aca="false">IF($B$10=0,"",IFERROR(IF($B$4&gt;0,IF($M405="",1/0,$M405*$B$4),0)+IF($B$5&gt;0,IF($N405="",1/0,$N405*$B$5),0)+IF($B$6&gt;0,IF($O405="",1/0,$O405*$B$6),0),""))</f>
        <v/>
      </c>
      <c r="Q405" s="17" t="s">
        <v>44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405" s="2"/>
      <c r="XFC405" s="6"/>
    </row>
    <row r="406" s="5" customFormat="true" ht="28.5" hidden="false" customHeight="true" outlineLevel="0" collapsed="false">
      <c r="A406" s="16" t="str">
        <f aca="false">IF($T406="","",1+COUNTIF($W$15:$W$728,"&lt;"&amp;W406))</f>
        <v/>
      </c>
      <c r="B406" s="16" t="s">
        <v>6</v>
      </c>
      <c r="C406" s="16" t="s">
        <v>1216</v>
      </c>
      <c r="D406" s="16" t="s">
        <v>43</v>
      </c>
      <c r="E406" s="16" t="s">
        <v>44</v>
      </c>
      <c r="F406" s="16" t="s">
        <v>1217</v>
      </c>
      <c r="G406" s="16" t="s">
        <v>1218</v>
      </c>
      <c r="H406" s="17" t="n">
        <v>1944</v>
      </c>
      <c r="I406" s="17"/>
      <c r="J406" s="17"/>
      <c r="K406" s="17" t="n">
        <v>1994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1944</v>
      </c>
      <c r="N406" s="17" t="str">
        <f aca="false">IF($I406="","",$I406+$L406)</f>
        <v/>
      </c>
      <c r="O406" s="17" t="n">
        <f aca="false">IF($K406="","",$K406+$L406)</f>
        <v>1994</v>
      </c>
      <c r="P406" s="17" t="str">
        <f aca="false">IF($B$10=0,"",IFERROR(IF($B$4&gt;0,IF($M406="",1/0,$M406*$B$4),0)+IF($B$5&gt;0,IF($N406="",1/0,$N406*$B$5),0)+IF($B$6&gt;0,IF($O406="",1/0,$O406*$B$6),0),""))</f>
        <v/>
      </c>
      <c r="Q406" s="17" t="s">
        <v>44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406" s="2"/>
      <c r="XFC406" s="6"/>
    </row>
    <row r="407" s="5" customFormat="true" ht="28.5" hidden="false" customHeight="true" outlineLevel="0" collapsed="false">
      <c r="A407" s="16" t="str">
        <f aca="false">IF($T407="","",1+COUNTIF($W$15:$W$728,"&lt;"&amp;W407))</f>
        <v/>
      </c>
      <c r="B407" s="16" t="s">
        <v>6</v>
      </c>
      <c r="C407" s="16" t="s">
        <v>1219</v>
      </c>
      <c r="D407" s="20" t="s">
        <v>131</v>
      </c>
      <c r="E407" s="16" t="s">
        <v>44</v>
      </c>
      <c r="F407" s="16" t="s">
        <v>1220</v>
      </c>
      <c r="G407" s="16" t="s">
        <v>1221</v>
      </c>
      <c r="H407" s="17" t="n">
        <v>1944</v>
      </c>
      <c r="I407" s="17"/>
      <c r="J407" s="17"/>
      <c r="K407" s="17" t="n">
        <v>1994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1944</v>
      </c>
      <c r="N407" s="17" t="str">
        <f aca="false">IF($I407="","",$I407+$L407)</f>
        <v/>
      </c>
      <c r="O407" s="17" t="n">
        <f aca="false">IF($K407="","",$K407+$L407)</f>
        <v>1994</v>
      </c>
      <c r="P407" s="17" t="str">
        <f aca="false">IF($B$10=0,"",IFERROR(IF($B$4&gt;0,IF($M407="",1/0,$M407*$B$4),0)+IF($B$5&gt;0,IF($N407="",1/0,$N407*$B$5),0)+IF($B$6&gt;0,IF($O407="",1/0,$O407*$B$6),0),""))</f>
        <v/>
      </c>
      <c r="Q407" s="17" t="s">
        <v>44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407" s="2"/>
      <c r="XFC407" s="6"/>
    </row>
    <row r="408" s="5" customFormat="true" ht="28.5" hidden="false" customHeight="true" outlineLevel="0" collapsed="false">
      <c r="A408" s="16" t="str">
        <f aca="false">IF($T408="","",1+COUNTIF($W$15:$W$728,"&lt;"&amp;W408))</f>
        <v/>
      </c>
      <c r="B408" s="16" t="s">
        <v>12</v>
      </c>
      <c r="C408" s="16" t="s">
        <v>1222</v>
      </c>
      <c r="D408" s="20" t="s">
        <v>303</v>
      </c>
      <c r="E408" s="16" t="s">
        <v>44</v>
      </c>
      <c r="F408" s="16" t="s">
        <v>1223</v>
      </c>
      <c r="G408" s="16" t="s">
        <v>1224</v>
      </c>
      <c r="H408" s="17" t="n">
        <v>1955</v>
      </c>
      <c r="I408" s="17"/>
      <c r="J408" s="17"/>
      <c r="K408" s="17" t="n">
        <v>1955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1955</v>
      </c>
      <c r="N408" s="17" t="str">
        <f aca="false">IF($I408="","",$I408+$L408)</f>
        <v/>
      </c>
      <c r="O408" s="17" t="n">
        <f aca="false">IF($K408="","",$K408+$L408)</f>
        <v>1955</v>
      </c>
      <c r="P408" s="17" t="str">
        <f aca="false">IF($B$10=0,"",IFERROR(IF($B$4&gt;0,IF($M408="",1/0,$M408*$B$4),0)+IF($B$5&gt;0,IF($N408="",1/0,$N408*$B$5),0)+IF($B$6&gt;0,IF($O408="",1/0,$O408*$B$6),0),""))</f>
        <v/>
      </c>
      <c r="Q408" s="17" t="s">
        <v>44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408" s="2"/>
      <c r="XFC408" s="6"/>
    </row>
    <row r="409" s="5" customFormat="true" ht="28.5" hidden="false" customHeight="true" outlineLevel="0" collapsed="false">
      <c r="A409" s="16" t="str">
        <f aca="false">IF($T409="","",1+COUNTIF($W$15:$W$728,"&lt;"&amp;W409))</f>
        <v/>
      </c>
      <c r="B409" s="16" t="s">
        <v>8</v>
      </c>
      <c r="C409" s="16" t="s">
        <v>1225</v>
      </c>
      <c r="D409" s="16" t="s">
        <v>48</v>
      </c>
      <c r="E409" s="16" t="s">
        <v>44</v>
      </c>
      <c r="F409" s="16" t="s">
        <v>1226</v>
      </c>
      <c r="G409" s="16" t="s">
        <v>1227</v>
      </c>
      <c r="H409" s="17" t="n">
        <v>1945</v>
      </c>
      <c r="I409" s="17"/>
      <c r="J409" s="17"/>
      <c r="K409" s="17" t="n">
        <v>1945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1945</v>
      </c>
      <c r="N409" s="17" t="str">
        <f aca="false">IF($I409="","",$I409+$L409)</f>
        <v/>
      </c>
      <c r="O409" s="17" t="n">
        <f aca="false">IF($K409="","",$K409+$L409)</f>
        <v>1945</v>
      </c>
      <c r="P409" s="17" t="str">
        <f aca="false">IF($B$10=0,"",IFERROR(IF($B$4&gt;0,IF($M409="",1/0,$M409*$B$4),0)+IF($B$5&gt;0,IF($N409="",1/0,$N409*$B$5),0)+IF($B$6&gt;0,IF($O409="",1/0,$O409*$B$6),0),""))</f>
        <v/>
      </c>
      <c r="Q409" s="17" t="s">
        <v>44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409" s="2"/>
      <c r="XFC409" s="6"/>
    </row>
    <row r="410" s="5" customFormat="true" ht="28.5" hidden="false" customHeight="true" outlineLevel="0" collapsed="false">
      <c r="A410" s="16" t="str">
        <f aca="false">IF($T410="","",1+COUNTIF($W$15:$W$728,"&lt;"&amp;W410))</f>
        <v/>
      </c>
      <c r="B410" s="16" t="s">
        <v>8</v>
      </c>
      <c r="C410" s="16" t="s">
        <v>1228</v>
      </c>
      <c r="D410" s="16" t="s">
        <v>141</v>
      </c>
      <c r="E410" s="16" t="s">
        <v>44</v>
      </c>
      <c r="F410" s="16" t="s">
        <v>1229</v>
      </c>
      <c r="G410" s="16" t="s">
        <v>1230</v>
      </c>
      <c r="H410" s="17" t="n">
        <v>1845</v>
      </c>
      <c r="I410" s="17"/>
      <c r="J410" s="17"/>
      <c r="K410" s="17" t="n">
        <v>1845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1845</v>
      </c>
      <c r="N410" s="17" t="str">
        <f aca="false">IF($I410="","",$I410+$L410)</f>
        <v/>
      </c>
      <c r="O410" s="17" t="n">
        <f aca="false">IF($K410="","",$K410+$L410)</f>
        <v>1845</v>
      </c>
      <c r="P410" s="17" t="str">
        <f aca="false">IF($B$10=0,"",IFERROR(IF($B$4&gt;0,IF($M410="",1/0,$M410*$B$4),0)+IF($B$5&gt;0,IF($N410="",1/0,$N410*$B$5),0)+IF($B$6&gt;0,IF($O410="",1/0,$O410*$B$6),0),""))</f>
        <v/>
      </c>
      <c r="Q410" s="17"/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410" s="2"/>
      <c r="XFC410" s="6"/>
    </row>
    <row r="411" s="5" customFormat="true" ht="28.5" hidden="false" customHeight="true" outlineLevel="0" collapsed="false">
      <c r="A411" s="16" t="str">
        <f aca="false">IF($T411="","",1+COUNTIF($W$15:$W$728,"&lt;"&amp;W411))</f>
        <v/>
      </c>
      <c r="B411" s="16" t="s">
        <v>10</v>
      </c>
      <c r="C411" s="16" t="s">
        <v>1231</v>
      </c>
      <c r="D411" s="16" t="s">
        <v>141</v>
      </c>
      <c r="E411" s="16" t="s">
        <v>44</v>
      </c>
      <c r="F411" s="16" t="s">
        <v>1232</v>
      </c>
      <c r="G411" s="16" t="s">
        <v>1233</v>
      </c>
      <c r="H411" s="17" t="n">
        <v>1845</v>
      </c>
      <c r="I411" s="17"/>
      <c r="J411" s="17"/>
      <c r="K411" s="17" t="n">
        <v>1845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1845</v>
      </c>
      <c r="N411" s="17" t="str">
        <f aca="false">IF($I411="","",$I411+$L411)</f>
        <v/>
      </c>
      <c r="O411" s="17" t="n">
        <f aca="false">IF($K411="","",$K411+$L411)</f>
        <v>1845</v>
      </c>
      <c r="P411" s="17" t="str">
        <f aca="false">IF($B$10=0,"",IFERROR(IF($B$4&gt;0,IF($M411="",1/0,$M411*$B$4),0)+IF($B$5&gt;0,IF($N411="",1/0,$N411*$B$5),0)+IF($B$6&gt;0,IF($O411="",1/0,$O411*$B$6),0),""))</f>
        <v/>
      </c>
      <c r="Q411" s="17"/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411" s="2"/>
      <c r="XFC411" s="6"/>
    </row>
    <row r="412" s="5" customFormat="true" ht="28.5" hidden="false" customHeight="true" outlineLevel="0" collapsed="false">
      <c r="A412" s="16" t="str">
        <f aca="false">IF($T412="","",1+COUNTIF($W$15:$W$728,"&lt;"&amp;W412))</f>
        <v/>
      </c>
      <c r="B412" s="16" t="s">
        <v>8</v>
      </c>
      <c r="C412" s="16" t="s">
        <v>1234</v>
      </c>
      <c r="D412" s="20" t="s">
        <v>131</v>
      </c>
      <c r="E412" s="16" t="s">
        <v>44</v>
      </c>
      <c r="F412" s="16" t="s">
        <v>1235</v>
      </c>
      <c r="G412" s="16" t="s">
        <v>1236</v>
      </c>
      <c r="H412" s="17" t="n">
        <v>1879</v>
      </c>
      <c r="I412" s="17"/>
      <c r="J412" s="17"/>
      <c r="K412" s="17" t="n">
        <v>1899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1879</v>
      </c>
      <c r="N412" s="17" t="str">
        <f aca="false">IF($I412="","",$I412+$L412)</f>
        <v/>
      </c>
      <c r="O412" s="17" t="n">
        <f aca="false">IF($K412="","",$K412+$L412)</f>
        <v>1899</v>
      </c>
      <c r="P412" s="17" t="str">
        <f aca="false">IF($B$10=0,"",IFERROR(IF($B$4&gt;0,IF($M412="",1/0,$M412*$B$4),0)+IF($B$5&gt;0,IF($N412="",1/0,$N412*$B$5),0)+IF($B$6&gt;0,IF($O412="",1/0,$O412*$B$6),0),""))</f>
        <v/>
      </c>
      <c r="Q412" s="17"/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412" s="2"/>
      <c r="XFC412" s="6"/>
    </row>
    <row r="413" s="5" customFormat="true" ht="28.5" hidden="false" customHeight="true" outlineLevel="0" collapsed="false">
      <c r="A413" s="16" t="str">
        <f aca="false">IF($T413="","",1+COUNTIF($W$15:$W$728,"&lt;"&amp;W413))</f>
        <v/>
      </c>
      <c r="B413" s="16" t="s">
        <v>10</v>
      </c>
      <c r="C413" s="16" t="s">
        <v>1237</v>
      </c>
      <c r="D413" s="16" t="s">
        <v>48</v>
      </c>
      <c r="E413" s="16" t="s">
        <v>58</v>
      </c>
      <c r="F413" s="16" t="s">
        <v>1238</v>
      </c>
      <c r="G413" s="16" t="s">
        <v>1239</v>
      </c>
      <c r="H413" s="17" t="n">
        <v>1875</v>
      </c>
      <c r="I413" s="17"/>
      <c r="J413" s="17"/>
      <c r="K413" s="17" t="n">
        <v>1895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1875</v>
      </c>
      <c r="N413" s="17" t="str">
        <f aca="false">IF($I413="","",$I413+$L413)</f>
        <v/>
      </c>
      <c r="O413" s="17" t="n">
        <f aca="false">IF($K413="","",$K413+$L413)</f>
        <v>1895</v>
      </c>
      <c r="P413" s="17" t="str">
        <f aca="false">IF($B$10=0,"",IFERROR(IF($B$4&gt;0,IF($M413="",1/0,$M413*$B$4),0)+IF($B$5&gt;0,IF($N413="",1/0,$N413*$B$5),0)+IF($B$6&gt;0,IF($O413="",1/0,$O413*$B$6),0),""))</f>
        <v/>
      </c>
      <c r="Q413" s="17"/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413" s="2"/>
      <c r="XFC413" s="6"/>
    </row>
    <row r="414" s="5" customFormat="true" ht="28.5" hidden="false" customHeight="true" outlineLevel="0" collapsed="false">
      <c r="A414" s="16" t="str">
        <f aca="false">IF($T414="","",1+COUNTIF($W$15:$W$728,"&lt;"&amp;W414))</f>
        <v/>
      </c>
      <c r="B414" s="16" t="s">
        <v>10</v>
      </c>
      <c r="C414" s="16" t="s">
        <v>1240</v>
      </c>
      <c r="D414" s="20" t="s">
        <v>131</v>
      </c>
      <c r="E414" s="16" t="s">
        <v>44</v>
      </c>
      <c r="F414" s="16" t="s">
        <v>1241</v>
      </c>
      <c r="G414" s="16" t="s">
        <v>1242</v>
      </c>
      <c r="H414" s="17" t="n">
        <v>1835</v>
      </c>
      <c r="I414" s="17"/>
      <c r="J414" s="17"/>
      <c r="K414" s="17" t="n">
        <v>1895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1835</v>
      </c>
      <c r="N414" s="17" t="str">
        <f aca="false">IF($I414="","",$I414+$L414)</f>
        <v/>
      </c>
      <c r="O414" s="17" t="n">
        <f aca="false">IF($K414="","",$K414+$L414)</f>
        <v>1895</v>
      </c>
      <c r="P414" s="17" t="str">
        <f aca="false">IF($B$10=0,"",IFERROR(IF($B$4&gt;0,IF($M414="",1/0,$M414*$B$4),0)+IF($B$5&gt;0,IF($N414="",1/0,$N414*$B$5),0)+IF($B$6&gt;0,IF($O414="",1/0,$O414*$B$6),0),""))</f>
        <v/>
      </c>
      <c r="Q414" s="17"/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414" s="2"/>
      <c r="XFC414" s="6"/>
    </row>
    <row r="415" s="5" customFormat="true" ht="28.5" hidden="false" customHeight="true" outlineLevel="0" collapsed="false">
      <c r="A415" s="16" t="str">
        <f aca="false">IF($T415="","",1+COUNTIF($W$15:$W$728,"&lt;"&amp;W415))</f>
        <v/>
      </c>
      <c r="B415" s="16" t="s">
        <v>8</v>
      </c>
      <c r="C415" s="16" t="s">
        <v>1243</v>
      </c>
      <c r="D415" s="16" t="s">
        <v>48</v>
      </c>
      <c r="E415" s="16" t="s">
        <v>44</v>
      </c>
      <c r="F415" s="16" t="s">
        <v>1244</v>
      </c>
      <c r="G415" s="16" t="s">
        <v>1245</v>
      </c>
      <c r="H415" s="17" t="n">
        <v>1779</v>
      </c>
      <c r="I415" s="17"/>
      <c r="J415" s="17"/>
      <c r="K415" s="17" t="n">
        <v>1740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1779</v>
      </c>
      <c r="N415" s="17" t="str">
        <f aca="false">IF($I415="","",$I415+$L415)</f>
        <v/>
      </c>
      <c r="O415" s="17" t="n">
        <f aca="false">IF($K415="","",$K415+$L415)</f>
        <v>1740</v>
      </c>
      <c r="P415" s="17" t="str">
        <f aca="false">IF($B$10=0,"",IFERROR(IF($B$4&gt;0,IF($M415="",1/0,$M415*$B$4),0)+IF($B$5&gt;0,IF($N415="",1/0,$N415*$B$5),0)+IF($B$6&gt;0,IF($O415="",1/0,$O415*$B$6),0),""))</f>
        <v/>
      </c>
      <c r="Q415" s="17"/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415" s="2"/>
      <c r="XFC415" s="6"/>
    </row>
    <row r="416" s="5" customFormat="true" ht="28.5" hidden="false" customHeight="true" outlineLevel="0" collapsed="false">
      <c r="A416" s="16" t="str">
        <f aca="false">IF($T416="","",1+COUNTIF($W$15:$W$728,"&lt;"&amp;W416))</f>
        <v/>
      </c>
      <c r="B416" s="16" t="s">
        <v>10</v>
      </c>
      <c r="C416" s="16" t="s">
        <v>1246</v>
      </c>
      <c r="D416" s="16" t="s">
        <v>281</v>
      </c>
      <c r="E416" s="16" t="s">
        <v>58</v>
      </c>
      <c r="F416" s="16" t="s">
        <v>1247</v>
      </c>
      <c r="G416" s="16" t="s">
        <v>1248</v>
      </c>
      <c r="H416" s="17" t="n">
        <v>1835</v>
      </c>
      <c r="I416" s="17"/>
      <c r="J416" s="17"/>
      <c r="K416" s="17" t="n">
        <v>1845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1835</v>
      </c>
      <c r="N416" s="17" t="str">
        <f aca="false">IF($I416="","",$I416+$L416)</f>
        <v/>
      </c>
      <c r="O416" s="17" t="n">
        <f aca="false">IF($K416="","",$K416+$L416)</f>
        <v>1845</v>
      </c>
      <c r="P416" s="17" t="str">
        <f aca="false">IF($B$10=0,"",IFERROR(IF($B$4&gt;0,IF($M416="",1/0,$M416*$B$4),0)+IF($B$5&gt;0,IF($N416="",1/0,$N416*$B$5),0)+IF($B$6&gt;0,IF($O416="",1/0,$O416*$B$6),0),""))</f>
        <v/>
      </c>
      <c r="Q416" s="17"/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416" s="2"/>
      <c r="XFC416" s="6"/>
    </row>
    <row r="417" s="5" customFormat="true" ht="28.5" hidden="false" customHeight="true" outlineLevel="0" collapsed="false">
      <c r="A417" s="16" t="str">
        <f aca="false">IF($T417="","",1+COUNTIF($W$15:$W$728,"&lt;"&amp;W417))</f>
        <v/>
      </c>
      <c r="B417" s="16" t="s">
        <v>6</v>
      </c>
      <c r="C417" s="16" t="s">
        <v>1249</v>
      </c>
      <c r="D417" s="20" t="s">
        <v>131</v>
      </c>
      <c r="E417" s="16" t="s">
        <v>44</v>
      </c>
      <c r="F417" s="16" t="s">
        <v>1250</v>
      </c>
      <c r="G417" s="16" t="s">
        <v>1251</v>
      </c>
      <c r="H417" s="17" t="n">
        <v>1945</v>
      </c>
      <c r="I417" s="17"/>
      <c r="J417" s="17"/>
      <c r="K417" s="17" t="n">
        <v>1925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1945</v>
      </c>
      <c r="N417" s="17" t="str">
        <f aca="false">IF($I417="","",$I417+$L417)</f>
        <v/>
      </c>
      <c r="O417" s="17" t="n">
        <f aca="false">IF($K417="","",$K417+$L417)</f>
        <v>1925</v>
      </c>
      <c r="P417" s="17" t="str">
        <f aca="false">IF($B$10=0,"",IFERROR(IF($B$4&gt;0,IF($M417="",1/0,$M417*$B$4),0)+IF($B$5&gt;0,IF($N417="",1/0,$N417*$B$5),0)+IF($B$6&gt;0,IF($O417="",1/0,$O417*$B$6),0),""))</f>
        <v/>
      </c>
      <c r="Q417" s="17" t="s">
        <v>44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417" s="2"/>
      <c r="XFC417" s="6"/>
    </row>
    <row r="418" s="5" customFormat="true" ht="28.5" hidden="false" customHeight="true" outlineLevel="0" collapsed="false">
      <c r="A418" s="16" t="str">
        <f aca="false">IF($T418="","",1+COUNTIF($W$15:$W$728,"&lt;"&amp;W418))</f>
        <v/>
      </c>
      <c r="B418" s="16" t="s">
        <v>6</v>
      </c>
      <c r="C418" s="16" t="s">
        <v>1252</v>
      </c>
      <c r="D418" s="16" t="s">
        <v>43</v>
      </c>
      <c r="E418" s="16" t="s">
        <v>44</v>
      </c>
      <c r="F418" s="16" t="s">
        <v>1253</v>
      </c>
      <c r="G418" s="16" t="s">
        <v>1254</v>
      </c>
      <c r="H418" s="17" t="n">
        <v>1965</v>
      </c>
      <c r="I418" s="17"/>
      <c r="J418" s="17"/>
      <c r="K418" s="17" t="n">
        <v>1995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1965</v>
      </c>
      <c r="N418" s="17" t="str">
        <f aca="false">IF($I418="","",$I418+$L418)</f>
        <v/>
      </c>
      <c r="O418" s="17" t="n">
        <f aca="false">IF($K418="","",$K418+$L418)</f>
        <v>1995</v>
      </c>
      <c r="P418" s="17" t="str">
        <f aca="false">IF($B$10=0,"",IFERROR(IF($B$4&gt;0,IF($M418="",1/0,$M418*$B$4),0)+IF($B$5&gt;0,IF($N418="",1/0,$N418*$B$5),0)+IF($B$6&gt;0,IF($O418="",1/0,$O418*$B$6),0),""))</f>
        <v/>
      </c>
      <c r="Q418" s="17" t="s">
        <v>44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418" s="2"/>
      <c r="XFC418" s="6"/>
    </row>
    <row r="419" s="5" customFormat="true" ht="28.5" hidden="false" customHeight="true" outlineLevel="0" collapsed="false">
      <c r="A419" s="16" t="str">
        <f aca="false">IF($T419="","",1+COUNTIF($W$15:$W$728,"&lt;"&amp;W419))</f>
        <v/>
      </c>
      <c r="B419" s="16" t="s">
        <v>8</v>
      </c>
      <c r="C419" s="16" t="s">
        <v>1255</v>
      </c>
      <c r="D419" s="20" t="s">
        <v>131</v>
      </c>
      <c r="E419" s="16" t="s">
        <v>44</v>
      </c>
      <c r="F419" s="16" t="s">
        <v>1256</v>
      </c>
      <c r="G419" s="16" t="s">
        <v>1257</v>
      </c>
      <c r="H419" s="17" t="n">
        <v>1899</v>
      </c>
      <c r="I419" s="17"/>
      <c r="J419" s="17"/>
      <c r="K419" s="17" t="n">
        <v>1949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1899</v>
      </c>
      <c r="N419" s="17" t="str">
        <f aca="false">IF($I419="","",$I419+$L419)</f>
        <v/>
      </c>
      <c r="O419" s="17" t="n">
        <f aca="false">IF($K419="","",$K419+$L419)</f>
        <v>1949</v>
      </c>
      <c r="P419" s="17" t="str">
        <f aca="false">IF($B$10=0,"",IFERROR(IF($B$4&gt;0,IF($M419="",1/0,$M419*$B$4),0)+IF($B$5&gt;0,IF($N419="",1/0,$N419*$B$5),0)+IF($B$6&gt;0,IF($O419="",1/0,$O419*$B$6),0),""))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419" s="2"/>
      <c r="XFC419" s="6"/>
    </row>
    <row r="420" s="5" customFormat="true" ht="28.5" hidden="false" customHeight="true" outlineLevel="0" collapsed="false">
      <c r="A420" s="16" t="str">
        <f aca="false">IF($T420="","",1+COUNTIF($W$15:$W$728,"&lt;"&amp;W420))</f>
        <v/>
      </c>
      <c r="B420" s="16" t="s">
        <v>6</v>
      </c>
      <c r="C420" s="16" t="s">
        <v>1258</v>
      </c>
      <c r="D420" s="16" t="s">
        <v>43</v>
      </c>
      <c r="E420" s="16" t="s">
        <v>58</v>
      </c>
      <c r="F420" s="16" t="s">
        <v>1259</v>
      </c>
      <c r="G420" s="16" t="s">
        <v>1260</v>
      </c>
      <c r="H420" s="17" t="n">
        <v>1927</v>
      </c>
      <c r="I420" s="17"/>
      <c r="J420" s="17"/>
      <c r="K420" s="17" t="n">
        <v>1927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1927</v>
      </c>
      <c r="N420" s="17" t="str">
        <f aca="false">IF($I420="","",$I420+$L420)</f>
        <v/>
      </c>
      <c r="O420" s="17" t="n">
        <f aca="false">IF($K420="","",$K420+$L420)</f>
        <v>1927</v>
      </c>
      <c r="P420" s="17" t="str">
        <f aca="false">IF($B$10=0,"",IFERROR(IF($B$4&gt;0,IF($M420="",1/0,$M420*$B$4),0)+IF($B$5&gt;0,IF($N420="",1/0,$N420*$B$5),0)+IF($B$6&gt;0,IF($O420="",1/0,$O420*$B$6),0),""))</f>
        <v/>
      </c>
      <c r="Q420" s="17" t="s">
        <v>44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420" s="2"/>
      <c r="XFC420" s="6"/>
    </row>
    <row r="421" s="5" customFormat="true" ht="28.5" hidden="false" customHeight="true" outlineLevel="0" collapsed="false">
      <c r="A421" s="16" t="str">
        <f aca="false">IF($T421="","",1+COUNTIF($W$15:$W$728,"&lt;"&amp;W421))</f>
        <v/>
      </c>
      <c r="B421" s="16" t="s">
        <v>12</v>
      </c>
      <c r="C421" s="16" t="s">
        <v>1261</v>
      </c>
      <c r="D421" s="20" t="s">
        <v>131</v>
      </c>
      <c r="E421" s="16" t="s">
        <v>58</v>
      </c>
      <c r="F421" s="16" t="s">
        <v>1262</v>
      </c>
      <c r="G421" s="16" t="s">
        <v>1263</v>
      </c>
      <c r="H421" s="17" t="n">
        <v>1997</v>
      </c>
      <c r="I421" s="17"/>
      <c r="J421" s="17"/>
      <c r="K421" s="17" t="n">
        <v>1997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1997</v>
      </c>
      <c r="N421" s="17" t="str">
        <f aca="false">IF($I421="","",$I421+$L421)</f>
        <v/>
      </c>
      <c r="O421" s="17" t="n">
        <f aca="false">IF($K421="","",$K421+$L421)</f>
        <v>1997</v>
      </c>
      <c r="P421" s="17" t="str">
        <f aca="false">IF($B$10=0,"",IFERROR(IF($B$4&gt;0,IF($M421="",1/0,$M421*$B$4),0)+IF($B$5&gt;0,IF($N421="",1/0,$N421*$B$5),0)+IF($B$6&gt;0,IF($O421="",1/0,$O421*$B$6),0),""))</f>
        <v/>
      </c>
      <c r="Q421" s="17"/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421" s="2"/>
      <c r="XFC421" s="6"/>
    </row>
    <row r="422" s="5" customFormat="true" ht="28.5" hidden="false" customHeight="true" outlineLevel="0" collapsed="false">
      <c r="A422" s="16" t="str">
        <f aca="false">IF($T422="","",1+COUNTIF($W$15:$W$728,"&lt;"&amp;W422))</f>
        <v/>
      </c>
      <c r="B422" s="16" t="s">
        <v>10</v>
      </c>
      <c r="C422" s="16" t="s">
        <v>1264</v>
      </c>
      <c r="D422" s="20" t="s">
        <v>131</v>
      </c>
      <c r="E422" s="16" t="s">
        <v>44</v>
      </c>
      <c r="F422" s="16" t="s">
        <v>1265</v>
      </c>
      <c r="G422" s="16" t="s">
        <v>1266</v>
      </c>
      <c r="H422" s="17" t="n">
        <v>1898</v>
      </c>
      <c r="I422" s="17"/>
      <c r="J422" s="17"/>
      <c r="K422" s="17" t="n">
        <v>1978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1898</v>
      </c>
      <c r="N422" s="17" t="str">
        <f aca="false">IF($I422="","",$I422+$L422)</f>
        <v/>
      </c>
      <c r="O422" s="17" t="n">
        <f aca="false">IF($K422="","",$K422+$L422)</f>
        <v>1978</v>
      </c>
      <c r="P422" s="17" t="str">
        <f aca="false">IF($B$10=0,"",IFERROR(IF($B$4&gt;0,IF($M422="",1/0,$M422*$B$4),0)+IF($B$5&gt;0,IF($N422="",1/0,$N422*$B$5),0)+IF($B$6&gt;0,IF($O422="",1/0,$O422*$B$6),0),""))</f>
        <v/>
      </c>
      <c r="Q422" s="17" t="s">
        <v>44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422" s="2"/>
      <c r="XFC422" s="6"/>
    </row>
    <row r="423" s="5" customFormat="true" ht="28.5" hidden="false" customHeight="true" outlineLevel="0" collapsed="false">
      <c r="A423" s="16" t="str">
        <f aca="false">IF($T423="","",1+COUNTIF($W$15:$W$728,"&lt;"&amp;W423))</f>
        <v/>
      </c>
      <c r="B423" s="16" t="s">
        <v>12</v>
      </c>
      <c r="C423" s="16" t="s">
        <v>1267</v>
      </c>
      <c r="D423" s="20" t="s">
        <v>131</v>
      </c>
      <c r="E423" s="16" t="s">
        <v>44</v>
      </c>
      <c r="F423" s="16" t="s">
        <v>1268</v>
      </c>
      <c r="G423" s="16" t="s">
        <v>1269</v>
      </c>
      <c r="H423" s="17" t="n">
        <v>1968</v>
      </c>
      <c r="I423" s="17"/>
      <c r="J423" s="17"/>
      <c r="K423" s="17" t="n">
        <v>1898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1968</v>
      </c>
      <c r="N423" s="17" t="str">
        <f aca="false">IF($I423="","",$I423+$L423)</f>
        <v/>
      </c>
      <c r="O423" s="17" t="n">
        <f aca="false">IF($K423="","",$K423+$L423)</f>
        <v>1898</v>
      </c>
      <c r="P423" s="17" t="str">
        <f aca="false">IF($B$10=0,"",IFERROR(IF($B$4&gt;0,IF($M423="",1/0,$M423*$B$4),0)+IF($B$5&gt;0,IF($N423="",1/0,$N423*$B$5),0)+IF($B$6&gt;0,IF($O423="",1/0,$O423*$B$6),0),""))</f>
        <v/>
      </c>
      <c r="Q423" s="17" t="s">
        <v>44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423" s="2"/>
      <c r="XFC423" s="6"/>
    </row>
    <row r="424" s="5" customFormat="true" ht="28.5" hidden="false" customHeight="true" outlineLevel="0" collapsed="false">
      <c r="A424" s="16" t="str">
        <f aca="false">IF($T424="","",1+COUNTIF($W$15:$W$728,"&lt;"&amp;W424))</f>
        <v/>
      </c>
      <c r="B424" s="16" t="s">
        <v>12</v>
      </c>
      <c r="C424" s="16" t="s">
        <v>1270</v>
      </c>
      <c r="D424" s="20" t="s">
        <v>141</v>
      </c>
      <c r="E424" s="16" t="s">
        <v>58</v>
      </c>
      <c r="F424" s="16" t="s">
        <v>1271</v>
      </c>
      <c r="G424" s="16" t="s">
        <v>1272</v>
      </c>
      <c r="H424" s="17" t="n">
        <v>1988</v>
      </c>
      <c r="I424" s="17"/>
      <c r="J424" s="17"/>
      <c r="K424" s="17" t="n">
        <v>1998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1988</v>
      </c>
      <c r="N424" s="17" t="str">
        <f aca="false">IF($I424="","",$I424+$L424)</f>
        <v/>
      </c>
      <c r="O424" s="17" t="n">
        <f aca="false">IF($K424="","",$K424+$L424)</f>
        <v>1998</v>
      </c>
      <c r="P424" s="17" t="str">
        <f aca="false">IF($B$10=0,"",IFERROR(IF($B$4&gt;0,IF($M424="",1/0,$M424*$B$4),0)+IF($B$5&gt;0,IF($N424="",1/0,$N424*$B$5),0)+IF($B$6&gt;0,IF($O424="",1/0,$O424*$B$6),0),""))</f>
        <v/>
      </c>
      <c r="Q424" s="17"/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424" s="2"/>
      <c r="XFC424" s="6"/>
    </row>
    <row r="425" s="5" customFormat="true" ht="28.5" hidden="false" customHeight="true" outlineLevel="0" collapsed="false">
      <c r="A425" s="16" t="str">
        <f aca="false">IF($T425="","",1+COUNTIF($W$15:$W$728,"&lt;"&amp;W425))</f>
        <v/>
      </c>
      <c r="B425" s="16" t="s">
        <v>10</v>
      </c>
      <c r="C425" s="16" t="s">
        <v>1273</v>
      </c>
      <c r="D425" s="16" t="s">
        <v>281</v>
      </c>
      <c r="E425" s="16" t="s">
        <v>44</v>
      </c>
      <c r="F425" s="16" t="s">
        <v>1274</v>
      </c>
      <c r="G425" s="16" t="s">
        <v>1275</v>
      </c>
      <c r="H425" s="17" t="n">
        <v>1794</v>
      </c>
      <c r="I425" s="17"/>
      <c r="J425" s="17"/>
      <c r="K425" s="17" t="n">
        <v>1792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1794</v>
      </c>
      <c r="N425" s="17" t="str">
        <f aca="false">IF($I425="","",$I425+$L425)</f>
        <v/>
      </c>
      <c r="O425" s="17" t="n">
        <f aca="false">IF($K425="","",$K425+$L425)</f>
        <v>1792</v>
      </c>
      <c r="P425" s="17" t="str">
        <f aca="false">IF($B$10=0,"",IFERROR(IF($B$4&gt;0,IF($M425="",1/0,$M425*$B$4),0)+IF($B$5&gt;0,IF($N425="",1/0,$N425*$B$5),0)+IF($B$6&gt;0,IF($O425="",1/0,$O425*$B$6),0),""))</f>
        <v/>
      </c>
      <c r="Q425" s="17" t="s">
        <v>44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425" s="2"/>
      <c r="XFC425" s="6"/>
    </row>
    <row r="426" s="5" customFormat="true" ht="28.5" hidden="false" customHeight="true" outlineLevel="0" collapsed="false">
      <c r="A426" s="16" t="str">
        <f aca="false">IF($T426="","",1+COUNTIF($W$15:$W$728,"&lt;"&amp;W426))</f>
        <v/>
      </c>
      <c r="B426" s="16" t="s">
        <v>14</v>
      </c>
      <c r="C426" s="16" t="s">
        <v>1276</v>
      </c>
      <c r="D426" s="20" t="s">
        <v>131</v>
      </c>
      <c r="E426" s="16" t="s">
        <v>58</v>
      </c>
      <c r="F426" s="16" t="s">
        <v>1277</v>
      </c>
      <c r="G426" s="16" t="s">
        <v>1278</v>
      </c>
      <c r="H426" s="17" t="n">
        <v>1899</v>
      </c>
      <c r="I426" s="17"/>
      <c r="J426" s="17"/>
      <c r="K426" s="17" t="n">
        <v>1999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1899</v>
      </c>
      <c r="N426" s="17" t="str">
        <f aca="false">IF($I426="","",$I426+$L426)</f>
        <v/>
      </c>
      <c r="O426" s="17" t="n">
        <f aca="false">IF($K426="","",$K426+$L426)</f>
        <v>1999</v>
      </c>
      <c r="P426" s="17" t="str">
        <f aca="false">IF($B$10=0,"",IFERROR(IF($B$4&gt;0,IF($M426="",1/0,$M426*$B$4),0)+IF($B$5&gt;0,IF($N426="",1/0,$N426*$B$5),0)+IF($B$6&gt;0,IF($O426="",1/0,$O426*$B$6),0),""))</f>
        <v/>
      </c>
      <c r="Q426" s="17"/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426" s="2"/>
      <c r="XFC426" s="6"/>
    </row>
    <row r="427" s="5" customFormat="true" ht="28.5" hidden="false" customHeight="true" outlineLevel="0" collapsed="false">
      <c r="A427" s="16" t="str">
        <f aca="false">IF($T427="","",1+COUNTIF($W$15:$W$728,"&lt;"&amp;W427))</f>
        <v/>
      </c>
      <c r="B427" s="16" t="s">
        <v>10</v>
      </c>
      <c r="C427" s="16" t="s">
        <v>1279</v>
      </c>
      <c r="D427" s="16" t="s">
        <v>141</v>
      </c>
      <c r="E427" s="16" t="s">
        <v>44</v>
      </c>
      <c r="F427" s="16" t="s">
        <v>1280</v>
      </c>
      <c r="G427" s="16" t="s">
        <v>1281</v>
      </c>
      <c r="H427" s="17" t="n">
        <v>1859</v>
      </c>
      <c r="I427" s="17"/>
      <c r="J427" s="17"/>
      <c r="K427" s="17" t="n">
        <v>1899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1859</v>
      </c>
      <c r="N427" s="17" t="str">
        <f aca="false">IF($I427="","",$I427+$L427)</f>
        <v/>
      </c>
      <c r="O427" s="17" t="n">
        <f aca="false">IF($K427="","",$K427+$L427)</f>
        <v>1899</v>
      </c>
      <c r="P427" s="17" t="str">
        <f aca="false">IF($B$10=0,"",IFERROR(IF($B$4&gt;0,IF($M427="",1/0,$M427*$B$4),0)+IF($B$5&gt;0,IF($N427="",1/0,$N427*$B$5),0)+IF($B$6&gt;0,IF($O427="",1/0,$O427*$B$6),0),""))</f>
        <v/>
      </c>
      <c r="Q427" s="17" t="s">
        <v>44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427" s="2"/>
      <c r="XFC427" s="6"/>
    </row>
    <row r="428" s="5" customFormat="true" ht="28.5" hidden="false" customHeight="true" outlineLevel="0" collapsed="false">
      <c r="A428" s="16" t="str">
        <f aca="false">IF($T428="","",1+COUNTIF($W$15:$W$728,"&lt;"&amp;W428))</f>
        <v/>
      </c>
      <c r="B428" s="16" t="s">
        <v>10</v>
      </c>
      <c r="C428" s="16" t="s">
        <v>1282</v>
      </c>
      <c r="D428" s="16" t="s">
        <v>48</v>
      </c>
      <c r="E428" s="16" t="s">
        <v>44</v>
      </c>
      <c r="F428" s="16" t="s">
        <v>1283</v>
      </c>
      <c r="G428" s="16" t="s">
        <v>1284</v>
      </c>
      <c r="H428" s="17" t="n">
        <v>1799</v>
      </c>
      <c r="I428" s="17"/>
      <c r="J428" s="17"/>
      <c r="K428" s="17" t="n">
        <v>1799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1799</v>
      </c>
      <c r="N428" s="17" t="str">
        <f aca="false">IF($I428="","",$I428+$L428)</f>
        <v/>
      </c>
      <c r="O428" s="17" t="n">
        <f aca="false">IF($K428="","",$K428+$L428)</f>
        <v>1799</v>
      </c>
      <c r="P428" s="17" t="str">
        <f aca="false">IF($B$10=0,"",IFERROR(IF($B$4&gt;0,IF($M428="",1/0,$M428*$B$4),0)+IF($B$5&gt;0,IF($N428="",1/0,$N428*$B$5),0)+IF($B$6&gt;0,IF($O428="",1/0,$O428*$B$6),0),""))</f>
        <v/>
      </c>
      <c r="Q428" s="17" t="s">
        <v>44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428" s="2"/>
      <c r="XFC428" s="6"/>
    </row>
    <row r="429" s="5" customFormat="true" ht="28.5" hidden="false" customHeight="true" outlineLevel="0" collapsed="false">
      <c r="A429" s="16" t="str">
        <f aca="false">IF($T429="","",1+COUNTIF($W$15:$W$728,"&lt;"&amp;W429))</f>
        <v/>
      </c>
      <c r="B429" s="16" t="s">
        <v>12</v>
      </c>
      <c r="C429" s="16" t="s">
        <v>1285</v>
      </c>
      <c r="D429" s="20" t="s">
        <v>131</v>
      </c>
      <c r="E429" s="16" t="s">
        <v>58</v>
      </c>
      <c r="F429" s="16" t="s">
        <v>1286</v>
      </c>
      <c r="G429" s="16" t="s">
        <v>1287</v>
      </c>
      <c r="H429" s="17" t="n">
        <v>1939</v>
      </c>
      <c r="I429" s="17"/>
      <c r="J429" s="17"/>
      <c r="K429" s="17" t="n">
        <v>1999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1939</v>
      </c>
      <c r="N429" s="17" t="str">
        <f aca="false">IF($I429="","",$I429+$L429)</f>
        <v/>
      </c>
      <c r="O429" s="17" t="n">
        <f aca="false">IF($K429="","",$K429+$L429)</f>
        <v>1999</v>
      </c>
      <c r="P429" s="17" t="str">
        <f aca="false">IF($B$10=0,"",IFERROR(IF($B$4&gt;0,IF($M429="",1/0,$M429*$B$4),0)+IF($B$5&gt;0,IF($N429="",1/0,$N429*$B$5),0)+IF($B$6&gt;0,IF($O429="",1/0,$O429*$B$6),0),""))</f>
        <v/>
      </c>
      <c r="Q429" s="17" t="s">
        <v>44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429" s="2"/>
      <c r="XFC429" s="6"/>
    </row>
    <row r="430" s="5" customFormat="true" ht="28.5" hidden="false" customHeight="true" outlineLevel="0" collapsed="false">
      <c r="A430" s="16" t="str">
        <f aca="false">IF($T430="","",1+COUNTIF($W$15:$W$728,"&lt;"&amp;W430))</f>
        <v/>
      </c>
      <c r="B430" s="16" t="s">
        <v>10</v>
      </c>
      <c r="C430" s="16" t="s">
        <v>1288</v>
      </c>
      <c r="D430" s="16" t="s">
        <v>43</v>
      </c>
      <c r="E430" s="16" t="s">
        <v>58</v>
      </c>
      <c r="F430" s="16" t="s">
        <v>1289</v>
      </c>
      <c r="G430" s="16" t="s">
        <v>1290</v>
      </c>
      <c r="H430" s="17" t="n">
        <v>1799</v>
      </c>
      <c r="I430" s="17"/>
      <c r="J430" s="17"/>
      <c r="K430" s="17" t="n">
        <v>1799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1799</v>
      </c>
      <c r="N430" s="17" t="str">
        <f aca="false">IF($I430="","",$I430+$L430)</f>
        <v/>
      </c>
      <c r="O430" s="17" t="n">
        <f aca="false">IF($K430="","",$K430+$L430)</f>
        <v>1799</v>
      </c>
      <c r="P430" s="17" t="str">
        <f aca="false">IF($B$10=0,"",IFERROR(IF($B$4&gt;0,IF($M430="",1/0,$M430*$B$4),0)+IF($B$5&gt;0,IF($N430="",1/0,$N430*$B$5),0)+IF($B$6&gt;0,IF($O430="",1/0,$O430*$B$6),0),""))</f>
        <v/>
      </c>
      <c r="Q430" s="17"/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430" s="2"/>
      <c r="XFC430" s="6"/>
    </row>
    <row r="431" s="5" customFormat="true" ht="28.5" hidden="false" customHeight="true" outlineLevel="0" collapsed="false">
      <c r="A431" s="16" t="str">
        <f aca="false">IF($T431="","",1+COUNTIF($W$15:$W$728,"&lt;"&amp;W431))</f>
        <v/>
      </c>
      <c r="B431" s="16" t="s">
        <v>12</v>
      </c>
      <c r="C431" s="16" t="s">
        <v>1291</v>
      </c>
      <c r="D431" s="20" t="s">
        <v>208</v>
      </c>
      <c r="E431" s="16" t="s">
        <v>44</v>
      </c>
      <c r="F431" s="16" t="s">
        <v>1292</v>
      </c>
      <c r="G431" s="16" t="s">
        <v>1293</v>
      </c>
      <c r="H431" s="17" t="n">
        <v>1829</v>
      </c>
      <c r="I431" s="17"/>
      <c r="J431" s="17"/>
      <c r="K431" s="17" t="n">
        <v>1859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1829</v>
      </c>
      <c r="N431" s="17" t="str">
        <f aca="false">IF($I431="","",$I431+$L431)</f>
        <v/>
      </c>
      <c r="O431" s="17" t="n">
        <f aca="false">IF($K431="","",$K431+$L431)</f>
        <v>1859</v>
      </c>
      <c r="P431" s="17" t="str">
        <f aca="false">IF($B$10=0,"",IFERROR(IF($B$4&gt;0,IF($M431="",1/0,$M431*$B$4),0)+IF($B$5&gt;0,IF($N431="",1/0,$N431*$B$5),0)+IF($B$6&gt;0,IF($O431="",1/0,$O431*$B$6),0),""))</f>
        <v/>
      </c>
      <c r="Q431" s="17"/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431" s="2"/>
      <c r="XFC431" s="6"/>
    </row>
    <row r="432" s="5" customFormat="true" ht="28.5" hidden="false" customHeight="true" outlineLevel="0" collapsed="false">
      <c r="A432" s="16" t="str">
        <f aca="false">IF($T432="","",1+COUNTIF($W$15:$W$728,"&lt;"&amp;W432))</f>
        <v/>
      </c>
      <c r="B432" s="16" t="s">
        <v>12</v>
      </c>
      <c r="C432" s="16" t="s">
        <v>1294</v>
      </c>
      <c r="D432" s="20" t="s">
        <v>208</v>
      </c>
      <c r="E432" s="16" t="s">
        <v>44</v>
      </c>
      <c r="F432" s="16" t="s">
        <v>1295</v>
      </c>
      <c r="G432" s="16" t="s">
        <v>1296</v>
      </c>
      <c r="H432" s="17" t="n">
        <v>1899</v>
      </c>
      <c r="I432" s="17"/>
      <c r="J432" s="17"/>
      <c r="K432" s="17" t="n">
        <v>1899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1899</v>
      </c>
      <c r="N432" s="17" t="str">
        <f aca="false">IF($I432="","",$I432+$L432)</f>
        <v/>
      </c>
      <c r="O432" s="17" t="n">
        <f aca="false">IF($K432="","",$K432+$L432)</f>
        <v>1899</v>
      </c>
      <c r="P432" s="17" t="str">
        <f aca="false">IF($B$10=0,"",IFERROR(IF($B$4&gt;0,IF($M432="",1/0,$M432*$B$4),0)+IF($B$5&gt;0,IF($N432="",1/0,$N432*$B$5),0)+IF($B$6&gt;0,IF($O432="",1/0,$O432*$B$6),0),""))</f>
        <v/>
      </c>
      <c r="Q432" s="17"/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432" s="2"/>
      <c r="XFC432" s="6"/>
    </row>
    <row r="433" s="5" customFormat="true" ht="28.5" hidden="false" customHeight="true" outlineLevel="0" collapsed="false">
      <c r="A433" s="16" t="str">
        <f aca="false">IF($T433="","",1+COUNTIF($W$15:$W$728,"&lt;"&amp;W433))</f>
        <v/>
      </c>
      <c r="B433" s="16" t="s">
        <v>10</v>
      </c>
      <c r="C433" s="16" t="s">
        <v>1297</v>
      </c>
      <c r="D433" s="16" t="s">
        <v>141</v>
      </c>
      <c r="E433" s="16" t="s">
        <v>44</v>
      </c>
      <c r="F433" s="16" t="s">
        <v>1298</v>
      </c>
      <c r="G433" s="16" t="s">
        <v>1299</v>
      </c>
      <c r="H433" s="17" t="n">
        <v>1889</v>
      </c>
      <c r="I433" s="17"/>
      <c r="J433" s="17"/>
      <c r="K433" s="17" t="n">
        <v>1899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1889</v>
      </c>
      <c r="N433" s="17" t="str">
        <f aca="false">IF($I433="","",$I433+$L433)</f>
        <v/>
      </c>
      <c r="O433" s="17" t="n">
        <f aca="false">IF($K433="","",$K433+$L433)</f>
        <v>1899</v>
      </c>
      <c r="P433" s="17" t="str">
        <f aca="false">IF($B$10=0,"",IFERROR(IF($B$4&gt;0,IF($M433="",1/0,$M433*$B$4),0)+IF($B$5&gt;0,IF($N433="",1/0,$N433*$B$5),0)+IF($B$6&gt;0,IF($O433="",1/0,$O433*$B$6),0),""))</f>
        <v/>
      </c>
      <c r="Q433" s="17"/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433" s="2"/>
      <c r="XFC433" s="6"/>
    </row>
    <row r="434" s="5" customFormat="true" ht="28.5" hidden="false" customHeight="true" outlineLevel="0" collapsed="false">
      <c r="A434" s="16" t="str">
        <f aca="false">IF($T434="","",1+COUNTIF($W$15:$W$728,"&lt;"&amp;W434))</f>
        <v/>
      </c>
      <c r="B434" s="16" t="s">
        <v>10</v>
      </c>
      <c r="C434" s="16" t="s">
        <v>1300</v>
      </c>
      <c r="D434" s="20" t="s">
        <v>131</v>
      </c>
      <c r="E434" s="16" t="s">
        <v>44</v>
      </c>
      <c r="F434" s="16" t="s">
        <v>1301</v>
      </c>
      <c r="G434" s="16" t="s">
        <v>1302</v>
      </c>
      <c r="H434" s="17" t="n">
        <v>1858</v>
      </c>
      <c r="I434" s="17"/>
      <c r="J434" s="17"/>
      <c r="K434" s="17" t="n">
        <v>1897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1858</v>
      </c>
      <c r="N434" s="17" t="str">
        <f aca="false">IF($I434="","",$I434+$L434)</f>
        <v/>
      </c>
      <c r="O434" s="17" t="n">
        <f aca="false">IF($K434="","",$K434+$L434)</f>
        <v>1897</v>
      </c>
      <c r="P434" s="17" t="str">
        <f aca="false">IF($B$10=0,"",IFERROR(IF($B$4&gt;0,IF($M434="",1/0,$M434*$B$4),0)+IF($B$5&gt;0,IF($N434="",1/0,$N434*$B$5),0)+IF($B$6&gt;0,IF($O434="",1/0,$O434*$B$6),0),""))</f>
        <v/>
      </c>
      <c r="Q434" s="17"/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434" s="2"/>
      <c r="XFC434" s="6"/>
    </row>
    <row r="435" s="5" customFormat="true" ht="28.5" hidden="false" customHeight="true" outlineLevel="0" collapsed="false">
      <c r="A435" s="16" t="str">
        <f aca="false">IF($T435="","",1+COUNTIF($W$15:$W$728,"&lt;"&amp;W435))</f>
        <v/>
      </c>
      <c r="B435" s="16" t="s">
        <v>6</v>
      </c>
      <c r="C435" s="16" t="s">
        <v>1303</v>
      </c>
      <c r="D435" s="16" t="s">
        <v>43</v>
      </c>
      <c r="E435" s="16" t="s">
        <v>44</v>
      </c>
      <c r="F435" s="16" t="s">
        <v>1304</v>
      </c>
      <c r="G435" s="16" t="s">
        <v>1305</v>
      </c>
      <c r="H435" s="17" t="n">
        <v>1899</v>
      </c>
      <c r="I435" s="17"/>
      <c r="J435" s="17"/>
      <c r="K435" s="17" t="n">
        <v>1939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1899</v>
      </c>
      <c r="N435" s="17" t="str">
        <f aca="false">IF($I435="","",$I435+$L435)</f>
        <v/>
      </c>
      <c r="O435" s="17" t="n">
        <f aca="false">IF($K435="","",$K435+$L435)</f>
        <v>1939</v>
      </c>
      <c r="P435" s="17" t="str">
        <f aca="false">IF($B$10=0,"",IFERROR(IF($B$4&gt;0,IF($M435="",1/0,$M435*$B$4),0)+IF($B$5&gt;0,IF($N435="",1/0,$N435*$B$5),0)+IF($B$6&gt;0,IF($O435="",1/0,$O435*$B$6),0),""))</f>
        <v/>
      </c>
      <c r="Q435" s="17" t="s">
        <v>44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435" s="2"/>
      <c r="XFC435" s="6"/>
    </row>
    <row r="436" s="5" customFormat="true" ht="28.5" hidden="false" customHeight="true" outlineLevel="0" collapsed="false">
      <c r="A436" s="16" t="str">
        <f aca="false">IF($T436="","",1+COUNTIF($W$15:$W$728,"&lt;"&amp;W436))</f>
        <v/>
      </c>
      <c r="B436" s="16" t="s">
        <v>12</v>
      </c>
      <c r="C436" s="16" t="s">
        <v>1306</v>
      </c>
      <c r="D436" s="20" t="s">
        <v>303</v>
      </c>
      <c r="E436" s="16" t="s">
        <v>44</v>
      </c>
      <c r="F436" s="16" t="s">
        <v>1307</v>
      </c>
      <c r="G436" s="16" t="s">
        <v>1308</v>
      </c>
      <c r="H436" s="17" t="n">
        <v>2019</v>
      </c>
      <c r="I436" s="17"/>
      <c r="J436" s="17"/>
      <c r="K436" s="17" t="n">
        <v>2098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2019</v>
      </c>
      <c r="N436" s="17" t="str">
        <f aca="false">IF($I436="","",$I436+$L436)</f>
        <v/>
      </c>
      <c r="O436" s="17" t="n">
        <f aca="false">IF($K436="","",$K436+$L436)</f>
        <v>2098</v>
      </c>
      <c r="P436" s="17" t="str">
        <f aca="false">IF($B$10=0,"",IFERROR(IF($B$4&gt;0,IF($M436="",1/0,$M436*$B$4),0)+IF($B$5&gt;0,IF($N436="",1/0,$N436*$B$5),0)+IF($B$6&gt;0,IF($O436="",1/0,$O436*$B$6),0),""))</f>
        <v/>
      </c>
      <c r="Q436" s="17"/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436" s="2"/>
      <c r="XFC436" s="6"/>
    </row>
    <row r="437" s="5" customFormat="true" ht="28.5" hidden="false" customHeight="true" outlineLevel="0" collapsed="false">
      <c r="A437" s="16" t="str">
        <f aca="false">IF($T437="","",1+COUNTIF($W$15:$W$728,"&lt;"&amp;W437))</f>
        <v/>
      </c>
      <c r="B437" s="16" t="s">
        <v>12</v>
      </c>
      <c r="C437" s="16" t="s">
        <v>1309</v>
      </c>
      <c r="D437" s="20" t="s">
        <v>141</v>
      </c>
      <c r="E437" s="16" t="s">
        <v>44</v>
      </c>
      <c r="F437" s="16" t="s">
        <v>1310</v>
      </c>
      <c r="G437" s="16" t="s">
        <v>1311</v>
      </c>
      <c r="H437" s="17" t="n">
        <v>1955</v>
      </c>
      <c r="I437" s="17"/>
      <c r="J437" s="17"/>
      <c r="K437" s="17" t="n">
        <v>1955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1955</v>
      </c>
      <c r="N437" s="17" t="str">
        <f aca="false">IF($I437="","",$I437+$L437)</f>
        <v/>
      </c>
      <c r="O437" s="17" t="n">
        <f aca="false">IF($K437="","",$K437+$L437)</f>
        <v>1955</v>
      </c>
      <c r="P437" s="17" t="str">
        <f aca="false">IF($B$10=0,"",IFERROR(IF($B$4&gt;0,IF($M437="",1/0,$M437*$B$4),0)+IF($B$5&gt;0,IF($N437="",1/0,$N437*$B$5),0)+IF($B$6&gt;0,IF($O437="",1/0,$O437*$B$6),0),""))</f>
        <v/>
      </c>
      <c r="Q437" s="17" t="s">
        <v>44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437" s="2"/>
      <c r="XFC437" s="6"/>
    </row>
    <row r="438" s="5" customFormat="true" ht="28.5" hidden="false" customHeight="true" outlineLevel="0" collapsed="false">
      <c r="A438" s="16" t="str">
        <f aca="false">IF($T438="","",1+COUNTIF($W$15:$W$728,"&lt;"&amp;W438))</f>
        <v/>
      </c>
      <c r="B438" s="16" t="s">
        <v>10</v>
      </c>
      <c r="C438" s="16" t="s">
        <v>1312</v>
      </c>
      <c r="D438" s="16" t="s">
        <v>48</v>
      </c>
      <c r="E438" s="16" t="s">
        <v>44</v>
      </c>
      <c r="F438" s="16" t="s">
        <v>1313</v>
      </c>
      <c r="G438" s="16" t="s">
        <v>1314</v>
      </c>
      <c r="H438" s="17" t="n">
        <v>1839</v>
      </c>
      <c r="I438" s="17"/>
      <c r="J438" s="17"/>
      <c r="K438" s="17" t="n">
        <v>1899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1839</v>
      </c>
      <c r="N438" s="17" t="str">
        <f aca="false">IF($I438="","",$I438+$L438)</f>
        <v/>
      </c>
      <c r="O438" s="17" t="n">
        <f aca="false">IF($K438="","",$K438+$L438)</f>
        <v>1899</v>
      </c>
      <c r="P438" s="17" t="str">
        <f aca="false">IF($B$10=0,"",IFERROR(IF($B$4&gt;0,IF($M438="",1/0,$M438*$B$4),0)+IF($B$5&gt;0,IF($N438="",1/0,$N438*$B$5),0)+IF($B$6&gt;0,IF($O438="",1/0,$O438*$B$6),0),""))</f>
        <v/>
      </c>
      <c r="Q438" s="17" t="s">
        <v>44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438" s="2"/>
      <c r="XFC438" s="6"/>
    </row>
    <row r="439" s="5" customFormat="true" ht="28.5" hidden="false" customHeight="true" outlineLevel="0" collapsed="false">
      <c r="A439" s="16" t="str">
        <f aca="false">IF($T439="","",1+COUNTIF($W$15:$W$728,"&lt;"&amp;W439))</f>
        <v/>
      </c>
      <c r="B439" s="16" t="s">
        <v>10</v>
      </c>
      <c r="C439" s="16" t="s">
        <v>1315</v>
      </c>
      <c r="D439" s="16" t="s">
        <v>141</v>
      </c>
      <c r="E439" s="16" t="s">
        <v>58</v>
      </c>
      <c r="F439" s="16" t="s">
        <v>1316</v>
      </c>
      <c r="G439" s="16" t="s">
        <v>1317</v>
      </c>
      <c r="H439" s="17" t="n">
        <v>1799</v>
      </c>
      <c r="I439" s="17"/>
      <c r="J439" s="17"/>
      <c r="K439" s="17" t="n">
        <v>1769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1799</v>
      </c>
      <c r="N439" s="17" t="str">
        <f aca="false">IF($I439="","",$I439+$L439)</f>
        <v/>
      </c>
      <c r="O439" s="17" t="n">
        <f aca="false">IF($K439="","",$K439+$L439)</f>
        <v>1769</v>
      </c>
      <c r="P439" s="17" t="str">
        <f aca="false">IF($B$10=0,"",IFERROR(IF($B$4&gt;0,IF($M439="",1/0,$M439*$B$4),0)+IF($B$5&gt;0,IF($N439="",1/0,$N439*$B$5),0)+IF($B$6&gt;0,IF($O439="",1/0,$O439*$B$6),0),""))</f>
        <v/>
      </c>
      <c r="Q439" s="17"/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439" s="2"/>
      <c r="XFC439" s="6"/>
    </row>
    <row r="440" s="5" customFormat="true" ht="28.5" hidden="false" customHeight="true" outlineLevel="0" collapsed="false">
      <c r="A440" s="16" t="str">
        <f aca="false">IF($T440="","",1+COUNTIF($W$15:$W$728,"&lt;"&amp;W440))</f>
        <v/>
      </c>
      <c r="B440" s="16" t="s">
        <v>8</v>
      </c>
      <c r="C440" s="16" t="s">
        <v>1318</v>
      </c>
      <c r="D440" s="16" t="s">
        <v>574</v>
      </c>
      <c r="E440" s="16" t="s">
        <v>44</v>
      </c>
      <c r="F440" s="16" t="s">
        <v>1319</v>
      </c>
      <c r="G440" s="16" t="s">
        <v>1320</v>
      </c>
      <c r="H440" s="17" t="n">
        <v>1810</v>
      </c>
      <c r="I440" s="17"/>
      <c r="J440" s="17"/>
      <c r="K440" s="17" t="n">
        <v>1790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1810</v>
      </c>
      <c r="N440" s="17" t="str">
        <f aca="false">IF($I440="","",$I440+$L440)</f>
        <v/>
      </c>
      <c r="O440" s="17" t="n">
        <f aca="false">IF($K440="","",$K440+$L440)</f>
        <v>1790</v>
      </c>
      <c r="P440" s="17" t="str">
        <f aca="false">IF($B$10=0,"",IFERROR(IF($B$4&gt;0,IF($M440="",1/0,$M440*$B$4),0)+IF($B$5&gt;0,IF($N440="",1/0,$N440*$B$5),0)+IF($B$6&gt;0,IF($O440="",1/0,$O440*$B$6),0),""))</f>
        <v/>
      </c>
      <c r="Q440" s="17"/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440" s="2"/>
      <c r="XFC440" s="6"/>
    </row>
    <row r="441" s="5" customFormat="true" ht="28.5" hidden="false" customHeight="true" outlineLevel="0" collapsed="false">
      <c r="A441" s="16" t="str">
        <f aca="false">IF($T441="","",1+COUNTIF($W$15:$W$728,"&lt;"&amp;W441))</f>
        <v/>
      </c>
      <c r="B441" s="16" t="s">
        <v>14</v>
      </c>
      <c r="C441" s="16" t="s">
        <v>1321</v>
      </c>
      <c r="D441" s="16" t="s">
        <v>43</v>
      </c>
      <c r="E441" s="16" t="s">
        <v>44</v>
      </c>
      <c r="F441" s="16" t="s">
        <v>1322</v>
      </c>
      <c r="G441" s="16" t="s">
        <v>1323</v>
      </c>
      <c r="H441" s="17" t="n">
        <v>1890</v>
      </c>
      <c r="I441" s="17"/>
      <c r="J441" s="17"/>
      <c r="K441" s="17" t="n">
        <v>1890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1890</v>
      </c>
      <c r="N441" s="17" t="str">
        <f aca="false">IF($I441="","",$I441+$L441)</f>
        <v/>
      </c>
      <c r="O441" s="17" t="n">
        <f aca="false">IF($K441="","",$K441+$L441)</f>
        <v>1890</v>
      </c>
      <c r="P441" s="17" t="str">
        <f aca="false">IF($B$10=0,"",IFERROR(IF($B$4&gt;0,IF($M441="",1/0,$M441*$B$4),0)+IF($B$5&gt;0,IF($N441="",1/0,$N441*$B$5),0)+IF($B$6&gt;0,IF($O441="",1/0,$O441*$B$6),0),""))</f>
        <v/>
      </c>
      <c r="Q441" s="16" t="s">
        <v>44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441" s="2"/>
      <c r="XFC441" s="6"/>
    </row>
    <row r="442" s="5" customFormat="true" ht="28.5" hidden="false" customHeight="true" outlineLevel="0" collapsed="false">
      <c r="A442" s="16" t="str">
        <f aca="false">IF($T442="","",1+COUNTIF($W$15:$W$728,"&lt;"&amp;W442))</f>
        <v/>
      </c>
      <c r="B442" s="16" t="s">
        <v>12</v>
      </c>
      <c r="C442" s="16" t="s">
        <v>1324</v>
      </c>
      <c r="D442" s="20" t="s">
        <v>141</v>
      </c>
      <c r="E442" s="16" t="s">
        <v>44</v>
      </c>
      <c r="F442" s="16" t="s">
        <v>1325</v>
      </c>
      <c r="G442" s="16" t="s">
        <v>1326</v>
      </c>
      <c r="H442" s="17" t="n">
        <v>1905</v>
      </c>
      <c r="I442" s="17"/>
      <c r="J442" s="17"/>
      <c r="K442" s="17" t="n">
        <v>1980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1905</v>
      </c>
      <c r="N442" s="17" t="str">
        <f aca="false">IF($I442="","",$I442+$L442)</f>
        <v/>
      </c>
      <c r="O442" s="17" t="n">
        <f aca="false">IF($K442="","",$K442+$L442)</f>
        <v>1980</v>
      </c>
      <c r="P442" s="17" t="str">
        <f aca="false">IF($B$10=0,"",IFERROR(IF($B$4&gt;0,IF($M442="",1/0,$M442*$B$4),0)+IF($B$5&gt;0,IF($N442="",1/0,$N442*$B$5),0)+IF($B$6&gt;0,IF($O442="",1/0,$O442*$B$6),0),""))</f>
        <v/>
      </c>
      <c r="Q442" s="17"/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442" s="2"/>
      <c r="XFC442" s="6"/>
    </row>
    <row r="443" s="5" customFormat="true" ht="28.5" hidden="false" customHeight="true" outlineLevel="0" collapsed="false">
      <c r="A443" s="16" t="str">
        <f aca="false">IF($T443="","",1+COUNTIF($W$15:$W$728,"&lt;"&amp;W443))</f>
        <v/>
      </c>
      <c r="B443" s="16" t="s">
        <v>6</v>
      </c>
      <c r="C443" s="16" t="s">
        <v>1327</v>
      </c>
      <c r="D443" s="16" t="s">
        <v>581</v>
      </c>
      <c r="E443" s="16" t="s">
        <v>58</v>
      </c>
      <c r="F443" s="16" t="s">
        <v>1328</v>
      </c>
      <c r="G443" s="16" t="s">
        <v>1329</v>
      </c>
      <c r="H443" s="17" t="n">
        <v>1898</v>
      </c>
      <c r="I443" s="17"/>
      <c r="J443" s="17"/>
      <c r="K443" s="17" t="n">
        <v>1897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1898</v>
      </c>
      <c r="N443" s="17" t="str">
        <f aca="false">IF($I443="","",$I443+$L443)</f>
        <v/>
      </c>
      <c r="O443" s="17" t="n">
        <f aca="false">IF($K443="","",$K443+$L443)</f>
        <v>1897</v>
      </c>
      <c r="P443" s="17" t="str">
        <f aca="false">IF($B$10=0,"",IFERROR(IF($B$4&gt;0,IF($M443="",1/0,$M443*$B$4),0)+IF($B$5&gt;0,IF($N443="",1/0,$N443*$B$5),0)+IF($B$6&gt;0,IF($O443="",1/0,$O443*$B$6),0),""))</f>
        <v/>
      </c>
      <c r="Q443" s="17" t="s">
        <v>44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443" s="2"/>
      <c r="XFC443" s="6"/>
    </row>
    <row r="444" s="5" customFormat="true" ht="28.5" hidden="false" customHeight="true" outlineLevel="0" collapsed="false">
      <c r="A444" s="16" t="str">
        <f aca="false">IF($T444="","",1+COUNTIF($W$15:$W$728,"&lt;"&amp;W444))</f>
        <v/>
      </c>
      <c r="B444" s="16" t="s">
        <v>14</v>
      </c>
      <c r="C444" s="16" t="s">
        <v>777</v>
      </c>
      <c r="D444" s="16" t="s">
        <v>141</v>
      </c>
      <c r="E444" s="16" t="s">
        <v>44</v>
      </c>
      <c r="F444" s="16" t="s">
        <v>1330</v>
      </c>
      <c r="G444" s="16" t="s">
        <v>1331</v>
      </c>
      <c r="H444" s="17" t="n">
        <v>1952</v>
      </c>
      <c r="I444" s="17"/>
      <c r="J444" s="17"/>
      <c r="K444" s="17" t="n">
        <v>2010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1952</v>
      </c>
      <c r="N444" s="17" t="str">
        <f aca="false">IF($I444="","",$I444+$L444)</f>
        <v/>
      </c>
      <c r="O444" s="17" t="n">
        <f aca="false">IF($K444="","",$K444+$L444)</f>
        <v>2010</v>
      </c>
      <c r="P444" s="17" t="str">
        <f aca="false">IF($B$10=0,"",IFERROR(IF($B$4&gt;0,IF($M444="",1/0,$M444*$B$4),0)+IF($B$5&gt;0,IF($N444="",1/0,$N444*$B$5),0)+IF($B$6&gt;0,IF($O444="",1/0,$O444*$B$6),0),""))</f>
        <v/>
      </c>
      <c r="Q444" s="17"/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444" s="2"/>
      <c r="XFC444" s="6"/>
    </row>
    <row r="445" s="5" customFormat="true" ht="28.5" hidden="false" customHeight="true" outlineLevel="0" collapsed="false">
      <c r="A445" s="16" t="str">
        <f aca="false">IF($T445="","",1+COUNTIF($W$15:$W$728,"&lt;"&amp;W445))</f>
        <v/>
      </c>
      <c r="B445" s="16" t="s">
        <v>6</v>
      </c>
      <c r="C445" s="16" t="s">
        <v>1332</v>
      </c>
      <c r="D445" s="16" t="s">
        <v>281</v>
      </c>
      <c r="E445" s="16" t="s">
        <v>44</v>
      </c>
      <c r="F445" s="16" t="s">
        <v>1333</v>
      </c>
      <c r="G445" s="16" t="s">
        <v>1334</v>
      </c>
      <c r="H445" s="17" t="n">
        <v>1885</v>
      </c>
      <c r="I445" s="17"/>
      <c r="J445" s="17"/>
      <c r="K445" s="17" t="n">
        <v>1885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1885</v>
      </c>
      <c r="N445" s="17" t="str">
        <f aca="false">IF($I445="","",$I445+$L445)</f>
        <v/>
      </c>
      <c r="O445" s="17" t="n">
        <f aca="false">IF($K445="","",$K445+$L445)</f>
        <v>1885</v>
      </c>
      <c r="P445" s="17" t="str">
        <f aca="false">IF($B$10=0,"",IFERROR(IF($B$4&gt;0,IF($M445="",1/0,$M445*$B$4),0)+IF($B$5&gt;0,IF($N445="",1/0,$N445*$B$5),0)+IF($B$6&gt;0,IF($O445="",1/0,$O445*$B$6),0),""))</f>
        <v/>
      </c>
      <c r="Q445" s="17" t="s">
        <v>44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445" s="2"/>
      <c r="XFC445" s="6"/>
    </row>
    <row r="446" s="5" customFormat="true" ht="28.5" hidden="false" customHeight="true" outlineLevel="0" collapsed="false">
      <c r="A446" s="16" t="str">
        <f aca="false">IF($T446="","",1+COUNTIF($W$15:$W$728,"&lt;"&amp;W446))</f>
        <v/>
      </c>
      <c r="B446" s="16" t="s">
        <v>6</v>
      </c>
      <c r="C446" s="16" t="s">
        <v>1335</v>
      </c>
      <c r="D446" s="16" t="s">
        <v>141</v>
      </c>
      <c r="E446" s="16" t="s">
        <v>44</v>
      </c>
      <c r="F446" s="16" t="s">
        <v>1336</v>
      </c>
      <c r="G446" s="16" t="s">
        <v>1337</v>
      </c>
      <c r="H446" s="17" t="n">
        <v>1899</v>
      </c>
      <c r="I446" s="17"/>
      <c r="J446" s="17"/>
      <c r="K446" s="17" t="n">
        <v>1899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1899</v>
      </c>
      <c r="N446" s="17" t="str">
        <f aca="false">IF($I446="","",$I446+$L446)</f>
        <v/>
      </c>
      <c r="O446" s="17" t="n">
        <f aca="false">IF($K446="","",$K446+$L446)</f>
        <v>1899</v>
      </c>
      <c r="P446" s="17" t="str">
        <f aca="false">IF($B$10=0,"",IFERROR(IF($B$4&gt;0,IF($M446="",1/0,$M446*$B$4),0)+IF($B$5&gt;0,IF($N446="",1/0,$N446*$B$5),0)+IF($B$6&gt;0,IF($O446="",1/0,$O446*$B$6),0),""))</f>
        <v/>
      </c>
      <c r="Q446" s="17" t="s">
        <v>44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446" s="2"/>
      <c r="XFC446" s="6"/>
    </row>
    <row r="447" s="5" customFormat="true" ht="28.5" hidden="false" customHeight="true" outlineLevel="0" collapsed="false">
      <c r="A447" s="16" t="str">
        <f aca="false">IF($T447="","",1+COUNTIF($W$15:$W$728,"&lt;"&amp;W447))</f>
        <v/>
      </c>
      <c r="B447" s="16" t="s">
        <v>8</v>
      </c>
      <c r="C447" s="16" t="s">
        <v>1338</v>
      </c>
      <c r="D447" s="16" t="s">
        <v>43</v>
      </c>
      <c r="E447" s="16" t="s">
        <v>44</v>
      </c>
      <c r="F447" s="16" t="s">
        <v>1339</v>
      </c>
      <c r="G447" s="16" t="s">
        <v>1340</v>
      </c>
      <c r="H447" s="17" t="n">
        <v>1958</v>
      </c>
      <c r="I447" s="17"/>
      <c r="J447" s="17"/>
      <c r="K447" s="17" t="n">
        <v>1998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1958</v>
      </c>
      <c r="N447" s="17" t="str">
        <f aca="false">IF($I447="","",$I447+$L447)</f>
        <v/>
      </c>
      <c r="O447" s="17" t="n">
        <f aca="false">IF($K447="","",$K447+$L447)</f>
        <v>1998</v>
      </c>
      <c r="P447" s="17" t="str">
        <f aca="false">IF($B$10=0,"",IFERROR(IF($B$4&gt;0,IF($M447="",1/0,$M447*$B$4),0)+IF($B$5&gt;0,IF($N447="",1/0,$N447*$B$5),0)+IF($B$6&gt;0,IF($O447="",1/0,$O447*$B$6),0),""))</f>
        <v/>
      </c>
      <c r="Q447" s="17"/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447" s="2"/>
      <c r="XFC447" s="6"/>
    </row>
    <row r="448" s="5" customFormat="true" ht="28.5" hidden="false" customHeight="true" outlineLevel="0" collapsed="false">
      <c r="A448" s="16" t="str">
        <f aca="false">IF($T448="","",1+COUNTIF($W$15:$W$728,"&lt;"&amp;W448))</f>
        <v/>
      </c>
      <c r="B448" s="16" t="s">
        <v>14</v>
      </c>
      <c r="C448" s="16" t="s">
        <v>1341</v>
      </c>
      <c r="D448" s="20" t="s">
        <v>131</v>
      </c>
      <c r="E448" s="16" t="s">
        <v>58</v>
      </c>
      <c r="F448" s="16" t="s">
        <v>1342</v>
      </c>
      <c r="G448" s="16" t="s">
        <v>1343</v>
      </c>
      <c r="H448" s="17" t="n">
        <v>1959</v>
      </c>
      <c r="I448" s="17"/>
      <c r="J448" s="17"/>
      <c r="K448" s="17" t="n">
        <v>1955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1959</v>
      </c>
      <c r="N448" s="17" t="str">
        <f aca="false">IF($I448="","",$I448+$L448)</f>
        <v/>
      </c>
      <c r="O448" s="17" t="n">
        <f aca="false">IF($K448="","",$K448+$L448)</f>
        <v>1955</v>
      </c>
      <c r="P448" s="17" t="str">
        <f aca="false">IF($B$10=0,"",IFERROR(IF($B$4&gt;0,IF($M448="",1/0,$M448*$B$4),0)+IF($B$5&gt;0,IF($N448="",1/0,$N448*$B$5),0)+IF($B$6&gt;0,IF($O448="",1/0,$O448*$B$6),0),""))</f>
        <v/>
      </c>
      <c r="Q448" s="17" t="s">
        <v>44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448" s="2"/>
      <c r="XFC448" s="6"/>
    </row>
    <row r="449" s="5" customFormat="true" ht="28.5" hidden="false" customHeight="true" outlineLevel="0" collapsed="false">
      <c r="A449" s="16" t="str">
        <f aca="false">IF($T449="","",1+COUNTIF($W$15:$W$728,"&lt;"&amp;W449))</f>
        <v/>
      </c>
      <c r="B449" s="16" t="s">
        <v>14</v>
      </c>
      <c r="C449" s="16" t="s">
        <v>1344</v>
      </c>
      <c r="D449" s="16" t="s">
        <v>581</v>
      </c>
      <c r="E449" s="16" t="s">
        <v>44</v>
      </c>
      <c r="F449" s="16" t="s">
        <v>1345</v>
      </c>
      <c r="G449" s="16" t="s">
        <v>1346</v>
      </c>
      <c r="H449" s="17" t="n">
        <v>1895</v>
      </c>
      <c r="I449" s="17"/>
      <c r="J449" s="17"/>
      <c r="K449" s="17" t="n">
        <v>1935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1895</v>
      </c>
      <c r="N449" s="17" t="str">
        <f aca="false">IF($I449="","",$I449+$L449)</f>
        <v/>
      </c>
      <c r="O449" s="17" t="n">
        <f aca="false">IF($K449="","",$K449+$L449)</f>
        <v>1935</v>
      </c>
      <c r="P449" s="17" t="str">
        <f aca="false">IF($B$10=0,"",IFERROR(IF($B$4&gt;0,IF($M449="",1/0,$M449*$B$4),0)+IF($B$5&gt;0,IF($N449="",1/0,$N449*$B$5),0)+IF($B$6&gt;0,IF($O449="",1/0,$O449*$B$6),0),""))</f>
        <v/>
      </c>
      <c r="Q449" s="17" t="s">
        <v>44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449" s="2"/>
      <c r="XFC449" s="6"/>
    </row>
    <row r="450" s="5" customFormat="true" ht="28.5" hidden="false" customHeight="true" outlineLevel="0" collapsed="false">
      <c r="A450" s="16" t="str">
        <f aca="false">IF($T450="","",1+COUNTIF($W$15:$W$728,"&lt;"&amp;W450))</f>
        <v/>
      </c>
      <c r="B450" s="16" t="s">
        <v>12</v>
      </c>
      <c r="C450" s="16" t="s">
        <v>1347</v>
      </c>
      <c r="D450" s="20" t="s">
        <v>303</v>
      </c>
      <c r="E450" s="16" t="s">
        <v>44</v>
      </c>
      <c r="F450" s="16" t="s">
        <v>1348</v>
      </c>
      <c r="G450" s="16" t="s">
        <v>1349</v>
      </c>
      <c r="H450" s="17" t="n">
        <v>1935</v>
      </c>
      <c r="I450" s="17"/>
      <c r="J450" s="17"/>
      <c r="K450" s="17" t="n">
        <v>1935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1935</v>
      </c>
      <c r="N450" s="17" t="str">
        <f aca="false">IF($I450="","",$I450+$L450)</f>
        <v/>
      </c>
      <c r="O450" s="17" t="n">
        <f aca="false">IF($K450="","",$K450+$L450)</f>
        <v>1935</v>
      </c>
      <c r="P450" s="17" t="str">
        <f aca="false">IF($B$10=0,"",IFERROR(IF($B$4&gt;0,IF($M450="",1/0,$M450*$B$4),0)+IF($B$5&gt;0,IF($N450="",1/0,$N450*$B$5),0)+IF($B$6&gt;0,IF($O450="",1/0,$O450*$B$6),0),""))</f>
        <v/>
      </c>
      <c r="Q450" s="17"/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450" s="2"/>
      <c r="XFC450" s="6"/>
    </row>
    <row r="451" s="5" customFormat="true" ht="28.5" hidden="false" customHeight="true" outlineLevel="0" collapsed="false">
      <c r="A451" s="16" t="str">
        <f aca="false">IF($T451="","",1+COUNTIF($W$15:$W$728,"&lt;"&amp;W451))</f>
        <v/>
      </c>
      <c r="B451" s="16" t="s">
        <v>6</v>
      </c>
      <c r="C451" s="16" t="s">
        <v>1350</v>
      </c>
      <c r="D451" s="20" t="s">
        <v>131</v>
      </c>
      <c r="E451" s="16" t="s">
        <v>44</v>
      </c>
      <c r="F451" s="16" t="s">
        <v>1351</v>
      </c>
      <c r="G451" s="16" t="s">
        <v>1352</v>
      </c>
      <c r="H451" s="17" t="n">
        <v>1865</v>
      </c>
      <c r="I451" s="17"/>
      <c r="J451" s="17"/>
      <c r="K451" s="17" t="n">
        <v>1999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1865</v>
      </c>
      <c r="N451" s="17" t="str">
        <f aca="false">IF($I451="","",$I451+$L451)</f>
        <v/>
      </c>
      <c r="O451" s="17" t="n">
        <f aca="false">IF($K451="","",$K451+$L451)</f>
        <v>1999</v>
      </c>
      <c r="P451" s="17" t="str">
        <f aca="false">IF($B$10=0,"",IFERROR(IF($B$4&gt;0,IF($M451="",1/0,$M451*$B$4),0)+IF($B$5&gt;0,IF($N451="",1/0,$N451*$B$5),0)+IF($B$6&gt;0,IF($O451="",1/0,$O451*$B$6),0),""))</f>
        <v/>
      </c>
      <c r="Q451" s="17" t="s">
        <v>44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451" s="2"/>
      <c r="XFC451" s="6"/>
    </row>
    <row r="452" s="5" customFormat="true" ht="28.5" hidden="false" customHeight="true" outlineLevel="0" collapsed="false">
      <c r="A452" s="16" t="str">
        <f aca="false">IF($T452="","",1+COUNTIF($W$15:$W$728,"&lt;"&amp;W452))</f>
        <v/>
      </c>
      <c r="B452" s="16" t="s">
        <v>6</v>
      </c>
      <c r="C452" s="16" t="s">
        <v>1353</v>
      </c>
      <c r="D452" s="16" t="s">
        <v>43</v>
      </c>
      <c r="E452" s="16" t="s">
        <v>44</v>
      </c>
      <c r="F452" s="16" t="s">
        <v>1354</v>
      </c>
      <c r="G452" s="16" t="s">
        <v>1355</v>
      </c>
      <c r="H452" s="17" t="n">
        <v>1935</v>
      </c>
      <c r="I452" s="17"/>
      <c r="J452" s="17"/>
      <c r="K452" s="17" t="n">
        <v>1965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1935</v>
      </c>
      <c r="N452" s="17" t="str">
        <f aca="false">IF($I452="","",$I452+$L452)</f>
        <v/>
      </c>
      <c r="O452" s="17" t="n">
        <f aca="false">IF($K452="","",$K452+$L452)</f>
        <v>1965</v>
      </c>
      <c r="P452" s="17" t="str">
        <f aca="false">IF($B$10=0,"",IFERROR(IF($B$4&gt;0,IF($M452="",1/0,$M452*$B$4),0)+IF($B$5&gt;0,IF($N452="",1/0,$N452*$B$5),0)+IF($B$6&gt;0,IF($O452="",1/0,$O452*$B$6),0),""))</f>
        <v/>
      </c>
      <c r="Q452" s="17" t="s">
        <v>44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452" s="2"/>
      <c r="XFC452" s="6"/>
    </row>
    <row r="453" s="5" customFormat="true" ht="28.5" hidden="false" customHeight="true" outlineLevel="0" collapsed="false">
      <c r="A453" s="16" t="str">
        <f aca="false">IF($T453="","",1+COUNTIF($W$15:$W$728,"&lt;"&amp;W453))</f>
        <v/>
      </c>
      <c r="B453" s="16" t="s">
        <v>6</v>
      </c>
      <c r="C453" s="16" t="s">
        <v>1356</v>
      </c>
      <c r="D453" s="16" t="s">
        <v>43</v>
      </c>
      <c r="E453" s="16" t="s">
        <v>44</v>
      </c>
      <c r="F453" s="16" t="s">
        <v>1357</v>
      </c>
      <c r="G453" s="16" t="s">
        <v>1358</v>
      </c>
      <c r="H453" s="17" t="n">
        <v>1955</v>
      </c>
      <c r="I453" s="17"/>
      <c r="J453" s="17"/>
      <c r="K453" s="17" t="n">
        <v>2035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1955</v>
      </c>
      <c r="N453" s="17" t="str">
        <f aca="false">IF($I453="","",$I453+$L453)</f>
        <v/>
      </c>
      <c r="O453" s="17" t="n">
        <f aca="false">IF($K453="","",$K453+$L453)</f>
        <v>2035</v>
      </c>
      <c r="P453" s="17" t="str">
        <f aca="false">IF($B$10=0,"",IFERROR(IF($B$4&gt;0,IF($M453="",1/0,$M453*$B$4),0)+IF($B$5&gt;0,IF($N453="",1/0,$N453*$B$5),0)+IF($B$6&gt;0,IF($O453="",1/0,$O453*$B$6),0),""))</f>
        <v/>
      </c>
      <c r="Q453" s="17" t="s">
        <v>44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453" s="2"/>
      <c r="XFC453" s="6"/>
    </row>
    <row r="454" s="5" customFormat="true" ht="28.5" hidden="false" customHeight="true" outlineLevel="0" collapsed="false">
      <c r="A454" s="16" t="str">
        <f aca="false">IF($T454="","",1+COUNTIF($W$15:$W$728,"&lt;"&amp;W454))</f>
        <v/>
      </c>
      <c r="B454" s="16" t="s">
        <v>6</v>
      </c>
      <c r="C454" s="16" t="s">
        <v>1359</v>
      </c>
      <c r="D454" s="20" t="s">
        <v>131</v>
      </c>
      <c r="E454" s="16" t="s">
        <v>44</v>
      </c>
      <c r="F454" s="16" t="s">
        <v>1360</v>
      </c>
      <c r="G454" s="16" t="s">
        <v>1361</v>
      </c>
      <c r="H454" s="17" t="n">
        <v>1945</v>
      </c>
      <c r="I454" s="17"/>
      <c r="J454" s="17"/>
      <c r="K454" s="17" t="n">
        <v>1985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1945</v>
      </c>
      <c r="N454" s="17" t="str">
        <f aca="false">IF($I454="","",$I454+$L454)</f>
        <v/>
      </c>
      <c r="O454" s="17" t="n">
        <f aca="false">IF($K454="","",$K454+$L454)</f>
        <v>1985</v>
      </c>
      <c r="P454" s="17" t="str">
        <f aca="false">IF($B$10=0,"",IFERROR(IF($B$4&gt;0,IF($M454="",1/0,$M454*$B$4),0)+IF($B$5&gt;0,IF($N454="",1/0,$N454*$B$5),0)+IF($B$6&gt;0,IF($O454="",1/0,$O454*$B$6),0),""))</f>
        <v/>
      </c>
      <c r="Q454" s="17" t="s">
        <v>44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454" s="2"/>
      <c r="XFC454" s="6"/>
    </row>
    <row r="455" s="5" customFormat="true" ht="28.5" hidden="false" customHeight="true" outlineLevel="0" collapsed="false">
      <c r="A455" s="16" t="str">
        <f aca="false">IF($T455="","",1+COUNTIF($W$15:$W$728,"&lt;"&amp;W455))</f>
        <v/>
      </c>
      <c r="B455" s="16" t="s">
        <v>8</v>
      </c>
      <c r="C455" s="16" t="s">
        <v>1362</v>
      </c>
      <c r="D455" s="16" t="s">
        <v>574</v>
      </c>
      <c r="E455" s="16" t="s">
        <v>44</v>
      </c>
      <c r="F455" s="16" t="s">
        <v>1363</v>
      </c>
      <c r="G455" s="16" t="s">
        <v>1364</v>
      </c>
      <c r="H455" s="17" t="n">
        <v>1840</v>
      </c>
      <c r="I455" s="17"/>
      <c r="J455" s="17"/>
      <c r="K455" s="17" t="n">
        <v>1890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1840</v>
      </c>
      <c r="N455" s="17" t="str">
        <f aca="false">IF($I455="","",$I455+$L455)</f>
        <v/>
      </c>
      <c r="O455" s="17" t="n">
        <f aca="false">IF($K455="","",$K455+$L455)</f>
        <v>1890</v>
      </c>
      <c r="P455" s="17" t="str">
        <f aca="false">IF($B$10=0,"",IFERROR(IF($B$4&gt;0,IF($M455="",1/0,$M455*$B$4),0)+IF($B$5&gt;0,IF($N455="",1/0,$N455*$B$5),0)+IF($B$6&gt;0,IF($O455="",1/0,$O455*$B$6),0),""))</f>
        <v/>
      </c>
      <c r="Q455" s="17"/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455" s="2"/>
      <c r="XFC455" s="6"/>
    </row>
    <row r="456" s="5" customFormat="true" ht="28.5" hidden="false" customHeight="true" outlineLevel="0" collapsed="false">
      <c r="A456" s="16" t="str">
        <f aca="false">IF($T456="","",1+COUNTIF($W$15:$W$728,"&lt;"&amp;W456))</f>
        <v/>
      </c>
      <c r="B456" s="16" t="s">
        <v>6</v>
      </c>
      <c r="C456" s="16" t="s">
        <v>1365</v>
      </c>
      <c r="D456" s="16" t="s">
        <v>141</v>
      </c>
      <c r="E456" s="16" t="s">
        <v>44</v>
      </c>
      <c r="F456" s="16" t="s">
        <v>1366</v>
      </c>
      <c r="G456" s="16" t="s">
        <v>1367</v>
      </c>
      <c r="H456" s="17" t="n">
        <v>1905</v>
      </c>
      <c r="I456" s="17"/>
      <c r="J456" s="17"/>
      <c r="K456" s="17" t="n">
        <v>1965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1905</v>
      </c>
      <c r="N456" s="17" t="str">
        <f aca="false">IF($I456="","",$I456+$L456)</f>
        <v/>
      </c>
      <c r="O456" s="17" t="n">
        <f aca="false">IF($K456="","",$K456+$L456)</f>
        <v>1965</v>
      </c>
      <c r="P456" s="17" t="str">
        <f aca="false">IF($B$10=0,"",IFERROR(IF($B$4&gt;0,IF($M456="",1/0,$M456*$B$4),0)+IF($B$5&gt;0,IF($N456="",1/0,$N456*$B$5),0)+IF($B$6&gt;0,IF($O456="",1/0,$O456*$B$6),0),""))</f>
        <v/>
      </c>
      <c r="Q456" s="17" t="s">
        <v>44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456" s="2"/>
      <c r="XFC456" s="6"/>
    </row>
    <row r="457" s="5" customFormat="true" ht="28.5" hidden="false" customHeight="true" outlineLevel="0" collapsed="false">
      <c r="A457" s="16" t="str">
        <f aca="false">IF($T457="","",1+COUNTIF($W$15:$W$728,"&lt;"&amp;W457))</f>
        <v/>
      </c>
      <c r="B457" s="16" t="s">
        <v>12</v>
      </c>
      <c r="C457" s="16" t="s">
        <v>1368</v>
      </c>
      <c r="D457" s="20" t="s">
        <v>303</v>
      </c>
      <c r="E457" s="16" t="s">
        <v>44</v>
      </c>
      <c r="F457" s="16" t="s">
        <v>1369</v>
      </c>
      <c r="G457" s="16" t="s">
        <v>1370</v>
      </c>
      <c r="H457" s="17" t="n">
        <v>1865</v>
      </c>
      <c r="I457" s="17"/>
      <c r="J457" s="17"/>
      <c r="K457" s="17" t="n">
        <v>1899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1865</v>
      </c>
      <c r="N457" s="17" t="str">
        <f aca="false">IF($I457="","",$I457+$L457)</f>
        <v/>
      </c>
      <c r="O457" s="17" t="n">
        <f aca="false">IF($K457="","",$K457+$L457)</f>
        <v>1899</v>
      </c>
      <c r="P457" s="17" t="str">
        <f aca="false">IF($B$10=0,"",IFERROR(IF($B$4&gt;0,IF($M457="",1/0,$M457*$B$4),0)+IF($B$5&gt;0,IF($N457="",1/0,$N457*$B$5),0)+IF($B$6&gt;0,IF($O457="",1/0,$O457*$B$6),0),""))</f>
        <v/>
      </c>
      <c r="Q457" s="17"/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457" s="2"/>
      <c r="XFC457" s="6"/>
    </row>
    <row r="458" s="5" customFormat="true" ht="28.5" hidden="false" customHeight="true" outlineLevel="0" collapsed="false">
      <c r="A458" s="16" t="str">
        <f aca="false">IF($T458="","",1+COUNTIF($W$15:$W$728,"&lt;"&amp;W458))</f>
        <v/>
      </c>
      <c r="B458" s="16" t="s">
        <v>12</v>
      </c>
      <c r="C458" s="16" t="s">
        <v>1371</v>
      </c>
      <c r="D458" s="20" t="s">
        <v>208</v>
      </c>
      <c r="E458" s="16" t="s">
        <v>44</v>
      </c>
      <c r="F458" s="16" t="s">
        <v>1372</v>
      </c>
      <c r="G458" s="16" t="s">
        <v>1373</v>
      </c>
      <c r="H458" s="17" t="n">
        <v>1982</v>
      </c>
      <c r="I458" s="17"/>
      <c r="J458" s="17"/>
      <c r="K458" s="17" t="n">
        <v>1983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1982</v>
      </c>
      <c r="N458" s="17" t="str">
        <f aca="false">IF($I458="","",$I458+$L458)</f>
        <v/>
      </c>
      <c r="O458" s="17" t="n">
        <f aca="false">IF($K458="","",$K458+$L458)</f>
        <v>1983</v>
      </c>
      <c r="P458" s="17" t="str">
        <f aca="false">IF($B$10=0,"",IFERROR(IF($B$4&gt;0,IF($M458="",1/0,$M458*$B$4),0)+IF($B$5&gt;0,IF($N458="",1/0,$N458*$B$5),0)+IF($B$6&gt;0,IF($O458="",1/0,$O458*$B$6),0),""))</f>
        <v/>
      </c>
      <c r="Q458" s="17" t="s">
        <v>44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458" s="2"/>
      <c r="XFC458" s="6"/>
    </row>
    <row r="459" s="5" customFormat="true" ht="28.5" hidden="false" customHeight="true" outlineLevel="0" collapsed="false">
      <c r="A459" s="16" t="str">
        <f aca="false">IF($T459="","",1+COUNTIF($W$15:$W$728,"&lt;"&amp;W459))</f>
        <v/>
      </c>
      <c r="B459" s="16" t="s">
        <v>10</v>
      </c>
      <c r="C459" s="16" t="s">
        <v>1374</v>
      </c>
      <c r="D459" s="20" t="s">
        <v>131</v>
      </c>
      <c r="E459" s="16" t="s">
        <v>44</v>
      </c>
      <c r="F459" s="16" t="s">
        <v>1375</v>
      </c>
      <c r="G459" s="16" t="s">
        <v>1376</v>
      </c>
      <c r="H459" s="17" t="n">
        <v>1873</v>
      </c>
      <c r="I459" s="17"/>
      <c r="J459" s="17"/>
      <c r="K459" s="17" t="n">
        <v>1867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1873</v>
      </c>
      <c r="N459" s="17" t="str">
        <f aca="false">IF($I459="","",$I459+$L459)</f>
        <v/>
      </c>
      <c r="O459" s="17" t="n">
        <f aca="false">IF($K459="","",$K459+$L459)</f>
        <v>1867</v>
      </c>
      <c r="P459" s="17" t="str">
        <f aca="false">IF($B$10=0,"",IFERROR(IF($B$4&gt;0,IF($M459="",1/0,$M459*$B$4),0)+IF($B$5&gt;0,IF($N459="",1/0,$N459*$B$5),0)+IF($B$6&gt;0,IF($O459="",1/0,$O459*$B$6),0),""))</f>
        <v/>
      </c>
      <c r="Q459" s="17" t="s">
        <v>44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459" s="2"/>
      <c r="XFC459" s="6"/>
    </row>
    <row r="460" s="5" customFormat="true" ht="28.5" hidden="false" customHeight="true" outlineLevel="0" collapsed="false">
      <c r="A460" s="16" t="str">
        <f aca="false">IF($T460="","",1+COUNTIF($W$15:$W$728,"&lt;"&amp;W460))</f>
        <v/>
      </c>
      <c r="B460" s="16" t="s">
        <v>14</v>
      </c>
      <c r="C460" s="16" t="s">
        <v>1377</v>
      </c>
      <c r="D460" s="16" t="s">
        <v>48</v>
      </c>
      <c r="E460" s="16" t="s">
        <v>58</v>
      </c>
      <c r="F460" s="16" t="s">
        <v>1378</v>
      </c>
      <c r="G460" s="16" t="s">
        <v>1379</v>
      </c>
      <c r="H460" s="17" t="n">
        <v>1987</v>
      </c>
      <c r="I460" s="17"/>
      <c r="J460" s="17"/>
      <c r="K460" s="17" t="n">
        <v>1987</v>
      </c>
      <c r="L460" s="17" t="n">
        <f aca="false">IF(AND(IFERROR(SEARCH("현대오일뱅크",$C460),0)&gt;0,IFERROR(SEARCH("직영",$C460),0)&gt;0),$B$13,0)</f>
        <v>0</v>
      </c>
      <c r="M460" s="17" t="n">
        <f aca="false">IF($H460="","",$H460+$L460)</f>
        <v>1987</v>
      </c>
      <c r="N460" s="17" t="str">
        <f aca="false">IF($I460="","",$I460+$L460)</f>
        <v/>
      </c>
      <c r="O460" s="17" t="n">
        <f aca="false">IF($K460="","",$K460+$L460)</f>
        <v>1987</v>
      </c>
      <c r="P460" s="17" t="str">
        <f aca="false">IF($B$10=0,"",IFERROR(IF($B$4&gt;0,IF($M460="",1/0,$M460*$B$4),0)+IF($B$5&gt;0,IF($N460="",1/0,$N460*$B$5),0)+IF($B$6&gt;0,IF($O460="",1/0,$O460*$B$6),0),""))</f>
        <v/>
      </c>
      <c r="Q460" s="17" t="s">
        <v>44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460" s="2"/>
      <c r="XFC460" s="6"/>
    </row>
    <row r="461" s="5" customFormat="true" ht="28.5" hidden="false" customHeight="true" outlineLevel="0" collapsed="false">
      <c r="A461" s="16" t="str">
        <f aca="false">IF($T461="","",1+COUNTIF($W$15:$W$728,"&lt;"&amp;W461))</f>
        <v/>
      </c>
      <c r="B461" s="16" t="s">
        <v>8</v>
      </c>
      <c r="C461" s="16" t="s">
        <v>1380</v>
      </c>
      <c r="D461" s="16" t="s">
        <v>281</v>
      </c>
      <c r="E461" s="16" t="s">
        <v>44</v>
      </c>
      <c r="F461" s="16" t="s">
        <v>1381</v>
      </c>
      <c r="G461" s="16" t="s">
        <v>1382</v>
      </c>
      <c r="H461" s="17" t="n">
        <v>1958</v>
      </c>
      <c r="I461" s="17"/>
      <c r="J461" s="17"/>
      <c r="K461" s="17" t="n">
        <v>1998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1958</v>
      </c>
      <c r="N461" s="17" t="str">
        <f aca="false">IF($I461="","",$I461+$L461)</f>
        <v/>
      </c>
      <c r="O461" s="17" t="n">
        <f aca="false">IF($K461="","",$K461+$L461)</f>
        <v>1998</v>
      </c>
      <c r="P461" s="17" t="str">
        <f aca="false">IF($B$10=0,"",IFERROR(IF($B$4&gt;0,IF($M461="",1/0,$M461*$B$4),0)+IF($B$5&gt;0,IF($N461="",1/0,$N461*$B$5),0)+IF($B$6&gt;0,IF($O461="",1/0,$O461*$B$6),0),""))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461" s="2"/>
      <c r="XFC461" s="6"/>
    </row>
    <row r="462" s="5" customFormat="true" ht="28.5" hidden="false" customHeight="true" outlineLevel="0" collapsed="false">
      <c r="A462" s="16" t="str">
        <f aca="false">IF($T462="","",1+COUNTIF($W$15:$W$728,"&lt;"&amp;W462))</f>
        <v/>
      </c>
      <c r="B462" s="16" t="s">
        <v>8</v>
      </c>
      <c r="C462" s="16" t="s">
        <v>1383</v>
      </c>
      <c r="D462" s="20" t="s">
        <v>131</v>
      </c>
      <c r="E462" s="16" t="s">
        <v>44</v>
      </c>
      <c r="F462" s="16" t="s">
        <v>1384</v>
      </c>
      <c r="G462" s="16" t="s">
        <v>1385</v>
      </c>
      <c r="H462" s="17" t="n">
        <v>1858</v>
      </c>
      <c r="I462" s="17"/>
      <c r="J462" s="17"/>
      <c r="K462" s="17" t="n">
        <v>1898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1858</v>
      </c>
      <c r="N462" s="17" t="str">
        <f aca="false">IF($I462="","",$I462+$L462)</f>
        <v/>
      </c>
      <c r="O462" s="17" t="n">
        <f aca="false">IF($K462="","",$K462+$L462)</f>
        <v>1898</v>
      </c>
      <c r="P462" s="17" t="str">
        <f aca="false">IF($B$10=0,"",IFERROR(IF($B$4&gt;0,IF($M462="",1/0,$M462*$B$4),0)+IF($B$5&gt;0,IF($N462="",1/0,$N462*$B$5),0)+IF($B$6&gt;0,IF($O462="",1/0,$O462*$B$6),0),""))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462" s="2"/>
      <c r="XFC462" s="6"/>
    </row>
    <row r="463" s="5" customFormat="true" ht="28.5" hidden="false" customHeight="true" outlineLevel="0" collapsed="false">
      <c r="A463" s="16" t="str">
        <f aca="false">IF($T463="","",1+COUNTIF($W$15:$W$728,"&lt;"&amp;W463))</f>
        <v/>
      </c>
      <c r="B463" s="16" t="s">
        <v>8</v>
      </c>
      <c r="C463" s="16" t="s">
        <v>1386</v>
      </c>
      <c r="D463" s="16" t="s">
        <v>281</v>
      </c>
      <c r="E463" s="16" t="s">
        <v>44</v>
      </c>
      <c r="F463" s="16" t="s">
        <v>1387</v>
      </c>
      <c r="G463" s="16" t="s">
        <v>1388</v>
      </c>
      <c r="H463" s="17" t="n">
        <v>1858</v>
      </c>
      <c r="I463" s="17"/>
      <c r="J463" s="17"/>
      <c r="K463" s="17" t="n">
        <v>1898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1858</v>
      </c>
      <c r="N463" s="17" t="str">
        <f aca="false">IF($I463="","",$I463+$L463)</f>
        <v/>
      </c>
      <c r="O463" s="17" t="n">
        <f aca="false">IF($K463="","",$K463+$L463)</f>
        <v>1898</v>
      </c>
      <c r="P463" s="17" t="str">
        <f aca="false">IF($B$10=0,"",IFERROR(IF($B$4&gt;0,IF($M463="",1/0,$M463*$B$4),0)+IF($B$5&gt;0,IF($N463="",1/0,$N463*$B$5),0)+IF($B$6&gt;0,IF($O463="",1/0,$O463*$B$6),0),""))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463" s="2"/>
      <c r="XFC463" s="6"/>
    </row>
    <row r="464" s="5" customFormat="true" ht="28.5" hidden="false" customHeight="true" outlineLevel="0" collapsed="false">
      <c r="A464" s="16" t="str">
        <f aca="false">IF($T464="","",1+COUNTIF($W$15:$W$728,"&lt;"&amp;W464))</f>
        <v/>
      </c>
      <c r="B464" s="16" t="s">
        <v>8</v>
      </c>
      <c r="C464" s="16" t="s">
        <v>1389</v>
      </c>
      <c r="D464" s="16" t="s">
        <v>141</v>
      </c>
      <c r="E464" s="16" t="s">
        <v>44</v>
      </c>
      <c r="F464" s="16" t="s">
        <v>1390</v>
      </c>
      <c r="G464" s="16" t="s">
        <v>1391</v>
      </c>
      <c r="H464" s="17" t="n">
        <v>1858</v>
      </c>
      <c r="I464" s="17"/>
      <c r="J464" s="17"/>
      <c r="K464" s="17" t="n">
        <v>1898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1858</v>
      </c>
      <c r="N464" s="17" t="str">
        <f aca="false">IF($I464="","",$I464+$L464)</f>
        <v/>
      </c>
      <c r="O464" s="17" t="n">
        <f aca="false">IF($K464="","",$K464+$L464)</f>
        <v>1898</v>
      </c>
      <c r="P464" s="17" t="str">
        <f aca="false">IF($B$10=0,"",IFERROR(IF($B$4&gt;0,IF($M464="",1/0,$M464*$B$4),0)+IF($B$5&gt;0,IF($N464="",1/0,$N464*$B$5),0)+IF($B$6&gt;0,IF($O464="",1/0,$O464*$B$6),0),""))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464" s="2"/>
      <c r="XFC464" s="6"/>
    </row>
    <row r="465" s="5" customFormat="true" ht="28.5" hidden="false" customHeight="true" outlineLevel="0" collapsed="false">
      <c r="A465" s="16" t="str">
        <f aca="false">IF($T465="","",1+COUNTIF($W$15:$W$728,"&lt;"&amp;W465))</f>
        <v/>
      </c>
      <c r="B465" s="16" t="s">
        <v>12</v>
      </c>
      <c r="C465" s="16" t="s">
        <v>1392</v>
      </c>
      <c r="D465" s="20" t="s">
        <v>141</v>
      </c>
      <c r="E465" s="16" t="s">
        <v>44</v>
      </c>
      <c r="F465" s="16" t="s">
        <v>1393</v>
      </c>
      <c r="G465" s="16" t="s">
        <v>1394</v>
      </c>
      <c r="H465" s="17" t="n">
        <v>1877</v>
      </c>
      <c r="I465" s="17"/>
      <c r="J465" s="17"/>
      <c r="K465" s="17" t="n">
        <v>1957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1877</v>
      </c>
      <c r="N465" s="17" t="str">
        <f aca="false">IF($I465="","",$I465+$L465)</f>
        <v/>
      </c>
      <c r="O465" s="17" t="n">
        <f aca="false">IF($K465="","",$K465+$L465)</f>
        <v>1957</v>
      </c>
      <c r="P465" s="17" t="str">
        <f aca="false">IF($B$10=0,"",IFERROR(IF($B$4&gt;0,IF($M465="",1/0,$M465*$B$4),0)+IF($B$5&gt;0,IF($N465="",1/0,$N465*$B$5),0)+IF($B$6&gt;0,IF($O465="",1/0,$O465*$B$6),0),""))</f>
        <v/>
      </c>
      <c r="Q465" s="17" t="s">
        <v>44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465" s="2"/>
      <c r="XFC465" s="6"/>
    </row>
    <row r="466" s="5" customFormat="true" ht="28.5" hidden="false" customHeight="true" outlineLevel="0" collapsed="false">
      <c r="A466" s="16" t="str">
        <f aca="false">IF($T466="","",1+COUNTIF($W$15:$W$728,"&lt;"&amp;W466))</f>
        <v/>
      </c>
      <c r="B466" s="16" t="s">
        <v>6</v>
      </c>
      <c r="C466" s="16" t="s">
        <v>1395</v>
      </c>
      <c r="D466" s="20" t="s">
        <v>131</v>
      </c>
      <c r="E466" s="16" t="s">
        <v>44</v>
      </c>
      <c r="F466" s="16" t="s">
        <v>1396</v>
      </c>
      <c r="G466" s="16" t="s">
        <v>1397</v>
      </c>
      <c r="H466" s="17" t="n">
        <v>1947</v>
      </c>
      <c r="I466" s="17"/>
      <c r="J466" s="17"/>
      <c r="K466" s="17" t="n">
        <v>1947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1947</v>
      </c>
      <c r="N466" s="17" t="str">
        <f aca="false">IF($I466="","",$I466+$L466)</f>
        <v/>
      </c>
      <c r="O466" s="17" t="n">
        <f aca="false">IF($K466="","",$K466+$L466)</f>
        <v>1947</v>
      </c>
      <c r="P466" s="17" t="str">
        <f aca="false">IF($B$10=0,"",IFERROR(IF($B$4&gt;0,IF($M466="",1/0,$M466*$B$4),0)+IF($B$5&gt;0,IF($N466="",1/0,$N466*$B$5),0)+IF($B$6&gt;0,IF($O466="",1/0,$O466*$B$6),0),""))</f>
        <v/>
      </c>
      <c r="Q466" s="17" t="s">
        <v>44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466" s="2"/>
      <c r="XFC466" s="6"/>
    </row>
    <row r="467" s="5" customFormat="true" ht="28.5" hidden="false" customHeight="true" outlineLevel="0" collapsed="false">
      <c r="A467" s="16" t="str">
        <f aca="false">IF($T467="","",1+COUNTIF($W$15:$W$728,"&lt;"&amp;W467))</f>
        <v/>
      </c>
      <c r="B467" s="16" t="s">
        <v>10</v>
      </c>
      <c r="C467" s="16" t="s">
        <v>1398</v>
      </c>
      <c r="D467" s="16" t="s">
        <v>581</v>
      </c>
      <c r="E467" s="16" t="s">
        <v>44</v>
      </c>
      <c r="F467" s="16" t="s">
        <v>1399</v>
      </c>
      <c r="G467" s="16" t="s">
        <v>1400</v>
      </c>
      <c r="H467" s="17" t="n">
        <v>1858</v>
      </c>
      <c r="I467" s="17"/>
      <c r="J467" s="17"/>
      <c r="K467" s="17" t="n">
        <v>1878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1858</v>
      </c>
      <c r="N467" s="17" t="str">
        <f aca="false">IF($I467="","",$I467+$L467)</f>
        <v/>
      </c>
      <c r="O467" s="17" t="n">
        <f aca="false">IF($K467="","",$K467+$L467)</f>
        <v>1878</v>
      </c>
      <c r="P467" s="17" t="str">
        <f aca="false">IF($B$10=0,"",IFERROR(IF($B$4&gt;0,IF($M467="",1/0,$M467*$B$4),0)+IF($B$5&gt;0,IF($N467="",1/0,$N467*$B$5),0)+IF($B$6&gt;0,IF($O467="",1/0,$O467*$B$6),0),""))</f>
        <v/>
      </c>
      <c r="Q467" s="17" t="s">
        <v>44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467" s="2"/>
      <c r="XFC467" s="6"/>
    </row>
    <row r="468" s="5" customFormat="true" ht="28.5" hidden="false" customHeight="true" outlineLevel="0" collapsed="false">
      <c r="A468" s="16" t="str">
        <f aca="false">IF($T468="","",1+COUNTIF($W$15:$W$728,"&lt;"&amp;W468))</f>
        <v/>
      </c>
      <c r="B468" s="16" t="s">
        <v>8</v>
      </c>
      <c r="C468" s="16" t="s">
        <v>1341</v>
      </c>
      <c r="D468" s="16" t="s">
        <v>141</v>
      </c>
      <c r="E468" s="16" t="s">
        <v>58</v>
      </c>
      <c r="F468" s="16" t="s">
        <v>1401</v>
      </c>
      <c r="G468" s="16" t="s">
        <v>1402</v>
      </c>
      <c r="H468" s="17" t="n">
        <v>1879</v>
      </c>
      <c r="I468" s="17"/>
      <c r="J468" s="17"/>
      <c r="K468" s="17" t="n">
        <v>1898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1879</v>
      </c>
      <c r="N468" s="17" t="str">
        <f aca="false">IF($I468="","",$I468+$L468)</f>
        <v/>
      </c>
      <c r="O468" s="17" t="n">
        <f aca="false">IF($K468="","",$K468+$L468)</f>
        <v>1898</v>
      </c>
      <c r="P468" s="17" t="str">
        <f aca="false">IF($B$10=0,"",IFERROR(IF($B$4&gt;0,IF($M468="",1/0,$M468*$B$4),0)+IF($B$5&gt;0,IF($N468="",1/0,$N468*$B$5),0)+IF($B$6&gt;0,IF($O468="",1/0,$O468*$B$6),0),""))</f>
        <v/>
      </c>
      <c r="Q468" s="17"/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468" s="2"/>
      <c r="XFC468" s="6"/>
    </row>
    <row r="469" s="5" customFormat="true" ht="28.5" hidden="false" customHeight="true" outlineLevel="0" collapsed="false">
      <c r="A469" s="16" t="str">
        <f aca="false">IF($T469="","",1+COUNTIF($W$15:$W$728,"&lt;"&amp;W469))</f>
        <v/>
      </c>
      <c r="B469" s="16" t="s">
        <v>10</v>
      </c>
      <c r="C469" s="16" t="s">
        <v>1403</v>
      </c>
      <c r="D469" s="16" t="s">
        <v>141</v>
      </c>
      <c r="E469" s="16" t="s">
        <v>44</v>
      </c>
      <c r="F469" s="16" t="s">
        <v>1404</v>
      </c>
      <c r="G469" s="16" t="s">
        <v>1405</v>
      </c>
      <c r="H469" s="17" t="n">
        <v>1838</v>
      </c>
      <c r="I469" s="17"/>
      <c r="J469" s="17"/>
      <c r="K469" s="17" t="n">
        <v>1858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1838</v>
      </c>
      <c r="N469" s="17" t="str">
        <f aca="false">IF($I469="","",$I469+$L469)</f>
        <v/>
      </c>
      <c r="O469" s="17" t="n">
        <f aca="false">IF($K469="","",$K469+$L469)</f>
        <v>1858</v>
      </c>
      <c r="P469" s="17" t="str">
        <f aca="false">IF($B$10=0,"",IFERROR(IF($B$4&gt;0,IF($M469="",1/0,$M469*$B$4),0)+IF($B$5&gt;0,IF($N469="",1/0,$N469*$B$5),0)+IF($B$6&gt;0,IF($O469="",1/0,$O469*$B$6),0),""))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469" s="2"/>
      <c r="XFC469" s="6"/>
    </row>
    <row r="470" s="5" customFormat="true" ht="28.5" hidden="false" customHeight="true" outlineLevel="0" collapsed="false">
      <c r="A470" s="16" t="str">
        <f aca="false">IF($T470="","",1+COUNTIF($W$15:$W$728,"&lt;"&amp;W470))</f>
        <v/>
      </c>
      <c r="B470" s="16" t="s">
        <v>12</v>
      </c>
      <c r="C470" s="16" t="s">
        <v>1406</v>
      </c>
      <c r="D470" s="20" t="s">
        <v>141</v>
      </c>
      <c r="E470" s="16" t="s">
        <v>58</v>
      </c>
      <c r="F470" s="16" t="s">
        <v>1407</v>
      </c>
      <c r="G470" s="16" t="s">
        <v>1408</v>
      </c>
      <c r="H470" s="17" t="n">
        <v>1998</v>
      </c>
      <c r="I470" s="17"/>
      <c r="J470" s="17"/>
      <c r="K470" s="17" t="n">
        <v>2198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1998</v>
      </c>
      <c r="N470" s="17" t="str">
        <f aca="false">IF($I470="","",$I470+$L470)</f>
        <v/>
      </c>
      <c r="O470" s="17" t="n">
        <f aca="false">IF($K470="","",$K470+$L470)</f>
        <v>2198</v>
      </c>
      <c r="P470" s="17" t="str">
        <f aca="false">IF($B$10=0,"",IFERROR(IF($B$4&gt;0,IF($M470="",1/0,$M470*$B$4),0)+IF($B$5&gt;0,IF($N470="",1/0,$N470*$B$5),0)+IF($B$6&gt;0,IF($O470="",1/0,$O470*$B$6),0),""))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470" s="2"/>
      <c r="XFC470" s="6"/>
    </row>
    <row r="471" s="5" customFormat="true" ht="28.5" hidden="false" customHeight="true" outlineLevel="0" collapsed="false">
      <c r="A471" s="16" t="str">
        <f aca="false">IF($T471="","",1+COUNTIF($W$15:$W$728,"&lt;"&amp;W471))</f>
        <v/>
      </c>
      <c r="B471" s="16" t="s">
        <v>8</v>
      </c>
      <c r="C471" s="16" t="s">
        <v>1409</v>
      </c>
      <c r="D471" s="16" t="s">
        <v>141</v>
      </c>
      <c r="E471" s="16" t="s">
        <v>44</v>
      </c>
      <c r="F471" s="16" t="s">
        <v>1410</v>
      </c>
      <c r="G471" s="16" t="s">
        <v>1411</v>
      </c>
      <c r="H471" s="17" t="n">
        <v>1958</v>
      </c>
      <c r="I471" s="17"/>
      <c r="J471" s="17"/>
      <c r="K471" s="17" t="n">
        <v>1998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1958</v>
      </c>
      <c r="N471" s="17" t="str">
        <f aca="false">IF($I471="","",$I471+$L471)</f>
        <v/>
      </c>
      <c r="O471" s="17" t="n">
        <f aca="false">IF($K471="","",$K471+$L471)</f>
        <v>1998</v>
      </c>
      <c r="P471" s="17" t="str">
        <f aca="false">IF($B$10=0,"",IFERROR(IF($B$4&gt;0,IF($M471="",1/0,$M471*$B$4),0)+IF($B$5&gt;0,IF($N471="",1/0,$N471*$B$5),0)+IF($B$6&gt;0,IF($O471="",1/0,$O471*$B$6),0),""))</f>
        <v/>
      </c>
      <c r="Q471" s="17" t="s">
        <v>44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471" s="2"/>
      <c r="XFC471" s="6"/>
    </row>
    <row r="472" s="5" customFormat="true" ht="28.5" hidden="false" customHeight="true" outlineLevel="0" collapsed="false">
      <c r="A472" s="16" t="str">
        <f aca="false">IF($T472="","",1+COUNTIF($W$15:$W$728,"&lt;"&amp;W472))</f>
        <v/>
      </c>
      <c r="B472" s="16" t="s">
        <v>10</v>
      </c>
      <c r="C472" s="16" t="s">
        <v>1395</v>
      </c>
      <c r="D472" s="16" t="s">
        <v>43</v>
      </c>
      <c r="E472" s="16" t="s">
        <v>44</v>
      </c>
      <c r="F472" s="16" t="s">
        <v>1412</v>
      </c>
      <c r="G472" s="16" t="s">
        <v>1413</v>
      </c>
      <c r="H472" s="17" t="n">
        <v>1914</v>
      </c>
      <c r="I472" s="17"/>
      <c r="J472" s="17"/>
      <c r="K472" s="17" t="n">
        <v>1957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1914</v>
      </c>
      <c r="N472" s="17" t="str">
        <f aca="false">IF($I472="","",$I472+$L472)</f>
        <v/>
      </c>
      <c r="O472" s="17" t="n">
        <f aca="false">IF($K472="","",$K472+$L472)</f>
        <v>1957</v>
      </c>
      <c r="P472" s="17" t="str">
        <f aca="false">IF($B$10=0,"",IFERROR(IF($B$4&gt;0,IF($M472="",1/0,$M472*$B$4),0)+IF($B$5&gt;0,IF($N472="",1/0,$N472*$B$5),0)+IF($B$6&gt;0,IF($O472="",1/0,$O472*$B$6),0),""))</f>
        <v/>
      </c>
      <c r="Q472" s="17" t="s">
        <v>44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472" s="2"/>
      <c r="XFC472" s="6"/>
    </row>
    <row r="473" s="5" customFormat="true" ht="28.5" hidden="false" customHeight="true" outlineLevel="0" collapsed="false">
      <c r="A473" s="16" t="str">
        <f aca="false">IF($T473="","",1+COUNTIF($W$15:$W$728,"&lt;"&amp;W473))</f>
        <v/>
      </c>
      <c r="B473" s="16" t="s">
        <v>6</v>
      </c>
      <c r="C473" s="16" t="s">
        <v>1414</v>
      </c>
      <c r="D473" s="16" t="s">
        <v>48</v>
      </c>
      <c r="E473" s="16" t="s">
        <v>44</v>
      </c>
      <c r="F473" s="16" t="s">
        <v>1415</v>
      </c>
      <c r="G473" s="16" t="s">
        <v>1416</v>
      </c>
      <c r="H473" s="17" t="n">
        <v>1928</v>
      </c>
      <c r="I473" s="17"/>
      <c r="J473" s="17"/>
      <c r="K473" s="17" t="n">
        <v>1948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1928</v>
      </c>
      <c r="N473" s="17" t="str">
        <f aca="false">IF($I473="","",$I473+$L473)</f>
        <v/>
      </c>
      <c r="O473" s="17" t="n">
        <f aca="false">IF($K473="","",$K473+$L473)</f>
        <v>1948</v>
      </c>
      <c r="P473" s="17" t="str">
        <f aca="false">IF($B$10=0,"",IFERROR(IF($B$4&gt;0,IF($M473="",1/0,$M473*$B$4),0)+IF($B$5&gt;0,IF($N473="",1/0,$N473*$B$5),0)+IF($B$6&gt;0,IF($O473="",1/0,$O473*$B$6),0),""))</f>
        <v/>
      </c>
      <c r="Q473" s="17" t="s">
        <v>44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473" s="2"/>
      <c r="XFC473" s="6"/>
    </row>
    <row r="474" s="5" customFormat="true" ht="28.5" hidden="false" customHeight="true" outlineLevel="0" collapsed="false">
      <c r="A474" s="16" t="str">
        <f aca="false">IF($T474="","",1+COUNTIF($W$15:$W$728,"&lt;"&amp;W474))</f>
        <v/>
      </c>
      <c r="B474" s="16" t="s">
        <v>8</v>
      </c>
      <c r="C474" s="16" t="s">
        <v>1417</v>
      </c>
      <c r="D474" s="16" t="s">
        <v>43</v>
      </c>
      <c r="E474" s="16" t="s">
        <v>44</v>
      </c>
      <c r="F474" s="16" t="s">
        <v>1418</v>
      </c>
      <c r="G474" s="16" t="s">
        <v>1419</v>
      </c>
      <c r="H474" s="17" t="n">
        <v>1798</v>
      </c>
      <c r="I474" s="17"/>
      <c r="J474" s="17"/>
      <c r="K474" s="17" t="n">
        <v>1768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1798</v>
      </c>
      <c r="N474" s="17" t="str">
        <f aca="false">IF($I474="","",$I474+$L474)</f>
        <v/>
      </c>
      <c r="O474" s="17" t="n">
        <f aca="false">IF($K474="","",$K474+$L474)</f>
        <v>1768</v>
      </c>
      <c r="P474" s="17" t="str">
        <f aca="false">IF($B$10=0,"",IFERROR(IF($B$4&gt;0,IF($M474="",1/0,$M474*$B$4),0)+IF($B$5&gt;0,IF($N474="",1/0,$N474*$B$5),0)+IF($B$6&gt;0,IF($O474="",1/0,$O474*$B$6),0),""))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474" s="2"/>
      <c r="XFC474" s="6"/>
    </row>
    <row r="475" s="5" customFormat="true" ht="28.5" hidden="false" customHeight="true" outlineLevel="0" collapsed="false">
      <c r="A475" s="16" t="str">
        <f aca="false">IF($T475="","",1+COUNTIF($W$15:$W$728,"&lt;"&amp;W475))</f>
        <v/>
      </c>
      <c r="B475" s="16" t="s">
        <v>6</v>
      </c>
      <c r="C475" s="16" t="s">
        <v>1420</v>
      </c>
      <c r="D475" s="16" t="s">
        <v>141</v>
      </c>
      <c r="E475" s="16" t="s">
        <v>44</v>
      </c>
      <c r="F475" s="16" t="s">
        <v>1421</v>
      </c>
      <c r="G475" s="16" t="s">
        <v>1422</v>
      </c>
      <c r="H475" s="17" t="n">
        <v>1948</v>
      </c>
      <c r="I475" s="17"/>
      <c r="J475" s="17"/>
      <c r="K475" s="17" t="n">
        <v>1968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1948</v>
      </c>
      <c r="N475" s="17" t="str">
        <f aca="false">IF($I475="","",$I475+$L475)</f>
        <v/>
      </c>
      <c r="O475" s="17" t="n">
        <f aca="false">IF($K475="","",$K475+$L475)</f>
        <v>1968</v>
      </c>
      <c r="P475" s="17" t="str">
        <f aca="false">IF($B$10=0,"",IFERROR(IF($B$4&gt;0,IF($M475="",1/0,$M475*$B$4),0)+IF($B$5&gt;0,IF($N475="",1/0,$N475*$B$5),0)+IF($B$6&gt;0,IF($O475="",1/0,$O475*$B$6),0),""))</f>
        <v/>
      </c>
      <c r="Q475" s="17" t="s">
        <v>44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475" s="2"/>
      <c r="XFC475" s="6"/>
    </row>
    <row r="476" s="5" customFormat="true" ht="28.5" hidden="false" customHeight="true" outlineLevel="0" collapsed="false">
      <c r="A476" s="16" t="str">
        <f aca="false">IF($T476="","",1+COUNTIF($W$15:$W$728,"&lt;"&amp;W476))</f>
        <v/>
      </c>
      <c r="B476" s="16" t="s">
        <v>12</v>
      </c>
      <c r="C476" s="16" t="s">
        <v>1423</v>
      </c>
      <c r="D476" s="20" t="s">
        <v>141</v>
      </c>
      <c r="E476" s="16" t="s">
        <v>44</v>
      </c>
      <c r="F476" s="16" t="s">
        <v>1424</v>
      </c>
      <c r="G476" s="16" t="s">
        <v>1425</v>
      </c>
      <c r="H476" s="17" t="n">
        <v>1948</v>
      </c>
      <c r="I476" s="17"/>
      <c r="J476" s="17"/>
      <c r="K476" s="17" t="n">
        <v>1978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1948</v>
      </c>
      <c r="N476" s="17" t="str">
        <f aca="false">IF($I476="","",$I476+$L476)</f>
        <v/>
      </c>
      <c r="O476" s="17" t="n">
        <f aca="false">IF($K476="","",$K476+$L476)</f>
        <v>1978</v>
      </c>
      <c r="P476" s="17" t="str">
        <f aca="false">IF($B$10=0,"",IFERROR(IF($B$4&gt;0,IF($M476="",1/0,$M476*$B$4),0)+IF($B$5&gt;0,IF($N476="",1/0,$N476*$B$5),0)+IF($B$6&gt;0,IF($O476="",1/0,$O476*$B$6),0),""))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476" s="2"/>
      <c r="XFC476" s="6"/>
    </row>
    <row r="477" s="5" customFormat="true" ht="28.5" hidden="false" customHeight="true" outlineLevel="0" collapsed="false">
      <c r="A477" s="16" t="str">
        <f aca="false">IF($T477="","",1+COUNTIF($W$15:$W$728,"&lt;"&amp;W477))</f>
        <v/>
      </c>
      <c r="B477" s="16" t="s">
        <v>10</v>
      </c>
      <c r="C477" s="16" t="s">
        <v>1426</v>
      </c>
      <c r="D477" s="16" t="s">
        <v>141</v>
      </c>
      <c r="E477" s="16" t="s">
        <v>44</v>
      </c>
      <c r="F477" s="16" t="s">
        <v>1427</v>
      </c>
      <c r="G477" s="16" t="s">
        <v>1428</v>
      </c>
      <c r="H477" s="17" t="n">
        <v>1909</v>
      </c>
      <c r="I477" s="17"/>
      <c r="J477" s="17"/>
      <c r="K477" s="17" t="n">
        <v>1969</v>
      </c>
      <c r="L477" s="17" t="n">
        <f aca="false">IF(AND(IFERROR(SEARCH("현대오일뱅크",$C477),0)&gt;0,IFERROR(SEARCH("직영",$C477),0)&gt;0),$B$13,0)</f>
        <v>0</v>
      </c>
      <c r="M477" s="17" t="n">
        <f aca="false">IF($H477="","",$H477+$L477)</f>
        <v>1909</v>
      </c>
      <c r="N477" s="17" t="str">
        <f aca="false">IF($I477="","",$I477+$L477)</f>
        <v/>
      </c>
      <c r="O477" s="17" t="n">
        <f aca="false">IF($K477="","",$K477+$L477)</f>
        <v>1969</v>
      </c>
      <c r="P477" s="17" t="str">
        <f aca="false">IF($B$10=0,"",IFERROR(IF($B$4&gt;0,IF($M477="",1/0,$M477*$B$4),0)+IF($B$5&gt;0,IF($N477="",1/0,$N477*$B$5),0)+IF($B$6&gt;0,IF($O477="",1/0,$O477*$B$6),0),""))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477" s="2"/>
      <c r="XFC477" s="6"/>
    </row>
    <row r="478" s="5" customFormat="true" ht="28.5" hidden="false" customHeight="true" outlineLevel="0" collapsed="false">
      <c r="A478" s="16" t="str">
        <f aca="false">IF($T478="","",1+COUNTIF($W$15:$W$728,"&lt;"&amp;W478))</f>
        <v/>
      </c>
      <c r="B478" s="16" t="s">
        <v>14</v>
      </c>
      <c r="C478" s="16" t="s">
        <v>1429</v>
      </c>
      <c r="D478" s="16" t="s">
        <v>574</v>
      </c>
      <c r="E478" s="16" t="s">
        <v>44</v>
      </c>
      <c r="F478" s="16" t="s">
        <v>1430</v>
      </c>
      <c r="G478" s="16" t="s">
        <v>1431</v>
      </c>
      <c r="H478" s="17" t="n">
        <v>1779</v>
      </c>
      <c r="I478" s="17"/>
      <c r="J478" s="17"/>
      <c r="K478" s="17" t="n">
        <v>1739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1779</v>
      </c>
      <c r="N478" s="17" t="str">
        <f aca="false">IF($I478="","",$I478+$L478)</f>
        <v/>
      </c>
      <c r="O478" s="17" t="n">
        <f aca="false">IF($K478="","",$K478+$L478)</f>
        <v>1739</v>
      </c>
      <c r="P478" s="17" t="str">
        <f aca="false">IF($B$10=0,"",IFERROR(IF($B$4&gt;0,IF($M478="",1/0,$M478*$B$4),0)+IF($B$5&gt;0,IF($N478="",1/0,$N478*$B$5),0)+IF($B$6&gt;0,IF($O478="",1/0,$O478*$B$6),0),""))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478" s="2"/>
      <c r="XFC478" s="6"/>
    </row>
    <row r="479" s="5" customFormat="true" ht="28.5" hidden="false" customHeight="true" outlineLevel="0" collapsed="false">
      <c r="A479" s="16" t="str">
        <f aca="false">IF($T479="","",1+COUNTIF($W$15:$W$728,"&lt;"&amp;W479))</f>
        <v/>
      </c>
      <c r="B479" s="16" t="s">
        <v>10</v>
      </c>
      <c r="C479" s="16" t="s">
        <v>1432</v>
      </c>
      <c r="D479" s="16" t="s">
        <v>43</v>
      </c>
      <c r="E479" s="16" t="s">
        <v>58</v>
      </c>
      <c r="F479" s="16" t="s">
        <v>1433</v>
      </c>
      <c r="G479" s="16" t="s">
        <v>1434</v>
      </c>
      <c r="H479" s="17" t="n">
        <v>1859</v>
      </c>
      <c r="I479" s="17"/>
      <c r="J479" s="17"/>
      <c r="K479" s="17" t="n">
        <v>1899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1859</v>
      </c>
      <c r="N479" s="17" t="str">
        <f aca="false">IF($I479="","",$I479+$L479)</f>
        <v/>
      </c>
      <c r="O479" s="17" t="n">
        <f aca="false">IF($K479="","",$K479+$L479)</f>
        <v>1899</v>
      </c>
      <c r="P479" s="17" t="str">
        <f aca="false">IF($B$10=0,"",IFERROR(IF($B$4&gt;0,IF($M479="",1/0,$M479*$B$4),0)+IF($B$5&gt;0,IF($N479="",1/0,$N479*$B$5),0)+IF($B$6&gt;0,IF($O479="",1/0,$O479*$B$6),0),""))</f>
        <v/>
      </c>
      <c r="Q479" s="17" t="s">
        <v>44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479" s="2"/>
      <c r="XFC479" s="6"/>
    </row>
    <row r="480" s="5" customFormat="true" ht="28.5" hidden="false" customHeight="true" outlineLevel="0" collapsed="false">
      <c r="A480" s="16" t="str">
        <f aca="false">IF($T480="","",1+COUNTIF($W$15:$W$728,"&lt;"&amp;W480))</f>
        <v/>
      </c>
      <c r="B480" s="16" t="s">
        <v>12</v>
      </c>
      <c r="C480" s="16" t="s">
        <v>1435</v>
      </c>
      <c r="D480" s="20" t="s">
        <v>208</v>
      </c>
      <c r="E480" s="16" t="s">
        <v>44</v>
      </c>
      <c r="F480" s="16" t="s">
        <v>1436</v>
      </c>
      <c r="G480" s="16" t="s">
        <v>1437</v>
      </c>
      <c r="H480" s="17" t="n">
        <v>1979</v>
      </c>
      <c r="I480" s="17"/>
      <c r="J480" s="17"/>
      <c r="K480" s="17" t="n">
        <v>1989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1979</v>
      </c>
      <c r="N480" s="17" t="str">
        <f aca="false">IF($I480="","",$I480+$L480)</f>
        <v/>
      </c>
      <c r="O480" s="17" t="n">
        <f aca="false">IF($K480="","",$K480+$L480)</f>
        <v>1989</v>
      </c>
      <c r="P480" s="17" t="str">
        <f aca="false">IF($B$10=0,"",IFERROR(IF($B$4&gt;0,IF($M480="",1/0,$M480*$B$4),0)+IF($B$5&gt;0,IF($N480="",1/0,$N480*$B$5),0)+IF($B$6&gt;0,IF($O480="",1/0,$O480*$B$6),0),""))</f>
        <v/>
      </c>
      <c r="Q480" s="17" t="s">
        <v>44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480" s="2"/>
      <c r="XFC480" s="6"/>
    </row>
    <row r="481" s="5" customFormat="true" ht="28.5" hidden="false" customHeight="true" outlineLevel="0" collapsed="false">
      <c r="A481" s="16" t="str">
        <f aca="false">IF($T481="","",1+COUNTIF($W$15:$W$728,"&lt;"&amp;W481))</f>
        <v/>
      </c>
      <c r="B481" s="16" t="s">
        <v>10</v>
      </c>
      <c r="C481" s="16" t="s">
        <v>1438</v>
      </c>
      <c r="D481" s="16" t="s">
        <v>141</v>
      </c>
      <c r="E481" s="16" t="s">
        <v>44</v>
      </c>
      <c r="F481" s="16" t="s">
        <v>1439</v>
      </c>
      <c r="G481" s="16" t="s">
        <v>1440</v>
      </c>
      <c r="H481" s="17" t="n">
        <v>1899</v>
      </c>
      <c r="I481" s="17"/>
      <c r="J481" s="17"/>
      <c r="K481" s="17" t="n">
        <v>1899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1899</v>
      </c>
      <c r="N481" s="17" t="str">
        <f aca="false">IF($I481="","",$I481+$L481)</f>
        <v/>
      </c>
      <c r="O481" s="17" t="n">
        <f aca="false">IF($K481="","",$K481+$L481)</f>
        <v>1899</v>
      </c>
      <c r="P481" s="17" t="str">
        <f aca="false">IF($B$10=0,"",IFERROR(IF($B$4&gt;0,IF($M481="",1/0,$M481*$B$4),0)+IF($B$5&gt;0,IF($N481="",1/0,$N481*$B$5),0)+IF($B$6&gt;0,IF($O481="",1/0,$O481*$B$6),0),""))</f>
        <v/>
      </c>
      <c r="Q481" s="17" t="s">
        <v>44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481" s="2"/>
      <c r="XFC481" s="6"/>
    </row>
    <row r="482" s="5" customFormat="true" ht="28.5" hidden="false" customHeight="true" outlineLevel="0" collapsed="false">
      <c r="A482" s="16" t="str">
        <f aca="false">IF($T482="","",1+COUNTIF($W$15:$W$728,"&lt;"&amp;W482))</f>
        <v/>
      </c>
      <c r="B482" s="16" t="s">
        <v>12</v>
      </c>
      <c r="C482" s="16" t="s">
        <v>1441</v>
      </c>
      <c r="D482" s="20" t="s">
        <v>303</v>
      </c>
      <c r="E482" s="16" t="s">
        <v>44</v>
      </c>
      <c r="F482" s="16" t="s">
        <v>1442</v>
      </c>
      <c r="G482" s="16" t="s">
        <v>1443</v>
      </c>
      <c r="H482" s="17" t="n">
        <v>1879</v>
      </c>
      <c r="I482" s="17"/>
      <c r="J482" s="17"/>
      <c r="K482" s="17" t="n">
        <v>1879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1879</v>
      </c>
      <c r="N482" s="17" t="str">
        <f aca="false">IF($I482="","",$I482+$L482)</f>
        <v/>
      </c>
      <c r="O482" s="17" t="n">
        <f aca="false">IF($K482="","",$K482+$L482)</f>
        <v>1879</v>
      </c>
      <c r="P482" s="17" t="str">
        <f aca="false">IF($B$10=0,"",IFERROR(IF($B$4&gt;0,IF($M482="",1/0,$M482*$B$4),0)+IF($B$5&gt;0,IF($N482="",1/0,$N482*$B$5),0)+IF($B$6&gt;0,IF($O482="",1/0,$O482*$B$6),0),""))</f>
        <v/>
      </c>
      <c r="Q482" s="17" t="s">
        <v>44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482" s="2"/>
      <c r="XFC482" s="6"/>
    </row>
    <row r="483" s="5" customFormat="true" ht="28.5" hidden="false" customHeight="true" outlineLevel="0" collapsed="false">
      <c r="A483" s="16" t="str">
        <f aca="false">IF($T483="","",1+COUNTIF($W$15:$W$728,"&lt;"&amp;W483))</f>
        <v/>
      </c>
      <c r="B483" s="16" t="s">
        <v>12</v>
      </c>
      <c r="C483" s="16" t="s">
        <v>1444</v>
      </c>
      <c r="D483" s="20" t="s">
        <v>131</v>
      </c>
      <c r="E483" s="16" t="s">
        <v>44</v>
      </c>
      <c r="F483" s="16" t="s">
        <v>1445</v>
      </c>
      <c r="G483" s="16" t="s">
        <v>1446</v>
      </c>
      <c r="H483" s="17" t="n">
        <v>1919</v>
      </c>
      <c r="I483" s="17"/>
      <c r="J483" s="17"/>
      <c r="K483" s="17" t="n">
        <v>1959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1919</v>
      </c>
      <c r="N483" s="17" t="str">
        <f aca="false">IF($I483="","",$I483+$L483)</f>
        <v/>
      </c>
      <c r="O483" s="17" t="n">
        <f aca="false">IF($K483="","",$K483+$L483)</f>
        <v>1959</v>
      </c>
      <c r="P483" s="17" t="str">
        <f aca="false">IF($B$10=0,"",IFERROR(IF($B$4&gt;0,IF($M483="",1/0,$M483*$B$4),0)+IF($B$5&gt;0,IF($N483="",1/0,$N483*$B$5),0)+IF($B$6&gt;0,IF($O483="",1/0,$O483*$B$6),0),""))</f>
        <v/>
      </c>
      <c r="Q483" s="17" t="s">
        <v>44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483" s="2"/>
      <c r="XFC483" s="6"/>
    </row>
    <row r="484" s="5" customFormat="true" ht="28.5" hidden="false" customHeight="true" outlineLevel="0" collapsed="false">
      <c r="A484" s="16" t="str">
        <f aca="false">IF($T484="","",1+COUNTIF($W$15:$W$728,"&lt;"&amp;W484))</f>
        <v/>
      </c>
      <c r="B484" s="16" t="s">
        <v>10</v>
      </c>
      <c r="C484" s="16" t="s">
        <v>1447</v>
      </c>
      <c r="D484" s="20" t="s">
        <v>131</v>
      </c>
      <c r="E484" s="16" t="s">
        <v>44</v>
      </c>
      <c r="F484" s="16" t="s">
        <v>1448</v>
      </c>
      <c r="G484" s="16" t="s">
        <v>1449</v>
      </c>
      <c r="H484" s="17" t="n">
        <v>1879</v>
      </c>
      <c r="I484" s="17"/>
      <c r="J484" s="17"/>
      <c r="K484" s="17" t="n">
        <v>1899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1879</v>
      </c>
      <c r="N484" s="17" t="str">
        <f aca="false">IF($I484="","",$I484+$L484)</f>
        <v/>
      </c>
      <c r="O484" s="17" t="n">
        <f aca="false">IF($K484="","",$K484+$L484)</f>
        <v>1899</v>
      </c>
      <c r="P484" s="17" t="str">
        <f aca="false">IF($B$10=0,"",IFERROR(IF($B$4&gt;0,IF($M484="",1/0,$M484*$B$4),0)+IF($B$5&gt;0,IF($N484="",1/0,$N484*$B$5),0)+IF($B$6&gt;0,IF($O484="",1/0,$O484*$B$6),0),""))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484" s="2"/>
      <c r="XFC484" s="6"/>
    </row>
    <row r="485" s="5" customFormat="true" ht="28.5" hidden="false" customHeight="true" outlineLevel="0" collapsed="false">
      <c r="A485" s="16" t="str">
        <f aca="false">IF($T485="","",1+COUNTIF($W$15:$W$728,"&lt;"&amp;W485))</f>
        <v/>
      </c>
      <c r="B485" s="16" t="s">
        <v>10</v>
      </c>
      <c r="C485" s="16" t="s">
        <v>1450</v>
      </c>
      <c r="D485" s="20" t="s">
        <v>131</v>
      </c>
      <c r="E485" s="16" t="s">
        <v>44</v>
      </c>
      <c r="F485" s="16" t="s">
        <v>1451</v>
      </c>
      <c r="G485" s="16" t="s">
        <v>1452</v>
      </c>
      <c r="H485" s="17" t="n">
        <v>1859</v>
      </c>
      <c r="I485" s="17"/>
      <c r="J485" s="17"/>
      <c r="K485" s="17" t="n">
        <v>1897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1859</v>
      </c>
      <c r="N485" s="17" t="str">
        <f aca="false">IF($I485="","",$I485+$L485)</f>
        <v/>
      </c>
      <c r="O485" s="17" t="n">
        <f aca="false">IF($K485="","",$K485+$L485)</f>
        <v>1897</v>
      </c>
      <c r="P485" s="17" t="str">
        <f aca="false">IF($B$10=0,"",IFERROR(IF($B$4&gt;0,IF($M485="",1/0,$M485*$B$4),0)+IF($B$5&gt;0,IF($N485="",1/0,$N485*$B$5),0)+IF($B$6&gt;0,IF($O485="",1/0,$O485*$B$6),0),""))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485" s="2"/>
      <c r="XFC485" s="6"/>
    </row>
    <row r="486" s="5" customFormat="true" ht="28.5" hidden="false" customHeight="true" outlineLevel="0" collapsed="false">
      <c r="A486" s="16" t="str">
        <f aca="false">IF($T486="","",1+COUNTIF($W$15:$W$728,"&lt;"&amp;W486))</f>
        <v/>
      </c>
      <c r="B486" s="16" t="s">
        <v>6</v>
      </c>
      <c r="C486" s="16" t="s">
        <v>841</v>
      </c>
      <c r="D486" s="16" t="s">
        <v>48</v>
      </c>
      <c r="E486" s="16" t="s">
        <v>58</v>
      </c>
      <c r="F486" s="16" t="s">
        <v>1453</v>
      </c>
      <c r="G486" s="16" t="s">
        <v>1454</v>
      </c>
      <c r="H486" s="17" t="n">
        <v>1895</v>
      </c>
      <c r="I486" s="17"/>
      <c r="J486" s="17"/>
      <c r="K486" s="17" t="n">
        <v>1895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1895</v>
      </c>
      <c r="N486" s="17" t="str">
        <f aca="false">IF($I486="","",$I486+$L486)</f>
        <v/>
      </c>
      <c r="O486" s="17" t="n">
        <f aca="false">IF($K486="","",$K486+$L486)</f>
        <v>1895</v>
      </c>
      <c r="P486" s="17" t="str">
        <f aca="false">IF($B$10=0,"",IFERROR(IF($B$4&gt;0,IF($M486="",1/0,$M486*$B$4),0)+IF($B$5&gt;0,IF($N486="",1/0,$N486*$B$5),0)+IF($B$6&gt;0,IF($O486="",1/0,$O486*$B$6),0),""))</f>
        <v/>
      </c>
      <c r="Q486" s="17" t="s">
        <v>44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486" s="2"/>
      <c r="XFC486" s="6"/>
    </row>
    <row r="487" s="5" customFormat="true" ht="28.5" hidden="false" customHeight="true" outlineLevel="0" collapsed="false">
      <c r="A487" s="16" t="str">
        <f aca="false">IF($T487="","",1+COUNTIF($W$15:$W$728,"&lt;"&amp;W487))</f>
        <v/>
      </c>
      <c r="B487" s="16" t="s">
        <v>6</v>
      </c>
      <c r="C487" s="16" t="s">
        <v>1455</v>
      </c>
      <c r="D487" s="16" t="s">
        <v>43</v>
      </c>
      <c r="E487" s="16" t="s">
        <v>58</v>
      </c>
      <c r="F487" s="16" t="s">
        <v>1456</v>
      </c>
      <c r="G487" s="16" t="s">
        <v>1457</v>
      </c>
      <c r="H487" s="17" t="n">
        <v>1998</v>
      </c>
      <c r="I487" s="17"/>
      <c r="J487" s="17"/>
      <c r="K487" s="17" t="n">
        <v>1998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1998</v>
      </c>
      <c r="N487" s="17" t="str">
        <f aca="false">IF($I487="","",$I487+$L487)</f>
        <v/>
      </c>
      <c r="O487" s="17" t="n">
        <f aca="false">IF($K487="","",$K487+$L487)</f>
        <v>1998</v>
      </c>
      <c r="P487" s="17" t="str">
        <f aca="false">IF($B$10=0,"",IFERROR(IF($B$4&gt;0,IF($M487="",1/0,$M487*$B$4),0)+IF($B$5&gt;0,IF($N487="",1/0,$N487*$B$5),0)+IF($B$6&gt;0,IF($O487="",1/0,$O487*$B$6),0),""))</f>
        <v/>
      </c>
      <c r="Q487" s="17" t="s">
        <v>44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487" s="2"/>
      <c r="XFC487" s="6"/>
    </row>
    <row r="488" s="5" customFormat="true" ht="28.5" hidden="false" customHeight="true" outlineLevel="0" collapsed="false">
      <c r="A488" s="16" t="str">
        <f aca="false">IF($T488="","",1+COUNTIF($W$15:$W$728,"&lt;"&amp;W488))</f>
        <v/>
      </c>
      <c r="B488" s="16" t="s">
        <v>6</v>
      </c>
      <c r="C488" s="16" t="s">
        <v>1458</v>
      </c>
      <c r="D488" s="16" t="s">
        <v>48</v>
      </c>
      <c r="E488" s="16" t="s">
        <v>44</v>
      </c>
      <c r="F488" s="16" t="s">
        <v>1459</v>
      </c>
      <c r="G488" s="16" t="s">
        <v>1460</v>
      </c>
      <c r="H488" s="17" t="n">
        <v>1899</v>
      </c>
      <c r="I488" s="17"/>
      <c r="J488" s="17"/>
      <c r="K488" s="17" t="n">
        <v>1949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1899</v>
      </c>
      <c r="N488" s="17" t="str">
        <f aca="false">IF($I488="","",$I488+$L488)</f>
        <v/>
      </c>
      <c r="O488" s="17" t="n">
        <f aca="false">IF($K488="","",$K488+$L488)</f>
        <v>1949</v>
      </c>
      <c r="P488" s="17" t="str">
        <f aca="false">IF($B$10=0,"",IFERROR(IF($B$4&gt;0,IF($M488="",1/0,$M488*$B$4),0)+IF($B$5&gt;0,IF($N488="",1/0,$N488*$B$5),0)+IF($B$6&gt;0,IF($O488="",1/0,$O488*$B$6),0),""))</f>
        <v/>
      </c>
      <c r="Q488" s="17" t="s">
        <v>44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488" s="2"/>
      <c r="XFC488" s="6"/>
    </row>
    <row r="489" s="5" customFormat="true" ht="28.5" hidden="false" customHeight="true" outlineLevel="0" collapsed="false">
      <c r="A489" s="16" t="str">
        <f aca="false">IF($T489="","",1+COUNTIF($W$15:$W$728,"&lt;"&amp;W489))</f>
        <v/>
      </c>
      <c r="B489" s="16" t="s">
        <v>6</v>
      </c>
      <c r="C489" s="16" t="s">
        <v>1461</v>
      </c>
      <c r="D489" s="16" t="s">
        <v>141</v>
      </c>
      <c r="E489" s="16" t="s">
        <v>44</v>
      </c>
      <c r="F489" s="16" t="s">
        <v>1462</v>
      </c>
      <c r="G489" s="16" t="s">
        <v>1463</v>
      </c>
      <c r="H489" s="17" t="n">
        <v>1959</v>
      </c>
      <c r="I489" s="17"/>
      <c r="J489" s="17"/>
      <c r="K489" s="17" t="n">
        <v>2049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1959</v>
      </c>
      <c r="N489" s="17" t="str">
        <f aca="false">IF($I489="","",$I489+$L489)</f>
        <v/>
      </c>
      <c r="O489" s="17" t="n">
        <f aca="false">IF($K489="","",$K489+$L489)</f>
        <v>2049</v>
      </c>
      <c r="P489" s="17" t="str">
        <f aca="false">IF($B$10=0,"",IFERROR(IF($B$4&gt;0,IF($M489="",1/0,$M489*$B$4),0)+IF($B$5&gt;0,IF($N489="",1/0,$N489*$B$5),0)+IF($B$6&gt;0,IF($O489="",1/0,$O489*$B$6),0),""))</f>
        <v/>
      </c>
      <c r="Q489" s="17" t="s">
        <v>44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489" s="2"/>
      <c r="XFC489" s="6"/>
    </row>
    <row r="490" s="5" customFormat="true" ht="28.5" hidden="false" customHeight="true" outlineLevel="0" collapsed="false">
      <c r="A490" s="16" t="str">
        <f aca="false">IF($T490="","",1+COUNTIF($W$15:$W$728,"&lt;"&amp;W490))</f>
        <v/>
      </c>
      <c r="B490" s="16" t="s">
        <v>8</v>
      </c>
      <c r="C490" s="16" t="s">
        <v>1464</v>
      </c>
      <c r="D490" s="16" t="s">
        <v>43</v>
      </c>
      <c r="E490" s="16" t="s">
        <v>44</v>
      </c>
      <c r="F490" s="16" t="s">
        <v>1465</v>
      </c>
      <c r="G490" s="16" t="s">
        <v>1466</v>
      </c>
      <c r="H490" s="17" t="n">
        <v>1899</v>
      </c>
      <c r="I490" s="17"/>
      <c r="J490" s="17"/>
      <c r="K490" s="17" t="n">
        <v>1899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1899</v>
      </c>
      <c r="N490" s="17" t="str">
        <f aca="false">IF($I490="","",$I490+$L490)</f>
        <v/>
      </c>
      <c r="O490" s="17" t="n">
        <f aca="false">IF($K490="","",$K490+$L490)</f>
        <v>1899</v>
      </c>
      <c r="P490" s="17" t="str">
        <f aca="false">IF($B$10=0,"",IFERROR(IF($B$4&gt;0,IF($M490="",1/0,$M490*$B$4),0)+IF($B$5&gt;0,IF($N490="",1/0,$N490*$B$5),0)+IF($B$6&gt;0,IF($O490="",1/0,$O490*$B$6),0),""))</f>
        <v/>
      </c>
      <c r="Q490" s="17" t="s">
        <v>44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490" s="2"/>
      <c r="XFC490" s="6"/>
    </row>
    <row r="491" s="5" customFormat="true" ht="28.5" hidden="false" customHeight="true" outlineLevel="0" collapsed="false">
      <c r="A491" s="16" t="str">
        <f aca="false">IF($T491="","",1+COUNTIF($W$15:$W$728,"&lt;"&amp;W491))</f>
        <v/>
      </c>
      <c r="B491" s="16" t="s">
        <v>10</v>
      </c>
      <c r="C491" s="16" t="s">
        <v>1467</v>
      </c>
      <c r="D491" s="16" t="s">
        <v>43</v>
      </c>
      <c r="E491" s="16" t="s">
        <v>44</v>
      </c>
      <c r="F491" s="16" t="s">
        <v>1468</v>
      </c>
      <c r="G491" s="16" t="s">
        <v>1469</v>
      </c>
      <c r="H491" s="17" t="n">
        <v>1930</v>
      </c>
      <c r="I491" s="17"/>
      <c r="J491" s="17"/>
      <c r="K491" s="17" t="n">
        <v>1859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1930</v>
      </c>
      <c r="N491" s="17" t="str">
        <f aca="false">IF($I491="","",$I491+$L491)</f>
        <v/>
      </c>
      <c r="O491" s="17" t="n">
        <f aca="false">IF($K491="","",$K491+$L491)</f>
        <v>1859</v>
      </c>
      <c r="P491" s="17" t="str">
        <f aca="false">IF($B$10=0,"",IFERROR(IF($B$4&gt;0,IF($M491="",1/0,$M491*$B$4),0)+IF($B$5&gt;0,IF($N491="",1/0,$N491*$B$5),0)+IF($B$6&gt;0,IF($O491="",1/0,$O491*$B$6),0),""))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491" s="2"/>
      <c r="XFC491" s="6"/>
    </row>
    <row r="492" s="5" customFormat="true" ht="28.5" hidden="false" customHeight="true" outlineLevel="0" collapsed="false">
      <c r="A492" s="16" t="str">
        <f aca="false">IF($T492="","",1+COUNTIF($W$15:$W$728,"&lt;"&amp;W492))</f>
        <v/>
      </c>
      <c r="B492" s="16" t="s">
        <v>6</v>
      </c>
      <c r="C492" s="16" t="s">
        <v>1470</v>
      </c>
      <c r="D492" s="16" t="s">
        <v>574</v>
      </c>
      <c r="E492" s="16" t="s">
        <v>44</v>
      </c>
      <c r="F492" s="16" t="s">
        <v>1471</v>
      </c>
      <c r="G492" s="16" t="s">
        <v>1472</v>
      </c>
      <c r="H492" s="17" t="n">
        <v>1739</v>
      </c>
      <c r="I492" s="17"/>
      <c r="J492" s="17"/>
      <c r="K492" s="17" t="n">
        <v>1649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1739</v>
      </c>
      <c r="N492" s="17" t="str">
        <f aca="false">IF($I492="","",$I492+$L492)</f>
        <v/>
      </c>
      <c r="O492" s="17" t="n">
        <f aca="false">IF($K492="","",$K492+$L492)</f>
        <v>1649</v>
      </c>
      <c r="P492" s="17" t="str">
        <f aca="false">IF($B$10=0,"",IFERROR(IF($B$4&gt;0,IF($M492="",1/0,$M492*$B$4),0)+IF($B$5&gt;0,IF($N492="",1/0,$N492*$B$5),0)+IF($B$6&gt;0,IF($O492="",1/0,$O492*$B$6),0),""))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492" s="2"/>
      <c r="XFC492" s="6"/>
    </row>
    <row r="493" s="5" customFormat="true" ht="28.5" hidden="false" customHeight="true" outlineLevel="0" collapsed="false">
      <c r="A493" s="16" t="str">
        <f aca="false">IF($T493="","",1+COUNTIF($W$15:$W$728,"&lt;"&amp;W493))</f>
        <v/>
      </c>
      <c r="B493" s="16" t="s">
        <v>10</v>
      </c>
      <c r="C493" s="16" t="s">
        <v>1473</v>
      </c>
      <c r="D493" s="16" t="s">
        <v>141</v>
      </c>
      <c r="E493" s="16" t="s">
        <v>58</v>
      </c>
      <c r="F493" s="16" t="s">
        <v>1474</v>
      </c>
      <c r="G493" s="16" t="s">
        <v>1475</v>
      </c>
      <c r="H493" s="17" t="n">
        <v>1959</v>
      </c>
      <c r="I493" s="17"/>
      <c r="J493" s="17"/>
      <c r="K493" s="17" t="n">
        <v>2049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1959</v>
      </c>
      <c r="N493" s="17" t="str">
        <f aca="false">IF($I493="","",$I493+$L493)</f>
        <v/>
      </c>
      <c r="O493" s="17" t="n">
        <f aca="false">IF($K493="","",$K493+$L493)</f>
        <v>2049</v>
      </c>
      <c r="P493" s="17" t="str">
        <f aca="false">IF($B$10=0,"",IFERROR(IF($B$4&gt;0,IF($M493="",1/0,$M493*$B$4),0)+IF($B$5&gt;0,IF($N493="",1/0,$N493*$B$5),0)+IF($B$6&gt;0,IF($O493="",1/0,$O493*$B$6),0),""))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493" s="2"/>
      <c r="XFC493" s="6"/>
    </row>
    <row r="494" s="5" customFormat="true" ht="28.5" hidden="false" customHeight="true" outlineLevel="0" collapsed="false">
      <c r="A494" s="16" t="str">
        <f aca="false">IF($T494="","",1+COUNTIF($W$15:$W$728,"&lt;"&amp;W494))</f>
        <v/>
      </c>
      <c r="B494" s="16" t="s">
        <v>12</v>
      </c>
      <c r="C494" s="16" t="s">
        <v>1476</v>
      </c>
      <c r="D494" s="20" t="s">
        <v>303</v>
      </c>
      <c r="E494" s="16" t="s">
        <v>44</v>
      </c>
      <c r="F494" s="16" t="s">
        <v>1477</v>
      </c>
      <c r="G494" s="16" t="s">
        <v>1478</v>
      </c>
      <c r="H494" s="17" t="n">
        <v>1959</v>
      </c>
      <c r="I494" s="17"/>
      <c r="J494" s="17"/>
      <c r="K494" s="17" t="n">
        <v>2049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1959</v>
      </c>
      <c r="N494" s="17" t="str">
        <f aca="false">IF($I494="","",$I494+$L494)</f>
        <v/>
      </c>
      <c r="O494" s="17" t="n">
        <f aca="false">IF($K494="","",$K494+$L494)</f>
        <v>2049</v>
      </c>
      <c r="P494" s="17" t="str">
        <f aca="false">IF($B$10=0,"",IFERROR(IF($B$4&gt;0,IF($M494="",1/0,$M494*$B$4),0)+IF($B$5&gt;0,IF($N494="",1/0,$N494*$B$5),0)+IF($B$6&gt;0,IF($O494="",1/0,$O494*$B$6),0),""))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494" s="2"/>
      <c r="XFC494" s="6"/>
    </row>
    <row r="495" s="5" customFormat="true" ht="28.5" hidden="false" customHeight="true" outlineLevel="0" collapsed="false">
      <c r="A495" s="16" t="str">
        <f aca="false">IF($T495="","",1+COUNTIF($W$15:$W$728,"&lt;"&amp;W495))</f>
        <v/>
      </c>
      <c r="B495" s="16" t="s">
        <v>6</v>
      </c>
      <c r="C495" s="16" t="s">
        <v>1479</v>
      </c>
      <c r="D495" s="16" t="s">
        <v>43</v>
      </c>
      <c r="E495" s="16" t="s">
        <v>58</v>
      </c>
      <c r="F495" s="16" t="s">
        <v>1480</v>
      </c>
      <c r="G495" s="16" t="s">
        <v>1481</v>
      </c>
      <c r="H495" s="17" t="n">
        <v>1899</v>
      </c>
      <c r="I495" s="17"/>
      <c r="J495" s="17"/>
      <c r="K495" s="17" t="n">
        <v>1979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1899</v>
      </c>
      <c r="N495" s="17" t="str">
        <f aca="false">IF($I495="","",$I495+$L495)</f>
        <v/>
      </c>
      <c r="O495" s="17" t="n">
        <f aca="false">IF($K495="","",$K495+$L495)</f>
        <v>1979</v>
      </c>
      <c r="P495" s="17" t="str">
        <f aca="false">IF($B$10=0,"",IFERROR(IF($B$4&gt;0,IF($M495="",1/0,$M495*$B$4),0)+IF($B$5&gt;0,IF($N495="",1/0,$N495*$B$5),0)+IF($B$6&gt;0,IF($O495="",1/0,$O495*$B$6),0),""))</f>
        <v/>
      </c>
      <c r="Q495" s="17" t="s">
        <v>44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495" s="2"/>
      <c r="XFC495" s="6"/>
    </row>
    <row r="496" s="5" customFormat="true" ht="28.5" hidden="false" customHeight="true" outlineLevel="0" collapsed="false">
      <c r="A496" s="16" t="str">
        <f aca="false">IF($T496="","",1+COUNTIF($W$15:$W$728,"&lt;"&amp;W496))</f>
        <v/>
      </c>
      <c r="B496" s="16" t="s">
        <v>10</v>
      </c>
      <c r="C496" s="16" t="s">
        <v>1482</v>
      </c>
      <c r="D496" s="16" t="s">
        <v>43</v>
      </c>
      <c r="E496" s="16" t="s">
        <v>44</v>
      </c>
      <c r="F496" s="16" t="s">
        <v>1483</v>
      </c>
      <c r="G496" s="16" t="s">
        <v>1484</v>
      </c>
      <c r="H496" s="17" t="n">
        <v>1928</v>
      </c>
      <c r="I496" s="17"/>
      <c r="J496" s="17"/>
      <c r="K496" s="17" t="n">
        <v>1998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1928</v>
      </c>
      <c r="N496" s="17" t="str">
        <f aca="false">IF($I496="","",$I496+$L496)</f>
        <v/>
      </c>
      <c r="O496" s="17" t="n">
        <f aca="false">IF($K496="","",$K496+$L496)</f>
        <v>1998</v>
      </c>
      <c r="P496" s="17" t="str">
        <f aca="false">IF($B$10=0,"",IFERROR(IF($B$4&gt;0,IF($M496="",1/0,$M496*$B$4),0)+IF($B$5&gt;0,IF($N496="",1/0,$N496*$B$5),0)+IF($B$6&gt;0,IF($O496="",1/0,$O496*$B$6),0),""))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496" s="2"/>
      <c r="XFC496" s="6"/>
    </row>
    <row r="497" s="5" customFormat="true" ht="28.5" hidden="false" customHeight="true" outlineLevel="0" collapsed="false">
      <c r="A497" s="16" t="str">
        <f aca="false">IF($T497="","",1+COUNTIF($W$15:$W$728,"&lt;"&amp;W497))</f>
        <v/>
      </c>
      <c r="B497" s="16" t="s">
        <v>6</v>
      </c>
      <c r="C497" s="16" t="s">
        <v>1485</v>
      </c>
      <c r="D497" s="16" t="s">
        <v>141</v>
      </c>
      <c r="E497" s="16" t="s">
        <v>44</v>
      </c>
      <c r="F497" s="16" t="s">
        <v>1486</v>
      </c>
      <c r="G497" s="16" t="s">
        <v>1487</v>
      </c>
      <c r="H497" s="17" t="n">
        <v>1919</v>
      </c>
      <c r="I497" s="17"/>
      <c r="J497" s="17"/>
      <c r="K497" s="17" t="n">
        <v>1989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1919</v>
      </c>
      <c r="N497" s="17" t="str">
        <f aca="false">IF($I497="","",$I497+$L497)</f>
        <v/>
      </c>
      <c r="O497" s="17" t="n">
        <f aca="false">IF($K497="","",$K497+$L497)</f>
        <v>1989</v>
      </c>
      <c r="P497" s="17" t="str">
        <f aca="false">IF($B$10=0,"",IFERROR(IF($B$4&gt;0,IF($M497="",1/0,$M497*$B$4),0)+IF($B$5&gt;0,IF($N497="",1/0,$N497*$B$5),0)+IF($B$6&gt;0,IF($O497="",1/0,$O497*$B$6),0),""))</f>
        <v/>
      </c>
      <c r="Q497" s="17" t="s">
        <v>44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497" s="2"/>
      <c r="XFC497" s="6"/>
    </row>
    <row r="498" s="5" customFormat="true" ht="28.5" hidden="false" customHeight="true" outlineLevel="0" collapsed="false">
      <c r="A498" s="16" t="str">
        <f aca="false">IF($T498="","",1+COUNTIF($W$15:$W$728,"&lt;"&amp;W498))</f>
        <v/>
      </c>
      <c r="B498" s="16" t="s">
        <v>10</v>
      </c>
      <c r="C498" s="16" t="s">
        <v>1488</v>
      </c>
      <c r="D498" s="16" t="s">
        <v>43</v>
      </c>
      <c r="E498" s="16" t="s">
        <v>44</v>
      </c>
      <c r="F498" s="16" t="s">
        <v>1489</v>
      </c>
      <c r="G498" s="16" t="s">
        <v>1490</v>
      </c>
      <c r="H498" s="17" t="n">
        <v>1899</v>
      </c>
      <c r="I498" s="17"/>
      <c r="J498" s="17"/>
      <c r="K498" s="17" t="n">
        <v>1899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1899</v>
      </c>
      <c r="N498" s="17" t="str">
        <f aca="false">IF($I498="","",$I498+$L498)</f>
        <v/>
      </c>
      <c r="O498" s="17" t="n">
        <f aca="false">IF($K498="","",$K498+$L498)</f>
        <v>1899</v>
      </c>
      <c r="P498" s="17" t="str">
        <f aca="false">IF($B$10=0,"",IFERROR(IF($B$4&gt;0,IF($M498="",1/0,$M498*$B$4),0)+IF($B$5&gt;0,IF($N498="",1/0,$N498*$B$5),0)+IF($B$6&gt;0,IF($O498="",1/0,$O498*$B$6),0),""))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498" s="2"/>
      <c r="XFC498" s="6"/>
    </row>
    <row r="499" s="5" customFormat="true" ht="28.5" hidden="false" customHeight="true" outlineLevel="0" collapsed="false">
      <c r="A499" s="16" t="str">
        <f aca="false">IF($T499="","",1+COUNTIF($W$15:$W$728,"&lt;"&amp;W499))</f>
        <v/>
      </c>
      <c r="B499" s="16" t="s">
        <v>6</v>
      </c>
      <c r="C499" s="16" t="s">
        <v>1491</v>
      </c>
      <c r="D499" s="16" t="s">
        <v>141</v>
      </c>
      <c r="E499" s="16" t="s">
        <v>44</v>
      </c>
      <c r="F499" s="16" t="s">
        <v>1492</v>
      </c>
      <c r="G499" s="16" t="s">
        <v>1493</v>
      </c>
      <c r="H499" s="17" t="n">
        <v>1980</v>
      </c>
      <c r="I499" s="17"/>
      <c r="J499" s="17"/>
      <c r="K499" s="17" t="n">
        <v>2050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1980</v>
      </c>
      <c r="N499" s="17" t="str">
        <f aca="false">IF($I499="","",$I499+$L499)</f>
        <v/>
      </c>
      <c r="O499" s="17" t="n">
        <f aca="false">IF($K499="","",$K499+$L499)</f>
        <v>2050</v>
      </c>
      <c r="P499" s="17" t="str">
        <f aca="false">IF($B$10=0,"",IFERROR(IF($B$4&gt;0,IF($M499="",1/0,$M499*$B$4),0)+IF($B$5&gt;0,IF($N499="",1/0,$N499*$B$5),0)+IF($B$6&gt;0,IF($O499="",1/0,$O499*$B$6),0),""))</f>
        <v/>
      </c>
      <c r="Q499" s="17" t="s">
        <v>44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499" s="2"/>
      <c r="XFC499" s="6"/>
    </row>
    <row r="500" s="5" customFormat="true" ht="28.5" hidden="false" customHeight="true" outlineLevel="0" collapsed="false">
      <c r="A500" s="16" t="str">
        <f aca="false">IF($T500="","",1+COUNTIF($W$15:$W$728,"&lt;"&amp;W500))</f>
        <v/>
      </c>
      <c r="B500" s="16" t="s">
        <v>8</v>
      </c>
      <c r="C500" s="16" t="s">
        <v>1494</v>
      </c>
      <c r="D500" s="16" t="s">
        <v>574</v>
      </c>
      <c r="E500" s="16" t="s">
        <v>58</v>
      </c>
      <c r="F500" s="16" t="s">
        <v>1495</v>
      </c>
      <c r="G500" s="16" t="s">
        <v>1496</v>
      </c>
      <c r="H500" s="17" t="n">
        <v>1820</v>
      </c>
      <c r="I500" s="17"/>
      <c r="J500" s="17"/>
      <c r="K500" s="17" t="n">
        <v>1850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1820</v>
      </c>
      <c r="N500" s="17" t="str">
        <f aca="false">IF($I500="","",$I500+$L500)</f>
        <v/>
      </c>
      <c r="O500" s="17" t="n">
        <f aca="false">IF($K500="","",$K500+$L500)</f>
        <v>1850</v>
      </c>
      <c r="P500" s="17" t="str">
        <f aca="false">IF($B$10=0,"",IFERROR(IF($B$4&gt;0,IF($M500="",1/0,$M500*$B$4),0)+IF($B$5&gt;0,IF($N500="",1/0,$N500*$B$5),0)+IF($B$6&gt;0,IF($O500="",1/0,$O500*$B$6),0),""))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500" s="2"/>
      <c r="XFC500" s="6"/>
    </row>
    <row r="501" s="5" customFormat="true" ht="28.5" hidden="false" customHeight="true" outlineLevel="0" collapsed="false">
      <c r="A501" s="16" t="str">
        <f aca="false">IF($T501="","",1+COUNTIF($W$15:$W$728,"&lt;"&amp;W501))</f>
        <v/>
      </c>
      <c r="B501" s="16" t="s">
        <v>8</v>
      </c>
      <c r="C501" s="16" t="s">
        <v>1497</v>
      </c>
      <c r="D501" s="16" t="s">
        <v>574</v>
      </c>
      <c r="E501" s="16" t="s">
        <v>58</v>
      </c>
      <c r="F501" s="16" t="s">
        <v>1498</v>
      </c>
      <c r="G501" s="16" t="s">
        <v>1499</v>
      </c>
      <c r="H501" s="17" t="n">
        <v>1820</v>
      </c>
      <c r="I501" s="17"/>
      <c r="J501" s="17"/>
      <c r="K501" s="17" t="n">
        <v>1790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1820</v>
      </c>
      <c r="N501" s="17" t="str">
        <f aca="false">IF($I501="","",$I501+$L501)</f>
        <v/>
      </c>
      <c r="O501" s="17" t="n">
        <f aca="false">IF($K501="","",$K501+$L501)</f>
        <v>1790</v>
      </c>
      <c r="P501" s="17" t="str">
        <f aca="false">IF($B$10=0,"",IFERROR(IF($B$4&gt;0,IF($M501="",1/0,$M501*$B$4),0)+IF($B$5&gt;0,IF($N501="",1/0,$N501*$B$5),0)+IF($B$6&gt;0,IF($O501="",1/0,$O501*$B$6),0),""))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501" s="2"/>
      <c r="XFC501" s="6"/>
    </row>
    <row r="502" s="5" customFormat="true" ht="28.5" hidden="false" customHeight="true" outlineLevel="0" collapsed="false">
      <c r="A502" s="16" t="str">
        <f aca="false">IF($T502="","",1+COUNTIF($W$15:$W$728,"&lt;"&amp;W502))</f>
        <v/>
      </c>
      <c r="B502" s="16" t="s">
        <v>10</v>
      </c>
      <c r="C502" s="16" t="s">
        <v>1500</v>
      </c>
      <c r="D502" s="16" t="s">
        <v>574</v>
      </c>
      <c r="E502" s="16" t="s">
        <v>58</v>
      </c>
      <c r="F502" s="16" t="s">
        <v>1501</v>
      </c>
      <c r="G502" s="16" t="s">
        <v>1502</v>
      </c>
      <c r="H502" s="17" t="n">
        <v>1998</v>
      </c>
      <c r="I502" s="17"/>
      <c r="J502" s="17"/>
      <c r="K502" s="17" t="n">
        <v>2295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1998</v>
      </c>
      <c r="N502" s="17" t="str">
        <f aca="false">IF($I502="","",$I502+$L502)</f>
        <v/>
      </c>
      <c r="O502" s="17" t="n">
        <f aca="false">IF($K502="","",$K502+$L502)</f>
        <v>2295</v>
      </c>
      <c r="P502" s="17" t="str">
        <f aca="false">IF($B$10=0,"",IFERROR(IF($B$4&gt;0,IF($M502="",1/0,$M502*$B$4),0)+IF($B$5&gt;0,IF($N502="",1/0,$N502*$B$5),0)+IF($B$6&gt;0,IF($O502="",1/0,$O502*$B$6),0),""))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502" s="2"/>
      <c r="XFC502" s="6"/>
    </row>
    <row r="503" s="5" customFormat="true" ht="28.5" hidden="false" customHeight="true" outlineLevel="0" collapsed="false">
      <c r="A503" s="16" t="str">
        <f aca="false">IF($T503="","",1+COUNTIF($W$15:$W$728,"&lt;"&amp;W503))</f>
        <v/>
      </c>
      <c r="B503" s="16" t="s">
        <v>14</v>
      </c>
      <c r="C503" s="16" t="s">
        <v>1503</v>
      </c>
      <c r="D503" s="16" t="s">
        <v>574</v>
      </c>
      <c r="E503" s="16" t="s">
        <v>58</v>
      </c>
      <c r="F503" s="16" t="s">
        <v>1504</v>
      </c>
      <c r="G503" s="16" t="s">
        <v>1505</v>
      </c>
      <c r="H503" s="17" t="n">
        <v>1770</v>
      </c>
      <c r="I503" s="17"/>
      <c r="J503" s="17"/>
      <c r="K503" s="17" t="n">
        <v>1740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1770</v>
      </c>
      <c r="N503" s="17" t="str">
        <f aca="false">IF($I503="","",$I503+$L503)</f>
        <v/>
      </c>
      <c r="O503" s="17" t="n">
        <f aca="false">IF($K503="","",$K503+$L503)</f>
        <v>1740</v>
      </c>
      <c r="P503" s="17" t="str">
        <f aca="false">IF($B$10=0,"",IFERROR(IF($B$4&gt;0,IF($M503="",1/0,$M503*$B$4),0)+IF($B$5&gt;0,IF($N503="",1/0,$N503*$B$5),0)+IF($B$6&gt;0,IF($O503="",1/0,$O503*$B$6),0),""))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503" s="2"/>
      <c r="XFC503" s="6"/>
    </row>
    <row r="504" s="5" customFormat="true" ht="28.5" hidden="false" customHeight="true" outlineLevel="0" collapsed="false">
      <c r="A504" s="16" t="str">
        <f aca="false">IF($T504="","",1+COUNTIF($W$15:$W$728,"&lt;"&amp;W504))</f>
        <v/>
      </c>
      <c r="B504" s="16" t="s">
        <v>14</v>
      </c>
      <c r="C504" s="16" t="s">
        <v>1506</v>
      </c>
      <c r="D504" s="16" t="s">
        <v>141</v>
      </c>
      <c r="E504" s="16" t="s">
        <v>44</v>
      </c>
      <c r="F504" s="16" t="s">
        <v>1507</v>
      </c>
      <c r="G504" s="16" t="s">
        <v>1508</v>
      </c>
      <c r="H504" s="17" t="n">
        <v>1982</v>
      </c>
      <c r="I504" s="17"/>
      <c r="J504" s="17"/>
      <c r="K504" s="17" t="n">
        <v>1994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1982</v>
      </c>
      <c r="N504" s="17" t="str">
        <f aca="false">IF($I504="","",$I504+$L504)</f>
        <v/>
      </c>
      <c r="O504" s="17" t="n">
        <f aca="false">IF($K504="","",$K504+$L504)</f>
        <v>1994</v>
      </c>
      <c r="P504" s="17" t="str">
        <f aca="false">IF($B$10=0,"",IFERROR(IF($B$4&gt;0,IF($M504="",1/0,$M504*$B$4),0)+IF($B$5&gt;0,IF($N504="",1/0,$N504*$B$5),0)+IF($B$6&gt;0,IF($O504="",1/0,$O504*$B$6),0),""))</f>
        <v/>
      </c>
      <c r="Q504" s="17" t="s">
        <v>44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504" s="2"/>
      <c r="XFC504" s="6"/>
    </row>
    <row r="505" s="5" customFormat="true" ht="28.5" hidden="false" customHeight="true" outlineLevel="0" collapsed="false">
      <c r="A505" s="16" t="str">
        <f aca="false">IF($T505="","",1+COUNTIF($W$15:$W$728,"&lt;"&amp;W505))</f>
        <v/>
      </c>
      <c r="B505" s="16" t="s">
        <v>8</v>
      </c>
      <c r="C505" s="16" t="s">
        <v>1509</v>
      </c>
      <c r="D505" s="16" t="s">
        <v>48</v>
      </c>
      <c r="E505" s="16" t="s">
        <v>44</v>
      </c>
      <c r="F505" s="16" t="s">
        <v>1510</v>
      </c>
      <c r="G505" s="16" t="s">
        <v>1511</v>
      </c>
      <c r="H505" s="17" t="n">
        <v>1853</v>
      </c>
      <c r="I505" s="17"/>
      <c r="J505" s="17"/>
      <c r="K505" s="17" t="n">
        <v>1873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1853</v>
      </c>
      <c r="N505" s="17" t="str">
        <f aca="false">IF($I505="","",$I505+$L505)</f>
        <v/>
      </c>
      <c r="O505" s="17" t="n">
        <f aca="false">IF($K505="","",$K505+$L505)</f>
        <v>1873</v>
      </c>
      <c r="P505" s="17" t="str">
        <f aca="false">IF($B$10=0,"",IFERROR(IF($B$4&gt;0,IF($M505="",1/0,$M505*$B$4),0)+IF($B$5&gt;0,IF($N505="",1/0,$N505*$B$5),0)+IF($B$6&gt;0,IF($O505="",1/0,$O505*$B$6),0),""))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505" s="2"/>
      <c r="XFC505" s="6"/>
    </row>
    <row r="506" s="5" customFormat="true" ht="28.5" hidden="false" customHeight="true" outlineLevel="0" collapsed="false">
      <c r="A506" s="16" t="str">
        <f aca="false">IF($T506="","",1+COUNTIF($W$15:$W$728,"&lt;"&amp;W506))</f>
        <v/>
      </c>
      <c r="B506" s="16" t="s">
        <v>8</v>
      </c>
      <c r="C506" s="16" t="s">
        <v>1512</v>
      </c>
      <c r="D506" s="16" t="s">
        <v>141</v>
      </c>
      <c r="E506" s="16" t="s">
        <v>44</v>
      </c>
      <c r="F506" s="16" t="s">
        <v>1513</v>
      </c>
      <c r="G506" s="16" t="s">
        <v>1514</v>
      </c>
      <c r="H506" s="17" t="n">
        <v>1895</v>
      </c>
      <c r="I506" s="17"/>
      <c r="J506" s="17"/>
      <c r="K506" s="17" t="n">
        <v>1895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1895</v>
      </c>
      <c r="N506" s="17" t="str">
        <f aca="false">IF($I506="","",$I506+$L506)</f>
        <v/>
      </c>
      <c r="O506" s="17" t="n">
        <f aca="false">IF($K506="","",$K506+$L506)</f>
        <v>1895</v>
      </c>
      <c r="P506" s="17" t="str">
        <f aca="false">IF($B$10=0,"",IFERROR(IF($B$4&gt;0,IF($M506="",1/0,$M506*$B$4),0)+IF($B$5&gt;0,IF($N506="",1/0,$N506*$B$5),0)+IF($B$6&gt;0,IF($O506="",1/0,$O506*$B$6),0),""))</f>
        <v/>
      </c>
      <c r="Q506" s="17" t="s">
        <v>44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506" s="2"/>
      <c r="XFC506" s="6"/>
    </row>
    <row r="507" s="5" customFormat="true" ht="28.5" hidden="false" customHeight="true" outlineLevel="0" collapsed="false">
      <c r="A507" s="16" t="str">
        <f aca="false">IF($T507="","",1+COUNTIF($W$15:$W$728,"&lt;"&amp;W507))</f>
        <v/>
      </c>
      <c r="B507" s="16" t="s">
        <v>10</v>
      </c>
      <c r="C507" s="16" t="s">
        <v>1515</v>
      </c>
      <c r="D507" s="16" t="s">
        <v>141</v>
      </c>
      <c r="E507" s="16" t="s">
        <v>44</v>
      </c>
      <c r="F507" s="16" t="s">
        <v>1516</v>
      </c>
      <c r="G507" s="16" t="s">
        <v>1517</v>
      </c>
      <c r="H507" s="17" t="n">
        <v>1895</v>
      </c>
      <c r="I507" s="17"/>
      <c r="J507" s="17"/>
      <c r="K507" s="17" t="n">
        <v>1895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1895</v>
      </c>
      <c r="N507" s="17" t="str">
        <f aca="false">IF($I507="","",$I507+$L507)</f>
        <v/>
      </c>
      <c r="O507" s="17" t="n">
        <f aca="false">IF($K507="","",$K507+$L507)</f>
        <v>1895</v>
      </c>
      <c r="P507" s="17" t="str">
        <f aca="false">IF($B$10=0,"",IFERROR(IF($B$4&gt;0,IF($M507="",1/0,$M507*$B$4),0)+IF($B$5&gt;0,IF($N507="",1/0,$N507*$B$5),0)+IF($B$6&gt;0,IF($O507="",1/0,$O507*$B$6),0),""))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507" s="2"/>
      <c r="XFC507" s="6"/>
    </row>
    <row r="508" s="5" customFormat="true" ht="28.5" hidden="false" customHeight="true" outlineLevel="0" collapsed="false">
      <c r="A508" s="16" t="str">
        <f aca="false">IF($T508="","",1+COUNTIF($W$15:$W$728,"&lt;"&amp;W508))</f>
        <v/>
      </c>
      <c r="B508" s="16" t="s">
        <v>14</v>
      </c>
      <c r="C508" s="16" t="s">
        <v>1518</v>
      </c>
      <c r="D508" s="16" t="s">
        <v>43</v>
      </c>
      <c r="E508" s="16" t="s">
        <v>44</v>
      </c>
      <c r="F508" s="16" t="s">
        <v>1519</v>
      </c>
      <c r="G508" s="16" t="s">
        <v>1520</v>
      </c>
      <c r="H508" s="17" t="n">
        <v>1825</v>
      </c>
      <c r="I508" s="17"/>
      <c r="J508" s="17"/>
      <c r="K508" s="17" t="n">
        <v>1850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1825</v>
      </c>
      <c r="N508" s="17" t="str">
        <f aca="false">IF($I508="","",$I508+$L508)</f>
        <v/>
      </c>
      <c r="O508" s="17" t="n">
        <f aca="false">IF($K508="","",$K508+$L508)</f>
        <v>1850</v>
      </c>
      <c r="P508" s="17" t="str">
        <f aca="false">IF($B$10=0,"",IFERROR(IF($B$4&gt;0,IF($M508="",1/0,$M508*$B$4),0)+IF($B$5&gt;0,IF($N508="",1/0,$N508*$B$5),0)+IF($B$6&gt;0,IF($O508="",1/0,$O508*$B$6),0),""))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508" s="2"/>
      <c r="XFC508" s="6"/>
    </row>
    <row r="509" s="5" customFormat="true" ht="28.5" hidden="false" customHeight="true" outlineLevel="0" collapsed="false">
      <c r="A509" s="16" t="str">
        <f aca="false">IF($T509="","",1+COUNTIF($W$15:$W$728,"&lt;"&amp;W509))</f>
        <v/>
      </c>
      <c r="B509" s="16" t="s">
        <v>6</v>
      </c>
      <c r="C509" s="16" t="s">
        <v>1521</v>
      </c>
      <c r="D509" s="16" t="s">
        <v>141</v>
      </c>
      <c r="E509" s="16" t="s">
        <v>44</v>
      </c>
      <c r="F509" s="16" t="s">
        <v>1522</v>
      </c>
      <c r="G509" s="16" t="s">
        <v>1523</v>
      </c>
      <c r="H509" s="17" t="n">
        <v>1905</v>
      </c>
      <c r="I509" s="17"/>
      <c r="J509" s="17"/>
      <c r="K509" s="17" t="n">
        <v>1965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1905</v>
      </c>
      <c r="N509" s="17" t="str">
        <f aca="false">IF($I509="","",$I509+$L509)</f>
        <v/>
      </c>
      <c r="O509" s="17" t="n">
        <f aca="false">IF($K509="","",$K509+$L509)</f>
        <v>1965</v>
      </c>
      <c r="P509" s="17" t="str">
        <f aca="false">IF($B$10=0,"",IFERROR(IF($B$4&gt;0,IF($M509="",1/0,$M509*$B$4),0)+IF($B$5&gt;0,IF($N509="",1/0,$N509*$B$5),0)+IF($B$6&gt;0,IF($O509="",1/0,$O509*$B$6),0),""))</f>
        <v/>
      </c>
      <c r="Q509" s="17" t="s">
        <v>44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509" s="2"/>
      <c r="XFC509" s="6"/>
    </row>
    <row r="510" s="5" customFormat="true" ht="28.5" hidden="false" customHeight="true" outlineLevel="0" collapsed="false">
      <c r="A510" s="16" t="str">
        <f aca="false">IF($T510="","",1+COUNTIF($W$15:$W$728,"&lt;"&amp;W510))</f>
        <v/>
      </c>
      <c r="B510" s="16" t="s">
        <v>12</v>
      </c>
      <c r="C510" s="16" t="s">
        <v>1524</v>
      </c>
      <c r="D510" s="20" t="s">
        <v>303</v>
      </c>
      <c r="E510" s="16" t="s">
        <v>58</v>
      </c>
      <c r="F510" s="16" t="s">
        <v>1525</v>
      </c>
      <c r="G510" s="16" t="s">
        <v>1526</v>
      </c>
      <c r="H510" s="17" t="n">
        <v>1945</v>
      </c>
      <c r="I510" s="17"/>
      <c r="J510" s="17"/>
      <c r="K510" s="17" t="n">
        <v>1955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1945</v>
      </c>
      <c r="N510" s="17" t="str">
        <f aca="false">IF($I510="","",$I510+$L510)</f>
        <v/>
      </c>
      <c r="O510" s="17" t="n">
        <f aca="false">IF($K510="","",$K510+$L510)</f>
        <v>1955</v>
      </c>
      <c r="P510" s="17" t="str">
        <f aca="false">IF($B$10=0,"",IFERROR(IF($B$4&gt;0,IF($M510="",1/0,$M510*$B$4),0)+IF($B$5&gt;0,IF($N510="",1/0,$N510*$B$5),0)+IF($B$6&gt;0,IF($O510="",1/0,$O510*$B$6),0),""))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510" s="2"/>
      <c r="XFC510" s="6"/>
    </row>
    <row r="511" s="5" customFormat="true" ht="28.5" hidden="false" customHeight="true" outlineLevel="0" collapsed="false">
      <c r="A511" s="16" t="str">
        <f aca="false">IF($T511="","",1+COUNTIF($W$15:$W$728,"&lt;"&amp;W511))</f>
        <v/>
      </c>
      <c r="B511" s="16" t="s">
        <v>12</v>
      </c>
      <c r="C511" s="16" t="s">
        <v>1527</v>
      </c>
      <c r="D511" s="20" t="s">
        <v>131</v>
      </c>
      <c r="E511" s="16" t="s">
        <v>44</v>
      </c>
      <c r="F511" s="16" t="s">
        <v>1528</v>
      </c>
      <c r="G511" s="16" t="s">
        <v>1529</v>
      </c>
      <c r="H511" s="17" t="n">
        <v>1943</v>
      </c>
      <c r="I511" s="17"/>
      <c r="J511" s="17"/>
      <c r="K511" s="17" t="n">
        <v>2153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1943</v>
      </c>
      <c r="N511" s="17" t="str">
        <f aca="false">IF($I511="","",$I511+$L511)</f>
        <v/>
      </c>
      <c r="O511" s="17" t="n">
        <f aca="false">IF($K511="","",$K511+$L511)</f>
        <v>2153</v>
      </c>
      <c r="P511" s="17" t="str">
        <f aca="false">IF($B$10=0,"",IFERROR(IF($B$4&gt;0,IF($M511="",1/0,$M511*$B$4),0)+IF($B$5&gt;0,IF($N511="",1/0,$N511*$B$5),0)+IF($B$6&gt;0,IF($O511="",1/0,$O511*$B$6),0),""))</f>
        <v/>
      </c>
      <c r="Q511" s="17" t="s">
        <v>44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511" s="2"/>
      <c r="XFC511" s="6"/>
    </row>
    <row r="512" s="5" customFormat="true" ht="28.5" hidden="false" customHeight="true" outlineLevel="0" collapsed="false">
      <c r="A512" s="16" t="str">
        <f aca="false">IF($T512="","",1+COUNTIF($W$15:$W$728,"&lt;"&amp;W512))</f>
        <v/>
      </c>
      <c r="B512" s="16" t="s">
        <v>8</v>
      </c>
      <c r="C512" s="16" t="s">
        <v>1530</v>
      </c>
      <c r="D512" s="16" t="s">
        <v>48</v>
      </c>
      <c r="E512" s="16" t="s">
        <v>44</v>
      </c>
      <c r="F512" s="16" t="s">
        <v>1531</v>
      </c>
      <c r="G512" s="16" t="s">
        <v>1532</v>
      </c>
      <c r="H512" s="17" t="n">
        <v>1847</v>
      </c>
      <c r="I512" s="17"/>
      <c r="J512" s="17"/>
      <c r="K512" s="17" t="n">
        <v>1897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1847</v>
      </c>
      <c r="N512" s="17" t="str">
        <f aca="false">IF($I512="","",$I512+$L512)</f>
        <v/>
      </c>
      <c r="O512" s="17" t="n">
        <f aca="false">IF($K512="","",$K512+$L512)</f>
        <v>1897</v>
      </c>
      <c r="P512" s="17" t="str">
        <f aca="false">IF($B$10=0,"",IFERROR(IF($B$4&gt;0,IF($M512="",1/0,$M512*$B$4),0)+IF($B$5&gt;0,IF($N512="",1/0,$N512*$B$5),0)+IF($B$6&gt;0,IF($O512="",1/0,$O512*$B$6),0),""))</f>
        <v/>
      </c>
      <c r="Q512" s="17" t="s">
        <v>44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512" s="2"/>
      <c r="XFC512" s="6"/>
    </row>
    <row r="513" s="5" customFormat="true" ht="28.5" hidden="false" customHeight="true" outlineLevel="0" collapsed="false">
      <c r="A513" s="16" t="str">
        <f aca="false">IF($T513="","",1+COUNTIF($W$15:$W$728,"&lt;"&amp;W513))</f>
        <v/>
      </c>
      <c r="B513" s="16" t="s">
        <v>14</v>
      </c>
      <c r="C513" s="16" t="s">
        <v>1264</v>
      </c>
      <c r="D513" s="16" t="s">
        <v>43</v>
      </c>
      <c r="E513" s="16" t="s">
        <v>58</v>
      </c>
      <c r="F513" s="16" t="s">
        <v>1533</v>
      </c>
      <c r="G513" s="16" t="s">
        <v>1534</v>
      </c>
      <c r="H513" s="17" t="n">
        <v>1837</v>
      </c>
      <c r="I513" s="17"/>
      <c r="J513" s="17"/>
      <c r="K513" s="17" t="n">
        <v>1887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1837</v>
      </c>
      <c r="N513" s="17" t="str">
        <f aca="false">IF($I513="","",$I513+$L513)</f>
        <v/>
      </c>
      <c r="O513" s="17" t="n">
        <f aca="false">IF($K513="","",$K513+$L513)</f>
        <v>1887</v>
      </c>
      <c r="P513" s="17" t="str">
        <f aca="false">IF($B$10=0,"",IFERROR(IF($B$4&gt;0,IF($M513="",1/0,$M513*$B$4),0)+IF($B$5&gt;0,IF($N513="",1/0,$N513*$B$5),0)+IF($B$6&gt;0,IF($O513="",1/0,$O513*$B$6),0),""))</f>
        <v/>
      </c>
      <c r="Q513" s="17" t="s">
        <v>44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513" s="2"/>
      <c r="XFC513" s="6"/>
    </row>
    <row r="514" s="5" customFormat="true" ht="28.5" hidden="false" customHeight="true" outlineLevel="0" collapsed="false">
      <c r="A514" s="16" t="str">
        <f aca="false">IF($T514="","",1+COUNTIF($W$15:$W$728,"&lt;"&amp;W514))</f>
        <v/>
      </c>
      <c r="B514" s="16" t="s">
        <v>10</v>
      </c>
      <c r="C514" s="16" t="s">
        <v>1535</v>
      </c>
      <c r="D514" s="16" t="s">
        <v>281</v>
      </c>
      <c r="E514" s="16" t="s">
        <v>58</v>
      </c>
      <c r="F514" s="16" t="s">
        <v>1536</v>
      </c>
      <c r="G514" s="16" t="s">
        <v>1537</v>
      </c>
      <c r="H514" s="17" t="n">
        <v>1797</v>
      </c>
      <c r="I514" s="17"/>
      <c r="J514" s="17"/>
      <c r="K514" s="17" t="n">
        <v>1799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1797</v>
      </c>
      <c r="N514" s="17" t="str">
        <f aca="false">IF($I514="","",$I514+$L514)</f>
        <v/>
      </c>
      <c r="O514" s="17" t="n">
        <f aca="false">IF($K514="","",$K514+$L514)</f>
        <v>1799</v>
      </c>
      <c r="P514" s="17" t="str">
        <f aca="false">IF($B$10=0,"",IFERROR(IF($B$4&gt;0,IF($M514="",1/0,$M514*$B$4),0)+IF($B$5&gt;0,IF($N514="",1/0,$N514*$B$5),0)+IF($B$6&gt;0,IF($O514="",1/0,$O514*$B$6),0),""))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514" s="2"/>
      <c r="XFC514" s="6"/>
    </row>
    <row r="515" s="5" customFormat="true" ht="28.5" hidden="false" customHeight="true" outlineLevel="0" collapsed="false">
      <c r="A515" s="16" t="str">
        <f aca="false">IF($T515="","",1+COUNTIF($W$15:$W$728,"&lt;"&amp;W515))</f>
        <v/>
      </c>
      <c r="B515" s="16" t="s">
        <v>10</v>
      </c>
      <c r="C515" s="16" t="s">
        <v>1538</v>
      </c>
      <c r="D515" s="16" t="s">
        <v>141</v>
      </c>
      <c r="E515" s="16" t="s">
        <v>44</v>
      </c>
      <c r="F515" s="16" t="s">
        <v>1539</v>
      </c>
      <c r="G515" s="16" t="s">
        <v>1540</v>
      </c>
      <c r="H515" s="17" t="n">
        <v>1886</v>
      </c>
      <c r="I515" s="17"/>
      <c r="J515" s="17"/>
      <c r="K515" s="17" t="n">
        <v>1897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1886</v>
      </c>
      <c r="N515" s="17" t="str">
        <f aca="false">IF($I515="","",$I515+$L515)</f>
        <v/>
      </c>
      <c r="O515" s="17" t="n">
        <f aca="false">IF($K515="","",$K515+$L515)</f>
        <v>1897</v>
      </c>
      <c r="P515" s="17" t="str">
        <f aca="false">IF($B$10=0,"",IFERROR(IF($B$4&gt;0,IF($M515="",1/0,$M515*$B$4),0)+IF($B$5&gt;0,IF($N515="",1/0,$N515*$B$5),0)+IF($B$6&gt;0,IF($O515="",1/0,$O515*$B$6),0),""))</f>
        <v/>
      </c>
      <c r="Q515" s="17" t="s">
        <v>44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515" s="2"/>
      <c r="XFC515" s="6"/>
    </row>
    <row r="516" s="5" customFormat="true" ht="28.5" hidden="false" customHeight="true" outlineLevel="0" collapsed="false">
      <c r="A516" s="16" t="str">
        <f aca="false">IF($T516="","",1+COUNTIF($W$15:$W$728,"&lt;"&amp;W516))</f>
        <v/>
      </c>
      <c r="B516" s="16" t="s">
        <v>6</v>
      </c>
      <c r="C516" s="16" t="s">
        <v>1541</v>
      </c>
      <c r="D516" s="16" t="s">
        <v>43</v>
      </c>
      <c r="E516" s="16" t="s">
        <v>58</v>
      </c>
      <c r="F516" s="16" t="s">
        <v>1542</v>
      </c>
      <c r="G516" s="16" t="s">
        <v>1543</v>
      </c>
      <c r="H516" s="17" t="n">
        <v>1895</v>
      </c>
      <c r="I516" s="17"/>
      <c r="J516" s="17"/>
      <c r="K516" s="17" t="n">
        <v>1950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1895</v>
      </c>
      <c r="N516" s="17" t="str">
        <f aca="false">IF($I516="","",$I516+$L516)</f>
        <v/>
      </c>
      <c r="O516" s="17" t="n">
        <f aca="false">IF($K516="","",$K516+$L516)</f>
        <v>1950</v>
      </c>
      <c r="P516" s="17" t="str">
        <f aca="false">IF($B$10=0,"",IFERROR(IF($B$4&gt;0,IF($M516="",1/0,$M516*$B$4),0)+IF($B$5&gt;0,IF($N516="",1/0,$N516*$B$5),0)+IF($B$6&gt;0,IF($O516="",1/0,$O516*$B$6),0),""))</f>
        <v/>
      </c>
      <c r="Q516" s="17" t="s">
        <v>44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516" s="2"/>
      <c r="XFC516" s="6"/>
    </row>
    <row r="517" s="5" customFormat="true" ht="28.5" hidden="false" customHeight="true" outlineLevel="0" collapsed="false">
      <c r="A517" s="16" t="str">
        <f aca="false">IF($T517="","",1+COUNTIF($W$15:$W$728,"&lt;"&amp;W517))</f>
        <v/>
      </c>
      <c r="B517" s="16" t="s">
        <v>10</v>
      </c>
      <c r="C517" s="16" t="s">
        <v>1544</v>
      </c>
      <c r="D517" s="20" t="s">
        <v>131</v>
      </c>
      <c r="E517" s="16" t="s">
        <v>44</v>
      </c>
      <c r="F517" s="16" t="s">
        <v>1545</v>
      </c>
      <c r="G517" s="16" t="s">
        <v>1546</v>
      </c>
      <c r="H517" s="17" t="n">
        <v>1858</v>
      </c>
      <c r="I517" s="17"/>
      <c r="J517" s="17"/>
      <c r="K517" s="17" t="n">
        <v>1898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1858</v>
      </c>
      <c r="N517" s="17" t="str">
        <f aca="false">IF($I517="","",$I517+$L517)</f>
        <v/>
      </c>
      <c r="O517" s="17" t="n">
        <f aca="false">IF($K517="","",$K517+$L517)</f>
        <v>1898</v>
      </c>
      <c r="P517" s="17" t="str">
        <f aca="false">IF($B$10=0,"",IFERROR(IF($B$4&gt;0,IF($M517="",1/0,$M517*$B$4),0)+IF($B$5&gt;0,IF($N517="",1/0,$N517*$B$5),0)+IF($B$6&gt;0,IF($O517="",1/0,$O517*$B$6),0),""))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517" s="2"/>
      <c r="XFC517" s="6"/>
    </row>
    <row r="518" s="5" customFormat="true" ht="28.5" hidden="false" customHeight="true" outlineLevel="0" collapsed="false">
      <c r="A518" s="16" t="str">
        <f aca="false">IF($T518="","",1+COUNTIF($W$15:$W$728,"&lt;"&amp;W518))</f>
        <v/>
      </c>
      <c r="B518" s="16" t="s">
        <v>10</v>
      </c>
      <c r="C518" s="16" t="s">
        <v>1547</v>
      </c>
      <c r="D518" s="20" t="s">
        <v>131</v>
      </c>
      <c r="E518" s="16" t="s">
        <v>44</v>
      </c>
      <c r="F518" s="16" t="s">
        <v>1548</v>
      </c>
      <c r="G518" s="16" t="s">
        <v>1549</v>
      </c>
      <c r="H518" s="17" t="n">
        <v>1828</v>
      </c>
      <c r="I518" s="17"/>
      <c r="J518" s="17"/>
      <c r="K518" s="17" t="n">
        <v>1768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1828</v>
      </c>
      <c r="N518" s="17" t="str">
        <f aca="false">IF($I518="","",$I518+$L518)</f>
        <v/>
      </c>
      <c r="O518" s="17" t="n">
        <f aca="false">IF($K518="","",$K518+$L518)</f>
        <v>1768</v>
      </c>
      <c r="P518" s="17" t="str">
        <f aca="false">IF($B$10=0,"",IFERROR(IF($B$4&gt;0,IF($M518="",1/0,$M518*$B$4),0)+IF($B$5&gt;0,IF($N518="",1/0,$N518*$B$5),0)+IF($B$6&gt;0,IF($O518="",1/0,$O518*$B$6),0),""))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518" s="2"/>
      <c r="XFC518" s="6"/>
    </row>
    <row r="519" s="5" customFormat="true" ht="28.5" hidden="false" customHeight="true" outlineLevel="0" collapsed="false">
      <c r="A519" s="16" t="str">
        <f aca="false">IF($T519="","",1+COUNTIF($W$15:$W$728,"&lt;"&amp;W519))</f>
        <v/>
      </c>
      <c r="B519" s="16" t="s">
        <v>6</v>
      </c>
      <c r="C519" s="16" t="s">
        <v>1550</v>
      </c>
      <c r="D519" s="16" t="s">
        <v>141</v>
      </c>
      <c r="E519" s="16" t="s">
        <v>44</v>
      </c>
      <c r="F519" s="16" t="s">
        <v>1551</v>
      </c>
      <c r="G519" s="16" t="s">
        <v>1552</v>
      </c>
      <c r="H519" s="17" t="n">
        <v>1869</v>
      </c>
      <c r="I519" s="17"/>
      <c r="J519" s="17"/>
      <c r="K519" s="17" t="n">
        <v>1919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1869</v>
      </c>
      <c r="N519" s="17" t="str">
        <f aca="false">IF($I519="","",$I519+$L519)</f>
        <v/>
      </c>
      <c r="O519" s="17" t="n">
        <f aca="false">IF($K519="","",$K519+$L519)</f>
        <v>1919</v>
      </c>
      <c r="P519" s="17" t="str">
        <f aca="false">IF($B$10=0,"",IFERROR(IF($B$4&gt;0,IF($M519="",1/0,$M519*$B$4),0)+IF($B$5&gt;0,IF($N519="",1/0,$N519*$B$5),0)+IF($B$6&gt;0,IF($O519="",1/0,$O519*$B$6),0),""))</f>
        <v/>
      </c>
      <c r="Q519" s="17" t="s">
        <v>44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519" s="2"/>
      <c r="XFC519" s="6"/>
    </row>
    <row r="520" s="5" customFormat="true" ht="28.5" hidden="false" customHeight="true" outlineLevel="0" collapsed="false">
      <c r="A520" s="16" t="str">
        <f aca="false">IF($T520="","",1+COUNTIF($W$15:$W$728,"&lt;"&amp;W520))</f>
        <v/>
      </c>
      <c r="B520" s="16" t="s">
        <v>6</v>
      </c>
      <c r="C520" s="16" t="s">
        <v>1553</v>
      </c>
      <c r="D520" s="16" t="s">
        <v>141</v>
      </c>
      <c r="E520" s="16" t="s">
        <v>44</v>
      </c>
      <c r="F520" s="16" t="s">
        <v>1554</v>
      </c>
      <c r="G520" s="16" t="s">
        <v>1555</v>
      </c>
      <c r="H520" s="17" t="n">
        <v>1945</v>
      </c>
      <c r="I520" s="17"/>
      <c r="J520" s="17"/>
      <c r="K520" s="17" t="n">
        <v>1945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1945</v>
      </c>
      <c r="N520" s="17" t="str">
        <f aca="false">IF($I520="","",$I520+$L520)</f>
        <v/>
      </c>
      <c r="O520" s="17" t="n">
        <f aca="false">IF($K520="","",$K520+$L520)</f>
        <v>1945</v>
      </c>
      <c r="P520" s="17" t="str">
        <f aca="false">IF($B$10=0,"",IFERROR(IF($B$4&gt;0,IF($M520="",1/0,$M520*$B$4),0)+IF($B$5&gt;0,IF($N520="",1/0,$N520*$B$5),0)+IF($B$6&gt;0,IF($O520="",1/0,$O520*$B$6),0),""))</f>
        <v/>
      </c>
      <c r="Q520" s="17" t="s">
        <v>44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520" s="2"/>
      <c r="XFC520" s="6"/>
    </row>
    <row r="521" s="5" customFormat="true" ht="28.5" hidden="false" customHeight="true" outlineLevel="0" collapsed="false">
      <c r="A521" s="16" t="str">
        <f aca="false">IF($T521="","",1+COUNTIF($W$15:$W$728,"&lt;"&amp;W521))</f>
        <v/>
      </c>
      <c r="B521" s="16" t="s">
        <v>6</v>
      </c>
      <c r="C521" s="16" t="s">
        <v>1556</v>
      </c>
      <c r="D521" s="16" t="s">
        <v>141</v>
      </c>
      <c r="E521" s="16" t="s">
        <v>44</v>
      </c>
      <c r="F521" s="16" t="s">
        <v>1557</v>
      </c>
      <c r="G521" s="16" t="s">
        <v>1558</v>
      </c>
      <c r="H521" s="17" t="n">
        <v>1945</v>
      </c>
      <c r="I521" s="17"/>
      <c r="J521" s="17"/>
      <c r="K521" s="17" t="n">
        <v>1945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1945</v>
      </c>
      <c r="N521" s="17" t="str">
        <f aca="false">IF($I521="","",$I521+$L521)</f>
        <v/>
      </c>
      <c r="O521" s="17" t="n">
        <f aca="false">IF($K521="","",$K521+$L521)</f>
        <v>1945</v>
      </c>
      <c r="P521" s="17" t="str">
        <f aca="false">IF($B$10=0,"",IFERROR(IF($B$4&gt;0,IF($M521="",1/0,$M521*$B$4),0)+IF($B$5&gt;0,IF($N521="",1/0,$N521*$B$5),0)+IF($B$6&gt;0,IF($O521="",1/0,$O521*$B$6),0),""))</f>
        <v/>
      </c>
      <c r="Q521" s="17" t="s">
        <v>44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521" s="2"/>
      <c r="XFC521" s="6"/>
    </row>
    <row r="522" s="5" customFormat="true" ht="28.5" hidden="false" customHeight="true" outlineLevel="0" collapsed="false">
      <c r="A522" s="16" t="str">
        <f aca="false">IF($T522="","",1+COUNTIF($W$15:$W$728,"&lt;"&amp;W522))</f>
        <v/>
      </c>
      <c r="B522" s="16" t="s">
        <v>6</v>
      </c>
      <c r="C522" s="16" t="s">
        <v>1559</v>
      </c>
      <c r="D522" s="16" t="s">
        <v>141</v>
      </c>
      <c r="E522" s="16" t="s">
        <v>44</v>
      </c>
      <c r="F522" s="16" t="s">
        <v>1560</v>
      </c>
      <c r="G522" s="16" t="s">
        <v>1561</v>
      </c>
      <c r="H522" s="17" t="n">
        <v>1945</v>
      </c>
      <c r="I522" s="17"/>
      <c r="J522" s="17"/>
      <c r="K522" s="17" t="n">
        <v>1945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1945</v>
      </c>
      <c r="N522" s="17" t="str">
        <f aca="false">IF($I522="","",$I522+$L522)</f>
        <v/>
      </c>
      <c r="O522" s="17" t="n">
        <f aca="false">IF($K522="","",$K522+$L522)</f>
        <v>1945</v>
      </c>
      <c r="P522" s="17" t="str">
        <f aca="false">IF($B$10=0,"",IFERROR(IF($B$4&gt;0,IF($M522="",1/0,$M522*$B$4),0)+IF($B$5&gt;0,IF($N522="",1/0,$N522*$B$5),0)+IF($B$6&gt;0,IF($O522="",1/0,$O522*$B$6),0),""))</f>
        <v/>
      </c>
      <c r="Q522" s="17" t="s">
        <v>44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522" s="2"/>
      <c r="XFC522" s="6"/>
    </row>
    <row r="523" s="5" customFormat="true" ht="28.5" hidden="false" customHeight="true" outlineLevel="0" collapsed="false">
      <c r="A523" s="16" t="str">
        <f aca="false">IF($T523="","",1+COUNTIF($W$15:$W$728,"&lt;"&amp;W523))</f>
        <v/>
      </c>
      <c r="B523" s="16" t="s">
        <v>10</v>
      </c>
      <c r="C523" s="16" t="s">
        <v>1198</v>
      </c>
      <c r="D523" s="16" t="s">
        <v>141</v>
      </c>
      <c r="E523" s="16" t="s">
        <v>44</v>
      </c>
      <c r="F523" s="16" t="s">
        <v>1562</v>
      </c>
      <c r="G523" s="16" t="s">
        <v>1563</v>
      </c>
      <c r="H523" s="17" t="n">
        <v>1858</v>
      </c>
      <c r="I523" s="17"/>
      <c r="J523" s="17"/>
      <c r="K523" s="17" t="n">
        <v>1955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1858</v>
      </c>
      <c r="N523" s="17" t="str">
        <f aca="false">IF($I523="","",$I523+$L523)</f>
        <v/>
      </c>
      <c r="O523" s="17" t="n">
        <f aca="false">IF($K523="","",$K523+$L523)</f>
        <v>1955</v>
      </c>
      <c r="P523" s="17" t="str">
        <f aca="false">IF($B$10=0,"",IFERROR(IF($B$4&gt;0,IF($M523="",1/0,$M523*$B$4),0)+IF($B$5&gt;0,IF($N523="",1/0,$N523*$B$5),0)+IF($B$6&gt;0,IF($O523="",1/0,$O523*$B$6),0),""))</f>
        <v/>
      </c>
      <c r="Q523" s="17" t="s">
        <v>44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523" s="2"/>
      <c r="XFC523" s="6"/>
    </row>
    <row r="524" s="5" customFormat="true" ht="28.5" hidden="false" customHeight="true" outlineLevel="0" collapsed="false">
      <c r="A524" s="16" t="str">
        <f aca="false">IF($T524="","",1+COUNTIF($W$15:$W$728,"&lt;"&amp;W524))</f>
        <v/>
      </c>
      <c r="B524" s="16" t="s">
        <v>8</v>
      </c>
      <c r="C524" s="16" t="s">
        <v>1564</v>
      </c>
      <c r="D524" s="16" t="s">
        <v>48</v>
      </c>
      <c r="E524" s="16" t="s">
        <v>44</v>
      </c>
      <c r="F524" s="16" t="s">
        <v>1565</v>
      </c>
      <c r="G524" s="16" t="s">
        <v>1566</v>
      </c>
      <c r="H524" s="17" t="n">
        <v>1798</v>
      </c>
      <c r="I524" s="17"/>
      <c r="J524" s="17"/>
      <c r="K524" s="17" t="n">
        <v>1778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1798</v>
      </c>
      <c r="N524" s="17" t="str">
        <f aca="false">IF($I524="","",$I524+$L524)</f>
        <v/>
      </c>
      <c r="O524" s="17" t="n">
        <f aca="false">IF($K524="","",$K524+$L524)</f>
        <v>1778</v>
      </c>
      <c r="P524" s="17" t="str">
        <f aca="false">IF($B$10=0,"",IFERROR(IF($B$4&gt;0,IF($M524="",1/0,$M524*$B$4),0)+IF($B$5&gt;0,IF($N524="",1/0,$N524*$B$5),0)+IF($B$6&gt;0,IF($O524="",1/0,$O524*$B$6),0),""))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524" s="2"/>
      <c r="XFC524" s="6"/>
    </row>
    <row r="525" s="5" customFormat="true" ht="28.5" hidden="false" customHeight="true" outlineLevel="0" collapsed="false">
      <c r="A525" s="16" t="str">
        <f aca="false">IF($T525="","",1+COUNTIF($W$15:$W$728,"&lt;"&amp;W525))</f>
        <v/>
      </c>
      <c r="B525" s="16" t="s">
        <v>8</v>
      </c>
      <c r="C525" s="16" t="s">
        <v>1567</v>
      </c>
      <c r="D525" s="16" t="s">
        <v>141</v>
      </c>
      <c r="E525" s="16" t="s">
        <v>44</v>
      </c>
      <c r="F525" s="16" t="s">
        <v>1568</v>
      </c>
      <c r="G525" s="16" t="s">
        <v>1569</v>
      </c>
      <c r="H525" s="17" t="n">
        <v>1958</v>
      </c>
      <c r="I525" s="17"/>
      <c r="J525" s="17"/>
      <c r="K525" s="17" t="n">
        <v>1998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1958</v>
      </c>
      <c r="N525" s="17" t="str">
        <f aca="false">IF($I525="","",$I525+$L525)</f>
        <v/>
      </c>
      <c r="O525" s="17" t="n">
        <f aca="false">IF($K525="","",$K525+$L525)</f>
        <v>1998</v>
      </c>
      <c r="P525" s="17" t="str">
        <f aca="false">IF($B$10=0,"",IFERROR(IF($B$4&gt;0,IF($M525="",1/0,$M525*$B$4),0)+IF($B$5&gt;0,IF($N525="",1/0,$N525*$B$5),0)+IF($B$6&gt;0,IF($O525="",1/0,$O525*$B$6),0),""))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525" s="2"/>
      <c r="XFC525" s="6"/>
    </row>
    <row r="526" s="5" customFormat="true" ht="28.5" hidden="false" customHeight="true" outlineLevel="0" collapsed="false">
      <c r="A526" s="16" t="str">
        <f aca="false">IF($T526="","",1+COUNTIF($W$15:$W$728,"&lt;"&amp;W526))</f>
        <v/>
      </c>
      <c r="B526" s="16" t="s">
        <v>12</v>
      </c>
      <c r="C526" s="16" t="s">
        <v>1570</v>
      </c>
      <c r="D526" s="20" t="s">
        <v>141</v>
      </c>
      <c r="E526" s="16" t="s">
        <v>44</v>
      </c>
      <c r="F526" s="16" t="s">
        <v>1571</v>
      </c>
      <c r="G526" s="16" t="s">
        <v>1572</v>
      </c>
      <c r="H526" s="17" t="n">
        <v>1929</v>
      </c>
      <c r="I526" s="17"/>
      <c r="J526" s="17"/>
      <c r="K526" s="17" t="n">
        <v>1959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1929</v>
      </c>
      <c r="N526" s="17" t="str">
        <f aca="false">IF($I526="","",$I526+$L526)</f>
        <v/>
      </c>
      <c r="O526" s="17" t="n">
        <f aca="false">IF($K526="","",$K526+$L526)</f>
        <v>1959</v>
      </c>
      <c r="P526" s="17" t="str">
        <f aca="false">IF($B$10=0,"",IFERROR(IF($B$4&gt;0,IF($M526="",1/0,$M526*$B$4),0)+IF($B$5&gt;0,IF($N526="",1/0,$N526*$B$5),0)+IF($B$6&gt;0,IF($O526="",1/0,$O526*$B$6),0),""))</f>
        <v/>
      </c>
      <c r="Q526" s="17" t="s">
        <v>44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526" s="2"/>
      <c r="XFC526" s="6"/>
    </row>
    <row r="527" s="5" customFormat="true" ht="28.5" hidden="false" customHeight="true" outlineLevel="0" collapsed="false">
      <c r="A527" s="16" t="str">
        <f aca="false">IF($T527="","",1+COUNTIF($W$15:$W$728,"&lt;"&amp;W527))</f>
        <v/>
      </c>
      <c r="B527" s="16" t="s">
        <v>12</v>
      </c>
      <c r="C527" s="16" t="s">
        <v>1573</v>
      </c>
      <c r="D527" s="20" t="s">
        <v>131</v>
      </c>
      <c r="E527" s="16" t="s">
        <v>44</v>
      </c>
      <c r="F527" s="16" t="s">
        <v>1574</v>
      </c>
      <c r="G527" s="16" t="s">
        <v>1575</v>
      </c>
      <c r="H527" s="17" t="n">
        <v>1948</v>
      </c>
      <c r="I527" s="17"/>
      <c r="J527" s="17"/>
      <c r="K527" s="17" t="n">
        <v>1978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1948</v>
      </c>
      <c r="N527" s="17" t="str">
        <f aca="false">IF($I527="","",$I527+$L527)</f>
        <v/>
      </c>
      <c r="O527" s="17" t="n">
        <f aca="false">IF($K527="","",$K527+$L527)</f>
        <v>1978</v>
      </c>
      <c r="P527" s="17" t="str">
        <f aca="false">IF($B$10=0,"",IFERROR(IF($B$4&gt;0,IF($M527="",1/0,$M527*$B$4),0)+IF($B$5&gt;0,IF($N527="",1/0,$N527*$B$5),0)+IF($B$6&gt;0,IF($O527="",1/0,$O527*$B$6),0),""))</f>
        <v/>
      </c>
      <c r="Q527" s="17" t="s">
        <v>44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527" s="2"/>
      <c r="XFC527" s="6"/>
    </row>
    <row r="528" s="5" customFormat="true" ht="28.5" hidden="false" customHeight="true" outlineLevel="0" collapsed="false">
      <c r="A528" s="16" t="str">
        <f aca="false">IF($T528="","",1+COUNTIF($W$15:$W$728,"&lt;"&amp;W528))</f>
        <v/>
      </c>
      <c r="B528" s="16" t="s">
        <v>14</v>
      </c>
      <c r="C528" s="16" t="s">
        <v>1576</v>
      </c>
      <c r="D528" s="16" t="s">
        <v>574</v>
      </c>
      <c r="E528" s="16" t="s">
        <v>58</v>
      </c>
      <c r="F528" s="16" t="s">
        <v>1577</v>
      </c>
      <c r="G528" s="16" t="s">
        <v>1578</v>
      </c>
      <c r="H528" s="17" t="n">
        <v>1889</v>
      </c>
      <c r="I528" s="17"/>
      <c r="J528" s="17"/>
      <c r="K528" s="17" t="n">
        <v>1889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1889</v>
      </c>
      <c r="N528" s="17" t="str">
        <f aca="false">IF($I528="","",$I528+$L528)</f>
        <v/>
      </c>
      <c r="O528" s="17" t="n">
        <f aca="false">IF($K528="","",$K528+$L528)</f>
        <v>1889</v>
      </c>
      <c r="P528" s="17" t="str">
        <f aca="false">IF($B$10=0,"",IFERROR(IF($B$4&gt;0,IF($M528="",1/0,$M528*$B$4),0)+IF($B$5&gt;0,IF($N528="",1/0,$N528*$B$5),0)+IF($B$6&gt;0,IF($O528="",1/0,$O528*$B$6),0),""))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528" s="2"/>
      <c r="XFC528" s="6"/>
    </row>
    <row r="529" s="5" customFormat="true" ht="28.5" hidden="false" customHeight="true" outlineLevel="0" collapsed="false">
      <c r="A529" s="16" t="str">
        <f aca="false">IF($T529="","",1+COUNTIF($W$15:$W$728,"&lt;"&amp;W529))</f>
        <v/>
      </c>
      <c r="B529" s="16" t="s">
        <v>10</v>
      </c>
      <c r="C529" s="16" t="s">
        <v>1579</v>
      </c>
      <c r="D529" s="20" t="s">
        <v>131</v>
      </c>
      <c r="E529" s="16" t="s">
        <v>58</v>
      </c>
      <c r="F529" s="16" t="s">
        <v>1580</v>
      </c>
      <c r="G529" s="16" t="s">
        <v>1581</v>
      </c>
      <c r="H529" s="17" t="n">
        <v>1869</v>
      </c>
      <c r="I529" s="17"/>
      <c r="J529" s="17"/>
      <c r="K529" s="17" t="n">
        <v>1889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1869</v>
      </c>
      <c r="N529" s="17" t="str">
        <f aca="false">IF($I529="","",$I529+$L529)</f>
        <v/>
      </c>
      <c r="O529" s="17" t="n">
        <f aca="false">IF($K529="","",$K529+$L529)</f>
        <v>1889</v>
      </c>
      <c r="P529" s="17" t="str">
        <f aca="false">IF($B$10=0,"",IFERROR(IF($B$4&gt;0,IF($M529="",1/0,$M529*$B$4),0)+IF($B$5&gt;0,IF($N529="",1/0,$N529*$B$5),0)+IF($B$6&gt;0,IF($O529="",1/0,$O529*$B$6),0),""))</f>
        <v/>
      </c>
      <c r="Q529" s="17" t="s">
        <v>44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529" s="2"/>
      <c r="XFC529" s="6"/>
    </row>
    <row r="530" s="5" customFormat="true" ht="28.5" hidden="false" customHeight="true" outlineLevel="0" collapsed="false">
      <c r="A530" s="16" t="str">
        <f aca="false">IF($T530="","",1+COUNTIF($W$15:$W$728,"&lt;"&amp;W530))</f>
        <v/>
      </c>
      <c r="B530" s="16" t="s">
        <v>10</v>
      </c>
      <c r="C530" s="16" t="s">
        <v>1582</v>
      </c>
      <c r="D530" s="16" t="s">
        <v>141</v>
      </c>
      <c r="E530" s="16" t="s">
        <v>58</v>
      </c>
      <c r="F530" s="16" t="s">
        <v>1583</v>
      </c>
      <c r="G530" s="16" t="s">
        <v>1584</v>
      </c>
      <c r="H530" s="17" t="n">
        <v>1799</v>
      </c>
      <c r="I530" s="17"/>
      <c r="J530" s="17"/>
      <c r="K530" s="17" t="n">
        <v>1799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1799</v>
      </c>
      <c r="N530" s="17" t="str">
        <f aca="false">IF($I530="","",$I530+$L530)</f>
        <v/>
      </c>
      <c r="O530" s="17" t="n">
        <f aca="false">IF($K530="","",$K530+$L530)</f>
        <v>1799</v>
      </c>
      <c r="P530" s="17" t="str">
        <f aca="false">IF($B$10=0,"",IFERROR(IF($B$4&gt;0,IF($M530="",1/0,$M530*$B$4),0)+IF($B$5&gt;0,IF($N530="",1/0,$N530*$B$5),0)+IF($B$6&gt;0,IF($O530="",1/0,$O530*$B$6),0),""))</f>
        <v/>
      </c>
      <c r="Q530" s="17" t="s">
        <v>44</v>
      </c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530" s="2"/>
      <c r="XFC530" s="6"/>
    </row>
    <row r="531" s="5" customFormat="true" ht="28.5" hidden="false" customHeight="true" outlineLevel="0" collapsed="false">
      <c r="A531" s="16" t="str">
        <f aca="false">IF($T531="","",1+COUNTIF($W$15:$W$728,"&lt;"&amp;W531))</f>
        <v/>
      </c>
      <c r="B531" s="16" t="s">
        <v>10</v>
      </c>
      <c r="C531" s="16" t="s">
        <v>1585</v>
      </c>
      <c r="D531" s="16" t="s">
        <v>43</v>
      </c>
      <c r="E531" s="16" t="s">
        <v>58</v>
      </c>
      <c r="F531" s="16" t="s">
        <v>1586</v>
      </c>
      <c r="G531" s="16" t="s">
        <v>1587</v>
      </c>
      <c r="H531" s="17" t="n">
        <v>1858</v>
      </c>
      <c r="I531" s="17"/>
      <c r="J531" s="17"/>
      <c r="K531" s="17" t="n">
        <v>1898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1858</v>
      </c>
      <c r="N531" s="17" t="str">
        <f aca="false">IF($I531="","",$I531+$L531)</f>
        <v/>
      </c>
      <c r="O531" s="17" t="n">
        <f aca="false">IF($K531="","",$K531+$L531)</f>
        <v>1898</v>
      </c>
      <c r="P531" s="17" t="str">
        <f aca="false">IF($B$10=0,"",IFERROR(IF($B$4&gt;0,IF($M531="",1/0,$M531*$B$4),0)+IF($B$5&gt;0,IF($N531="",1/0,$N531*$B$5),0)+IF($B$6&gt;0,IF($O531="",1/0,$O531*$B$6),0),""))</f>
        <v/>
      </c>
      <c r="Q531" s="17" t="s">
        <v>44</v>
      </c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531" s="2"/>
      <c r="XFC531" s="6"/>
    </row>
    <row r="532" s="5" customFormat="true" ht="28.5" hidden="false" customHeight="true" outlineLevel="0" collapsed="false">
      <c r="A532" s="16" t="str">
        <f aca="false">IF($T532="","",1+COUNTIF($W$15:$W$728,"&lt;"&amp;W532))</f>
        <v/>
      </c>
      <c r="B532" s="16" t="s">
        <v>6</v>
      </c>
      <c r="C532" s="16" t="s">
        <v>1588</v>
      </c>
      <c r="D532" s="20" t="s">
        <v>131</v>
      </c>
      <c r="E532" s="16" t="s">
        <v>44</v>
      </c>
      <c r="F532" s="16" t="s">
        <v>1589</v>
      </c>
      <c r="G532" s="16" t="s">
        <v>1590</v>
      </c>
      <c r="H532" s="17" t="n">
        <v>1949</v>
      </c>
      <c r="I532" s="17"/>
      <c r="J532" s="17"/>
      <c r="K532" s="17" t="n">
        <v>2049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1949</v>
      </c>
      <c r="N532" s="17" t="str">
        <f aca="false">IF($I532="","",$I532+$L532)</f>
        <v/>
      </c>
      <c r="O532" s="17" t="n">
        <f aca="false">IF($K532="","",$K532+$L532)</f>
        <v>2049</v>
      </c>
      <c r="P532" s="17" t="str">
        <f aca="false">IF($B$10=0,"",IFERROR(IF($B$4&gt;0,IF($M532="",1/0,$M532*$B$4),0)+IF($B$5&gt;0,IF($N532="",1/0,$N532*$B$5),0)+IF($B$6&gt;0,IF($O532="",1/0,$O532*$B$6),0),""))</f>
        <v/>
      </c>
      <c r="Q532" s="17" t="s">
        <v>44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532" s="2"/>
      <c r="XFC532" s="6"/>
    </row>
    <row r="533" s="5" customFormat="true" ht="28.5" hidden="false" customHeight="true" outlineLevel="0" collapsed="false">
      <c r="A533" s="16" t="str">
        <f aca="false">IF($T533="","",1+COUNTIF($W$15:$W$728,"&lt;"&amp;W533))</f>
        <v/>
      </c>
      <c r="B533" s="16" t="s">
        <v>8</v>
      </c>
      <c r="C533" s="16" t="s">
        <v>1591</v>
      </c>
      <c r="D533" s="16" t="s">
        <v>141</v>
      </c>
      <c r="E533" s="16" t="s">
        <v>58</v>
      </c>
      <c r="F533" s="16" t="s">
        <v>1592</v>
      </c>
      <c r="G533" s="16" t="s">
        <v>1593</v>
      </c>
      <c r="H533" s="17" t="n">
        <v>1859</v>
      </c>
      <c r="I533" s="17"/>
      <c r="J533" s="17"/>
      <c r="K533" s="17" t="n">
        <v>1889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1859</v>
      </c>
      <c r="N533" s="17" t="str">
        <f aca="false">IF($I533="","",$I533+$L533)</f>
        <v/>
      </c>
      <c r="O533" s="17" t="n">
        <f aca="false">IF($K533="","",$K533+$L533)</f>
        <v>1889</v>
      </c>
      <c r="P533" s="17" t="str">
        <f aca="false">IF($B$10=0,"",IFERROR(IF($B$4&gt;0,IF($M533="",1/0,$M533*$B$4),0)+IF($B$5&gt;0,IF($N533="",1/0,$N533*$B$5),0)+IF($B$6&gt;0,IF($O533="",1/0,$O533*$B$6),0),""))</f>
        <v/>
      </c>
      <c r="Q533" s="17" t="s">
        <v>44</v>
      </c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533" s="2"/>
      <c r="XFC533" s="6"/>
    </row>
    <row r="534" s="5" customFormat="true" ht="28.5" hidden="false" customHeight="true" outlineLevel="0" collapsed="false">
      <c r="A534" s="16" t="str">
        <f aca="false">IF($T534="","",1+COUNTIF($W$15:$W$728,"&lt;"&amp;W534))</f>
        <v/>
      </c>
      <c r="B534" s="16" t="s">
        <v>10</v>
      </c>
      <c r="C534" s="16" t="s">
        <v>1594</v>
      </c>
      <c r="D534" s="16" t="s">
        <v>141</v>
      </c>
      <c r="E534" s="16" t="s">
        <v>44</v>
      </c>
      <c r="F534" s="16" t="s">
        <v>1595</v>
      </c>
      <c r="G534" s="16" t="s">
        <v>1596</v>
      </c>
      <c r="H534" s="17" t="n">
        <v>1879</v>
      </c>
      <c r="I534" s="17"/>
      <c r="J534" s="17"/>
      <c r="K534" s="17" t="n">
        <v>1959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1879</v>
      </c>
      <c r="N534" s="17" t="str">
        <f aca="false">IF($I534="","",$I534+$L534)</f>
        <v/>
      </c>
      <c r="O534" s="17" t="n">
        <f aca="false">IF($K534="","",$K534+$L534)</f>
        <v>1959</v>
      </c>
      <c r="P534" s="17" t="str">
        <f aca="false">IF($B$10=0,"",IFERROR(IF($B$4&gt;0,IF($M534="",1/0,$M534*$B$4),0)+IF($B$5&gt;0,IF($N534="",1/0,$N534*$B$5),0)+IF($B$6&gt;0,IF($O534="",1/0,$O534*$B$6),0),""))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534" s="2"/>
      <c r="XFC534" s="6"/>
    </row>
    <row r="535" s="5" customFormat="true" ht="28.5" hidden="false" customHeight="true" outlineLevel="0" collapsed="false">
      <c r="A535" s="16" t="str">
        <f aca="false">IF($T535="","",1+COUNTIF($W$15:$W$728,"&lt;"&amp;W535))</f>
        <v/>
      </c>
      <c r="B535" s="16" t="s">
        <v>10</v>
      </c>
      <c r="C535" s="16" t="s">
        <v>1597</v>
      </c>
      <c r="D535" s="16" t="s">
        <v>43</v>
      </c>
      <c r="E535" s="16" t="s">
        <v>44</v>
      </c>
      <c r="F535" s="16" t="s">
        <v>1598</v>
      </c>
      <c r="G535" s="16" t="s">
        <v>1599</v>
      </c>
      <c r="H535" s="17" t="n">
        <v>1839</v>
      </c>
      <c r="I535" s="17"/>
      <c r="J535" s="17"/>
      <c r="K535" s="17" t="n">
        <v>1899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1839</v>
      </c>
      <c r="N535" s="17" t="str">
        <f aca="false">IF($I535="","",$I535+$L535)</f>
        <v/>
      </c>
      <c r="O535" s="17" t="n">
        <f aca="false">IF($K535="","",$K535+$L535)</f>
        <v>1899</v>
      </c>
      <c r="P535" s="17" t="str">
        <f aca="false">IF($B$10=0,"",IFERROR(IF($B$4&gt;0,IF($M535="",1/0,$M535*$B$4),0)+IF($B$5&gt;0,IF($N535="",1/0,$N535*$B$5),0)+IF($B$6&gt;0,IF($O535="",1/0,$O535*$B$6),0),""))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535" s="2"/>
      <c r="XFC535" s="6"/>
    </row>
    <row r="536" s="5" customFormat="true" ht="28.5" hidden="false" customHeight="true" outlineLevel="0" collapsed="false">
      <c r="A536" s="16" t="str">
        <f aca="false">IF($T536="","",1+COUNTIF($W$15:$W$728,"&lt;"&amp;W536))</f>
        <v/>
      </c>
      <c r="B536" s="16" t="s">
        <v>10</v>
      </c>
      <c r="C536" s="16" t="s">
        <v>1600</v>
      </c>
      <c r="D536" s="16" t="s">
        <v>48</v>
      </c>
      <c r="E536" s="16" t="s">
        <v>44</v>
      </c>
      <c r="F536" s="16" t="s">
        <v>1601</v>
      </c>
      <c r="G536" s="16" t="s">
        <v>1602</v>
      </c>
      <c r="H536" s="17" t="n">
        <v>1899</v>
      </c>
      <c r="I536" s="17"/>
      <c r="J536" s="17"/>
      <c r="K536" s="17" t="n">
        <v>1899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1899</v>
      </c>
      <c r="N536" s="17" t="str">
        <f aca="false">IF($I536="","",$I536+$L536)</f>
        <v/>
      </c>
      <c r="O536" s="17" t="n">
        <f aca="false">IF($K536="","",$K536+$L536)</f>
        <v>1899</v>
      </c>
      <c r="P536" s="17" t="str">
        <f aca="false">IF($B$10=0,"",IFERROR(IF($B$4&gt;0,IF($M536="",1/0,$M536*$B$4),0)+IF($B$5&gt;0,IF($N536="",1/0,$N536*$B$5),0)+IF($B$6&gt;0,IF($O536="",1/0,$O536*$B$6),0),""))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536" s="2"/>
      <c r="XFC536" s="6"/>
    </row>
    <row r="537" s="5" customFormat="true" ht="28.5" hidden="false" customHeight="true" outlineLevel="0" collapsed="false">
      <c r="A537" s="16" t="str">
        <f aca="false">IF($T537="","",1+COUNTIF($W$15:$W$728,"&lt;"&amp;W537))</f>
        <v/>
      </c>
      <c r="B537" s="16" t="s">
        <v>6</v>
      </c>
      <c r="C537" s="16" t="s">
        <v>1603</v>
      </c>
      <c r="D537" s="16" t="s">
        <v>48</v>
      </c>
      <c r="E537" s="16" t="s">
        <v>44</v>
      </c>
      <c r="F537" s="16" t="s">
        <v>1604</v>
      </c>
      <c r="G537" s="16" t="s">
        <v>1605</v>
      </c>
      <c r="H537" s="17" t="n">
        <v>1865</v>
      </c>
      <c r="I537" s="17"/>
      <c r="J537" s="17"/>
      <c r="K537" s="17" t="n">
        <v>1885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1865</v>
      </c>
      <c r="N537" s="17" t="str">
        <f aca="false">IF($I537="","",$I537+$L537)</f>
        <v/>
      </c>
      <c r="O537" s="17" t="n">
        <f aca="false">IF($K537="","",$K537+$L537)</f>
        <v>1885</v>
      </c>
      <c r="P537" s="17" t="str">
        <f aca="false">IF($B$10=0,"",IFERROR(IF($B$4&gt;0,IF($M537="",1/0,$M537*$B$4),0)+IF($B$5&gt;0,IF($N537="",1/0,$N537*$B$5),0)+IF($B$6&gt;0,IF($O537="",1/0,$O537*$B$6),0),""))</f>
        <v/>
      </c>
      <c r="Q537" s="17" t="s">
        <v>44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537" s="2"/>
      <c r="XFC537" s="6"/>
    </row>
    <row r="538" s="5" customFormat="true" ht="28.5" hidden="false" customHeight="true" outlineLevel="0" collapsed="false">
      <c r="A538" s="16" t="str">
        <f aca="false">IF($T538="","",1+COUNTIF($W$15:$W$728,"&lt;"&amp;W538))</f>
        <v/>
      </c>
      <c r="B538" s="16" t="s">
        <v>6</v>
      </c>
      <c r="C538" s="16" t="s">
        <v>1606</v>
      </c>
      <c r="D538" s="16" t="s">
        <v>141</v>
      </c>
      <c r="E538" s="16" t="s">
        <v>58</v>
      </c>
      <c r="F538" s="16" t="s">
        <v>1607</v>
      </c>
      <c r="G538" s="16" t="s">
        <v>1608</v>
      </c>
      <c r="H538" s="17" t="n">
        <v>1969</v>
      </c>
      <c r="I538" s="17"/>
      <c r="J538" s="17"/>
      <c r="K538" s="17" t="n">
        <v>1999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1969</v>
      </c>
      <c r="N538" s="17" t="str">
        <f aca="false">IF($I538="","",$I538+$L538)</f>
        <v/>
      </c>
      <c r="O538" s="17" t="n">
        <f aca="false">IF($K538="","",$K538+$L538)</f>
        <v>1999</v>
      </c>
      <c r="P538" s="17" t="str">
        <f aca="false">IF($B$10=0,"",IFERROR(IF($B$4&gt;0,IF($M538="",1/0,$M538*$B$4),0)+IF($B$5&gt;0,IF($N538="",1/0,$N538*$B$5),0)+IF($B$6&gt;0,IF($O538="",1/0,$O538*$B$6),0),""))</f>
        <v/>
      </c>
      <c r="Q538" s="17" t="s">
        <v>44</v>
      </c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538" s="2"/>
      <c r="XFC538" s="6"/>
    </row>
    <row r="539" s="5" customFormat="true" ht="28.5" hidden="false" customHeight="true" outlineLevel="0" collapsed="false">
      <c r="A539" s="16" t="str">
        <f aca="false">IF($T539="","",1+COUNTIF($W$15:$W$728,"&lt;"&amp;W539))</f>
        <v/>
      </c>
      <c r="B539" s="16" t="s">
        <v>8</v>
      </c>
      <c r="C539" s="16" t="s">
        <v>1312</v>
      </c>
      <c r="D539" s="16" t="s">
        <v>43</v>
      </c>
      <c r="E539" s="16" t="s">
        <v>44</v>
      </c>
      <c r="F539" s="16" t="s">
        <v>1609</v>
      </c>
      <c r="G539" s="16" t="s">
        <v>1610</v>
      </c>
      <c r="H539" s="17" t="n">
        <v>1899</v>
      </c>
      <c r="I539" s="17"/>
      <c r="J539" s="17"/>
      <c r="K539" s="17" t="n">
        <v>1949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1899</v>
      </c>
      <c r="N539" s="17" t="str">
        <f aca="false">IF($I539="","",$I539+$L539)</f>
        <v/>
      </c>
      <c r="O539" s="17" t="n">
        <f aca="false">IF($K539="","",$K539+$L539)</f>
        <v>1949</v>
      </c>
      <c r="P539" s="17" t="str">
        <f aca="false">IF($B$10=0,"",IFERROR(IF($B$4&gt;0,IF($M539="",1/0,$M539*$B$4),0)+IF($B$5&gt;0,IF($N539="",1/0,$N539*$B$5),0)+IF($B$6&gt;0,IF($O539="",1/0,$O539*$B$6),0),""))</f>
        <v/>
      </c>
      <c r="Q539" s="17" t="s">
        <v>44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539" s="2"/>
      <c r="XFC539" s="6"/>
    </row>
    <row r="540" s="5" customFormat="true" ht="28.5" hidden="false" customHeight="true" outlineLevel="0" collapsed="false">
      <c r="A540" s="16" t="str">
        <f aca="false">IF($T540="","",1+COUNTIF($W$15:$W$728,"&lt;"&amp;W540))</f>
        <v/>
      </c>
      <c r="B540" s="16" t="s">
        <v>14</v>
      </c>
      <c r="C540" s="16" t="s">
        <v>1611</v>
      </c>
      <c r="D540" s="16" t="s">
        <v>43</v>
      </c>
      <c r="E540" s="16" t="s">
        <v>58</v>
      </c>
      <c r="F540" s="16" t="s">
        <v>1612</v>
      </c>
      <c r="G540" s="16" t="s">
        <v>1613</v>
      </c>
      <c r="H540" s="17" t="n">
        <v>1750</v>
      </c>
      <c r="I540" s="17"/>
      <c r="J540" s="17"/>
      <c r="K540" s="17" t="n">
        <v>1650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1750</v>
      </c>
      <c r="N540" s="17" t="str">
        <f aca="false">IF($I540="","",$I540+$L540)</f>
        <v/>
      </c>
      <c r="O540" s="17" t="n">
        <f aca="false">IF($K540="","",$K540+$L540)</f>
        <v>1650</v>
      </c>
      <c r="P540" s="17" t="str">
        <f aca="false">IF($B$10=0,"",IFERROR(IF($B$4&gt;0,IF($M540="",1/0,$M540*$B$4),0)+IF($B$5&gt;0,IF($N540="",1/0,$N540*$B$5),0)+IF($B$6&gt;0,IF($O540="",1/0,$O540*$B$6),0),""))</f>
        <v/>
      </c>
      <c r="Q540" s="17" t="s">
        <v>44</v>
      </c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540" s="2"/>
      <c r="XFC540" s="6"/>
    </row>
    <row r="541" s="5" customFormat="true" ht="28.5" hidden="false" customHeight="true" outlineLevel="0" collapsed="false">
      <c r="A541" s="16" t="str">
        <f aca="false">IF($T541="","",1+COUNTIF($W$15:$W$728,"&lt;"&amp;W541))</f>
        <v/>
      </c>
      <c r="B541" s="16" t="s">
        <v>14</v>
      </c>
      <c r="C541" s="16" t="s">
        <v>1614</v>
      </c>
      <c r="D541" s="20" t="s">
        <v>131</v>
      </c>
      <c r="E541" s="16" t="s">
        <v>58</v>
      </c>
      <c r="F541" s="16" t="s">
        <v>1615</v>
      </c>
      <c r="G541" s="16" t="s">
        <v>1616</v>
      </c>
      <c r="H541" s="17" t="n">
        <v>1890</v>
      </c>
      <c r="I541" s="17"/>
      <c r="J541" s="17"/>
      <c r="K541" s="17" t="n">
        <v>1890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1890</v>
      </c>
      <c r="N541" s="17" t="str">
        <f aca="false">IF($I541="","",$I541+$L541)</f>
        <v/>
      </c>
      <c r="O541" s="17" t="n">
        <f aca="false">IF($K541="","",$K541+$L541)</f>
        <v>1890</v>
      </c>
      <c r="P541" s="17" t="str">
        <f aca="false">IF($B$10=0,"",IFERROR(IF($B$4&gt;0,IF($M541="",1/0,$M541*$B$4),0)+IF($B$5&gt;0,IF($N541="",1/0,$N541*$B$5),0)+IF($B$6&gt;0,IF($O541="",1/0,$O541*$B$6),0),""))</f>
        <v/>
      </c>
      <c r="Q541" s="17" t="s">
        <v>44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541" s="2"/>
      <c r="XFC541" s="6"/>
    </row>
    <row r="542" s="5" customFormat="true" ht="28.5" hidden="false" customHeight="true" outlineLevel="0" collapsed="false">
      <c r="A542" s="16" t="str">
        <f aca="false">IF($T542="","",1+COUNTIF($W$15:$W$728,"&lt;"&amp;W542))</f>
        <v/>
      </c>
      <c r="B542" s="16" t="s">
        <v>14</v>
      </c>
      <c r="C542" s="16" t="s">
        <v>1617</v>
      </c>
      <c r="D542" s="16" t="s">
        <v>574</v>
      </c>
      <c r="E542" s="16" t="s">
        <v>58</v>
      </c>
      <c r="F542" s="16" t="s">
        <v>1618</v>
      </c>
      <c r="G542" s="16" t="s">
        <v>1619</v>
      </c>
      <c r="H542" s="17" t="n">
        <v>1750</v>
      </c>
      <c r="I542" s="17"/>
      <c r="J542" s="17"/>
      <c r="K542" s="17" t="n">
        <v>1750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1750</v>
      </c>
      <c r="N542" s="17" t="str">
        <f aca="false">IF($I542="","",$I542+$L542)</f>
        <v/>
      </c>
      <c r="O542" s="17" t="n">
        <f aca="false">IF($K542="","",$K542+$L542)</f>
        <v>1750</v>
      </c>
      <c r="P542" s="17" t="str">
        <f aca="false">IF($B$10=0,"",IFERROR(IF($B$4&gt;0,IF($M542="",1/0,$M542*$B$4),0)+IF($B$5&gt;0,IF($N542="",1/0,$N542*$B$5),0)+IF($B$6&gt;0,IF($O542="",1/0,$O542*$B$6),0),""))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542" s="2"/>
      <c r="XFC542" s="6"/>
    </row>
    <row r="543" s="5" customFormat="true" ht="28.5" hidden="false" customHeight="true" outlineLevel="0" collapsed="false">
      <c r="A543" s="16" t="str">
        <f aca="false">IF($T543="","",1+COUNTIF($W$15:$W$728,"&lt;"&amp;W543))</f>
        <v/>
      </c>
      <c r="B543" s="16" t="s">
        <v>14</v>
      </c>
      <c r="C543" s="16" t="s">
        <v>1620</v>
      </c>
      <c r="D543" s="16" t="s">
        <v>48</v>
      </c>
      <c r="E543" s="16" t="s">
        <v>58</v>
      </c>
      <c r="F543" s="16" t="s">
        <v>1621</v>
      </c>
      <c r="G543" s="16" t="s">
        <v>1622</v>
      </c>
      <c r="H543" s="17" t="n">
        <v>1830</v>
      </c>
      <c r="I543" s="17"/>
      <c r="J543" s="17"/>
      <c r="K543" s="17" t="n">
        <v>1900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1830</v>
      </c>
      <c r="N543" s="17" t="str">
        <f aca="false">IF($I543="","",$I543+$L543)</f>
        <v/>
      </c>
      <c r="O543" s="17" t="n">
        <f aca="false">IF($K543="","",$K543+$L543)</f>
        <v>1900</v>
      </c>
      <c r="P543" s="17" t="str">
        <f aca="false">IF($B$10=0,"",IFERROR(IF($B$4&gt;0,IF($M543="",1/0,$M543*$B$4),0)+IF($B$5&gt;0,IF($N543="",1/0,$N543*$B$5),0)+IF($B$6&gt;0,IF($O543="",1/0,$O543*$B$6),0),""))</f>
        <v/>
      </c>
      <c r="Q543" s="17" t="s">
        <v>44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543" s="2"/>
      <c r="XFC543" s="6"/>
    </row>
    <row r="544" s="5" customFormat="true" ht="28.5" hidden="false" customHeight="true" outlineLevel="0" collapsed="false">
      <c r="A544" s="16" t="str">
        <f aca="false">IF($T544="","",1+COUNTIF($W$15:$W$728,"&lt;"&amp;W544))</f>
        <v/>
      </c>
      <c r="B544" s="16" t="s">
        <v>14</v>
      </c>
      <c r="C544" s="16" t="s">
        <v>1623</v>
      </c>
      <c r="D544" s="16" t="s">
        <v>43</v>
      </c>
      <c r="E544" s="16" t="s">
        <v>44</v>
      </c>
      <c r="F544" s="16" t="s">
        <v>1624</v>
      </c>
      <c r="G544" s="16" t="s">
        <v>1625</v>
      </c>
      <c r="H544" s="17" t="n">
        <v>1892</v>
      </c>
      <c r="I544" s="17"/>
      <c r="J544" s="17"/>
      <c r="K544" s="17" t="n">
        <v>1892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1892</v>
      </c>
      <c r="N544" s="17" t="str">
        <f aca="false">IF($I544="","",$I544+$L544)</f>
        <v/>
      </c>
      <c r="O544" s="17" t="n">
        <f aca="false">IF($K544="","",$K544+$L544)</f>
        <v>1892</v>
      </c>
      <c r="P544" s="17" t="str">
        <f aca="false">IF($B$10=0,"",IFERROR(IF($B$4&gt;0,IF($M544="",1/0,$M544*$B$4),0)+IF($B$5&gt;0,IF($N544="",1/0,$N544*$B$5),0)+IF($B$6&gt;0,IF($O544="",1/0,$O544*$B$6),0),""))</f>
        <v/>
      </c>
      <c r="Q544" s="17" t="s">
        <v>44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544" s="2"/>
      <c r="XFC544" s="6"/>
    </row>
    <row r="545" s="5" customFormat="true" ht="28.5" hidden="false" customHeight="true" outlineLevel="0" collapsed="false">
      <c r="A545" s="16" t="str">
        <f aca="false">IF($T545="","",1+COUNTIF($W$15:$W$728,"&lt;"&amp;W545))</f>
        <v/>
      </c>
      <c r="B545" s="16" t="s">
        <v>6</v>
      </c>
      <c r="C545" s="16" t="s">
        <v>1626</v>
      </c>
      <c r="D545" s="16" t="s">
        <v>43</v>
      </c>
      <c r="E545" s="16" t="s">
        <v>44</v>
      </c>
      <c r="F545" s="16" t="s">
        <v>1627</v>
      </c>
      <c r="G545" s="16" t="s">
        <v>1628</v>
      </c>
      <c r="H545" s="17" t="n">
        <v>1894</v>
      </c>
      <c r="I545" s="17"/>
      <c r="J545" s="17"/>
      <c r="K545" s="17" t="n">
        <v>1934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1894</v>
      </c>
      <c r="N545" s="17" t="str">
        <f aca="false">IF($I545="","",$I545+$L545)</f>
        <v/>
      </c>
      <c r="O545" s="17" t="n">
        <f aca="false">IF($K545="","",$K545+$L545)</f>
        <v>1934</v>
      </c>
      <c r="P545" s="17" t="str">
        <f aca="false">IF($B$10=0,"",IFERROR(IF($B$4&gt;0,IF($M545="",1/0,$M545*$B$4),0)+IF($B$5&gt;0,IF($N545="",1/0,$N545*$B$5),0)+IF($B$6&gt;0,IF($O545="",1/0,$O545*$B$6),0),""))</f>
        <v/>
      </c>
      <c r="Q545" s="17" t="s">
        <v>44</v>
      </c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545" s="2"/>
      <c r="XFC545" s="6"/>
    </row>
    <row r="546" s="5" customFormat="true" ht="28.5" hidden="false" customHeight="true" outlineLevel="0" collapsed="false">
      <c r="A546" s="16" t="str">
        <f aca="false">IF($T546="","",1+COUNTIF($W$15:$W$728,"&lt;"&amp;W546))</f>
        <v/>
      </c>
      <c r="B546" s="16" t="s">
        <v>14</v>
      </c>
      <c r="C546" s="16" t="s">
        <v>1629</v>
      </c>
      <c r="D546" s="16" t="s">
        <v>141</v>
      </c>
      <c r="E546" s="16" t="s">
        <v>58</v>
      </c>
      <c r="F546" s="16" t="s">
        <v>1630</v>
      </c>
      <c r="G546" s="16" t="s">
        <v>1631</v>
      </c>
      <c r="H546" s="17" t="n">
        <v>1895</v>
      </c>
      <c r="I546" s="17"/>
      <c r="J546" s="17"/>
      <c r="K546" s="17" t="n">
        <v>1895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1895</v>
      </c>
      <c r="N546" s="17" t="str">
        <f aca="false">IF($I546="","",$I546+$L546)</f>
        <v/>
      </c>
      <c r="O546" s="17" t="n">
        <f aca="false">IF($K546="","",$K546+$L546)</f>
        <v>1895</v>
      </c>
      <c r="P546" s="17" t="str">
        <f aca="false">IF($B$10=0,"",IFERROR(IF($B$4&gt;0,IF($M546="",1/0,$M546*$B$4),0)+IF($B$5&gt;0,IF($N546="",1/0,$N546*$B$5),0)+IF($B$6&gt;0,IF($O546="",1/0,$O546*$B$6),0),""))</f>
        <v/>
      </c>
      <c r="Q546" s="17" t="s">
        <v>44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546" s="2"/>
      <c r="XFC546" s="6"/>
    </row>
    <row r="547" s="5" customFormat="true" ht="28.5" hidden="false" customHeight="true" outlineLevel="0" collapsed="false">
      <c r="A547" s="16" t="str">
        <f aca="false">IF($T547="","",1+COUNTIF($W$15:$W$728,"&lt;"&amp;W547))</f>
        <v/>
      </c>
      <c r="B547" s="16" t="s">
        <v>14</v>
      </c>
      <c r="C547" s="16" t="s">
        <v>1632</v>
      </c>
      <c r="D547" s="16" t="s">
        <v>43</v>
      </c>
      <c r="E547" s="16" t="s">
        <v>58</v>
      </c>
      <c r="F547" s="16" t="s">
        <v>1633</v>
      </c>
      <c r="G547" s="16" t="s">
        <v>1634</v>
      </c>
      <c r="H547" s="17" t="n">
        <v>1975</v>
      </c>
      <c r="I547" s="17"/>
      <c r="J547" s="17"/>
      <c r="K547" s="17" t="n">
        <v>1995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1975</v>
      </c>
      <c r="N547" s="17" t="str">
        <f aca="false">IF($I547="","",$I547+$L547)</f>
        <v/>
      </c>
      <c r="O547" s="17" t="n">
        <f aca="false">IF($K547="","",$K547+$L547)</f>
        <v>1995</v>
      </c>
      <c r="P547" s="17" t="str">
        <f aca="false">IF($B$10=0,"",IFERROR(IF($B$4&gt;0,IF($M547="",1/0,$M547*$B$4),0)+IF($B$5&gt;0,IF($N547="",1/0,$N547*$B$5),0)+IF($B$6&gt;0,IF($O547="",1/0,$O547*$B$6),0),""))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C547" s="6"/>
    </row>
    <row r="548" s="5" customFormat="true" ht="28.5" hidden="false" customHeight="true" outlineLevel="0" collapsed="false">
      <c r="A548" s="16" t="str">
        <f aca="false">IF($T548="","",1+COUNTIF($W$15:$W$728,"&lt;"&amp;W548))</f>
        <v/>
      </c>
      <c r="B548" s="16" t="s">
        <v>14</v>
      </c>
      <c r="C548" s="16" t="s">
        <v>1635</v>
      </c>
      <c r="D548" s="20" t="s">
        <v>131</v>
      </c>
      <c r="E548" s="16" t="s">
        <v>44</v>
      </c>
      <c r="F548" s="16" t="s">
        <v>1636</v>
      </c>
      <c r="G548" s="16" t="s">
        <v>1637</v>
      </c>
      <c r="H548" s="17" t="n">
        <v>1795</v>
      </c>
      <c r="I548" s="17"/>
      <c r="J548" s="17"/>
      <c r="K548" s="17" t="n">
        <v>1799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1795</v>
      </c>
      <c r="N548" s="17" t="str">
        <f aca="false">IF($I548="","",$I548+$L548)</f>
        <v/>
      </c>
      <c r="O548" s="17" t="n">
        <f aca="false">IF($K548="","",$K548+$L548)</f>
        <v>1799</v>
      </c>
      <c r="P548" s="17" t="str">
        <f aca="false">IF($B$10=0,"",IFERROR(IF($B$4&gt;0,IF($M548="",1/0,$M548*$B$4),0)+IF($B$5&gt;0,IF($N548="",1/0,$N548*$B$5),0)+IF($B$6&gt;0,IF($O548="",1/0,$O548*$B$6),0),""))</f>
        <v/>
      </c>
      <c r="Q548" s="17" t="s">
        <v>44</v>
      </c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C548" s="6"/>
    </row>
    <row r="549" s="5" customFormat="true" ht="28.5" hidden="false" customHeight="true" outlineLevel="0" collapsed="false">
      <c r="A549" s="16" t="str">
        <f aca="false">IF($T549="","",1+COUNTIF($W$15:$W$728,"&lt;"&amp;W549))</f>
        <v/>
      </c>
      <c r="B549" s="16" t="s">
        <v>14</v>
      </c>
      <c r="C549" s="16" t="s">
        <v>1638</v>
      </c>
      <c r="D549" s="16" t="s">
        <v>43</v>
      </c>
      <c r="E549" s="16" t="s">
        <v>58</v>
      </c>
      <c r="F549" s="16" t="s">
        <v>1639</v>
      </c>
      <c r="G549" s="16" t="s">
        <v>1640</v>
      </c>
      <c r="H549" s="17" t="n">
        <v>1795</v>
      </c>
      <c r="I549" s="17"/>
      <c r="J549" s="17"/>
      <c r="K549" s="17" t="n">
        <v>1795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1795</v>
      </c>
      <c r="N549" s="17" t="str">
        <f aca="false">IF($I549="","",$I549+$L549)</f>
        <v/>
      </c>
      <c r="O549" s="17" t="n">
        <f aca="false">IF($K549="","",$K549+$L549)</f>
        <v>1795</v>
      </c>
      <c r="P549" s="17" t="str">
        <f aca="false">IF($B$10=0,"",IFERROR(IF($B$4&gt;0,IF($M549="",1/0,$M549*$B$4),0)+IF($B$5&gt;0,IF($N549="",1/0,$N549*$B$5),0)+IF($B$6&gt;0,IF($O549="",1/0,$O549*$B$6),0),""))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549" s="2"/>
      <c r="XFC549" s="6"/>
    </row>
    <row r="550" s="5" customFormat="true" ht="28.5" hidden="false" customHeight="true" outlineLevel="0" collapsed="false">
      <c r="A550" s="16" t="str">
        <f aca="false">IF($T550="","",1+COUNTIF($W$15:$W$728,"&lt;"&amp;W550))</f>
        <v/>
      </c>
      <c r="B550" s="16" t="s">
        <v>12</v>
      </c>
      <c r="C550" s="16" t="s">
        <v>1438</v>
      </c>
      <c r="D550" s="20" t="s">
        <v>303</v>
      </c>
      <c r="E550" s="16" t="s">
        <v>58</v>
      </c>
      <c r="F550" s="16" t="s">
        <v>1641</v>
      </c>
      <c r="G550" s="16" t="s">
        <v>1642</v>
      </c>
      <c r="H550" s="17" t="n">
        <v>1895</v>
      </c>
      <c r="I550" s="17"/>
      <c r="J550" s="17"/>
      <c r="K550" s="17" t="n">
        <v>1895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1895</v>
      </c>
      <c r="N550" s="17" t="str">
        <f aca="false">IF($I550="","",$I550+$L550)</f>
        <v/>
      </c>
      <c r="O550" s="17" t="n">
        <f aca="false">IF($K550="","",$K550+$L550)</f>
        <v>1895</v>
      </c>
      <c r="P550" s="17" t="str">
        <f aca="false">IF($B$10=0,"",IFERROR(IF($B$4&gt;0,IF($M550="",1/0,$M550*$B$4),0)+IF($B$5&gt;0,IF($N550="",1/0,$N550*$B$5),0)+IF($B$6&gt;0,IF($O550="",1/0,$O550*$B$6),0),""))</f>
        <v/>
      </c>
      <c r="Q550" s="17" t="s">
        <v>44</v>
      </c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550" s="2"/>
      <c r="XFC550" s="6"/>
    </row>
    <row r="551" s="5" customFormat="true" ht="28.5" hidden="false" customHeight="true" outlineLevel="0" collapsed="false">
      <c r="A551" s="16" t="str">
        <f aca="false">IF($T551="","",1+COUNTIF($W$15:$W$728,"&lt;"&amp;W551))</f>
        <v/>
      </c>
      <c r="B551" s="16" t="s">
        <v>12</v>
      </c>
      <c r="C551" s="16" t="s">
        <v>1643</v>
      </c>
      <c r="D551" s="20" t="s">
        <v>303</v>
      </c>
      <c r="E551" s="16" t="s">
        <v>58</v>
      </c>
      <c r="F551" s="16" t="s">
        <v>1644</v>
      </c>
      <c r="G551" s="16" t="s">
        <v>1645</v>
      </c>
      <c r="H551" s="17" t="n">
        <v>1959</v>
      </c>
      <c r="I551" s="17"/>
      <c r="J551" s="17"/>
      <c r="K551" s="17" t="n">
        <v>2159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1959</v>
      </c>
      <c r="N551" s="17" t="str">
        <f aca="false">IF($I551="","",$I551+$L551)</f>
        <v/>
      </c>
      <c r="O551" s="17" t="n">
        <f aca="false">IF($K551="","",$K551+$L551)</f>
        <v>2159</v>
      </c>
      <c r="P551" s="17" t="str">
        <f aca="false">IF($B$10=0,"",IFERROR(IF($B$4&gt;0,IF($M551="",1/0,$M551*$B$4),0)+IF($B$5&gt;0,IF($N551="",1/0,$N551*$B$5),0)+IF($B$6&gt;0,IF($O551="",1/0,$O551*$B$6),0),""))</f>
        <v/>
      </c>
      <c r="Q551" s="17" t="s">
        <v>44</v>
      </c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551" s="2"/>
      <c r="XFC551" s="6"/>
    </row>
    <row r="552" s="5" customFormat="true" ht="28.5" hidden="false" customHeight="true" outlineLevel="0" collapsed="false">
      <c r="A552" s="16" t="str">
        <f aca="false">IF($T552="","",1+COUNTIF($W$15:$W$728,"&lt;"&amp;W552))</f>
        <v/>
      </c>
      <c r="B552" s="16" t="s">
        <v>10</v>
      </c>
      <c r="C552" s="16" t="s">
        <v>1646</v>
      </c>
      <c r="D552" s="16" t="s">
        <v>141</v>
      </c>
      <c r="E552" s="16" t="s">
        <v>58</v>
      </c>
      <c r="F552" s="16" t="s">
        <v>1647</v>
      </c>
      <c r="G552" s="16" t="s">
        <v>1648</v>
      </c>
      <c r="H552" s="17" t="n">
        <v>1799</v>
      </c>
      <c r="I552" s="17"/>
      <c r="J552" s="17"/>
      <c r="K552" s="17" t="n">
        <v>1885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1799</v>
      </c>
      <c r="N552" s="17" t="str">
        <f aca="false">IF($I552="","",$I552+$L552)</f>
        <v/>
      </c>
      <c r="O552" s="17" t="n">
        <f aca="false">IF($K552="","",$K552+$L552)</f>
        <v>1885</v>
      </c>
      <c r="P552" s="17" t="str">
        <f aca="false">IF($B$10=0,"",IFERROR(IF($B$4&gt;0,IF($M552="",1/0,$M552*$B$4),0)+IF($B$5&gt;0,IF($N552="",1/0,$N552*$B$5),0)+IF($B$6&gt;0,IF($O552="",1/0,$O552*$B$6),0),""))</f>
        <v/>
      </c>
      <c r="Q552" s="17" t="s">
        <v>44</v>
      </c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552" s="2"/>
      <c r="XFC552" s="6"/>
    </row>
    <row r="553" s="5" customFormat="true" ht="28.5" hidden="false" customHeight="true" outlineLevel="0" collapsed="false">
      <c r="A553" s="16" t="str">
        <f aca="false">IF($T553="","",1+COUNTIF($W$15:$W$728,"&lt;"&amp;W553))</f>
        <v/>
      </c>
      <c r="B553" s="16" t="s">
        <v>10</v>
      </c>
      <c r="C553" s="16" t="s">
        <v>1649</v>
      </c>
      <c r="D553" s="16" t="s">
        <v>43</v>
      </c>
      <c r="E553" s="16" t="s">
        <v>58</v>
      </c>
      <c r="F553" s="16" t="s">
        <v>1650</v>
      </c>
      <c r="G553" s="16" t="s">
        <v>1651</v>
      </c>
      <c r="H553" s="17" t="n">
        <v>1735</v>
      </c>
      <c r="I553" s="17"/>
      <c r="J553" s="17"/>
      <c r="K553" s="17" t="n">
        <v>1825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1735</v>
      </c>
      <c r="N553" s="17" t="str">
        <f aca="false">IF($I553="","",$I553+$L553)</f>
        <v/>
      </c>
      <c r="O553" s="17" t="n">
        <f aca="false">IF($K553="","",$K553+$L553)</f>
        <v>1825</v>
      </c>
      <c r="P553" s="17" t="str">
        <f aca="false">IF($B$10=0,"",IFERROR(IF($B$4&gt;0,IF($M553="",1/0,$M553*$B$4),0)+IF($B$5&gt;0,IF($N553="",1/0,$N553*$B$5),0)+IF($B$6&gt;0,IF($O553="",1/0,$O553*$B$6),0),""))</f>
        <v/>
      </c>
      <c r="Q553" s="17" t="s">
        <v>44</v>
      </c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553" s="2"/>
      <c r="XFC553" s="6"/>
    </row>
    <row r="554" s="5" customFormat="true" ht="28.5" hidden="false" customHeight="true" outlineLevel="0" collapsed="false">
      <c r="A554" s="16" t="str">
        <f aca="false">IF($T554="","",1+COUNTIF($W$15:$W$728,"&lt;"&amp;W554))</f>
        <v/>
      </c>
      <c r="B554" s="16" t="s">
        <v>14</v>
      </c>
      <c r="C554" s="16" t="s">
        <v>1652</v>
      </c>
      <c r="D554" s="16" t="s">
        <v>141</v>
      </c>
      <c r="E554" s="16" t="s">
        <v>58</v>
      </c>
      <c r="F554" s="16" t="s">
        <v>1653</v>
      </c>
      <c r="G554" s="16" t="s">
        <v>1654</v>
      </c>
      <c r="H554" s="17" t="n">
        <v>1890</v>
      </c>
      <c r="I554" s="17"/>
      <c r="J554" s="17"/>
      <c r="K554" s="17" t="n">
        <v>1920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1890</v>
      </c>
      <c r="N554" s="17" t="str">
        <f aca="false">IF($I554="","",$I554+$L554)</f>
        <v/>
      </c>
      <c r="O554" s="17" t="n">
        <f aca="false">IF($K554="","",$K554+$L554)</f>
        <v>1920</v>
      </c>
      <c r="P554" s="17" t="str">
        <f aca="false">IF($B$10=0,"",IFERROR(IF($B$4&gt;0,IF($M554="",1/0,$M554*$B$4),0)+IF($B$5&gt;0,IF($N554="",1/0,$N554*$B$5),0)+IF($B$6&gt;0,IF($O554="",1/0,$O554*$B$6),0),""))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554" s="2"/>
      <c r="XFC554" s="6"/>
    </row>
    <row r="555" s="5" customFormat="true" ht="28.5" hidden="false" customHeight="true" outlineLevel="0" collapsed="false">
      <c r="A555" s="16" t="str">
        <f aca="false">IF($T555="","",1+COUNTIF($W$15:$W$728,"&lt;"&amp;W555))</f>
        <v/>
      </c>
      <c r="B555" s="16" t="s">
        <v>10</v>
      </c>
      <c r="C555" s="16" t="s">
        <v>1655</v>
      </c>
      <c r="D555" s="16" t="s">
        <v>43</v>
      </c>
      <c r="E555" s="16" t="s">
        <v>58</v>
      </c>
      <c r="F555" s="16" t="s">
        <v>1656</v>
      </c>
      <c r="G555" s="16" t="s">
        <v>1657</v>
      </c>
      <c r="H555" s="17" t="n">
        <v>1865</v>
      </c>
      <c r="I555" s="17"/>
      <c r="J555" s="17"/>
      <c r="K555" s="17" t="n">
        <v>1865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1865</v>
      </c>
      <c r="N555" s="17" t="str">
        <f aca="false">IF($I555="","",$I555+$L555)</f>
        <v/>
      </c>
      <c r="O555" s="17" t="n">
        <f aca="false">IF($K555="","",$K555+$L555)</f>
        <v>1865</v>
      </c>
      <c r="P555" s="17" t="str">
        <f aca="false">IF($B$10=0,"",IFERROR(IF($B$4&gt;0,IF($M555="",1/0,$M555*$B$4),0)+IF($B$5&gt;0,IF($N555="",1/0,$N555*$B$5),0)+IF($B$6&gt;0,IF($O555="",1/0,$O555*$B$6),0),""))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555" s="2"/>
      <c r="XFC555" s="6"/>
    </row>
    <row r="556" s="5" customFormat="true" ht="28.5" hidden="false" customHeight="true" outlineLevel="0" collapsed="false">
      <c r="A556" s="16" t="str">
        <f aca="false">IF($T556="","",1+COUNTIF($W$15:$W$728,"&lt;"&amp;W556))</f>
        <v/>
      </c>
      <c r="B556" s="16" t="s">
        <v>12</v>
      </c>
      <c r="C556" s="16" t="s">
        <v>1658</v>
      </c>
      <c r="D556" s="20" t="s">
        <v>303</v>
      </c>
      <c r="E556" s="16" t="s">
        <v>58</v>
      </c>
      <c r="F556" s="16" t="s">
        <v>1659</v>
      </c>
      <c r="G556" s="16" t="s">
        <v>1660</v>
      </c>
      <c r="H556" s="17" t="n">
        <v>1898</v>
      </c>
      <c r="I556" s="17"/>
      <c r="J556" s="17"/>
      <c r="K556" s="17" t="n">
        <v>1959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1898</v>
      </c>
      <c r="N556" s="17" t="str">
        <f aca="false">IF($I556="","",$I556+$L556)</f>
        <v/>
      </c>
      <c r="O556" s="17" t="n">
        <f aca="false">IF($K556="","",$K556+$L556)</f>
        <v>1959</v>
      </c>
      <c r="P556" s="17" t="str">
        <f aca="false">IF($B$10=0,"",IFERROR(IF($B$4&gt;0,IF($M556="",1/0,$M556*$B$4),0)+IF($B$5&gt;0,IF($N556="",1/0,$N556*$B$5),0)+IF($B$6&gt;0,IF($O556="",1/0,$O556*$B$6),0),""))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556" s="2"/>
      <c r="XFC556" s="6"/>
    </row>
    <row r="557" s="5" customFormat="true" ht="28.5" hidden="false" customHeight="true" outlineLevel="0" collapsed="false">
      <c r="A557" s="16" t="str">
        <f aca="false">IF($T557="","",1+COUNTIF($W$15:$W$728,"&lt;"&amp;W557))</f>
        <v/>
      </c>
      <c r="B557" s="16" t="s">
        <v>12</v>
      </c>
      <c r="C557" s="16" t="s">
        <v>1661</v>
      </c>
      <c r="D557" s="20" t="s">
        <v>303</v>
      </c>
      <c r="E557" s="16" t="s">
        <v>58</v>
      </c>
      <c r="F557" s="16" t="s">
        <v>1662</v>
      </c>
      <c r="G557" s="16" t="s">
        <v>1663</v>
      </c>
      <c r="H557" s="17" t="n">
        <v>1898</v>
      </c>
      <c r="I557" s="17"/>
      <c r="J557" s="17"/>
      <c r="K557" s="17" t="n">
        <v>1997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1898</v>
      </c>
      <c r="N557" s="17" t="str">
        <f aca="false">IF($I557="","",$I557+$L557)</f>
        <v/>
      </c>
      <c r="O557" s="17" t="n">
        <f aca="false">IF($K557="","",$K557+$L557)</f>
        <v>1997</v>
      </c>
      <c r="P557" s="17" t="str">
        <f aca="false">IF($B$10=0,"",IFERROR(IF($B$4&gt;0,IF($M557="",1/0,$M557*$B$4),0)+IF($B$5&gt;0,IF($N557="",1/0,$N557*$B$5),0)+IF($B$6&gt;0,IF($O557="",1/0,$O557*$B$6),0),""))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557" s="2"/>
      <c r="XFC557" s="6"/>
    </row>
    <row r="558" s="5" customFormat="true" ht="28.5" hidden="false" customHeight="true" outlineLevel="0" collapsed="false">
      <c r="A558" s="16" t="str">
        <f aca="false">IF($T558="","",1+COUNTIF($W$15:$W$728,"&lt;"&amp;W558))</f>
        <v/>
      </c>
      <c r="B558" s="16" t="s">
        <v>14</v>
      </c>
      <c r="C558" s="16" t="s">
        <v>1664</v>
      </c>
      <c r="D558" s="16" t="s">
        <v>141</v>
      </c>
      <c r="E558" s="16" t="s">
        <v>58</v>
      </c>
      <c r="F558" s="16" t="s">
        <v>1665</v>
      </c>
      <c r="G558" s="16" t="s">
        <v>1666</v>
      </c>
      <c r="H558" s="17" t="n">
        <v>1797</v>
      </c>
      <c r="I558" s="17"/>
      <c r="J558" s="17"/>
      <c r="K558" s="17" t="n">
        <v>1747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1797</v>
      </c>
      <c r="N558" s="17" t="str">
        <f aca="false">IF($I558="","",$I558+$L558)</f>
        <v/>
      </c>
      <c r="O558" s="17" t="n">
        <f aca="false">IF($K558="","",$K558+$L558)</f>
        <v>1747</v>
      </c>
      <c r="P558" s="17" t="str">
        <f aca="false">IF($B$10=0,"",IFERROR(IF($B$4&gt;0,IF($M558="",1/0,$M558*$B$4),0)+IF($B$5&gt;0,IF($N558="",1/0,$N558*$B$5),0)+IF($B$6&gt;0,IF($O558="",1/0,$O558*$B$6),0),""))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558" s="2"/>
      <c r="XFC558" s="6"/>
    </row>
    <row r="559" s="5" customFormat="true" ht="28.5" hidden="false" customHeight="true" outlineLevel="0" collapsed="false">
      <c r="A559" s="16" t="str">
        <f aca="false">IF($T559="","",1+COUNTIF($W$15:$W$728,"&lt;"&amp;W559))</f>
        <v/>
      </c>
      <c r="B559" s="16" t="s">
        <v>10</v>
      </c>
      <c r="C559" s="16" t="s">
        <v>1667</v>
      </c>
      <c r="D559" s="16" t="s">
        <v>141</v>
      </c>
      <c r="E559" s="16" t="s">
        <v>44</v>
      </c>
      <c r="F559" s="16" t="s">
        <v>1668</v>
      </c>
      <c r="G559" s="16" t="s">
        <v>1669</v>
      </c>
      <c r="H559" s="17" t="n">
        <v>1987</v>
      </c>
      <c r="I559" s="17"/>
      <c r="J559" s="17"/>
      <c r="K559" s="17" t="n">
        <v>1977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1987</v>
      </c>
      <c r="N559" s="17" t="str">
        <f aca="false">IF($I559="","",$I559+$L559)</f>
        <v/>
      </c>
      <c r="O559" s="17" t="n">
        <f aca="false">IF($K559="","",$K559+$L559)</f>
        <v>1977</v>
      </c>
      <c r="P559" s="17" t="str">
        <f aca="false">IF($B$10=0,"",IFERROR(IF($B$4&gt;0,IF($M559="",1/0,$M559*$B$4),0)+IF($B$5&gt;0,IF($N559="",1/0,$N559*$B$5),0)+IF($B$6&gt;0,IF($O559="",1/0,$O559*$B$6),0),""))</f>
        <v/>
      </c>
      <c r="Q559" s="17" t="s">
        <v>44</v>
      </c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559" s="2"/>
      <c r="XFC559" s="6"/>
    </row>
    <row r="560" s="5" customFormat="true" ht="28.5" hidden="false" customHeight="true" outlineLevel="0" collapsed="false">
      <c r="A560" s="16" t="str">
        <f aca="false">IF($T560="","",1+COUNTIF($W$15:$W$728,"&lt;"&amp;W560))</f>
        <v/>
      </c>
      <c r="B560" s="16" t="s">
        <v>12</v>
      </c>
      <c r="C560" s="16" t="s">
        <v>1670</v>
      </c>
      <c r="D560" s="20" t="s">
        <v>141</v>
      </c>
      <c r="E560" s="16" t="s">
        <v>44</v>
      </c>
      <c r="F560" s="16" t="s">
        <v>1671</v>
      </c>
      <c r="G560" s="16" t="s">
        <v>1672</v>
      </c>
      <c r="H560" s="17" t="n">
        <v>1937</v>
      </c>
      <c r="I560" s="17"/>
      <c r="J560" s="17"/>
      <c r="K560" s="17" t="n">
        <v>1968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1937</v>
      </c>
      <c r="N560" s="17" t="str">
        <f aca="false">IF($I560="","",$I560+$L560)</f>
        <v/>
      </c>
      <c r="O560" s="17" t="n">
        <f aca="false">IF($K560="","",$K560+$L560)</f>
        <v>1968</v>
      </c>
      <c r="P560" s="17" t="str">
        <f aca="false">IF($B$10=0,"",IFERROR(IF($B$4&gt;0,IF($M560="",1/0,$M560*$B$4),0)+IF($B$5&gt;0,IF($N560="",1/0,$N560*$B$5),0)+IF($B$6&gt;0,IF($O560="",1/0,$O560*$B$6),0),""))</f>
        <v/>
      </c>
      <c r="Q560" s="17" t="s">
        <v>44</v>
      </c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560" s="2"/>
      <c r="XFC560" s="6"/>
    </row>
    <row r="561" s="5" customFormat="true" ht="28.5" hidden="false" customHeight="true" outlineLevel="0" collapsed="false">
      <c r="A561" s="16" t="str">
        <f aca="false">IF($T561="","",1+COUNTIF($W$15:$W$728,"&lt;"&amp;W561))</f>
        <v/>
      </c>
      <c r="B561" s="16" t="s">
        <v>14</v>
      </c>
      <c r="C561" s="16" t="s">
        <v>1673</v>
      </c>
      <c r="D561" s="20" t="s">
        <v>131</v>
      </c>
      <c r="E561" s="16" t="s">
        <v>58</v>
      </c>
      <c r="F561" s="16" t="s">
        <v>1674</v>
      </c>
      <c r="G561" s="16" t="s">
        <v>1675</v>
      </c>
      <c r="H561" s="17" t="n">
        <v>1837</v>
      </c>
      <c r="I561" s="17"/>
      <c r="J561" s="17"/>
      <c r="K561" s="17" t="n">
        <v>1837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1837</v>
      </c>
      <c r="N561" s="17" t="str">
        <f aca="false">IF($I561="","",$I561+$L561)</f>
        <v/>
      </c>
      <c r="O561" s="17" t="n">
        <f aca="false">IF($K561="","",$K561+$L561)</f>
        <v>1837</v>
      </c>
      <c r="P561" s="17" t="str">
        <f aca="false">IF($B$10=0,"",IFERROR(IF($B$4&gt;0,IF($M561="",1/0,$M561*$B$4),0)+IF($B$5&gt;0,IF($N561="",1/0,$N561*$B$5),0)+IF($B$6&gt;0,IF($O561="",1/0,$O561*$B$6),0),""))</f>
        <v/>
      </c>
      <c r="Q561" s="17" t="s">
        <v>44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561" s="2"/>
      <c r="XFC561" s="6"/>
    </row>
    <row r="562" s="5" customFormat="true" ht="28.5" hidden="false" customHeight="true" outlineLevel="0" collapsed="false">
      <c r="A562" s="16" t="str">
        <f aca="false">IF($T562="","",1+COUNTIF($W$15:$W$728,"&lt;"&amp;W562))</f>
        <v/>
      </c>
      <c r="B562" s="16" t="s">
        <v>12</v>
      </c>
      <c r="C562" s="16" t="s">
        <v>1676</v>
      </c>
      <c r="D562" s="20" t="s">
        <v>131</v>
      </c>
      <c r="E562" s="16" t="s">
        <v>44</v>
      </c>
      <c r="F562" s="16" t="s">
        <v>1677</v>
      </c>
      <c r="G562" s="16" t="s">
        <v>1678</v>
      </c>
      <c r="H562" s="17" t="n">
        <v>1797</v>
      </c>
      <c r="I562" s="17"/>
      <c r="J562" s="17"/>
      <c r="K562" s="17" t="n">
        <v>1797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1797</v>
      </c>
      <c r="N562" s="17" t="str">
        <f aca="false">IF($I562="","",$I562+$L562)</f>
        <v/>
      </c>
      <c r="O562" s="17" t="n">
        <f aca="false">IF($K562="","",$K562+$L562)</f>
        <v>1797</v>
      </c>
      <c r="P562" s="17" t="str">
        <f aca="false">IF($B$10=0,"",IFERROR(IF($B$4&gt;0,IF($M562="",1/0,$M562*$B$4),0)+IF($B$5&gt;0,IF($N562="",1/0,$N562*$B$5),0)+IF($B$6&gt;0,IF($O562="",1/0,$O562*$B$6),0),""))</f>
        <v/>
      </c>
      <c r="Q562" s="17" t="s">
        <v>44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562" s="2"/>
      <c r="XFC562" s="6"/>
    </row>
    <row r="563" s="5" customFormat="true" ht="28.5" hidden="false" customHeight="true" outlineLevel="0" collapsed="false">
      <c r="A563" s="16" t="str">
        <f aca="false">IF($T563="","",1+COUNTIF($W$15:$W$728,"&lt;"&amp;W563))</f>
        <v/>
      </c>
      <c r="B563" s="16" t="s">
        <v>14</v>
      </c>
      <c r="C563" s="16" t="s">
        <v>1679</v>
      </c>
      <c r="D563" s="16" t="s">
        <v>43</v>
      </c>
      <c r="E563" s="16" t="s">
        <v>58</v>
      </c>
      <c r="F563" s="16" t="s">
        <v>1680</v>
      </c>
      <c r="G563" s="16" t="s">
        <v>1681</v>
      </c>
      <c r="H563" s="17" t="n">
        <v>1897</v>
      </c>
      <c r="I563" s="17"/>
      <c r="J563" s="17"/>
      <c r="K563" s="17" t="n">
        <v>1897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1897</v>
      </c>
      <c r="N563" s="17" t="str">
        <f aca="false">IF($I563="","",$I563+$L563)</f>
        <v/>
      </c>
      <c r="O563" s="17" t="n">
        <f aca="false">IF($K563="","",$K563+$L563)</f>
        <v>1897</v>
      </c>
      <c r="P563" s="17" t="str">
        <f aca="false">IF($B$10=0,"",IFERROR(IF($B$4&gt;0,IF($M563="",1/0,$M563*$B$4),0)+IF($B$5&gt;0,IF($N563="",1/0,$N563*$B$5),0)+IF($B$6&gt;0,IF($O563="",1/0,$O563*$B$6),0),""))</f>
        <v/>
      </c>
      <c r="Q563" s="17" t="s">
        <v>44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563" s="2"/>
      <c r="XFC563" s="6"/>
    </row>
    <row r="564" s="5" customFormat="true" ht="28.5" hidden="false" customHeight="true" outlineLevel="0" collapsed="false">
      <c r="A564" s="16" t="str">
        <f aca="false">IF($T564="","",1+COUNTIF($W$15:$W$728,"&lt;"&amp;W564))</f>
        <v/>
      </c>
      <c r="B564" s="16" t="s">
        <v>12</v>
      </c>
      <c r="C564" s="16" t="s">
        <v>144</v>
      </c>
      <c r="D564" s="20" t="s">
        <v>303</v>
      </c>
      <c r="E564" s="16" t="s">
        <v>58</v>
      </c>
      <c r="F564" s="16" t="s">
        <v>1682</v>
      </c>
      <c r="G564" s="16" t="s">
        <v>1683</v>
      </c>
      <c r="H564" s="17" t="n">
        <v>1938</v>
      </c>
      <c r="I564" s="17"/>
      <c r="J564" s="17"/>
      <c r="K564" s="17" t="n">
        <v>1938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1938</v>
      </c>
      <c r="N564" s="17" t="str">
        <f aca="false">IF($I564="","",$I564+$L564)</f>
        <v/>
      </c>
      <c r="O564" s="17" t="n">
        <f aca="false">IF($K564="","",$K564+$L564)</f>
        <v>1938</v>
      </c>
      <c r="P564" s="17" t="str">
        <f aca="false">IF($B$10=0,"",IFERROR(IF($B$4&gt;0,IF($M564="",1/0,$M564*$B$4),0)+IF($B$5&gt;0,IF($N564="",1/0,$N564*$B$5),0)+IF($B$6&gt;0,IF($O564="",1/0,$O564*$B$6),0),""))</f>
        <v/>
      </c>
      <c r="Q564" s="17" t="s">
        <v>44</v>
      </c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564" s="2"/>
      <c r="XFC564" s="6"/>
    </row>
    <row r="565" s="5" customFormat="true" ht="28.5" hidden="false" customHeight="true" outlineLevel="0" collapsed="false">
      <c r="A565" s="16" t="str">
        <f aca="false">IF($T565="","",1+COUNTIF($W$15:$W$728,"&lt;"&amp;W565))</f>
        <v/>
      </c>
      <c r="B565" s="16" t="s">
        <v>14</v>
      </c>
      <c r="C565" s="16" t="s">
        <v>1684</v>
      </c>
      <c r="D565" s="20" t="s">
        <v>131</v>
      </c>
      <c r="E565" s="16" t="s">
        <v>58</v>
      </c>
      <c r="F565" s="16" t="s">
        <v>1685</v>
      </c>
      <c r="G565" s="16" t="s">
        <v>1686</v>
      </c>
      <c r="H565" s="17" t="n">
        <v>1895</v>
      </c>
      <c r="I565" s="17"/>
      <c r="J565" s="17"/>
      <c r="K565" s="17" t="n">
        <v>1898</v>
      </c>
      <c r="L565" s="17" t="n">
        <f aca="false">IF(AND(IFERROR(SEARCH("현대오일뱅크",$C565),0)&gt;0,IFERROR(SEARCH("직영",$C565),0)&gt;0),$B$13,0)</f>
        <v>0</v>
      </c>
      <c r="M565" s="17" t="n">
        <f aca="false">IF($H565="","",$H565+$L565)</f>
        <v>1895</v>
      </c>
      <c r="N565" s="17" t="str">
        <f aca="false">IF($I565="","",$I565+$L565)</f>
        <v/>
      </c>
      <c r="O565" s="17" t="n">
        <f aca="false">IF($K565="","",$K565+$L565)</f>
        <v>1898</v>
      </c>
      <c r="P565" s="17" t="str">
        <f aca="false">IF($B$10=0,"",IFERROR(IF($B$4&gt;0,IF($M565="",1/0,$M565*$B$4),0)+IF($B$5&gt;0,IF($N565="",1/0,$N565*$B$5),0)+IF($B$6&gt;0,IF($O565="",1/0,$O565*$B$6),0),""))</f>
        <v/>
      </c>
      <c r="Q565" s="17" t="s">
        <v>44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565" s="2"/>
      <c r="XFC565" s="6"/>
    </row>
    <row r="566" s="5" customFormat="true" ht="28.5" hidden="false" customHeight="true" outlineLevel="0" collapsed="false">
      <c r="A566" s="16" t="str">
        <f aca="false">IF($T566="","",1+COUNTIF($W$15:$W$728,"&lt;"&amp;W566))</f>
        <v/>
      </c>
      <c r="B566" s="16" t="s">
        <v>12</v>
      </c>
      <c r="C566" s="16" t="s">
        <v>1687</v>
      </c>
      <c r="D566" s="20" t="s">
        <v>208</v>
      </c>
      <c r="E566" s="16" t="s">
        <v>58</v>
      </c>
      <c r="F566" s="16" t="s">
        <v>1688</v>
      </c>
      <c r="G566" s="16" t="s">
        <v>1689</v>
      </c>
      <c r="H566" s="17" t="n">
        <v>1918</v>
      </c>
      <c r="I566" s="17"/>
      <c r="J566" s="17"/>
      <c r="K566" s="17" t="n">
        <v>1948</v>
      </c>
      <c r="L566" s="17" t="n">
        <f aca="false">IF(AND(IFERROR(SEARCH("현대오일뱅크",$C566),0)&gt;0,IFERROR(SEARCH("직영",$C566),0)&gt;0),$B$13,0)</f>
        <v>0</v>
      </c>
      <c r="M566" s="17" t="n">
        <f aca="false">IF($H566="","",$H566+$L566)</f>
        <v>1918</v>
      </c>
      <c r="N566" s="17" t="str">
        <f aca="false">IF($I566="","",$I566+$L566)</f>
        <v/>
      </c>
      <c r="O566" s="17" t="n">
        <f aca="false">IF($K566="","",$K566+$L566)</f>
        <v>1948</v>
      </c>
      <c r="P566" s="17" t="str">
        <f aca="false">IF($B$10=0,"",IFERROR(IF($B$4&gt;0,IF($M566="",1/0,$M566*$B$4),0)+IF($B$5&gt;0,IF($N566="",1/0,$N566*$B$5),0)+IF($B$6&gt;0,IF($O566="",1/0,$O566*$B$6),0),""))</f>
        <v/>
      </c>
      <c r="Q566" s="17" t="s">
        <v>44</v>
      </c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566" s="2"/>
      <c r="XFC566" s="6"/>
    </row>
    <row r="567" s="5" customFormat="true" ht="28.5" hidden="false" customHeight="true" outlineLevel="0" collapsed="false">
      <c r="A567" s="16" t="str">
        <f aca="false">IF($T567="","",1+COUNTIF($W$15:$W$728,"&lt;"&amp;W567))</f>
        <v/>
      </c>
      <c r="B567" s="16" t="s">
        <v>10</v>
      </c>
      <c r="C567" s="16" t="s">
        <v>1690</v>
      </c>
      <c r="D567" s="16" t="s">
        <v>48</v>
      </c>
      <c r="E567" s="16" t="s">
        <v>44</v>
      </c>
      <c r="F567" s="16" t="s">
        <v>1691</v>
      </c>
      <c r="G567" s="16" t="s">
        <v>1692</v>
      </c>
      <c r="H567" s="17" t="n">
        <v>1768</v>
      </c>
      <c r="I567" s="17"/>
      <c r="J567" s="17"/>
      <c r="K567" s="17" t="n">
        <v>1785</v>
      </c>
      <c r="L567" s="17" t="n">
        <f aca="false">IF(AND(IFERROR(SEARCH("현대오일뱅크",$C567),0)&gt;0,IFERROR(SEARCH("직영",$C567),0)&gt;0),$B$13,0)</f>
        <v>0</v>
      </c>
      <c r="M567" s="17" t="n">
        <f aca="false">IF($H567="","",$H567+$L567)</f>
        <v>1768</v>
      </c>
      <c r="N567" s="17" t="str">
        <f aca="false">IF($I567="","",$I567+$L567)</f>
        <v/>
      </c>
      <c r="O567" s="17" t="n">
        <f aca="false">IF($K567="","",$K567+$L567)</f>
        <v>1785</v>
      </c>
      <c r="P567" s="17" t="str">
        <f aca="false">IF($B$10=0,"",IFERROR(IF($B$4&gt;0,IF($M567="",1/0,$M567*$B$4),0)+IF($B$5&gt;0,IF($N567="",1/0,$N567*$B$5),0)+IF($B$6&gt;0,IF($O567="",1/0,$O567*$B$6),0),""))</f>
        <v/>
      </c>
      <c r="Q567" s="17" t="s">
        <v>44</v>
      </c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567" s="2"/>
      <c r="XFC567" s="6"/>
    </row>
    <row r="568" s="5" customFormat="true" ht="28.5" hidden="false" customHeight="true" outlineLevel="0" collapsed="false">
      <c r="A568" s="16" t="str">
        <f aca="false">IF($T568="","",1+COUNTIF($W$15:$W$728,"&lt;"&amp;W568))</f>
        <v/>
      </c>
      <c r="B568" s="16" t="s">
        <v>10</v>
      </c>
      <c r="C568" s="16" t="s">
        <v>1693</v>
      </c>
      <c r="D568" s="20" t="s">
        <v>131</v>
      </c>
      <c r="E568" s="16" t="s">
        <v>44</v>
      </c>
      <c r="F568" s="16" t="s">
        <v>1694</v>
      </c>
      <c r="G568" s="16" t="s">
        <v>1695</v>
      </c>
      <c r="H568" s="17" t="n">
        <v>1874</v>
      </c>
      <c r="I568" s="17"/>
      <c r="J568" s="17"/>
      <c r="K568" s="17" t="n">
        <v>1895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1874</v>
      </c>
      <c r="N568" s="17" t="str">
        <f aca="false">IF($I568="","",$I568+$L568)</f>
        <v/>
      </c>
      <c r="O568" s="17" t="n">
        <f aca="false">IF($K568="","",$K568+$L568)</f>
        <v>1895</v>
      </c>
      <c r="P568" s="17" t="str">
        <f aca="false">IF($B$10=0,"",IFERROR(IF($B$4&gt;0,IF($M568="",1/0,$M568*$B$4),0)+IF($B$5&gt;0,IF($N568="",1/0,$N568*$B$5),0)+IF($B$6&gt;0,IF($O568="",1/0,$O568*$B$6),0),""))</f>
        <v/>
      </c>
      <c r="Q568" s="17" t="s">
        <v>44</v>
      </c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568" s="2"/>
      <c r="XFC568" s="6"/>
    </row>
    <row r="569" s="5" customFormat="true" ht="28.5" hidden="false" customHeight="true" outlineLevel="0" collapsed="false">
      <c r="A569" s="16" t="str">
        <f aca="false">IF($T569="","",1+COUNTIF($W$15:$W$728,"&lt;"&amp;W569))</f>
        <v/>
      </c>
      <c r="B569" s="16" t="s">
        <v>12</v>
      </c>
      <c r="C569" s="16" t="s">
        <v>1696</v>
      </c>
      <c r="D569" s="20" t="s">
        <v>303</v>
      </c>
      <c r="E569" s="16" t="s">
        <v>58</v>
      </c>
      <c r="F569" s="16" t="s">
        <v>1697</v>
      </c>
      <c r="G569" s="16" t="s">
        <v>1698</v>
      </c>
      <c r="H569" s="17" t="n">
        <v>1848</v>
      </c>
      <c r="I569" s="17"/>
      <c r="J569" s="17"/>
      <c r="K569" s="17" t="n">
        <v>1858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1848</v>
      </c>
      <c r="N569" s="17" t="str">
        <f aca="false">IF($I569="","",$I569+$L569)</f>
        <v/>
      </c>
      <c r="O569" s="17" t="n">
        <f aca="false">IF($K569="","",$K569+$L569)</f>
        <v>1858</v>
      </c>
      <c r="P569" s="17" t="str">
        <f aca="false">IF($B$10=0,"",IFERROR(IF($B$4&gt;0,IF($M569="",1/0,$M569*$B$4),0)+IF($B$5&gt;0,IF($N569="",1/0,$N569*$B$5),0)+IF($B$6&gt;0,IF($O569="",1/0,$O569*$B$6),0),""))</f>
        <v/>
      </c>
      <c r="Q569" s="17" t="s">
        <v>44</v>
      </c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C569" s="6"/>
    </row>
    <row r="570" s="22" customFormat="true" ht="28.5" hidden="false" customHeight="true" outlineLevel="0" collapsed="false">
      <c r="A570" s="16" t="str">
        <f aca="false">IF($T570="","",1+COUNTIF($W$15:$W$728,"&lt;"&amp;W570))</f>
        <v/>
      </c>
      <c r="B570" s="16" t="s">
        <v>12</v>
      </c>
      <c r="C570" s="16" t="s">
        <v>1699</v>
      </c>
      <c r="D570" s="20" t="s">
        <v>208</v>
      </c>
      <c r="E570" s="16" t="s">
        <v>58</v>
      </c>
      <c r="F570" s="16" t="s">
        <v>1700</v>
      </c>
      <c r="G570" s="16" t="s">
        <v>1701</v>
      </c>
      <c r="H570" s="17" t="n">
        <v>1928</v>
      </c>
      <c r="I570" s="17"/>
      <c r="J570" s="17"/>
      <c r="K570" s="17" t="n">
        <v>1958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1928</v>
      </c>
      <c r="N570" s="17" t="str">
        <f aca="false">IF($I570="","",$I570+$L570)</f>
        <v/>
      </c>
      <c r="O570" s="17" t="n">
        <f aca="false">IF($K570="","",$K570+$L570)</f>
        <v>1958</v>
      </c>
      <c r="P570" s="17" t="str">
        <f aca="false">IF($B$10=0,"",IFERROR(IF($B$4&gt;0,IF($M570="",1/0,$M570*$B$4),0)+IF($B$5&gt;0,IF($N570="",1/0,$N570*$B$5),0)+IF($B$6&gt;0,IF($O570="",1/0,$O570*$B$6),0),""))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C570" s="6"/>
    </row>
    <row r="571" s="22" customFormat="true" ht="28.5" hidden="false" customHeight="true" outlineLevel="0" collapsed="false">
      <c r="A571" s="16" t="str">
        <f aca="false">IF($T571="","",1+COUNTIF($W$15:$W$728,"&lt;"&amp;W571))</f>
        <v/>
      </c>
      <c r="B571" s="16" t="s">
        <v>12</v>
      </c>
      <c r="C571" s="16" t="s">
        <v>1702</v>
      </c>
      <c r="D571" s="20" t="s">
        <v>303</v>
      </c>
      <c r="E571" s="16" t="s">
        <v>44</v>
      </c>
      <c r="F571" s="16" t="s">
        <v>1703</v>
      </c>
      <c r="G571" s="16" t="s">
        <v>1704</v>
      </c>
      <c r="H571" s="17" t="n">
        <v>1958</v>
      </c>
      <c r="I571" s="17"/>
      <c r="J571" s="17"/>
      <c r="K571" s="17" t="n">
        <v>1978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1958</v>
      </c>
      <c r="N571" s="17" t="str">
        <f aca="false">IF($I571="","",$I571+$L571)</f>
        <v/>
      </c>
      <c r="O571" s="17" t="n">
        <f aca="false">IF($K571="","",$K571+$L571)</f>
        <v>1978</v>
      </c>
      <c r="P571" s="17" t="str">
        <f aca="false">IF($B$10=0,"",IFERROR(IF($B$4&gt;0,IF($M571="",1/0,$M571*$B$4),0)+IF($B$5&gt;0,IF($N571="",1/0,$N571*$B$5),0)+IF($B$6&gt;0,IF($O571="",1/0,$O571*$B$6),0),""))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C571" s="6"/>
    </row>
    <row r="572" s="22" customFormat="true" ht="28.5" hidden="false" customHeight="true" outlineLevel="0" collapsed="false">
      <c r="A572" s="16" t="str">
        <f aca="false">IF($T572="","",1+COUNTIF($W$15:$W$728,"&lt;"&amp;W572))</f>
        <v/>
      </c>
      <c r="B572" s="16" t="s">
        <v>14</v>
      </c>
      <c r="C572" s="16" t="s">
        <v>1705</v>
      </c>
      <c r="D572" s="16" t="s">
        <v>141</v>
      </c>
      <c r="E572" s="16" t="s">
        <v>58</v>
      </c>
      <c r="F572" s="16" t="s">
        <v>1706</v>
      </c>
      <c r="G572" s="16" t="s">
        <v>1707</v>
      </c>
      <c r="H572" s="17" t="n">
        <v>1829</v>
      </c>
      <c r="I572" s="17"/>
      <c r="J572" s="17"/>
      <c r="K572" s="17" t="n">
        <v>1899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1829</v>
      </c>
      <c r="N572" s="17" t="str">
        <f aca="false">IF($I572="","",$I572+$L572)</f>
        <v/>
      </c>
      <c r="O572" s="17" t="n">
        <f aca="false">IF($K572="","",$K572+$L572)</f>
        <v>1899</v>
      </c>
      <c r="P572" s="17" t="str">
        <f aca="false">IF($B$10=0,"",IFERROR(IF($B$4&gt;0,IF($M572="",1/0,$M572*$B$4),0)+IF($B$5&gt;0,IF($N572="",1/0,$N572*$B$5),0)+IF($B$6&gt;0,IF($O572="",1/0,$O572*$B$6),0),""))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6"/>
    </row>
    <row r="573" s="22" customFormat="true" ht="28.5" hidden="false" customHeight="true" outlineLevel="0" collapsed="false">
      <c r="A573" s="16" t="str">
        <f aca="false">IF($T573="","",1+COUNTIF($W$15:$W$728,"&lt;"&amp;W573))</f>
        <v/>
      </c>
      <c r="B573" s="16" t="s">
        <v>12</v>
      </c>
      <c r="C573" s="16" t="s">
        <v>1708</v>
      </c>
      <c r="D573" s="20" t="s">
        <v>141</v>
      </c>
      <c r="E573" s="16" t="s">
        <v>44</v>
      </c>
      <c r="F573" s="16" t="s">
        <v>1709</v>
      </c>
      <c r="G573" s="16" t="s">
        <v>1710</v>
      </c>
      <c r="H573" s="17" t="n">
        <v>1958</v>
      </c>
      <c r="I573" s="17"/>
      <c r="J573" s="17"/>
      <c r="K573" s="17" t="n">
        <v>1958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1958</v>
      </c>
      <c r="N573" s="17" t="str">
        <f aca="false">IF($I573="","",$I573+$L573)</f>
        <v/>
      </c>
      <c r="O573" s="17" t="n">
        <f aca="false">IF($K573="","",$K573+$L573)</f>
        <v>1958</v>
      </c>
      <c r="P573" s="17" t="str">
        <f aca="false">IF($B$10=0,"",IFERROR(IF($B$4&gt;0,IF($M573="",1/0,$M573*$B$4),0)+IF($B$5&gt;0,IF($N573="",1/0,$N573*$B$5),0)+IF($B$6&gt;0,IF($O573="",1/0,$O573*$B$6),0),""))</f>
        <v/>
      </c>
      <c r="Q573" s="17" t="s">
        <v>44</v>
      </c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C573" s="6"/>
    </row>
    <row r="574" s="22" customFormat="true" ht="28.5" hidden="false" customHeight="true" outlineLevel="0" collapsed="false">
      <c r="A574" s="16" t="str">
        <f aca="false">IF($T574="","",1+COUNTIF($W$15:$W$728,"&lt;"&amp;W574))</f>
        <v/>
      </c>
      <c r="B574" s="16" t="s">
        <v>12</v>
      </c>
      <c r="C574" s="16" t="s">
        <v>1711</v>
      </c>
      <c r="D574" s="20" t="s">
        <v>131</v>
      </c>
      <c r="E574" s="16" t="s">
        <v>44</v>
      </c>
      <c r="F574" s="16" t="s">
        <v>1712</v>
      </c>
      <c r="G574" s="16" t="s">
        <v>1713</v>
      </c>
      <c r="H574" s="17" t="n">
        <v>1918</v>
      </c>
      <c r="I574" s="17"/>
      <c r="J574" s="17"/>
      <c r="K574" s="17" t="n">
        <v>1898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1918</v>
      </c>
      <c r="N574" s="17" t="str">
        <f aca="false">IF($I574="","",$I574+$L574)</f>
        <v/>
      </c>
      <c r="O574" s="17" t="n">
        <f aca="false">IF($K574="","",$K574+$L574)</f>
        <v>1898</v>
      </c>
      <c r="P574" s="17" t="str">
        <f aca="false">IF($B$10=0,"",IFERROR(IF($B$4&gt;0,IF($M574="",1/0,$M574*$B$4),0)+IF($B$5&gt;0,IF($N574="",1/0,$N574*$B$5),0)+IF($B$6&gt;0,IF($O574="",1/0,$O574*$B$6),0),""))</f>
        <v/>
      </c>
      <c r="Q574" s="17" t="s">
        <v>44</v>
      </c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C574" s="6"/>
    </row>
    <row r="575" s="22" customFormat="true" ht="28.5" hidden="false" customHeight="true" outlineLevel="0" collapsed="false">
      <c r="A575" s="16" t="str">
        <f aca="false">IF($T575="","",1+COUNTIF($W$15:$W$728,"&lt;"&amp;W575))</f>
        <v/>
      </c>
      <c r="B575" s="16" t="s">
        <v>10</v>
      </c>
      <c r="C575" s="16" t="s">
        <v>1714</v>
      </c>
      <c r="D575" s="16" t="s">
        <v>141</v>
      </c>
      <c r="E575" s="16" t="s">
        <v>44</v>
      </c>
      <c r="F575" s="16" t="s">
        <v>1715</v>
      </c>
      <c r="G575" s="16" t="s">
        <v>1716</v>
      </c>
      <c r="H575" s="17" t="n">
        <v>1898</v>
      </c>
      <c r="I575" s="17"/>
      <c r="J575" s="17"/>
      <c r="K575" s="17" t="n">
        <v>1898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1898</v>
      </c>
      <c r="N575" s="17" t="str">
        <f aca="false">IF($I575="","",$I575+$L575)</f>
        <v/>
      </c>
      <c r="O575" s="17" t="n">
        <f aca="false">IF($K575="","",$K575+$L575)</f>
        <v>1898</v>
      </c>
      <c r="P575" s="17" t="str">
        <f aca="false">IF($B$10=0,"",IFERROR(IF($B$4&gt;0,IF($M575="",1/0,$M575*$B$4),0)+IF($B$5&gt;0,IF($N575="",1/0,$N575*$B$5),0)+IF($B$6&gt;0,IF($O575="",1/0,$O575*$B$6),0),""))</f>
        <v/>
      </c>
      <c r="Q575" s="17" t="s">
        <v>44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C575" s="6"/>
    </row>
    <row r="576" s="22" customFormat="true" ht="28.5" hidden="false" customHeight="true" outlineLevel="0" collapsed="false">
      <c r="A576" s="16" t="str">
        <f aca="false">IF($T576="","",1+COUNTIF($W$15:$W$728,"&lt;"&amp;W576))</f>
        <v/>
      </c>
      <c r="B576" s="16" t="s">
        <v>12</v>
      </c>
      <c r="C576" s="16" t="s">
        <v>1717</v>
      </c>
      <c r="D576" s="20" t="s">
        <v>131</v>
      </c>
      <c r="E576" s="16" t="s">
        <v>44</v>
      </c>
      <c r="F576" s="16" t="s">
        <v>1718</v>
      </c>
      <c r="G576" s="16" t="s">
        <v>1719</v>
      </c>
      <c r="H576" s="17" t="n">
        <v>1798</v>
      </c>
      <c r="I576" s="17"/>
      <c r="J576" s="17"/>
      <c r="K576" s="17" t="n">
        <v>1748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1798</v>
      </c>
      <c r="N576" s="17" t="str">
        <f aca="false">IF($I576="","",$I576+$L576)</f>
        <v/>
      </c>
      <c r="O576" s="17" t="n">
        <f aca="false">IF($K576="","",$K576+$L576)</f>
        <v>1748</v>
      </c>
      <c r="P576" s="17" t="str">
        <f aca="false">IF($B$10=0,"",IFERROR(IF($B$4&gt;0,IF($M576="",1/0,$M576*$B$4),0)+IF($B$5&gt;0,IF($N576="",1/0,$N576*$B$5),0)+IF($B$6&gt;0,IF($O576="",1/0,$O576*$B$6),0),""))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576" s="2"/>
      <c r="XFC576" s="6"/>
    </row>
    <row r="577" s="22" customFormat="true" ht="28.5" hidden="false" customHeight="true" outlineLevel="0" collapsed="false">
      <c r="A577" s="16" t="str">
        <f aca="false">IF($T577="","",1+COUNTIF($W$15:$W$728,"&lt;"&amp;W577))</f>
        <v/>
      </c>
      <c r="B577" s="16" t="s">
        <v>12</v>
      </c>
      <c r="C577" s="16" t="s">
        <v>1720</v>
      </c>
      <c r="D577" s="20" t="s">
        <v>131</v>
      </c>
      <c r="E577" s="16" t="s">
        <v>44</v>
      </c>
      <c r="F577" s="16" t="s">
        <v>1721</v>
      </c>
      <c r="G577" s="16" t="s">
        <v>1722</v>
      </c>
      <c r="H577" s="17" t="n">
        <v>1989</v>
      </c>
      <c r="I577" s="17"/>
      <c r="J577" s="17"/>
      <c r="K577" s="17" t="n">
        <v>1998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1989</v>
      </c>
      <c r="N577" s="17" t="str">
        <f aca="false">IF($I577="","",$I577+$L577)</f>
        <v/>
      </c>
      <c r="O577" s="17" t="n">
        <f aca="false">IF($K577="","",$K577+$L577)</f>
        <v>1998</v>
      </c>
      <c r="P577" s="17" t="str">
        <f aca="false">IF($B$10=0,"",IFERROR(IF($B$4&gt;0,IF($M577="",1/0,$M577*$B$4),0)+IF($B$5&gt;0,IF($N577="",1/0,$N577*$B$5),0)+IF($B$6&gt;0,IF($O577="",1/0,$O577*$B$6),0),""))</f>
        <v/>
      </c>
      <c r="Q577" s="17" t="s">
        <v>44</v>
      </c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C577" s="6"/>
    </row>
    <row r="578" s="22" customFormat="true" ht="28.5" hidden="false" customHeight="true" outlineLevel="0" collapsed="false">
      <c r="A578" s="16" t="str">
        <f aca="false">IF($T578="","",1+COUNTIF($W$15:$W$728,"&lt;"&amp;W578))</f>
        <v/>
      </c>
      <c r="B578" s="16" t="s">
        <v>10</v>
      </c>
      <c r="C578" s="16" t="s">
        <v>1723</v>
      </c>
      <c r="D578" s="20" t="s">
        <v>131</v>
      </c>
      <c r="E578" s="16" t="s">
        <v>44</v>
      </c>
      <c r="F578" s="16" t="s">
        <v>1724</v>
      </c>
      <c r="G578" s="16" t="s">
        <v>1725</v>
      </c>
      <c r="H578" s="17" t="n">
        <v>1798</v>
      </c>
      <c r="I578" s="17"/>
      <c r="J578" s="17"/>
      <c r="K578" s="17" t="n">
        <v>1768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1798</v>
      </c>
      <c r="N578" s="17" t="str">
        <f aca="false">IF($I578="","",$I578+$L578)</f>
        <v/>
      </c>
      <c r="O578" s="17" t="n">
        <f aca="false">IF($K578="","",$K578+$L578)</f>
        <v>1768</v>
      </c>
      <c r="P578" s="17" t="str">
        <f aca="false">IF($B$10=0,"",IFERROR(IF($B$4&gt;0,IF($M578="",1/0,$M578*$B$4),0)+IF($B$5&gt;0,IF($N578="",1/0,$N578*$B$5),0)+IF($B$6&gt;0,IF($O578="",1/0,$O578*$B$6),0),""))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C578" s="6"/>
    </row>
    <row r="579" s="22" customFormat="true" ht="28.5" hidden="false" customHeight="true" outlineLevel="0" collapsed="false">
      <c r="A579" s="16" t="str">
        <f aca="false">IF($T579="","",1+COUNTIF($W$15:$W$728,"&lt;"&amp;W579))</f>
        <v/>
      </c>
      <c r="B579" s="16" t="s">
        <v>12</v>
      </c>
      <c r="C579" s="16" t="s">
        <v>1726</v>
      </c>
      <c r="D579" s="20" t="s">
        <v>303</v>
      </c>
      <c r="E579" s="16" t="s">
        <v>58</v>
      </c>
      <c r="F579" s="16" t="s">
        <v>1727</v>
      </c>
      <c r="G579" s="16" t="s">
        <v>1728</v>
      </c>
      <c r="H579" s="17" t="n">
        <v>1958</v>
      </c>
      <c r="I579" s="17"/>
      <c r="J579" s="17"/>
      <c r="K579" s="17" t="n">
        <v>1978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1958</v>
      </c>
      <c r="N579" s="17" t="str">
        <f aca="false">IF($I579="","",$I579+$L579)</f>
        <v/>
      </c>
      <c r="O579" s="17" t="n">
        <f aca="false">IF($K579="","",$K579+$L579)</f>
        <v>1978</v>
      </c>
      <c r="P579" s="17" t="str">
        <f aca="false">IF($B$10=0,"",IFERROR(IF($B$4&gt;0,IF($M579="",1/0,$M579*$B$4),0)+IF($B$5&gt;0,IF($N579="",1/0,$N579*$B$5),0)+IF($B$6&gt;0,IF($O579="",1/0,$O579*$B$6),0),""))</f>
        <v/>
      </c>
      <c r="Q579" s="17" t="s">
        <v>44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C579" s="6"/>
    </row>
    <row r="580" s="22" customFormat="true" ht="28.5" hidden="false" customHeight="true" outlineLevel="0" collapsed="false">
      <c r="A580" s="16" t="str">
        <f aca="false">IF($T580="","",1+COUNTIF($W$15:$W$728,"&lt;"&amp;W580))</f>
        <v/>
      </c>
      <c r="B580" s="16" t="s">
        <v>10</v>
      </c>
      <c r="C580" s="16" t="s">
        <v>1100</v>
      </c>
      <c r="D580" s="20" t="s">
        <v>131</v>
      </c>
      <c r="E580" s="16" t="s">
        <v>58</v>
      </c>
      <c r="F580" s="16" t="s">
        <v>1729</v>
      </c>
      <c r="G580" s="16" t="s">
        <v>1730</v>
      </c>
      <c r="H580" s="17" t="n">
        <v>1859</v>
      </c>
      <c r="I580" s="17"/>
      <c r="J580" s="17"/>
      <c r="K580" s="17" t="n">
        <v>1899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1859</v>
      </c>
      <c r="N580" s="17" t="str">
        <f aca="false">IF($I580="","",$I580+$L580)</f>
        <v/>
      </c>
      <c r="O580" s="17" t="n">
        <f aca="false">IF($K580="","",$K580+$L580)</f>
        <v>1899</v>
      </c>
      <c r="P580" s="17" t="str">
        <f aca="false">IF($B$10=0,"",IFERROR(IF($B$4&gt;0,IF($M580="",1/0,$M580*$B$4),0)+IF($B$5&gt;0,IF($N580="",1/0,$N580*$B$5),0)+IF($B$6&gt;0,IF($O580="",1/0,$O580*$B$6),0),""))</f>
        <v/>
      </c>
      <c r="Q580" s="17" t="s">
        <v>44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6"/>
    </row>
    <row r="581" s="22" customFormat="true" ht="28.5" hidden="false" customHeight="true" outlineLevel="0" collapsed="false">
      <c r="A581" s="16" t="str">
        <f aca="false">IF($T581="","",1+COUNTIF($W$15:$W$728,"&lt;"&amp;W581))</f>
        <v/>
      </c>
      <c r="B581" s="16" t="s">
        <v>14</v>
      </c>
      <c r="C581" s="16" t="s">
        <v>1731</v>
      </c>
      <c r="D581" s="16" t="s">
        <v>141</v>
      </c>
      <c r="E581" s="16" t="s">
        <v>58</v>
      </c>
      <c r="F581" s="16" t="s">
        <v>1732</v>
      </c>
      <c r="G581" s="16" t="s">
        <v>1733</v>
      </c>
      <c r="H581" s="17" t="n">
        <v>1939</v>
      </c>
      <c r="I581" s="17"/>
      <c r="J581" s="17"/>
      <c r="K581" s="17" t="n">
        <v>1999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1939</v>
      </c>
      <c r="N581" s="17" t="str">
        <f aca="false">IF($I581="","",$I581+$L581)</f>
        <v/>
      </c>
      <c r="O581" s="17" t="n">
        <f aca="false">IF($K581="","",$K581+$L581)</f>
        <v>1999</v>
      </c>
      <c r="P581" s="17" t="str">
        <f aca="false">IF($B$10=0,"",IFERROR(IF($B$4&gt;0,IF($M581="",1/0,$M581*$B$4),0)+IF($B$5&gt;0,IF($N581="",1/0,$N581*$B$5),0)+IF($B$6&gt;0,IF($O581="",1/0,$O581*$B$6),0),""))</f>
        <v/>
      </c>
      <c r="Q581" s="17" t="s">
        <v>44</v>
      </c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C581" s="6"/>
    </row>
    <row r="582" s="22" customFormat="true" ht="28.5" hidden="false" customHeight="true" outlineLevel="0" collapsed="false">
      <c r="A582" s="16" t="str">
        <f aca="false">IF($T582="","",1+COUNTIF($W$15:$W$728,"&lt;"&amp;W582))</f>
        <v/>
      </c>
      <c r="B582" s="16" t="s">
        <v>14</v>
      </c>
      <c r="C582" s="16" t="s">
        <v>1734</v>
      </c>
      <c r="D582" s="16" t="s">
        <v>48</v>
      </c>
      <c r="E582" s="16" t="s">
        <v>58</v>
      </c>
      <c r="F582" s="16" t="s">
        <v>1735</v>
      </c>
      <c r="G582" s="16" t="s">
        <v>1736</v>
      </c>
      <c r="H582" s="17" t="n">
        <v>1879</v>
      </c>
      <c r="I582" s="17"/>
      <c r="J582" s="17"/>
      <c r="K582" s="17" t="n">
        <v>1889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1879</v>
      </c>
      <c r="N582" s="17" t="str">
        <f aca="false">IF($I582="","",$I582+$L582)</f>
        <v/>
      </c>
      <c r="O582" s="17" t="n">
        <f aca="false">IF($K582="","",$K582+$L582)</f>
        <v>1889</v>
      </c>
      <c r="P582" s="17" t="str">
        <f aca="false">IF($B$10=0,"",IFERROR(IF($B$4&gt;0,IF($M582="",1/0,$M582*$B$4),0)+IF($B$5&gt;0,IF($N582="",1/0,$N582*$B$5),0)+IF($B$6&gt;0,IF($O582="",1/0,$O582*$B$6),0),""))</f>
        <v/>
      </c>
      <c r="Q582" s="17" t="s">
        <v>44</v>
      </c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6"/>
    </row>
    <row r="583" s="22" customFormat="true" ht="28.5" hidden="false" customHeight="true" outlineLevel="0" collapsed="false">
      <c r="A583" s="16" t="str">
        <f aca="false">IF($T583="","",1+COUNTIF($W$15:$W$728,"&lt;"&amp;W583))</f>
        <v/>
      </c>
      <c r="B583" s="16" t="s">
        <v>12</v>
      </c>
      <c r="C583" s="16" t="s">
        <v>1737</v>
      </c>
      <c r="D583" s="20" t="s">
        <v>141</v>
      </c>
      <c r="E583" s="16" t="s">
        <v>58</v>
      </c>
      <c r="F583" s="16" t="s">
        <v>1738</v>
      </c>
      <c r="G583" s="16" t="s">
        <v>1739</v>
      </c>
      <c r="H583" s="17" t="n">
        <v>1959</v>
      </c>
      <c r="I583" s="17"/>
      <c r="J583" s="17"/>
      <c r="K583" s="17" t="n">
        <v>1989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1959</v>
      </c>
      <c r="N583" s="17" t="str">
        <f aca="false">IF($I583="","",$I583+$L583)</f>
        <v/>
      </c>
      <c r="O583" s="17" t="n">
        <f aca="false">IF($K583="","",$K583+$L583)</f>
        <v>1989</v>
      </c>
      <c r="P583" s="17" t="str">
        <f aca="false">IF($B$10=0,"",IFERROR(IF($B$4&gt;0,IF($M583="",1/0,$M583*$B$4),0)+IF($B$5&gt;0,IF($N583="",1/0,$N583*$B$5),0)+IF($B$6&gt;0,IF($O583="",1/0,$O583*$B$6),0),""))</f>
        <v/>
      </c>
      <c r="Q583" s="17" t="s">
        <v>44</v>
      </c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C583" s="6"/>
    </row>
    <row r="584" s="22" customFormat="true" ht="28.5" hidden="false" customHeight="true" outlineLevel="0" collapsed="false">
      <c r="A584" s="16" t="str">
        <f aca="false">IF($T584="","",1+COUNTIF($W$15:$W$728,"&lt;"&amp;W584))</f>
        <v/>
      </c>
      <c r="B584" s="16" t="s">
        <v>10</v>
      </c>
      <c r="C584" s="16" t="s">
        <v>1740</v>
      </c>
      <c r="D584" s="16" t="s">
        <v>141</v>
      </c>
      <c r="E584" s="16" t="s">
        <v>44</v>
      </c>
      <c r="F584" s="16" t="s">
        <v>1741</v>
      </c>
      <c r="G584" s="16" t="s">
        <v>1742</v>
      </c>
      <c r="H584" s="17" t="n">
        <v>1895</v>
      </c>
      <c r="I584" s="17"/>
      <c r="J584" s="17"/>
      <c r="K584" s="17" t="n">
        <v>1899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1895</v>
      </c>
      <c r="N584" s="17" t="str">
        <f aca="false">IF($I584="","",$I584+$L584)</f>
        <v/>
      </c>
      <c r="O584" s="17" t="n">
        <f aca="false">IF($K584="","",$K584+$L584)</f>
        <v>1899</v>
      </c>
      <c r="P584" s="17" t="str">
        <f aca="false">IF($B$10=0,"",IFERROR(IF($B$4&gt;0,IF($M584="",1/0,$M584*$B$4),0)+IF($B$5&gt;0,IF($N584="",1/0,$N584*$B$5),0)+IF($B$6&gt;0,IF($O584="",1/0,$O584*$B$6),0),""))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C584" s="6"/>
    </row>
    <row r="585" s="22" customFormat="true" ht="28.5" hidden="false" customHeight="true" outlineLevel="0" collapsed="false">
      <c r="A585" s="16" t="str">
        <f aca="false">IF($T585="","",1+COUNTIF($W$15:$W$728,"&lt;"&amp;W585))</f>
        <v/>
      </c>
      <c r="B585" s="16" t="s">
        <v>12</v>
      </c>
      <c r="C585" s="16" t="s">
        <v>1743</v>
      </c>
      <c r="D585" s="20" t="s">
        <v>208</v>
      </c>
      <c r="E585" s="16" t="s">
        <v>58</v>
      </c>
      <c r="F585" s="16" t="s">
        <v>1744</v>
      </c>
      <c r="G585" s="16" t="s">
        <v>1745</v>
      </c>
      <c r="H585" s="17" t="n">
        <v>1899</v>
      </c>
      <c r="I585" s="17"/>
      <c r="J585" s="17"/>
      <c r="K585" s="17" t="n">
        <v>1899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1899</v>
      </c>
      <c r="N585" s="17" t="str">
        <f aca="false">IF($I585="","",$I585+$L585)</f>
        <v/>
      </c>
      <c r="O585" s="17" t="n">
        <f aca="false">IF($K585="","",$K585+$L585)</f>
        <v>1899</v>
      </c>
      <c r="P585" s="17" t="str">
        <f aca="false">IF($B$10=0,"",IFERROR(IF($B$4&gt;0,IF($M585="",1/0,$M585*$B$4),0)+IF($B$5&gt;0,IF($N585="",1/0,$N585*$B$5),0)+IF($B$6&gt;0,IF($O585="",1/0,$O585*$B$6),0),""))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C585" s="6"/>
    </row>
    <row r="586" s="22" customFormat="true" ht="28.5" hidden="false" customHeight="true" outlineLevel="0" collapsed="false">
      <c r="A586" s="16" t="str">
        <f aca="false">IF($T586="","",1+COUNTIF($W$15:$W$728,"&lt;"&amp;W586))</f>
        <v/>
      </c>
      <c r="B586" s="16" t="s">
        <v>14</v>
      </c>
      <c r="C586" s="16" t="s">
        <v>1746</v>
      </c>
      <c r="D586" s="16" t="s">
        <v>43</v>
      </c>
      <c r="E586" s="16" t="s">
        <v>58</v>
      </c>
      <c r="F586" s="16" t="s">
        <v>1747</v>
      </c>
      <c r="G586" s="16" t="s">
        <v>1748</v>
      </c>
      <c r="H586" s="17" t="n">
        <v>1899</v>
      </c>
      <c r="I586" s="17"/>
      <c r="J586" s="17"/>
      <c r="K586" s="17" t="n">
        <v>1979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1899</v>
      </c>
      <c r="N586" s="17" t="str">
        <f aca="false">IF($I586="","",$I586+$L586)</f>
        <v/>
      </c>
      <c r="O586" s="17" t="n">
        <f aca="false">IF($K586="","",$K586+$L586)</f>
        <v>1979</v>
      </c>
      <c r="P586" s="17" t="str">
        <f aca="false">IF($B$10=0,"",IFERROR(IF($B$4&gt;0,IF($M586="",1/0,$M586*$B$4),0)+IF($B$5&gt;0,IF($N586="",1/0,$N586*$B$5),0)+IF($B$6&gt;0,IF($O586="",1/0,$O586*$B$6),0),""))</f>
        <v/>
      </c>
      <c r="Q586" s="17" t="s">
        <v>44</v>
      </c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6"/>
    </row>
    <row r="587" s="22" customFormat="true" ht="28.5" hidden="false" customHeight="true" outlineLevel="0" collapsed="false">
      <c r="A587" s="16" t="str">
        <f aca="false">IF($T587="","",1+COUNTIF($W$15:$W$728,"&lt;"&amp;W587))</f>
        <v/>
      </c>
      <c r="B587" s="16" t="s">
        <v>14</v>
      </c>
      <c r="C587" s="16" t="s">
        <v>1749</v>
      </c>
      <c r="D587" s="20" t="s">
        <v>131</v>
      </c>
      <c r="E587" s="16" t="s">
        <v>44</v>
      </c>
      <c r="F587" s="16" t="s">
        <v>1750</v>
      </c>
      <c r="G587" s="16" t="s">
        <v>1751</v>
      </c>
      <c r="H587" s="17" t="n">
        <v>1899</v>
      </c>
      <c r="I587" s="17"/>
      <c r="J587" s="17"/>
      <c r="K587" s="17" t="n">
        <v>1939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1899</v>
      </c>
      <c r="N587" s="17" t="str">
        <f aca="false">IF($I587="","",$I587+$L587)</f>
        <v/>
      </c>
      <c r="O587" s="17" t="n">
        <f aca="false">IF($K587="","",$K587+$L587)</f>
        <v>1939</v>
      </c>
      <c r="P587" s="17" t="str">
        <f aca="false">IF($B$10=0,"",IFERROR(IF($B$4&gt;0,IF($M587="",1/0,$M587*$B$4),0)+IF($B$5&gt;0,IF($N587="",1/0,$N587*$B$5),0)+IF($B$6&gt;0,IF($O587="",1/0,$O587*$B$6),0),""))</f>
        <v/>
      </c>
      <c r="Q587" s="17" t="s">
        <v>44</v>
      </c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6"/>
    </row>
    <row r="588" s="22" customFormat="true" ht="28.5" hidden="false" customHeight="true" outlineLevel="0" collapsed="false">
      <c r="A588" s="16" t="str">
        <f aca="false">IF($T588="","",1+COUNTIF($W$15:$W$728,"&lt;"&amp;W588))</f>
        <v/>
      </c>
      <c r="B588" s="16" t="s">
        <v>10</v>
      </c>
      <c r="C588" s="16" t="s">
        <v>1312</v>
      </c>
      <c r="D588" s="16" t="s">
        <v>141</v>
      </c>
      <c r="E588" s="16" t="s">
        <v>44</v>
      </c>
      <c r="F588" s="16" t="s">
        <v>1752</v>
      </c>
      <c r="G588" s="16" t="s">
        <v>1753</v>
      </c>
      <c r="H588" s="17" t="n">
        <v>1789</v>
      </c>
      <c r="I588" s="17"/>
      <c r="J588" s="17"/>
      <c r="K588" s="17" t="n">
        <v>1789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1789</v>
      </c>
      <c r="N588" s="17" t="str">
        <f aca="false">IF($I588="","",$I588+$L588)</f>
        <v/>
      </c>
      <c r="O588" s="17" t="n">
        <f aca="false">IF($K588="","",$K588+$L588)</f>
        <v>1789</v>
      </c>
      <c r="P588" s="17" t="str">
        <f aca="false">IF($B$10=0,"",IFERROR(IF($B$4&gt;0,IF($M588="",1/0,$M588*$B$4),0)+IF($B$5&gt;0,IF($N588="",1/0,$N588*$B$5),0)+IF($B$6&gt;0,IF($O588="",1/0,$O588*$B$6),0),""))</f>
        <v/>
      </c>
      <c r="Q588" s="17" t="s">
        <v>44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C588" s="6"/>
    </row>
    <row r="589" s="22" customFormat="true" ht="28.5" hidden="false" customHeight="true" outlineLevel="0" collapsed="false">
      <c r="A589" s="16" t="str">
        <f aca="false">IF($T589="","",1+COUNTIF($W$15:$W$728,"&lt;"&amp;W589))</f>
        <v/>
      </c>
      <c r="B589" s="16" t="s">
        <v>10</v>
      </c>
      <c r="C589" s="16" t="s">
        <v>1754</v>
      </c>
      <c r="D589" s="16" t="s">
        <v>141</v>
      </c>
      <c r="E589" s="16" t="s">
        <v>44</v>
      </c>
      <c r="F589" s="16" t="s">
        <v>1755</v>
      </c>
      <c r="G589" s="16" t="s">
        <v>1756</v>
      </c>
      <c r="H589" s="17" t="n">
        <v>1899</v>
      </c>
      <c r="I589" s="17"/>
      <c r="J589" s="17"/>
      <c r="K589" s="17" t="n">
        <v>1899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1899</v>
      </c>
      <c r="N589" s="17" t="str">
        <f aca="false">IF($I589="","",$I589+$L589)</f>
        <v/>
      </c>
      <c r="O589" s="17" t="n">
        <f aca="false">IF($K589="","",$K589+$L589)</f>
        <v>1899</v>
      </c>
      <c r="P589" s="17" t="str">
        <f aca="false">IF($B$10=0,"",IFERROR(IF($B$4&gt;0,IF($M589="",1/0,$M589*$B$4),0)+IF($B$5&gt;0,IF($N589="",1/0,$N589*$B$5),0)+IF($B$6&gt;0,IF($O589="",1/0,$O589*$B$6),0),""))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6"/>
    </row>
    <row r="590" s="22" customFormat="true" ht="28.5" hidden="false" customHeight="true" outlineLevel="0" collapsed="false">
      <c r="A590" s="16" t="str">
        <f aca="false">IF($T590="","",1+COUNTIF($W$15:$W$728,"&lt;"&amp;W590))</f>
        <v/>
      </c>
      <c r="B590" s="16" t="s">
        <v>10</v>
      </c>
      <c r="C590" s="16" t="s">
        <v>1757</v>
      </c>
      <c r="D590" s="16" t="s">
        <v>43</v>
      </c>
      <c r="E590" s="16" t="s">
        <v>44</v>
      </c>
      <c r="F590" s="16" t="s">
        <v>1758</v>
      </c>
      <c r="G590" s="16" t="s">
        <v>1759</v>
      </c>
      <c r="H590" s="17" t="n">
        <v>1899</v>
      </c>
      <c r="I590" s="17"/>
      <c r="J590" s="17"/>
      <c r="K590" s="17" t="n">
        <v>1920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1899</v>
      </c>
      <c r="N590" s="17" t="str">
        <f aca="false">IF($I590="","",$I590+$L590)</f>
        <v/>
      </c>
      <c r="O590" s="17" t="n">
        <f aca="false">IF($K590="","",$K590+$L590)</f>
        <v>1920</v>
      </c>
      <c r="P590" s="17" t="str">
        <f aca="false">IF($B$10=0,"",IFERROR(IF($B$4&gt;0,IF($M590="",1/0,$M590*$B$4),0)+IF($B$5&gt;0,IF($N590="",1/0,$N590*$B$5),0)+IF($B$6&gt;0,IF($O590="",1/0,$O590*$B$6),0),""))</f>
        <v/>
      </c>
      <c r="Q590" s="17" t="s">
        <v>44</v>
      </c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C590" s="6"/>
    </row>
    <row r="591" s="22" customFormat="true" ht="28.5" hidden="false" customHeight="true" outlineLevel="0" collapsed="false">
      <c r="A591" s="16" t="str">
        <f aca="false">IF($T591="","",1+COUNTIF($W$15:$W$728,"&lt;"&amp;W591))</f>
        <v/>
      </c>
      <c r="B591" s="16" t="s">
        <v>6</v>
      </c>
      <c r="C591" s="16" t="s">
        <v>1623</v>
      </c>
      <c r="D591" s="16" t="s">
        <v>43</v>
      </c>
      <c r="E591" s="16" t="s">
        <v>44</v>
      </c>
      <c r="F591" s="16" t="s">
        <v>1760</v>
      </c>
      <c r="G591" s="16" t="s">
        <v>1761</v>
      </c>
      <c r="H591" s="17" t="n">
        <v>1894</v>
      </c>
      <c r="I591" s="17"/>
      <c r="J591" s="17"/>
      <c r="K591" s="17" t="n">
        <v>1934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1894</v>
      </c>
      <c r="N591" s="17" t="str">
        <f aca="false">IF($I591="","",$I591+$L591)</f>
        <v/>
      </c>
      <c r="O591" s="17" t="n">
        <f aca="false">IF($K591="","",$K591+$L591)</f>
        <v>1934</v>
      </c>
      <c r="P591" s="17" t="str">
        <f aca="false">IF($B$10=0,"",IFERROR(IF($B$4&gt;0,IF($M591="",1/0,$M591*$B$4),0)+IF($B$5&gt;0,IF($N591="",1/0,$N591*$B$5),0)+IF($B$6&gt;0,IF($O591="",1/0,$O591*$B$6),0),""))</f>
        <v/>
      </c>
      <c r="Q591" s="17" t="s">
        <v>44</v>
      </c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6"/>
    </row>
    <row r="592" s="22" customFormat="true" ht="28.5" hidden="false" customHeight="true" outlineLevel="0" collapsed="false">
      <c r="A592" s="16" t="str">
        <f aca="false">IF($T592="","",1+COUNTIF($W$15:$W$728,"&lt;"&amp;W592))</f>
        <v/>
      </c>
      <c r="B592" s="16" t="s">
        <v>6</v>
      </c>
      <c r="C592" s="16" t="s">
        <v>1762</v>
      </c>
      <c r="D592" s="16" t="s">
        <v>48</v>
      </c>
      <c r="E592" s="16" t="s">
        <v>58</v>
      </c>
      <c r="F592" s="16" t="s">
        <v>1763</v>
      </c>
      <c r="G592" s="16" t="s">
        <v>1764</v>
      </c>
      <c r="H592" s="17" t="n">
        <v>1859</v>
      </c>
      <c r="I592" s="17"/>
      <c r="J592" s="17"/>
      <c r="K592" s="17" t="n">
        <v>1839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1859</v>
      </c>
      <c r="N592" s="17" t="str">
        <f aca="false">IF($I592="","",$I592+$L592)</f>
        <v/>
      </c>
      <c r="O592" s="17" t="n">
        <f aca="false">IF($K592="","",$K592+$L592)</f>
        <v>1839</v>
      </c>
      <c r="P592" s="17" t="str">
        <f aca="false">IF($B$10=0,"",IFERROR(IF($B$4&gt;0,IF($M592="",1/0,$M592*$B$4),0)+IF($B$5&gt;0,IF($N592="",1/0,$N592*$B$5),0)+IF($B$6&gt;0,IF($O592="",1/0,$O592*$B$6),0),""))</f>
        <v/>
      </c>
      <c r="Q592" s="17" t="s">
        <v>44</v>
      </c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592" s="2"/>
      <c r="XFC592" s="6"/>
    </row>
    <row r="593" s="22" customFormat="true" ht="28.5" hidden="false" customHeight="true" outlineLevel="0" collapsed="false">
      <c r="A593" s="16" t="str">
        <f aca="false">IF($T593="","",1+COUNTIF($W$15:$W$728,"&lt;"&amp;W593))</f>
        <v/>
      </c>
      <c r="B593" s="16" t="s">
        <v>6</v>
      </c>
      <c r="C593" s="16" t="s">
        <v>1765</v>
      </c>
      <c r="D593" s="16" t="s">
        <v>141</v>
      </c>
      <c r="E593" s="16" t="s">
        <v>44</v>
      </c>
      <c r="F593" s="16" t="s">
        <v>1766</v>
      </c>
      <c r="G593" s="16" t="s">
        <v>1767</v>
      </c>
      <c r="H593" s="17" t="n">
        <v>1959</v>
      </c>
      <c r="I593" s="17"/>
      <c r="J593" s="17"/>
      <c r="K593" s="17" t="n">
        <v>2045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1959</v>
      </c>
      <c r="N593" s="17" t="str">
        <f aca="false">IF($I593="","",$I593+$L593)</f>
        <v/>
      </c>
      <c r="O593" s="17" t="n">
        <f aca="false">IF($K593="","",$K593+$L593)</f>
        <v>2045</v>
      </c>
      <c r="P593" s="17" t="str">
        <f aca="false">IF($B$10=0,"",IFERROR(IF($B$4&gt;0,IF($M593="",1/0,$M593*$B$4),0)+IF($B$5&gt;0,IF($N593="",1/0,$N593*$B$5),0)+IF($B$6&gt;0,IF($O593="",1/0,$O593*$B$6),0),""))</f>
        <v/>
      </c>
      <c r="Q593" s="17" t="s">
        <v>44</v>
      </c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C593" s="6"/>
    </row>
    <row r="594" s="22" customFormat="true" ht="28.5" hidden="false" customHeight="true" outlineLevel="0" collapsed="false">
      <c r="A594" s="16" t="str">
        <f aca="false">IF($T594="","",1+COUNTIF($W$15:$W$728,"&lt;"&amp;W594))</f>
        <v/>
      </c>
      <c r="B594" s="16" t="s">
        <v>8</v>
      </c>
      <c r="C594" s="16" t="s">
        <v>1768</v>
      </c>
      <c r="D594" s="16" t="s">
        <v>43</v>
      </c>
      <c r="E594" s="16" t="s">
        <v>44</v>
      </c>
      <c r="F594" s="16" t="s">
        <v>1769</v>
      </c>
      <c r="G594" s="16" t="s">
        <v>1770</v>
      </c>
      <c r="H594" s="17" t="n">
        <v>1959</v>
      </c>
      <c r="I594" s="17"/>
      <c r="J594" s="17"/>
      <c r="K594" s="17" t="n">
        <v>1949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1959</v>
      </c>
      <c r="N594" s="17" t="str">
        <f aca="false">IF($I594="","",$I594+$L594)</f>
        <v/>
      </c>
      <c r="O594" s="17" t="n">
        <f aca="false">IF($K594="","",$K594+$L594)</f>
        <v>1949</v>
      </c>
      <c r="P594" s="17" t="str">
        <f aca="false">IF($B$10=0,"",IFERROR(IF($B$4&gt;0,IF($M594="",1/0,$M594*$B$4),0)+IF($B$5&gt;0,IF($N594="",1/0,$N594*$B$5),0)+IF($B$6&gt;0,IF($O594="",1/0,$O594*$B$6),0),""))</f>
        <v/>
      </c>
      <c r="Q594" s="17" t="s">
        <v>44</v>
      </c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C594" s="6"/>
    </row>
    <row r="595" s="22" customFormat="true" ht="28.5" hidden="false" customHeight="true" outlineLevel="0" collapsed="false">
      <c r="A595" s="16" t="str">
        <f aca="false">IF($T595="","",1+COUNTIF($W$15:$W$728,"&lt;"&amp;W595))</f>
        <v/>
      </c>
      <c r="B595" s="16" t="s">
        <v>8</v>
      </c>
      <c r="C595" s="16" t="s">
        <v>1771</v>
      </c>
      <c r="D595" s="16" t="s">
        <v>43</v>
      </c>
      <c r="E595" s="16" t="s">
        <v>58</v>
      </c>
      <c r="F595" s="16" t="s">
        <v>1772</v>
      </c>
      <c r="G595" s="16" t="s">
        <v>1770</v>
      </c>
      <c r="H595" s="17" t="n">
        <v>1999</v>
      </c>
      <c r="I595" s="17"/>
      <c r="J595" s="17"/>
      <c r="K595" s="17" t="n">
        <v>1949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1999</v>
      </c>
      <c r="N595" s="17" t="str">
        <f aca="false">IF($I595="","",$I595+$L595)</f>
        <v/>
      </c>
      <c r="O595" s="17" t="n">
        <f aca="false">IF($K595="","",$K595+$L595)</f>
        <v>1949</v>
      </c>
      <c r="P595" s="17" t="str">
        <f aca="false">IF($B$10=0,"",IFERROR(IF($B$4&gt;0,IF($M595="",1/0,$M595*$B$4),0)+IF($B$5&gt;0,IF($N595="",1/0,$N595*$B$5),0)+IF($B$6&gt;0,IF($O595="",1/0,$O595*$B$6),0),""))</f>
        <v/>
      </c>
      <c r="Q595" s="17" t="s">
        <v>44</v>
      </c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C595" s="6"/>
    </row>
    <row r="596" s="22" customFormat="true" ht="28.5" hidden="false" customHeight="true" outlineLevel="0" collapsed="false">
      <c r="A596" s="16" t="str">
        <f aca="false">IF($T596="","",1+COUNTIF($W$15:$W$728,"&lt;"&amp;W596))</f>
        <v/>
      </c>
      <c r="B596" s="16" t="s">
        <v>14</v>
      </c>
      <c r="C596" s="16" t="s">
        <v>1773</v>
      </c>
      <c r="D596" s="16" t="s">
        <v>43</v>
      </c>
      <c r="E596" s="16" t="s">
        <v>58</v>
      </c>
      <c r="F596" s="16" t="s">
        <v>1774</v>
      </c>
      <c r="G596" s="16" t="s">
        <v>1775</v>
      </c>
      <c r="H596" s="17" t="n">
        <v>1829</v>
      </c>
      <c r="I596" s="17"/>
      <c r="J596" s="17"/>
      <c r="K596" s="17" t="n">
        <v>1829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1829</v>
      </c>
      <c r="N596" s="17" t="str">
        <f aca="false">IF($I596="","",$I596+$L596)</f>
        <v/>
      </c>
      <c r="O596" s="17" t="n">
        <f aca="false">IF($K596="","",$K596+$L596)</f>
        <v>1829</v>
      </c>
      <c r="P596" s="17" t="str">
        <f aca="false">IF($B$10=0,"",IFERROR(IF($B$4&gt;0,IF($M596="",1/0,$M596*$B$4),0)+IF($B$5&gt;0,IF($N596="",1/0,$N596*$B$5),0)+IF($B$6&gt;0,IF($O596="",1/0,$O596*$B$6),0),""))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6"/>
    </row>
    <row r="597" s="22" customFormat="true" ht="28.5" hidden="false" customHeight="true" outlineLevel="0" collapsed="false">
      <c r="A597" s="16" t="str">
        <f aca="false">IF($T597="","",1+COUNTIF($W$15:$W$728,"&lt;"&amp;W597))</f>
        <v/>
      </c>
      <c r="B597" s="16" t="s">
        <v>12</v>
      </c>
      <c r="C597" s="16" t="s">
        <v>1776</v>
      </c>
      <c r="D597" s="20" t="s">
        <v>131</v>
      </c>
      <c r="E597" s="16" t="s">
        <v>44</v>
      </c>
      <c r="F597" s="16" t="s">
        <v>1777</v>
      </c>
      <c r="G597" s="16" t="s">
        <v>1778</v>
      </c>
      <c r="H597" s="17" t="n">
        <v>1958</v>
      </c>
      <c r="I597" s="17"/>
      <c r="J597" s="17"/>
      <c r="K597" s="17" t="n">
        <v>1969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1958</v>
      </c>
      <c r="N597" s="17" t="str">
        <f aca="false">IF($I597="","",$I597+$L597)</f>
        <v/>
      </c>
      <c r="O597" s="17" t="n">
        <f aca="false">IF($K597="","",$K597+$L597)</f>
        <v>1969</v>
      </c>
      <c r="P597" s="17" t="str">
        <f aca="false">IF($B$10=0,"",IFERROR(IF($B$4&gt;0,IF($M597="",1/0,$M597*$B$4),0)+IF($B$5&gt;0,IF($N597="",1/0,$N597*$B$5),0)+IF($B$6&gt;0,IF($O597="",1/0,$O597*$B$6),0),""))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C597" s="6"/>
    </row>
    <row r="598" s="22" customFormat="true" ht="28.5" hidden="false" customHeight="true" outlineLevel="0" collapsed="false">
      <c r="A598" s="16" t="str">
        <f aca="false">IF($T598="","",1+COUNTIF($W$15:$W$728,"&lt;"&amp;W598))</f>
        <v/>
      </c>
      <c r="B598" s="16" t="s">
        <v>14</v>
      </c>
      <c r="C598" s="16" t="s">
        <v>1779</v>
      </c>
      <c r="D598" s="16" t="s">
        <v>141</v>
      </c>
      <c r="E598" s="16" t="s">
        <v>58</v>
      </c>
      <c r="F598" s="16" t="s">
        <v>1780</v>
      </c>
      <c r="G598" s="16" t="s">
        <v>1781</v>
      </c>
      <c r="H598" s="17" t="n">
        <v>1870</v>
      </c>
      <c r="I598" s="17"/>
      <c r="J598" s="17"/>
      <c r="K598" s="17" t="n">
        <v>1880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1870</v>
      </c>
      <c r="N598" s="17" t="str">
        <f aca="false">IF($I598="","",$I598+$L598)</f>
        <v/>
      </c>
      <c r="O598" s="17" t="n">
        <f aca="false">IF($K598="","",$K598+$L598)</f>
        <v>1880</v>
      </c>
      <c r="P598" s="17" t="str">
        <f aca="false">IF($B$10=0,"",IFERROR(IF($B$4&gt;0,IF($M598="",1/0,$M598*$B$4),0)+IF($B$5&gt;0,IF($N598="",1/0,$N598*$B$5),0)+IF($B$6&gt;0,IF($O598="",1/0,$O598*$B$6),0),""))</f>
        <v/>
      </c>
      <c r="Q598" s="17" t="s">
        <v>44</v>
      </c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6"/>
    </row>
    <row r="599" s="22" customFormat="true" ht="28.5" hidden="false" customHeight="true" outlineLevel="0" collapsed="false">
      <c r="A599" s="16" t="str">
        <f aca="false">IF($T599="","",1+COUNTIF($W$15:$W$728,"&lt;"&amp;W599))</f>
        <v/>
      </c>
      <c r="B599" s="16" t="s">
        <v>8</v>
      </c>
      <c r="C599" s="16" t="s">
        <v>1782</v>
      </c>
      <c r="D599" s="16" t="s">
        <v>141</v>
      </c>
      <c r="E599" s="16" t="s">
        <v>58</v>
      </c>
      <c r="F599" s="16" t="s">
        <v>1783</v>
      </c>
      <c r="G599" s="16" t="s">
        <v>1784</v>
      </c>
      <c r="H599" s="17" t="n">
        <v>1899</v>
      </c>
      <c r="I599" s="17"/>
      <c r="J599" s="17"/>
      <c r="K599" s="17" t="n">
        <v>1899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1899</v>
      </c>
      <c r="N599" s="17" t="str">
        <f aca="false">IF($I599="","",$I599+$L599)</f>
        <v/>
      </c>
      <c r="O599" s="17" t="n">
        <f aca="false">IF($K599="","",$K599+$L599)</f>
        <v>1899</v>
      </c>
      <c r="P599" s="17" t="str">
        <f aca="false">IF($B$10=0,"",IFERROR(IF($B$4&gt;0,IF($M599="",1/0,$M599*$B$4),0)+IF($B$5&gt;0,IF($N599="",1/0,$N599*$B$5),0)+IF($B$6&gt;0,IF($O599="",1/0,$O599*$B$6),0),""))</f>
        <v/>
      </c>
      <c r="Q599" s="17" t="s">
        <v>44</v>
      </c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6"/>
    </row>
    <row r="600" s="22" customFormat="true" ht="28.5" hidden="false" customHeight="true" outlineLevel="0" collapsed="false">
      <c r="A600" s="16" t="str">
        <f aca="false">IF($T600="","",1+COUNTIF($W$15:$W$728,"&lt;"&amp;W600))</f>
        <v/>
      </c>
      <c r="B600" s="16" t="s">
        <v>8</v>
      </c>
      <c r="C600" s="16" t="s">
        <v>1785</v>
      </c>
      <c r="D600" s="20" t="s">
        <v>131</v>
      </c>
      <c r="E600" s="16" t="s">
        <v>58</v>
      </c>
      <c r="F600" s="16" t="s">
        <v>1786</v>
      </c>
      <c r="G600" s="16" t="s">
        <v>1787</v>
      </c>
      <c r="H600" s="17" t="n">
        <v>1849</v>
      </c>
      <c r="I600" s="17"/>
      <c r="J600" s="17"/>
      <c r="K600" s="17" t="n">
        <v>1849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1849</v>
      </c>
      <c r="N600" s="17" t="str">
        <f aca="false">IF($I600="","",$I600+$L600)</f>
        <v/>
      </c>
      <c r="O600" s="17" t="n">
        <f aca="false">IF($K600="","",$K600+$L600)</f>
        <v>1849</v>
      </c>
      <c r="P600" s="17" t="str">
        <f aca="false">IF($B$10=0,"",IFERROR(IF($B$4&gt;0,IF($M600="",1/0,$M600*$B$4),0)+IF($B$5&gt;0,IF($N600="",1/0,$N600*$B$5),0)+IF($B$6&gt;0,IF($O600="",1/0,$O600*$B$6),0),""))</f>
        <v/>
      </c>
      <c r="Q600" s="17" t="s">
        <v>44</v>
      </c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6"/>
    </row>
    <row r="601" s="22" customFormat="true" ht="28.5" hidden="false" customHeight="true" outlineLevel="0" collapsed="false">
      <c r="A601" s="16" t="str">
        <f aca="false">IF($T601="","",1+COUNTIF($W$15:$W$728,"&lt;"&amp;W601))</f>
        <v/>
      </c>
      <c r="B601" s="16" t="s">
        <v>8</v>
      </c>
      <c r="C601" s="16" t="s">
        <v>1788</v>
      </c>
      <c r="D601" s="16" t="s">
        <v>48</v>
      </c>
      <c r="E601" s="16" t="s">
        <v>58</v>
      </c>
      <c r="F601" s="16" t="s">
        <v>1789</v>
      </c>
      <c r="G601" s="16" t="s">
        <v>1790</v>
      </c>
      <c r="H601" s="17" t="n">
        <v>1899</v>
      </c>
      <c r="I601" s="17"/>
      <c r="J601" s="17"/>
      <c r="K601" s="17" t="n">
        <v>1899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1899</v>
      </c>
      <c r="N601" s="17" t="str">
        <f aca="false">IF($I601="","",$I601+$L601)</f>
        <v/>
      </c>
      <c r="O601" s="17" t="n">
        <f aca="false">IF($K601="","",$K601+$L601)</f>
        <v>1899</v>
      </c>
      <c r="P601" s="17" t="str">
        <f aca="false">IF($B$10=0,"",IFERROR(IF($B$4&gt;0,IF($M601="",1/0,$M601*$B$4),0)+IF($B$5&gt;0,IF($N601="",1/0,$N601*$B$5),0)+IF($B$6&gt;0,IF($O601="",1/0,$O601*$B$6),0),""))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6"/>
    </row>
    <row r="602" s="22" customFormat="true" ht="28.5" hidden="false" customHeight="true" outlineLevel="0" collapsed="false">
      <c r="A602" s="16" t="str">
        <f aca="false">IF($T602="","",1+COUNTIF($W$15:$W$728,"&lt;"&amp;W602))</f>
        <v/>
      </c>
      <c r="B602" s="16" t="s">
        <v>10</v>
      </c>
      <c r="C602" s="16" t="s">
        <v>1455</v>
      </c>
      <c r="D602" s="16" t="s">
        <v>141</v>
      </c>
      <c r="E602" s="16" t="s">
        <v>58</v>
      </c>
      <c r="F602" s="16" t="s">
        <v>1791</v>
      </c>
      <c r="G602" s="16" t="s">
        <v>1792</v>
      </c>
      <c r="H602" s="17" t="n">
        <v>1940</v>
      </c>
      <c r="I602" s="17"/>
      <c r="J602" s="17"/>
      <c r="K602" s="17" t="n">
        <v>1960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1940</v>
      </c>
      <c r="N602" s="17" t="str">
        <f aca="false">IF($I602="","",$I602+$L602)</f>
        <v/>
      </c>
      <c r="O602" s="17" t="n">
        <f aca="false">IF($K602="","",$K602+$L602)</f>
        <v>1960</v>
      </c>
      <c r="P602" s="17" t="str">
        <f aca="false">IF($B$10=0,"",IFERROR(IF($B$4&gt;0,IF($M602="",1/0,$M602*$B$4),0)+IF($B$5&gt;0,IF($N602="",1/0,$N602*$B$5),0)+IF($B$6&gt;0,IF($O602="",1/0,$O602*$B$6),0),""))</f>
        <v/>
      </c>
      <c r="Q602" s="17" t="s">
        <v>44</v>
      </c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6"/>
    </row>
    <row r="603" s="22" customFormat="true" ht="28.5" hidden="false" customHeight="true" outlineLevel="0" collapsed="false">
      <c r="A603" s="16" t="str">
        <f aca="false">IF($T603="","",1+COUNTIF($W$15:$W$728,"&lt;"&amp;W603))</f>
        <v/>
      </c>
      <c r="B603" s="16" t="s">
        <v>10</v>
      </c>
      <c r="C603" s="16" t="s">
        <v>1793</v>
      </c>
      <c r="D603" s="16" t="s">
        <v>48</v>
      </c>
      <c r="E603" s="16" t="s">
        <v>58</v>
      </c>
      <c r="F603" s="16" t="s">
        <v>1794</v>
      </c>
      <c r="G603" s="16" t="s">
        <v>1795</v>
      </c>
      <c r="H603" s="17" t="n">
        <v>1835</v>
      </c>
      <c r="I603" s="17"/>
      <c r="J603" s="17"/>
      <c r="K603" s="17" t="n">
        <v>1759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1835</v>
      </c>
      <c r="N603" s="17" t="str">
        <f aca="false">IF($I603="","",$I603+$L603)</f>
        <v/>
      </c>
      <c r="O603" s="17" t="n">
        <f aca="false">IF($K603="","",$K603+$L603)</f>
        <v>1759</v>
      </c>
      <c r="P603" s="17" t="str">
        <f aca="false">IF($B$10=0,"",IFERROR(IF($B$4&gt;0,IF($M603="",1/0,$M603*$B$4),0)+IF($B$5&gt;0,IF($N603="",1/0,$N603*$B$5),0)+IF($B$6&gt;0,IF($O603="",1/0,$O603*$B$6),0),""))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6"/>
    </row>
    <row r="604" s="22" customFormat="true" ht="28.5" hidden="false" customHeight="true" outlineLevel="0" collapsed="false">
      <c r="A604" s="16" t="str">
        <f aca="false">IF($T604="","",1+COUNTIF($W$15:$W$728,"&lt;"&amp;W604))</f>
        <v/>
      </c>
      <c r="B604" s="16" t="s">
        <v>14</v>
      </c>
      <c r="C604" s="16" t="s">
        <v>1796</v>
      </c>
      <c r="D604" s="16" t="s">
        <v>43</v>
      </c>
      <c r="E604" s="16" t="s">
        <v>58</v>
      </c>
      <c r="F604" s="16" t="s">
        <v>1797</v>
      </c>
      <c r="G604" s="16" t="s">
        <v>1798</v>
      </c>
      <c r="H604" s="17" t="n">
        <v>1859</v>
      </c>
      <c r="I604" s="17"/>
      <c r="J604" s="17"/>
      <c r="K604" s="17" t="n">
        <v>1879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1859</v>
      </c>
      <c r="N604" s="17" t="str">
        <f aca="false">IF($I604="","",$I604+$L604)</f>
        <v/>
      </c>
      <c r="O604" s="17" t="n">
        <f aca="false">IF($K604="","",$K604+$L604)</f>
        <v>1879</v>
      </c>
      <c r="P604" s="17" t="str">
        <f aca="false">IF($B$10=0,"",IFERROR(IF($B$4&gt;0,IF($M604="",1/0,$M604*$B$4),0)+IF($B$5&gt;0,IF($N604="",1/0,$N604*$B$5),0)+IF($B$6&gt;0,IF($O604="",1/0,$O604*$B$6),0),""))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C604" s="6"/>
    </row>
    <row r="605" s="22" customFormat="true" ht="28.5" hidden="false" customHeight="true" outlineLevel="0" collapsed="false">
      <c r="A605" s="16" t="str">
        <f aca="false">IF($T605="","",1+COUNTIF($W$15:$W$728,"&lt;"&amp;W605))</f>
        <v/>
      </c>
      <c r="B605" s="16" t="s">
        <v>14</v>
      </c>
      <c r="C605" s="16" t="s">
        <v>1799</v>
      </c>
      <c r="D605" s="20" t="s">
        <v>131</v>
      </c>
      <c r="E605" s="16" t="s">
        <v>58</v>
      </c>
      <c r="F605" s="16" t="s">
        <v>1800</v>
      </c>
      <c r="G605" s="16" t="s">
        <v>1801</v>
      </c>
      <c r="H605" s="17" t="n">
        <v>1855</v>
      </c>
      <c r="I605" s="17"/>
      <c r="J605" s="17"/>
      <c r="K605" s="17" t="n">
        <v>1885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1855</v>
      </c>
      <c r="N605" s="17" t="str">
        <f aca="false">IF($I605="","",$I605+$L605)</f>
        <v/>
      </c>
      <c r="O605" s="17" t="n">
        <f aca="false">IF($K605="","",$K605+$L605)</f>
        <v>1885</v>
      </c>
      <c r="P605" s="17" t="str">
        <f aca="false">IF($B$10=0,"",IFERROR(IF($B$4&gt;0,IF($M605="",1/0,$M605*$B$4),0)+IF($B$5&gt;0,IF($N605="",1/0,$N605*$B$5),0)+IF($B$6&gt;0,IF($O605="",1/0,$O605*$B$6),0),""))</f>
        <v/>
      </c>
      <c r="Q605" s="17" t="s">
        <v>44</v>
      </c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C605" s="6"/>
    </row>
    <row r="606" s="22" customFormat="true" ht="28.5" hidden="false" customHeight="true" outlineLevel="0" collapsed="false">
      <c r="A606" s="16" t="str">
        <f aca="false">IF($T606="","",1+COUNTIF($W$15:$W$728,"&lt;"&amp;W606))</f>
        <v/>
      </c>
      <c r="B606" s="16" t="s">
        <v>14</v>
      </c>
      <c r="C606" s="16" t="s">
        <v>1802</v>
      </c>
      <c r="D606" s="16" t="s">
        <v>48</v>
      </c>
      <c r="E606" s="16" t="s">
        <v>58</v>
      </c>
      <c r="F606" s="16" t="s">
        <v>1803</v>
      </c>
      <c r="G606" s="16" t="s">
        <v>1804</v>
      </c>
      <c r="H606" s="17" t="n">
        <v>1895</v>
      </c>
      <c r="I606" s="17"/>
      <c r="J606" s="17"/>
      <c r="K606" s="17" t="n">
        <v>1895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1895</v>
      </c>
      <c r="N606" s="17" t="str">
        <f aca="false">IF($I606="","",$I606+$L606)</f>
        <v/>
      </c>
      <c r="O606" s="17" t="n">
        <f aca="false">IF($K606="","",$K606+$L606)</f>
        <v>1895</v>
      </c>
      <c r="P606" s="17" t="str">
        <f aca="false">IF($B$10=0,"",IFERROR(IF($B$4&gt;0,IF($M606="",1/0,$M606*$B$4),0)+IF($B$5&gt;0,IF($N606="",1/0,$N606*$B$5),0)+IF($B$6&gt;0,IF($O606="",1/0,$O606*$B$6),0),""))</f>
        <v/>
      </c>
      <c r="Q606" s="17" t="s">
        <v>44</v>
      </c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C606" s="6"/>
    </row>
    <row r="607" s="22" customFormat="true" ht="28.5" hidden="false" customHeight="true" outlineLevel="0" collapsed="false">
      <c r="A607" s="16" t="str">
        <f aca="false">IF($T607="","",1+COUNTIF($W$15:$W$728,"&lt;"&amp;W607))</f>
        <v/>
      </c>
      <c r="B607" s="16" t="s">
        <v>10</v>
      </c>
      <c r="C607" s="16" t="s">
        <v>1805</v>
      </c>
      <c r="D607" s="16" t="s">
        <v>43</v>
      </c>
      <c r="E607" s="16" t="s">
        <v>44</v>
      </c>
      <c r="F607" s="16" t="s">
        <v>1806</v>
      </c>
      <c r="G607" s="16" t="s">
        <v>1807</v>
      </c>
      <c r="H607" s="17" t="n">
        <v>1897</v>
      </c>
      <c r="I607" s="17"/>
      <c r="J607" s="17"/>
      <c r="K607" s="17" t="n">
        <v>1997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1897</v>
      </c>
      <c r="N607" s="17" t="str">
        <f aca="false">IF($I607="","",$I607+$L607)</f>
        <v/>
      </c>
      <c r="O607" s="17" t="n">
        <f aca="false">IF($K607="","",$K607+$L607)</f>
        <v>1997</v>
      </c>
      <c r="P607" s="17" t="str">
        <f aca="false">IF($B$10=0,"",IFERROR(IF($B$4&gt;0,IF($M607="",1/0,$M607*$B$4),0)+IF($B$5&gt;0,IF($N607="",1/0,$N607*$B$5),0)+IF($B$6&gt;0,IF($O607="",1/0,$O607*$B$6),0),""))</f>
        <v/>
      </c>
      <c r="Q607" s="17" t="s">
        <v>44</v>
      </c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C607" s="6"/>
    </row>
    <row r="608" s="22" customFormat="true" ht="28.5" hidden="false" customHeight="true" outlineLevel="0" collapsed="false">
      <c r="A608" s="16" t="str">
        <f aca="false">IF($T608="","",1+COUNTIF($W$15:$W$728,"&lt;"&amp;W608))</f>
        <v/>
      </c>
      <c r="B608" s="16" t="s">
        <v>14</v>
      </c>
      <c r="C608" s="16" t="s">
        <v>631</v>
      </c>
      <c r="D608" s="20" t="s">
        <v>131</v>
      </c>
      <c r="E608" s="16" t="s">
        <v>58</v>
      </c>
      <c r="F608" s="16" t="s">
        <v>1808</v>
      </c>
      <c r="G608" s="16" t="s">
        <v>1809</v>
      </c>
      <c r="H608" s="17" t="n">
        <v>1989</v>
      </c>
      <c r="I608" s="17"/>
      <c r="J608" s="17"/>
      <c r="K608" s="17" t="n">
        <v>1928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1989</v>
      </c>
      <c r="N608" s="17" t="str">
        <f aca="false">IF($I608="","",$I608+$L608)</f>
        <v/>
      </c>
      <c r="O608" s="17" t="n">
        <f aca="false">IF($K608="","",$K608+$L608)</f>
        <v>1928</v>
      </c>
      <c r="P608" s="17" t="str">
        <f aca="false">IF($B$10=0,"",IFERROR(IF($B$4&gt;0,IF($M608="",1/0,$M608*$B$4),0)+IF($B$5&gt;0,IF($N608="",1/0,$N608*$B$5),0)+IF($B$6&gt;0,IF($O608="",1/0,$O608*$B$6),0),""))</f>
        <v/>
      </c>
      <c r="Q608" s="17" t="s">
        <v>44</v>
      </c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C608" s="6"/>
    </row>
    <row r="609" s="22" customFormat="true" ht="28.5" hidden="false" customHeight="true" outlineLevel="0" collapsed="false">
      <c r="A609" s="16" t="str">
        <f aca="false">IF($T609="","",1+COUNTIF($W$15:$W$728,"&lt;"&amp;W609))</f>
        <v/>
      </c>
      <c r="B609" s="16" t="s">
        <v>10</v>
      </c>
      <c r="C609" s="16" t="s">
        <v>1810</v>
      </c>
      <c r="D609" s="20" t="s">
        <v>131</v>
      </c>
      <c r="E609" s="16" t="s">
        <v>58</v>
      </c>
      <c r="F609" s="16" t="s">
        <v>1811</v>
      </c>
      <c r="G609" s="16" t="s">
        <v>1812</v>
      </c>
      <c r="H609" s="17" t="n">
        <v>1898</v>
      </c>
      <c r="I609" s="17"/>
      <c r="J609" s="17"/>
      <c r="K609" s="17" t="n">
        <v>1958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1898</v>
      </c>
      <c r="N609" s="17" t="str">
        <f aca="false">IF($I609="","",$I609+$L609)</f>
        <v/>
      </c>
      <c r="O609" s="17" t="n">
        <f aca="false">IF($K609="","",$K609+$L609)</f>
        <v>1958</v>
      </c>
      <c r="P609" s="17" t="str">
        <f aca="false">IF($B$10=0,"",IFERROR(IF($B$4&gt;0,IF($M609="",1/0,$M609*$B$4),0)+IF($B$5&gt;0,IF($N609="",1/0,$N609*$B$5),0)+IF($B$6&gt;0,IF($O609="",1/0,$O609*$B$6),0),""))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6"/>
    </row>
    <row r="610" s="22" customFormat="true" ht="28.5" hidden="false" customHeight="true" outlineLevel="0" collapsed="false">
      <c r="A610" s="16" t="str">
        <f aca="false">IF($T610="","",1+COUNTIF($W$15:$W$728,"&lt;"&amp;W610))</f>
        <v/>
      </c>
      <c r="B610" s="16" t="s">
        <v>8</v>
      </c>
      <c r="C610" s="16" t="s">
        <v>1813</v>
      </c>
      <c r="D610" s="16" t="s">
        <v>141</v>
      </c>
      <c r="E610" s="16" t="s">
        <v>44</v>
      </c>
      <c r="F610" s="16" t="s">
        <v>1814</v>
      </c>
      <c r="G610" s="16" t="s">
        <v>1815</v>
      </c>
      <c r="H610" s="17" t="n">
        <v>1899</v>
      </c>
      <c r="I610" s="17"/>
      <c r="J610" s="17"/>
      <c r="K610" s="17" t="n">
        <v>1899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1899</v>
      </c>
      <c r="N610" s="17" t="str">
        <f aca="false">IF($I610="","",$I610+$L610)</f>
        <v/>
      </c>
      <c r="O610" s="17" t="n">
        <f aca="false">IF($K610="","",$K610+$L610)</f>
        <v>1899</v>
      </c>
      <c r="P610" s="17" t="str">
        <f aca="false">IF($B$10=0,"",IFERROR(IF($B$4&gt;0,IF($M610="",1/0,$M610*$B$4),0)+IF($B$5&gt;0,IF($N610="",1/0,$N610*$B$5),0)+IF($B$6&gt;0,IF($O610="",1/0,$O610*$B$6),0),""))</f>
        <v/>
      </c>
      <c r="Q610" s="17" t="s">
        <v>44</v>
      </c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C610" s="6"/>
    </row>
    <row r="611" s="22" customFormat="true" ht="28.5" hidden="false" customHeight="true" outlineLevel="0" collapsed="false">
      <c r="A611" s="16" t="str">
        <f aca="false">IF($T611="","",1+COUNTIF($W$15:$W$728,"&lt;"&amp;W611))</f>
        <v/>
      </c>
      <c r="B611" s="16" t="s">
        <v>10</v>
      </c>
      <c r="C611" s="16" t="s">
        <v>1816</v>
      </c>
      <c r="D611" s="16" t="s">
        <v>43</v>
      </c>
      <c r="E611" s="16" t="s">
        <v>58</v>
      </c>
      <c r="F611" s="16" t="s">
        <v>1817</v>
      </c>
      <c r="G611" s="16" t="s">
        <v>1818</v>
      </c>
      <c r="H611" s="17" t="n">
        <v>1859</v>
      </c>
      <c r="I611" s="17"/>
      <c r="J611" s="17"/>
      <c r="K611" s="17" t="n">
        <v>1899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1859</v>
      </c>
      <c r="N611" s="17" t="str">
        <f aca="false">IF($I611="","",$I611+$L611)</f>
        <v/>
      </c>
      <c r="O611" s="17" t="n">
        <f aca="false">IF($K611="","",$K611+$L611)</f>
        <v>1899</v>
      </c>
      <c r="P611" s="17" t="str">
        <f aca="false">IF($B$10=0,"",IFERROR(IF($B$4&gt;0,IF($M611="",1/0,$M611*$B$4),0)+IF($B$5&gt;0,IF($N611="",1/0,$N611*$B$5),0)+IF($B$6&gt;0,IF($O611="",1/0,$O611*$B$6),0),""))</f>
        <v/>
      </c>
      <c r="Q611" s="17" t="s">
        <v>44</v>
      </c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6"/>
    </row>
    <row r="612" s="22" customFormat="true" ht="28.5" hidden="false" customHeight="true" outlineLevel="0" collapsed="false">
      <c r="A612" s="16" t="str">
        <f aca="false">IF($T612="","",1+COUNTIF($W$15:$W$728,"&lt;"&amp;W612))</f>
        <v/>
      </c>
      <c r="B612" s="16" t="s">
        <v>10</v>
      </c>
      <c r="C612" s="16" t="s">
        <v>1819</v>
      </c>
      <c r="D612" s="16" t="s">
        <v>141</v>
      </c>
      <c r="E612" s="16" t="s">
        <v>44</v>
      </c>
      <c r="F612" s="16" t="s">
        <v>1820</v>
      </c>
      <c r="G612" s="16" t="s">
        <v>1821</v>
      </c>
      <c r="H612" s="17" t="n">
        <v>1890</v>
      </c>
      <c r="I612" s="17"/>
      <c r="J612" s="17"/>
      <c r="K612" s="17" t="n">
        <v>1890</v>
      </c>
      <c r="L612" s="17" t="n">
        <f aca="false">IF(AND(IFERROR(SEARCH("현대오일뱅크",$C612),0)&gt;0,IFERROR(SEARCH("직영",$C612),0)&gt;0),$B$13,0)</f>
        <v>0</v>
      </c>
      <c r="M612" s="17" t="n">
        <f aca="false">IF($H612="","",$H612+$L612)</f>
        <v>1890</v>
      </c>
      <c r="N612" s="17" t="str">
        <f aca="false">IF($I612="","",$I612+$L612)</f>
        <v/>
      </c>
      <c r="O612" s="17" t="n">
        <f aca="false">IF($K612="","",$K612+$L612)</f>
        <v>1890</v>
      </c>
      <c r="P612" s="17" t="str">
        <f aca="false">IF($B$10=0,"",IFERROR(IF($B$4&gt;0,IF($M612="",1/0,$M612*$B$4),0)+IF($B$5&gt;0,IF($N612="",1/0,$N612*$B$5),0)+IF($B$6&gt;0,IF($O612="",1/0,$O612*$B$6),0),""))</f>
        <v/>
      </c>
      <c r="Q612" s="17" t="s">
        <v>44</v>
      </c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C612" s="6"/>
    </row>
    <row r="613" s="22" customFormat="true" ht="28.5" hidden="false" customHeight="true" outlineLevel="0" collapsed="false">
      <c r="A613" s="16" t="str">
        <f aca="false">IF($T613="","",1+COUNTIF($W$15:$W$728,"&lt;"&amp;W613))</f>
        <v/>
      </c>
      <c r="B613" s="16" t="s">
        <v>12</v>
      </c>
      <c r="C613" s="16" t="s">
        <v>1822</v>
      </c>
      <c r="D613" s="20" t="s">
        <v>131</v>
      </c>
      <c r="E613" s="16" t="s">
        <v>44</v>
      </c>
      <c r="F613" s="16" t="s">
        <v>1823</v>
      </c>
      <c r="G613" s="16" t="s">
        <v>1824</v>
      </c>
      <c r="H613" s="17" t="n">
        <v>1954</v>
      </c>
      <c r="I613" s="17"/>
      <c r="J613" s="17"/>
      <c r="K613" s="17" t="n">
        <v>1994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1954</v>
      </c>
      <c r="N613" s="17" t="str">
        <f aca="false">IF($I613="","",$I613+$L613)</f>
        <v/>
      </c>
      <c r="O613" s="17" t="n">
        <f aca="false">IF($K613="","",$K613+$L613)</f>
        <v>1994</v>
      </c>
      <c r="P613" s="17" t="str">
        <f aca="false">IF($B$10=0,"",IFERROR(IF($B$4&gt;0,IF($M613="",1/0,$M613*$B$4),0)+IF($B$5&gt;0,IF($N613="",1/0,$N613*$B$5),0)+IF($B$6&gt;0,IF($O613="",1/0,$O613*$B$6),0),""))</f>
        <v/>
      </c>
      <c r="Q613" s="17" t="s">
        <v>44</v>
      </c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6"/>
    </row>
    <row r="614" s="22" customFormat="true" ht="28.5" hidden="false" customHeight="true" outlineLevel="0" collapsed="false">
      <c r="A614" s="16" t="str">
        <f aca="false">IF($T614="","",1+COUNTIF($W$15:$W$728,"&lt;"&amp;W614))</f>
        <v/>
      </c>
      <c r="B614" s="16" t="s">
        <v>10</v>
      </c>
      <c r="C614" s="16" t="s">
        <v>1825</v>
      </c>
      <c r="D614" s="16" t="s">
        <v>141</v>
      </c>
      <c r="E614" s="16" t="s">
        <v>58</v>
      </c>
      <c r="F614" s="16" t="s">
        <v>1826</v>
      </c>
      <c r="G614" s="16" t="s">
        <v>1827</v>
      </c>
      <c r="H614" s="17" t="n">
        <v>1845</v>
      </c>
      <c r="I614" s="17"/>
      <c r="J614" s="17"/>
      <c r="K614" s="17" t="n">
        <v>1795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1845</v>
      </c>
      <c r="N614" s="17" t="str">
        <f aca="false">IF($I614="","",$I614+$L614)</f>
        <v/>
      </c>
      <c r="O614" s="17" t="n">
        <f aca="false">IF($K614="","",$K614+$L614)</f>
        <v>1795</v>
      </c>
      <c r="P614" s="17" t="str">
        <f aca="false">IF($B$10=0,"",IFERROR(IF($B$4&gt;0,IF($M614="",1/0,$M614*$B$4),0)+IF($B$5&gt;0,IF($N614="",1/0,$N614*$B$5),0)+IF($B$6&gt;0,IF($O614="",1/0,$O614*$B$6),0),""))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6"/>
    </row>
    <row r="615" s="22" customFormat="true" ht="28.5" hidden="false" customHeight="true" outlineLevel="0" collapsed="false">
      <c r="A615" s="16" t="str">
        <f aca="false">IF($T615="","",1+COUNTIF($W$15:$W$728,"&lt;"&amp;W615))</f>
        <v/>
      </c>
      <c r="B615" s="16" t="s">
        <v>10</v>
      </c>
      <c r="C615" s="16" t="s">
        <v>1198</v>
      </c>
      <c r="D615" s="16" t="s">
        <v>48</v>
      </c>
      <c r="E615" s="16" t="s">
        <v>58</v>
      </c>
      <c r="F615" s="16" t="s">
        <v>1828</v>
      </c>
      <c r="G615" s="16" t="s">
        <v>1829</v>
      </c>
      <c r="H615" s="17" t="n">
        <v>1845</v>
      </c>
      <c r="I615" s="17"/>
      <c r="J615" s="17"/>
      <c r="K615" s="17" t="n">
        <v>1995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1845</v>
      </c>
      <c r="N615" s="17" t="str">
        <f aca="false">IF($I615="","",$I615+$L615)</f>
        <v/>
      </c>
      <c r="O615" s="17" t="n">
        <f aca="false">IF($K615="","",$K615+$L615)</f>
        <v>1995</v>
      </c>
      <c r="P615" s="17" t="str">
        <f aca="false">IF($B$10=0,"",IFERROR(IF($B$4&gt;0,IF($M615="",1/0,$M615*$B$4),0)+IF($B$5&gt;0,IF($N615="",1/0,$N615*$B$5),0)+IF($B$6&gt;0,IF($O615="",1/0,$O615*$B$6),0),""))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6"/>
    </row>
    <row r="616" s="22" customFormat="true" ht="28.5" hidden="false" customHeight="true" outlineLevel="0" collapsed="false">
      <c r="A616" s="16" t="str">
        <f aca="false">IF($T616="","",1+COUNTIF($W$15:$W$728,"&lt;"&amp;W616))</f>
        <v/>
      </c>
      <c r="B616" s="16" t="s">
        <v>10</v>
      </c>
      <c r="C616" s="16" t="s">
        <v>1830</v>
      </c>
      <c r="D616" s="16" t="s">
        <v>48</v>
      </c>
      <c r="E616" s="16" t="s">
        <v>44</v>
      </c>
      <c r="F616" s="16" t="s">
        <v>1831</v>
      </c>
      <c r="G616" s="16" t="s">
        <v>1832</v>
      </c>
      <c r="H616" s="17" t="n">
        <v>1897</v>
      </c>
      <c r="I616" s="17"/>
      <c r="J616" s="17"/>
      <c r="K616" s="17" t="n">
        <v>1897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1897</v>
      </c>
      <c r="N616" s="17" t="str">
        <f aca="false">IF($I616="","",$I616+$L616)</f>
        <v/>
      </c>
      <c r="O616" s="17" t="n">
        <f aca="false">IF($K616="","",$K616+$L616)</f>
        <v>1897</v>
      </c>
      <c r="P616" s="17" t="str">
        <f aca="false">IF($B$10=0,"",IFERROR(IF($B$4&gt;0,IF($M616="",1/0,$M616*$B$4),0)+IF($B$5&gt;0,IF($N616="",1/0,$N616*$B$5),0)+IF($B$6&gt;0,IF($O616="",1/0,$O616*$B$6),0),""))</f>
        <v/>
      </c>
      <c r="Q616" s="17" t="s">
        <v>44</v>
      </c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C616" s="6"/>
    </row>
    <row r="617" s="22" customFormat="true" ht="28.5" hidden="false" customHeight="true" outlineLevel="0" collapsed="false">
      <c r="A617" s="16" t="str">
        <f aca="false">IF($T617="","",1+COUNTIF($W$15:$W$728,"&lt;"&amp;W617))</f>
        <v/>
      </c>
      <c r="B617" s="16" t="s">
        <v>12</v>
      </c>
      <c r="C617" s="16" t="s">
        <v>1833</v>
      </c>
      <c r="D617" s="20" t="s">
        <v>303</v>
      </c>
      <c r="E617" s="16" t="s">
        <v>44</v>
      </c>
      <c r="F617" s="16" t="s">
        <v>1834</v>
      </c>
      <c r="G617" s="16" t="s">
        <v>1835</v>
      </c>
      <c r="H617" s="17" t="n">
        <v>1887</v>
      </c>
      <c r="I617" s="17"/>
      <c r="J617" s="17"/>
      <c r="K617" s="17" t="n">
        <v>1957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1887</v>
      </c>
      <c r="N617" s="17" t="str">
        <f aca="false">IF($I617="","",$I617+$L617)</f>
        <v/>
      </c>
      <c r="O617" s="17" t="n">
        <f aca="false">IF($K617="","",$K617+$L617)</f>
        <v>1957</v>
      </c>
      <c r="P617" s="17" t="str">
        <f aca="false">IF($B$10=0,"",IFERROR(IF($B$4&gt;0,IF($M617="",1/0,$M617*$B$4),0)+IF($B$5&gt;0,IF($N617="",1/0,$N617*$B$5),0)+IF($B$6&gt;0,IF($O617="",1/0,$O617*$B$6),0),""))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6"/>
    </row>
    <row r="618" s="22" customFormat="true" ht="28.5" hidden="false" customHeight="true" outlineLevel="0" collapsed="false">
      <c r="A618" s="16" t="str">
        <f aca="false">IF($T618="","",1+COUNTIF($W$15:$W$728,"&lt;"&amp;W618))</f>
        <v/>
      </c>
      <c r="B618" s="16" t="s">
        <v>12</v>
      </c>
      <c r="C618" s="16" t="s">
        <v>1836</v>
      </c>
      <c r="D618" s="20" t="s">
        <v>141</v>
      </c>
      <c r="E618" s="16" t="s">
        <v>58</v>
      </c>
      <c r="F618" s="16" t="s">
        <v>1837</v>
      </c>
      <c r="G618" s="16" t="s">
        <v>1838</v>
      </c>
      <c r="H618" s="17" t="n">
        <v>1957</v>
      </c>
      <c r="I618" s="17"/>
      <c r="J618" s="17"/>
      <c r="K618" s="17" t="n">
        <v>1957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1957</v>
      </c>
      <c r="N618" s="17" t="str">
        <f aca="false">IF($I618="","",$I618+$L618)</f>
        <v/>
      </c>
      <c r="O618" s="17" t="n">
        <f aca="false">IF($K618="","",$K618+$L618)</f>
        <v>1957</v>
      </c>
      <c r="P618" s="17" t="str">
        <f aca="false">IF($B$10=0,"",IFERROR(IF($B$4&gt;0,IF($M618="",1/0,$M618*$B$4),0)+IF($B$5&gt;0,IF($N618="",1/0,$N618*$B$5),0)+IF($B$6&gt;0,IF($O618="",1/0,$O618*$B$6),0),""))</f>
        <v/>
      </c>
      <c r="Q618" s="17" t="s">
        <v>44</v>
      </c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C618" s="6"/>
    </row>
    <row r="619" s="22" customFormat="true" ht="28.5" hidden="false" customHeight="true" outlineLevel="0" collapsed="false">
      <c r="A619" s="16" t="str">
        <f aca="false">IF($T619="","",1+COUNTIF($W$15:$W$728,"&lt;"&amp;W619))</f>
        <v/>
      </c>
      <c r="B619" s="16" t="s">
        <v>12</v>
      </c>
      <c r="C619" s="16" t="s">
        <v>1839</v>
      </c>
      <c r="D619" s="20" t="s">
        <v>303</v>
      </c>
      <c r="E619" s="16" t="s">
        <v>58</v>
      </c>
      <c r="F619" s="16" t="s">
        <v>1840</v>
      </c>
      <c r="G619" s="16" t="s">
        <v>1841</v>
      </c>
      <c r="H619" s="17" t="n">
        <v>2060</v>
      </c>
      <c r="I619" s="17"/>
      <c r="J619" s="17"/>
      <c r="K619" s="17" t="n">
        <v>2075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2060</v>
      </c>
      <c r="N619" s="17" t="str">
        <f aca="false">IF($I619="","",$I619+$L619)</f>
        <v/>
      </c>
      <c r="O619" s="17" t="n">
        <f aca="false">IF($K619="","",$K619+$L619)</f>
        <v>2075</v>
      </c>
      <c r="P619" s="17" t="str">
        <f aca="false">IF($B$10=0,"",IFERROR(IF($B$4&gt;0,IF($M619="",1/0,$M619*$B$4),0)+IF($B$5&gt;0,IF($N619="",1/0,$N619*$B$5),0)+IF($B$6&gt;0,IF($O619="",1/0,$O619*$B$6),0),""))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C619" s="6"/>
    </row>
    <row r="620" s="22" customFormat="true" ht="28.5" hidden="false" customHeight="true" outlineLevel="0" collapsed="false">
      <c r="A620" s="16" t="str">
        <f aca="false">IF($T620="","",1+COUNTIF($W$15:$W$728,"&lt;"&amp;W620))</f>
        <v/>
      </c>
      <c r="B620" s="16" t="s">
        <v>10</v>
      </c>
      <c r="C620" s="16" t="s">
        <v>1842</v>
      </c>
      <c r="D620" s="16" t="s">
        <v>48</v>
      </c>
      <c r="E620" s="16" t="s">
        <v>58</v>
      </c>
      <c r="F620" s="16" t="s">
        <v>1843</v>
      </c>
      <c r="G620" s="16" t="s">
        <v>1844</v>
      </c>
      <c r="H620" s="17" t="n">
        <v>1878</v>
      </c>
      <c r="I620" s="17"/>
      <c r="J620" s="17"/>
      <c r="K620" s="17" t="n">
        <v>1878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1878</v>
      </c>
      <c r="N620" s="17" t="str">
        <f aca="false">IF($I620="","",$I620+$L620)</f>
        <v/>
      </c>
      <c r="O620" s="17" t="n">
        <f aca="false">IF($K620="","",$K620+$L620)</f>
        <v>1878</v>
      </c>
      <c r="P620" s="17" t="str">
        <f aca="false">IF($B$10=0,"",IFERROR(IF($B$4&gt;0,IF($M620="",1/0,$M620*$B$4),0)+IF($B$5&gt;0,IF($N620="",1/0,$N620*$B$5),0)+IF($B$6&gt;0,IF($O620="",1/0,$O620*$B$6),0),""))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C620" s="6"/>
    </row>
    <row r="621" s="22" customFormat="true" ht="28.5" hidden="false" customHeight="true" outlineLevel="0" collapsed="false">
      <c r="A621" s="16" t="str">
        <f aca="false">IF($T621="","",1+COUNTIF($W$15:$W$728,"&lt;"&amp;W621))</f>
        <v/>
      </c>
      <c r="B621" s="16" t="s">
        <v>12</v>
      </c>
      <c r="C621" s="16" t="s">
        <v>1845</v>
      </c>
      <c r="D621" s="20" t="s">
        <v>303</v>
      </c>
      <c r="E621" s="16" t="s">
        <v>58</v>
      </c>
      <c r="F621" s="16" t="s">
        <v>1846</v>
      </c>
      <c r="G621" s="16" t="s">
        <v>1847</v>
      </c>
      <c r="H621" s="17" t="n">
        <v>1947</v>
      </c>
      <c r="I621" s="17"/>
      <c r="J621" s="17"/>
      <c r="K621" s="17" t="n">
        <v>1970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1947</v>
      </c>
      <c r="N621" s="17" t="str">
        <f aca="false">IF($I621="","",$I621+$L621)</f>
        <v/>
      </c>
      <c r="O621" s="17" t="n">
        <f aca="false">IF($K621="","",$K621+$L621)</f>
        <v>1970</v>
      </c>
      <c r="P621" s="17" t="str">
        <f aca="false">IF($B$10=0,"",IFERROR(IF($B$4&gt;0,IF($M621="",1/0,$M621*$B$4),0)+IF($B$5&gt;0,IF($N621="",1/0,$N621*$B$5),0)+IF($B$6&gt;0,IF($O621="",1/0,$O621*$B$6),0),""))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C621" s="6"/>
    </row>
    <row r="622" s="22" customFormat="true" ht="28.5" hidden="false" customHeight="true" outlineLevel="0" collapsed="false">
      <c r="A622" s="16" t="str">
        <f aca="false">IF($T622="","",1+COUNTIF($W$15:$W$728,"&lt;"&amp;W622))</f>
        <v/>
      </c>
      <c r="B622" s="16" t="s">
        <v>12</v>
      </c>
      <c r="C622" s="16" t="s">
        <v>1848</v>
      </c>
      <c r="D622" s="20" t="s">
        <v>131</v>
      </c>
      <c r="E622" s="16" t="s">
        <v>44</v>
      </c>
      <c r="F622" s="16" t="s">
        <v>1849</v>
      </c>
      <c r="G622" s="16" t="s">
        <v>1850</v>
      </c>
      <c r="H622" s="17" t="n">
        <v>1999</v>
      </c>
      <c r="I622" s="17"/>
      <c r="J622" s="17"/>
      <c r="K622" s="17" t="n">
        <v>2099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1999</v>
      </c>
      <c r="N622" s="17" t="str">
        <f aca="false">IF($I622="","",$I622+$L622)</f>
        <v/>
      </c>
      <c r="O622" s="17" t="n">
        <f aca="false">IF($K622="","",$K622+$L622)</f>
        <v>2099</v>
      </c>
      <c r="P622" s="17" t="str">
        <f aca="false">IF($B$10=0,"",IFERROR(IF($B$4&gt;0,IF($M622="",1/0,$M622*$B$4),0)+IF($B$5&gt;0,IF($N622="",1/0,$N622*$B$5),0)+IF($B$6&gt;0,IF($O622="",1/0,$O622*$B$6),0),""))</f>
        <v/>
      </c>
      <c r="Q622" s="17" t="s">
        <v>44</v>
      </c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C622" s="6"/>
    </row>
    <row r="623" s="22" customFormat="true" ht="28.5" hidden="false" customHeight="true" outlineLevel="0" collapsed="false">
      <c r="A623" s="16" t="str">
        <f aca="false">IF($T623="","",1+COUNTIF($W$15:$W$728,"&lt;"&amp;W623))</f>
        <v/>
      </c>
      <c r="B623" s="16" t="s">
        <v>10</v>
      </c>
      <c r="C623" s="16" t="s">
        <v>1851</v>
      </c>
      <c r="D623" s="16" t="s">
        <v>43</v>
      </c>
      <c r="E623" s="16" t="s">
        <v>58</v>
      </c>
      <c r="F623" s="16" t="s">
        <v>1852</v>
      </c>
      <c r="G623" s="16" t="s">
        <v>1853</v>
      </c>
      <c r="H623" s="17" t="n">
        <v>1889</v>
      </c>
      <c r="I623" s="17"/>
      <c r="J623" s="17"/>
      <c r="K623" s="17" t="n">
        <v>1899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1889</v>
      </c>
      <c r="N623" s="17" t="str">
        <f aca="false">IF($I623="","",$I623+$L623)</f>
        <v/>
      </c>
      <c r="O623" s="17" t="n">
        <f aca="false">IF($K623="","",$K623+$L623)</f>
        <v>1899</v>
      </c>
      <c r="P623" s="17" t="str">
        <f aca="false">IF($B$10=0,"",IFERROR(IF($B$4&gt;0,IF($M623="",1/0,$M623*$B$4),0)+IF($B$5&gt;0,IF($N623="",1/0,$N623*$B$5),0)+IF($B$6&gt;0,IF($O623="",1/0,$O623*$B$6),0),""))</f>
        <v/>
      </c>
      <c r="Q623" s="17" t="s">
        <v>44</v>
      </c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C623" s="6"/>
    </row>
    <row r="624" s="22" customFormat="true" ht="28.5" hidden="false" customHeight="true" outlineLevel="0" collapsed="false">
      <c r="A624" s="16" t="str">
        <f aca="false">IF($T624="","",1+COUNTIF($W$15:$W$728,"&lt;"&amp;W624))</f>
        <v/>
      </c>
      <c r="B624" s="16" t="s">
        <v>10</v>
      </c>
      <c r="C624" s="16" t="s">
        <v>1854</v>
      </c>
      <c r="D624" s="16" t="s">
        <v>48</v>
      </c>
      <c r="E624" s="16" t="s">
        <v>58</v>
      </c>
      <c r="F624" s="16" t="s">
        <v>1855</v>
      </c>
      <c r="G624" s="16" t="s">
        <v>1856</v>
      </c>
      <c r="H624" s="17" t="n">
        <v>1889</v>
      </c>
      <c r="I624" s="17"/>
      <c r="J624" s="17"/>
      <c r="K624" s="17" t="n">
        <v>1879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1889</v>
      </c>
      <c r="N624" s="17" t="str">
        <f aca="false">IF($I624="","",$I624+$L624)</f>
        <v/>
      </c>
      <c r="O624" s="17" t="n">
        <f aca="false">IF($K624="","",$K624+$L624)</f>
        <v>1879</v>
      </c>
      <c r="P624" s="17" t="str">
        <f aca="false">IF($B$10=0,"",IFERROR(IF($B$4&gt;0,IF($M624="",1/0,$M624*$B$4),0)+IF($B$5&gt;0,IF($N624="",1/0,$N624*$B$5),0)+IF($B$6&gt;0,IF($O624="",1/0,$O624*$B$6),0),""))</f>
        <v/>
      </c>
      <c r="Q624" s="17" t="s">
        <v>44</v>
      </c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6"/>
    </row>
    <row r="625" s="22" customFormat="true" ht="28.5" hidden="false" customHeight="true" outlineLevel="0" collapsed="false">
      <c r="A625" s="16" t="str">
        <f aca="false">IF($T625="","",1+COUNTIF($W$15:$W$728,"&lt;"&amp;W625))</f>
        <v/>
      </c>
      <c r="B625" s="16" t="s">
        <v>8</v>
      </c>
      <c r="C625" s="16" t="s">
        <v>1857</v>
      </c>
      <c r="D625" s="16" t="s">
        <v>43</v>
      </c>
      <c r="E625" s="16" t="s">
        <v>58</v>
      </c>
      <c r="F625" s="16" t="s">
        <v>1858</v>
      </c>
      <c r="G625" s="16" t="s">
        <v>1859</v>
      </c>
      <c r="H625" s="17" t="n">
        <v>1889</v>
      </c>
      <c r="I625" s="17"/>
      <c r="J625" s="17"/>
      <c r="K625" s="17" t="n">
        <v>1899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1889</v>
      </c>
      <c r="N625" s="17" t="str">
        <f aca="false">IF($I625="","",$I625+$L625)</f>
        <v/>
      </c>
      <c r="O625" s="17" t="n">
        <f aca="false">IF($K625="","",$K625+$L625)</f>
        <v>1899</v>
      </c>
      <c r="P625" s="17" t="str">
        <f aca="false">IF($B$10=0,"",IFERROR(IF($B$4&gt;0,IF($M625="",1/0,$M625*$B$4),0)+IF($B$5&gt;0,IF($N625="",1/0,$N625*$B$5),0)+IF($B$6&gt;0,IF($O625="",1/0,$O625*$B$6),0),""))</f>
        <v/>
      </c>
      <c r="Q625" s="17" t="s">
        <v>44</v>
      </c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6"/>
    </row>
    <row r="626" s="22" customFormat="true" ht="28.5" hidden="false" customHeight="true" outlineLevel="0" collapsed="false">
      <c r="A626" s="16" t="str">
        <f aca="false">IF($T626="","",1+COUNTIF($W$15:$W$728,"&lt;"&amp;W626))</f>
        <v/>
      </c>
      <c r="B626" s="16" t="s">
        <v>10</v>
      </c>
      <c r="C626" s="16" t="s">
        <v>1860</v>
      </c>
      <c r="D626" s="16" t="s">
        <v>43</v>
      </c>
      <c r="E626" s="16" t="s">
        <v>44</v>
      </c>
      <c r="F626" s="16" t="s">
        <v>1861</v>
      </c>
      <c r="G626" s="16" t="s">
        <v>1862</v>
      </c>
      <c r="H626" s="17" t="n">
        <v>1929</v>
      </c>
      <c r="I626" s="17"/>
      <c r="J626" s="17"/>
      <c r="K626" s="17" t="n">
        <v>1979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1929</v>
      </c>
      <c r="N626" s="17" t="str">
        <f aca="false">IF($I626="","",$I626+$L626)</f>
        <v/>
      </c>
      <c r="O626" s="17" t="n">
        <f aca="false">IF($K626="","",$K626+$L626)</f>
        <v>1979</v>
      </c>
      <c r="P626" s="17" t="str">
        <f aca="false">IF($B$10=0,"",IFERROR(IF($B$4&gt;0,IF($M626="",1/0,$M626*$B$4),0)+IF($B$5&gt;0,IF($N626="",1/0,$N626*$B$5),0)+IF($B$6&gt;0,IF($O626="",1/0,$O626*$B$6),0),""))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C626" s="6"/>
    </row>
    <row r="627" s="22" customFormat="true" ht="28.5" hidden="false" customHeight="true" outlineLevel="0" collapsed="false">
      <c r="A627" s="16" t="str">
        <f aca="false">IF($T627="","",1+COUNTIF($W$15:$W$728,"&lt;"&amp;W627))</f>
        <v/>
      </c>
      <c r="B627" s="16" t="s">
        <v>14</v>
      </c>
      <c r="C627" s="16" t="s">
        <v>1863</v>
      </c>
      <c r="D627" s="20" t="s">
        <v>131</v>
      </c>
      <c r="E627" s="16" t="s">
        <v>44</v>
      </c>
      <c r="F627" s="16" t="s">
        <v>1864</v>
      </c>
      <c r="G627" s="16" t="s">
        <v>1865</v>
      </c>
      <c r="H627" s="17" t="n">
        <v>1975</v>
      </c>
      <c r="I627" s="17"/>
      <c r="J627" s="17"/>
      <c r="K627" s="17" t="n">
        <v>1995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1975</v>
      </c>
      <c r="N627" s="17" t="str">
        <f aca="false">IF($I627="","",$I627+$L627)</f>
        <v/>
      </c>
      <c r="O627" s="17" t="n">
        <f aca="false">IF($K627="","",$K627+$L627)</f>
        <v>1995</v>
      </c>
      <c r="P627" s="17" t="str">
        <f aca="false">IF($B$10=0,"",IFERROR(IF($B$4&gt;0,IF($M627="",1/0,$M627*$B$4),0)+IF($B$5&gt;0,IF($N627="",1/0,$N627*$B$5),0)+IF($B$6&gt;0,IF($O627="",1/0,$O627*$B$6),0),""))</f>
        <v/>
      </c>
      <c r="Q627" s="17" t="s">
        <v>44</v>
      </c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6"/>
    </row>
    <row r="628" s="22" customFormat="true" ht="28.5" hidden="false" customHeight="true" outlineLevel="0" collapsed="false">
      <c r="A628" s="16" t="str">
        <f aca="false">IF($T628="","",1+COUNTIF($W$15:$W$728,"&lt;"&amp;W628))</f>
        <v/>
      </c>
      <c r="B628" s="16" t="s">
        <v>14</v>
      </c>
      <c r="C628" s="16" t="s">
        <v>1866</v>
      </c>
      <c r="D628" s="16" t="s">
        <v>141</v>
      </c>
      <c r="E628" s="16" t="s">
        <v>58</v>
      </c>
      <c r="F628" s="16" t="s">
        <v>1867</v>
      </c>
      <c r="G628" s="16" t="s">
        <v>1868</v>
      </c>
      <c r="H628" s="17" t="n">
        <v>1859</v>
      </c>
      <c r="I628" s="17"/>
      <c r="J628" s="17"/>
      <c r="K628" s="17" t="n">
        <v>1979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1859</v>
      </c>
      <c r="N628" s="17" t="str">
        <f aca="false">IF($I628="","",$I628+$L628)</f>
        <v/>
      </c>
      <c r="O628" s="17" t="n">
        <f aca="false">IF($K628="","",$K628+$L628)</f>
        <v>1979</v>
      </c>
      <c r="P628" s="17" t="str">
        <f aca="false">IF($B$10=0,"",IFERROR(IF($B$4&gt;0,IF($M628="",1/0,$M628*$B$4),0)+IF($B$5&gt;0,IF($N628="",1/0,$N628*$B$5),0)+IF($B$6&gt;0,IF($O628="",1/0,$O628*$B$6),0),""))</f>
        <v/>
      </c>
      <c r="Q628" s="17" t="s">
        <v>44</v>
      </c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6"/>
    </row>
    <row r="629" s="22" customFormat="true" ht="28.5" hidden="false" customHeight="true" outlineLevel="0" collapsed="false">
      <c r="A629" s="16" t="str">
        <f aca="false">IF($T629="","",1+COUNTIF($W$15:$W$728,"&lt;"&amp;W629))</f>
        <v/>
      </c>
      <c r="B629" s="16" t="s">
        <v>10</v>
      </c>
      <c r="C629" s="16" t="s">
        <v>1869</v>
      </c>
      <c r="D629" s="16" t="s">
        <v>141</v>
      </c>
      <c r="E629" s="16" t="s">
        <v>58</v>
      </c>
      <c r="F629" s="16" t="s">
        <v>1870</v>
      </c>
      <c r="G629" s="16" t="s">
        <v>1871</v>
      </c>
      <c r="H629" s="17" t="n">
        <v>1929</v>
      </c>
      <c r="I629" s="17"/>
      <c r="J629" s="17"/>
      <c r="K629" s="17" t="n">
        <v>1929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1929</v>
      </c>
      <c r="N629" s="17" t="str">
        <f aca="false">IF($I629="","",$I629+$L629)</f>
        <v/>
      </c>
      <c r="O629" s="17" t="n">
        <f aca="false">IF($K629="","",$K629+$L629)</f>
        <v>1929</v>
      </c>
      <c r="P629" s="17" t="str">
        <f aca="false">IF($B$10=0,"",IFERROR(IF($B$4&gt;0,IF($M629="",1/0,$M629*$B$4),0)+IF($B$5&gt;0,IF($N629="",1/0,$N629*$B$5),0)+IF($B$6&gt;0,IF($O629="",1/0,$O629*$B$6),0),""))</f>
        <v/>
      </c>
      <c r="Q629" s="17" t="s">
        <v>44</v>
      </c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6"/>
    </row>
    <row r="630" s="22" customFormat="true" ht="28.5" hidden="false" customHeight="true" outlineLevel="0" collapsed="false">
      <c r="A630" s="16" t="str">
        <f aca="false">IF($T630="","",1+COUNTIF($W$15:$W$728,"&lt;"&amp;W630))</f>
        <v/>
      </c>
      <c r="B630" s="16" t="s">
        <v>12</v>
      </c>
      <c r="C630" s="16" t="s">
        <v>1872</v>
      </c>
      <c r="D630" s="20" t="s">
        <v>141</v>
      </c>
      <c r="E630" s="16" t="s">
        <v>44</v>
      </c>
      <c r="F630" s="16" t="s">
        <v>1873</v>
      </c>
      <c r="G630" s="16" t="s">
        <v>1874</v>
      </c>
      <c r="H630" s="17" t="n">
        <v>1959</v>
      </c>
      <c r="I630" s="17"/>
      <c r="J630" s="17"/>
      <c r="K630" s="17" t="n">
        <v>1998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1959</v>
      </c>
      <c r="N630" s="17" t="str">
        <f aca="false">IF($I630="","",$I630+$L630)</f>
        <v/>
      </c>
      <c r="O630" s="17" t="n">
        <f aca="false">IF($K630="","",$K630+$L630)</f>
        <v>1998</v>
      </c>
      <c r="P630" s="17" t="str">
        <f aca="false">IF($B$10=0,"",IFERROR(IF($B$4&gt;0,IF($M630="",1/0,$M630*$B$4),0)+IF($B$5&gt;0,IF($N630="",1/0,$N630*$B$5),0)+IF($B$6&gt;0,IF($O630="",1/0,$O630*$B$6),0),""))</f>
        <v/>
      </c>
      <c r="Q630" s="17" t="s">
        <v>44</v>
      </c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C630" s="6"/>
    </row>
    <row r="631" s="22" customFormat="true" ht="28.5" hidden="false" customHeight="true" outlineLevel="0" collapsed="false">
      <c r="A631" s="16" t="str">
        <f aca="false">IF($T631="","",1+COUNTIF($W$15:$W$728,"&lt;"&amp;W631))</f>
        <v/>
      </c>
      <c r="B631" s="16" t="s">
        <v>10</v>
      </c>
      <c r="C631" s="16" t="s">
        <v>1875</v>
      </c>
      <c r="D631" s="16" t="s">
        <v>48</v>
      </c>
      <c r="E631" s="16" t="s">
        <v>44</v>
      </c>
      <c r="F631" s="16" t="s">
        <v>1876</v>
      </c>
      <c r="G631" s="16" t="s">
        <v>1877</v>
      </c>
      <c r="H631" s="17" t="n">
        <v>1999</v>
      </c>
      <c r="I631" s="17"/>
      <c r="J631" s="17"/>
      <c r="K631" s="17" t="n">
        <v>1999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1999</v>
      </c>
      <c r="N631" s="17" t="str">
        <f aca="false">IF($I631="","",$I631+$L631)</f>
        <v/>
      </c>
      <c r="O631" s="17" t="n">
        <f aca="false">IF($K631="","",$K631+$L631)</f>
        <v>1999</v>
      </c>
      <c r="P631" s="17" t="str">
        <f aca="false">IF($B$10=0,"",IFERROR(IF($B$4&gt;0,IF($M631="",1/0,$M631*$B$4),0)+IF($B$5&gt;0,IF($N631="",1/0,$N631*$B$5),0)+IF($B$6&gt;0,IF($O631="",1/0,$O631*$B$6),0),""))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C631" s="6"/>
    </row>
    <row r="632" s="22" customFormat="true" ht="28.5" hidden="false" customHeight="true" outlineLevel="0" collapsed="false">
      <c r="A632" s="16" t="str">
        <f aca="false">IF($T632="","",1+COUNTIF($W$15:$W$728,"&lt;"&amp;W632))</f>
        <v/>
      </c>
      <c r="B632" s="16" t="s">
        <v>10</v>
      </c>
      <c r="C632" s="16" t="s">
        <v>1878</v>
      </c>
      <c r="D632" s="16" t="s">
        <v>48</v>
      </c>
      <c r="E632" s="16" t="s">
        <v>58</v>
      </c>
      <c r="F632" s="16" t="s">
        <v>1879</v>
      </c>
      <c r="G632" s="16" t="s">
        <v>1880</v>
      </c>
      <c r="H632" s="17" t="n">
        <v>1899</v>
      </c>
      <c r="I632" s="17"/>
      <c r="J632" s="17"/>
      <c r="K632" s="17" t="n">
        <v>1899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1899</v>
      </c>
      <c r="N632" s="17" t="str">
        <f aca="false">IF($I632="","",$I632+$L632)</f>
        <v/>
      </c>
      <c r="O632" s="17" t="n">
        <f aca="false">IF($K632="","",$K632+$L632)</f>
        <v>1899</v>
      </c>
      <c r="P632" s="17" t="str">
        <f aca="false">IF($B$10=0,"",IFERROR(IF($B$4&gt;0,IF($M632="",1/0,$M632*$B$4),0)+IF($B$5&gt;0,IF($N632="",1/0,$N632*$B$5),0)+IF($B$6&gt;0,IF($O632="",1/0,$O632*$B$6),0),""))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6"/>
    </row>
    <row r="633" s="22" customFormat="true" ht="28.5" hidden="false" customHeight="true" outlineLevel="0" collapsed="false">
      <c r="A633" s="16" t="str">
        <f aca="false">IF($T633="","",1+COUNTIF($W$15:$W$728,"&lt;"&amp;W633))</f>
        <v/>
      </c>
      <c r="B633" s="16" t="s">
        <v>14</v>
      </c>
      <c r="C633" s="16" t="s">
        <v>1881</v>
      </c>
      <c r="D633" s="16" t="s">
        <v>574</v>
      </c>
      <c r="E633" s="16" t="s">
        <v>58</v>
      </c>
      <c r="F633" s="16" t="s">
        <v>1882</v>
      </c>
      <c r="G633" s="16" t="s">
        <v>1883</v>
      </c>
      <c r="H633" s="17" t="n">
        <v>1809</v>
      </c>
      <c r="I633" s="17"/>
      <c r="J633" s="17"/>
      <c r="K633" s="17" t="n">
        <v>1809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1809</v>
      </c>
      <c r="N633" s="17" t="str">
        <f aca="false">IF($I633="","",$I633+$L633)</f>
        <v/>
      </c>
      <c r="O633" s="17" t="n">
        <f aca="false">IF($K633="","",$K633+$L633)</f>
        <v>1809</v>
      </c>
      <c r="P633" s="17" t="str">
        <f aca="false">IF($B$10=0,"",IFERROR(IF($B$4&gt;0,IF($M633="",1/0,$M633*$B$4),0)+IF($B$5&gt;0,IF($N633="",1/0,$N633*$B$5),0)+IF($B$6&gt;0,IF($O633="",1/0,$O633*$B$6),0),""))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6"/>
    </row>
    <row r="634" s="22" customFormat="true" ht="28.5" hidden="false" customHeight="true" outlineLevel="0" collapsed="false">
      <c r="A634" s="16" t="str">
        <f aca="false">IF($T634="","",1+COUNTIF($W$15:$W$728,"&lt;"&amp;W634))</f>
        <v/>
      </c>
      <c r="B634" s="16" t="s">
        <v>8</v>
      </c>
      <c r="C634" s="16" t="s">
        <v>1884</v>
      </c>
      <c r="D634" s="16" t="s">
        <v>43</v>
      </c>
      <c r="E634" s="16" t="s">
        <v>58</v>
      </c>
      <c r="F634" s="16" t="s">
        <v>1885</v>
      </c>
      <c r="G634" s="16" t="s">
        <v>1886</v>
      </c>
      <c r="H634" s="17" t="n">
        <v>1910</v>
      </c>
      <c r="I634" s="17"/>
      <c r="J634" s="17"/>
      <c r="K634" s="17" t="n">
        <v>1920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1910</v>
      </c>
      <c r="N634" s="17" t="str">
        <f aca="false">IF($I634="","",$I634+$L634)</f>
        <v/>
      </c>
      <c r="O634" s="17" t="n">
        <f aca="false">IF($K634="","",$K634+$L634)</f>
        <v>1920</v>
      </c>
      <c r="P634" s="17" t="str">
        <f aca="false">IF($B$10=0,"",IFERROR(IF($B$4&gt;0,IF($M634="",1/0,$M634*$B$4),0)+IF($B$5&gt;0,IF($N634="",1/0,$N634*$B$5),0)+IF($B$6&gt;0,IF($O634="",1/0,$O634*$B$6),0),""))</f>
        <v/>
      </c>
      <c r="Q634" s="17" t="s">
        <v>44</v>
      </c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C634" s="6"/>
    </row>
    <row r="635" s="22" customFormat="true" ht="28.5" hidden="false" customHeight="true" outlineLevel="0" collapsed="false">
      <c r="A635" s="16" t="str">
        <f aca="false">IF($T635="","",1+COUNTIF($W$15:$W$728,"&lt;"&amp;W635))</f>
        <v/>
      </c>
      <c r="B635" s="16" t="s">
        <v>10</v>
      </c>
      <c r="C635" s="16" t="s">
        <v>1887</v>
      </c>
      <c r="D635" s="20" t="s">
        <v>131</v>
      </c>
      <c r="E635" s="16" t="s">
        <v>58</v>
      </c>
      <c r="F635" s="16" t="s">
        <v>1888</v>
      </c>
      <c r="G635" s="16" t="s">
        <v>1889</v>
      </c>
      <c r="H635" s="17" t="n">
        <v>1800</v>
      </c>
      <c r="I635" s="17"/>
      <c r="J635" s="17"/>
      <c r="K635" s="17" t="n">
        <v>1800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1800</v>
      </c>
      <c r="N635" s="17" t="str">
        <f aca="false">IF($I635="","",$I635+$L635)</f>
        <v/>
      </c>
      <c r="O635" s="17" t="n">
        <f aca="false">IF($K635="","",$K635+$L635)</f>
        <v>1800</v>
      </c>
      <c r="P635" s="17" t="str">
        <f aca="false">IF($B$10=0,"",IFERROR(IF($B$4&gt;0,IF($M635="",1/0,$M635*$B$4),0)+IF($B$5&gt;0,IF($N635="",1/0,$N635*$B$5),0)+IF($B$6&gt;0,IF($O635="",1/0,$O635*$B$6),0),""))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C635" s="6"/>
    </row>
    <row r="636" s="22" customFormat="true" ht="28.5" hidden="false" customHeight="true" outlineLevel="0" collapsed="false">
      <c r="A636" s="16" t="str">
        <f aca="false">IF($T636="","",1+COUNTIF($W$15:$W$728,"&lt;"&amp;W636))</f>
        <v/>
      </c>
      <c r="B636" s="16" t="s">
        <v>14</v>
      </c>
      <c r="C636" s="16" t="s">
        <v>1890</v>
      </c>
      <c r="D636" s="16" t="s">
        <v>48</v>
      </c>
      <c r="E636" s="16" t="s">
        <v>44</v>
      </c>
      <c r="F636" s="16" t="s">
        <v>1891</v>
      </c>
      <c r="G636" s="16" t="s">
        <v>1892</v>
      </c>
      <c r="H636" s="17" t="n">
        <v>1835</v>
      </c>
      <c r="I636" s="17"/>
      <c r="J636" s="17"/>
      <c r="K636" s="17" t="n">
        <v>1845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1835</v>
      </c>
      <c r="N636" s="17" t="str">
        <f aca="false">IF($I636="","",$I636+$L636)</f>
        <v/>
      </c>
      <c r="O636" s="17" t="n">
        <f aca="false">IF($K636="","",$K636+$L636)</f>
        <v>1845</v>
      </c>
      <c r="P636" s="17" t="str">
        <f aca="false">IF($B$10=0,"",IFERROR(IF($B$4&gt;0,IF($M636="",1/0,$M636*$B$4),0)+IF($B$5&gt;0,IF($N636="",1/0,$N636*$B$5),0)+IF($B$6&gt;0,IF($O636="",1/0,$O636*$B$6),0),""))</f>
        <v/>
      </c>
      <c r="Q636" s="17" t="s">
        <v>44</v>
      </c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6"/>
    </row>
    <row r="637" s="22" customFormat="true" ht="28.5" hidden="false" customHeight="true" outlineLevel="0" collapsed="false">
      <c r="A637" s="16" t="str">
        <f aca="false">IF($T637="","",1+COUNTIF($W$15:$W$728,"&lt;"&amp;W637))</f>
        <v/>
      </c>
      <c r="B637" s="16" t="s">
        <v>14</v>
      </c>
      <c r="C637" s="16" t="s">
        <v>1893</v>
      </c>
      <c r="D637" s="16" t="s">
        <v>141</v>
      </c>
      <c r="E637" s="16" t="s">
        <v>58</v>
      </c>
      <c r="F637" s="16" t="s">
        <v>1894</v>
      </c>
      <c r="G637" s="16" t="s">
        <v>1895</v>
      </c>
      <c r="H637" s="17" t="n">
        <v>1890</v>
      </c>
      <c r="I637" s="17"/>
      <c r="J637" s="17"/>
      <c r="K637" s="17" t="n">
        <v>1940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1890</v>
      </c>
      <c r="N637" s="17" t="str">
        <f aca="false">IF($I637="","",$I637+$L637)</f>
        <v/>
      </c>
      <c r="O637" s="17" t="n">
        <f aca="false">IF($K637="","",$K637+$L637)</f>
        <v>1940</v>
      </c>
      <c r="P637" s="17" t="str">
        <f aca="false">IF($B$10=0,"",IFERROR(IF($B$4&gt;0,IF($M637="",1/0,$M637*$B$4),0)+IF($B$5&gt;0,IF($N637="",1/0,$N637*$B$5),0)+IF($B$6&gt;0,IF($O637="",1/0,$O637*$B$6),0),""))</f>
        <v/>
      </c>
      <c r="Q637" s="17" t="s">
        <v>44</v>
      </c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6"/>
    </row>
    <row r="638" s="22" customFormat="true" ht="28.5" hidden="false" customHeight="true" outlineLevel="0" collapsed="false">
      <c r="A638" s="16" t="str">
        <f aca="false">IF($T638="","",1+COUNTIF($W$15:$W$728,"&lt;"&amp;W638))</f>
        <v/>
      </c>
      <c r="B638" s="16" t="s">
        <v>14</v>
      </c>
      <c r="C638" s="16" t="s">
        <v>1896</v>
      </c>
      <c r="D638" s="16" t="s">
        <v>574</v>
      </c>
      <c r="E638" s="16" t="s">
        <v>58</v>
      </c>
      <c r="F638" s="16" t="s">
        <v>1897</v>
      </c>
      <c r="G638" s="16" t="s">
        <v>1898</v>
      </c>
      <c r="H638" s="17" t="n">
        <v>1810</v>
      </c>
      <c r="I638" s="17"/>
      <c r="J638" s="17"/>
      <c r="K638" s="17" t="n">
        <v>1795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1810</v>
      </c>
      <c r="N638" s="17" t="str">
        <f aca="false">IF($I638="","",$I638+$L638)</f>
        <v/>
      </c>
      <c r="O638" s="17" t="n">
        <f aca="false">IF($K638="","",$K638+$L638)</f>
        <v>1795</v>
      </c>
      <c r="P638" s="17" t="str">
        <f aca="false">IF($B$10=0,"",IFERROR(IF($B$4&gt;0,IF($M638="",1/0,$M638*$B$4),0)+IF($B$5&gt;0,IF($N638="",1/0,$N638*$B$5),0)+IF($B$6&gt;0,IF($O638="",1/0,$O638*$B$6),0),""))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6"/>
    </row>
    <row r="639" s="22" customFormat="true" ht="28.5" hidden="false" customHeight="true" outlineLevel="0" collapsed="false">
      <c r="A639" s="16" t="str">
        <f aca="false">IF($T639="","",1+COUNTIF($W$15:$W$728,"&lt;"&amp;W639))</f>
        <v/>
      </c>
      <c r="B639" s="16" t="s">
        <v>14</v>
      </c>
      <c r="C639" s="16" t="s">
        <v>1899</v>
      </c>
      <c r="D639" s="16" t="s">
        <v>43</v>
      </c>
      <c r="E639" s="16" t="s">
        <v>58</v>
      </c>
      <c r="F639" s="16" t="s">
        <v>1900</v>
      </c>
      <c r="G639" s="16" t="s">
        <v>1901</v>
      </c>
      <c r="H639" s="17" t="n">
        <v>1810</v>
      </c>
      <c r="I639" s="17"/>
      <c r="J639" s="17"/>
      <c r="K639" s="17" t="n">
        <v>1800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1810</v>
      </c>
      <c r="N639" s="17" t="str">
        <f aca="false">IF($I639="","",$I639+$L639)</f>
        <v/>
      </c>
      <c r="O639" s="17" t="n">
        <f aca="false">IF($K639="","",$K639+$L639)</f>
        <v>1800</v>
      </c>
      <c r="P639" s="17" t="str">
        <f aca="false">IF($B$10=0,"",IFERROR(IF($B$4&gt;0,IF($M639="",1/0,$M639*$B$4),0)+IF($B$5&gt;0,IF($N639="",1/0,$N639*$B$5),0)+IF($B$6&gt;0,IF($O639="",1/0,$O639*$B$6),0),""))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639" s="2"/>
      <c r="XFC639" s="6"/>
    </row>
    <row r="640" s="22" customFormat="true" ht="28.5" hidden="false" customHeight="true" outlineLevel="0" collapsed="false">
      <c r="A640" s="16" t="str">
        <f aca="false">IF($T640="","",1+COUNTIF($W$15:$W$728,"&lt;"&amp;W640))</f>
        <v/>
      </c>
      <c r="B640" s="16" t="s">
        <v>6</v>
      </c>
      <c r="C640" s="16" t="s">
        <v>1902</v>
      </c>
      <c r="D640" s="16" t="s">
        <v>141</v>
      </c>
      <c r="E640" s="16" t="s">
        <v>44</v>
      </c>
      <c r="F640" s="16" t="s">
        <v>1903</v>
      </c>
      <c r="G640" s="16" t="s">
        <v>1904</v>
      </c>
      <c r="H640" s="17" t="n">
        <v>1899</v>
      </c>
      <c r="I640" s="17"/>
      <c r="J640" s="17"/>
      <c r="K640" s="17" t="n">
        <v>1899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1899</v>
      </c>
      <c r="N640" s="17" t="str">
        <f aca="false">IF($I640="","",$I640+$L640)</f>
        <v/>
      </c>
      <c r="O640" s="17" t="n">
        <f aca="false">IF($K640="","",$K640+$L640)</f>
        <v>1899</v>
      </c>
      <c r="P640" s="17" t="str">
        <f aca="false">IF($B$10=0,"",IFERROR(IF($B$4&gt;0,IF($M640="",1/0,$M640*$B$4),0)+IF($B$5&gt;0,IF($N640="",1/0,$N640*$B$5),0)+IF($B$6&gt;0,IF($O640="",1/0,$O640*$B$6),0),""))</f>
        <v/>
      </c>
      <c r="Q640" s="17" t="s">
        <v>44</v>
      </c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640" s="2"/>
      <c r="XFC640" s="6"/>
    </row>
    <row r="641" s="22" customFormat="true" ht="28.5" hidden="false" customHeight="true" outlineLevel="0" collapsed="false">
      <c r="A641" s="16" t="str">
        <f aca="false">IF($T641="","",1+COUNTIF($W$15:$W$728,"&lt;"&amp;W641))</f>
        <v/>
      </c>
      <c r="B641" s="16" t="s">
        <v>6</v>
      </c>
      <c r="C641" s="16" t="s">
        <v>1905</v>
      </c>
      <c r="D641" s="16" t="s">
        <v>48</v>
      </c>
      <c r="E641" s="16" t="s">
        <v>58</v>
      </c>
      <c r="F641" s="16" t="s">
        <v>1906</v>
      </c>
      <c r="G641" s="16" t="s">
        <v>1907</v>
      </c>
      <c r="H641" s="17" t="n">
        <v>1878</v>
      </c>
      <c r="I641" s="17"/>
      <c r="J641" s="17"/>
      <c r="K641" s="17" t="n">
        <v>1898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1878</v>
      </c>
      <c r="N641" s="17" t="str">
        <f aca="false">IF($I641="","",$I641+$L641)</f>
        <v/>
      </c>
      <c r="O641" s="17" t="n">
        <f aca="false">IF($K641="","",$K641+$L641)</f>
        <v>1898</v>
      </c>
      <c r="P641" s="17" t="str">
        <f aca="false">IF($B$10=0,"",IFERROR(IF($B$4&gt;0,IF($M641="",1/0,$M641*$B$4),0)+IF($B$5&gt;0,IF($N641="",1/0,$N641*$B$5),0)+IF($B$6&gt;0,IF($O641="",1/0,$O641*$B$6),0),""))</f>
        <v/>
      </c>
      <c r="Q641" s="17" t="s">
        <v>44</v>
      </c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C641" s="6"/>
    </row>
    <row r="642" s="22" customFormat="true" ht="28.5" hidden="false" customHeight="true" outlineLevel="0" collapsed="false">
      <c r="A642" s="16" t="str">
        <f aca="false">IF($T642="","",1+COUNTIF($W$15:$W$728,"&lt;"&amp;W642))</f>
        <v/>
      </c>
      <c r="B642" s="16" t="s">
        <v>14</v>
      </c>
      <c r="C642" s="16" t="s">
        <v>1908</v>
      </c>
      <c r="D642" s="16" t="s">
        <v>43</v>
      </c>
      <c r="E642" s="16" t="s">
        <v>44</v>
      </c>
      <c r="F642" s="16" t="s">
        <v>1909</v>
      </c>
      <c r="G642" s="16" t="s">
        <v>1910</v>
      </c>
      <c r="H642" s="17" t="n">
        <v>1860</v>
      </c>
      <c r="I642" s="17"/>
      <c r="J642" s="17"/>
      <c r="K642" s="17" t="n">
        <v>1870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1860</v>
      </c>
      <c r="N642" s="17" t="str">
        <f aca="false">IF($I642="","",$I642+$L642)</f>
        <v/>
      </c>
      <c r="O642" s="17" t="n">
        <f aca="false">IF($K642="","",$K642+$L642)</f>
        <v>1870</v>
      </c>
      <c r="P642" s="17" t="str">
        <f aca="false">IF($B$10=0,"",IFERROR(IF($B$4&gt;0,IF($M642="",1/0,$M642*$B$4),0)+IF($B$5&gt;0,IF($N642="",1/0,$N642*$B$5),0)+IF($B$6&gt;0,IF($O642="",1/0,$O642*$B$6),0),""))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C642" s="6"/>
    </row>
    <row r="643" s="22" customFormat="true" ht="28.5" hidden="false" customHeight="true" outlineLevel="0" collapsed="false">
      <c r="A643" s="16" t="str">
        <f aca="false">IF($T643="","",1+COUNTIF($W$15:$W$728,"&lt;"&amp;W643))</f>
        <v/>
      </c>
      <c r="B643" s="16" t="s">
        <v>8</v>
      </c>
      <c r="C643" s="16" t="s">
        <v>1799</v>
      </c>
      <c r="D643" s="16" t="s">
        <v>141</v>
      </c>
      <c r="E643" s="16" t="s">
        <v>58</v>
      </c>
      <c r="F643" s="16" t="s">
        <v>1911</v>
      </c>
      <c r="G643" s="16" t="s">
        <v>1912</v>
      </c>
      <c r="H643" s="17" t="n">
        <v>1890</v>
      </c>
      <c r="I643" s="17"/>
      <c r="J643" s="17"/>
      <c r="K643" s="17" t="n">
        <v>1890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1890</v>
      </c>
      <c r="N643" s="17" t="str">
        <f aca="false">IF($I643="","",$I643+$L643)</f>
        <v/>
      </c>
      <c r="O643" s="17" t="n">
        <f aca="false">IF($K643="","",$K643+$L643)</f>
        <v>1890</v>
      </c>
      <c r="P643" s="17" t="str">
        <f aca="false">IF($B$10=0,"",IFERROR(IF($B$4&gt;0,IF($M643="",1/0,$M643*$B$4),0)+IF($B$5&gt;0,IF($N643="",1/0,$N643*$B$5),0)+IF($B$6&gt;0,IF($O643="",1/0,$O643*$B$6),0),""))</f>
        <v/>
      </c>
      <c r="Q643" s="17" t="s">
        <v>44</v>
      </c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6"/>
    </row>
    <row r="644" s="22" customFormat="true" ht="28.5" hidden="false" customHeight="true" outlineLevel="0" collapsed="false">
      <c r="A644" s="16" t="str">
        <f aca="false">IF($T644="","",1+COUNTIF($W$15:$W$728,"&lt;"&amp;W644))</f>
        <v/>
      </c>
      <c r="B644" s="16" t="s">
        <v>6</v>
      </c>
      <c r="C644" s="16" t="s">
        <v>1913</v>
      </c>
      <c r="D644" s="20" t="s">
        <v>131</v>
      </c>
      <c r="E644" s="16" t="s">
        <v>44</v>
      </c>
      <c r="F644" s="16" t="s">
        <v>1914</v>
      </c>
      <c r="G644" s="16" t="s">
        <v>1915</v>
      </c>
      <c r="H644" s="17" t="n">
        <v>1945</v>
      </c>
      <c r="I644" s="17"/>
      <c r="J644" s="17"/>
      <c r="K644" s="17" t="n">
        <v>2045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1945</v>
      </c>
      <c r="N644" s="17" t="str">
        <f aca="false">IF($I644="","",$I644+$L644)</f>
        <v/>
      </c>
      <c r="O644" s="17" t="n">
        <f aca="false">IF($K644="","",$K644+$L644)</f>
        <v>2045</v>
      </c>
      <c r="P644" s="17" t="str">
        <f aca="false">IF($B$10=0,"",IFERROR(IF($B$4&gt;0,IF($M644="",1/0,$M644*$B$4),0)+IF($B$5&gt;0,IF($N644="",1/0,$N644*$B$5),0)+IF($B$6&gt;0,IF($O644="",1/0,$O644*$B$6),0),""))</f>
        <v/>
      </c>
      <c r="Q644" s="17" t="s">
        <v>44</v>
      </c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6"/>
    </row>
    <row r="645" s="22" customFormat="true" ht="28.5" hidden="false" customHeight="true" outlineLevel="0" collapsed="false">
      <c r="A645" s="16" t="str">
        <f aca="false">IF($T645="","",1+COUNTIF($W$15:$W$728,"&lt;"&amp;W645))</f>
        <v/>
      </c>
      <c r="B645" s="16" t="s">
        <v>6</v>
      </c>
      <c r="C645" s="16" t="s">
        <v>1916</v>
      </c>
      <c r="D645" s="16" t="s">
        <v>141</v>
      </c>
      <c r="E645" s="16" t="s">
        <v>58</v>
      </c>
      <c r="F645" s="16" t="s">
        <v>1917</v>
      </c>
      <c r="G645" s="16" t="s">
        <v>1918</v>
      </c>
      <c r="H645" s="17" t="n">
        <v>1925</v>
      </c>
      <c r="I645" s="17"/>
      <c r="J645" s="17"/>
      <c r="K645" s="17" t="n">
        <v>1945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1925</v>
      </c>
      <c r="N645" s="17" t="str">
        <f aca="false">IF($I645="","",$I645+$L645)</f>
        <v/>
      </c>
      <c r="O645" s="17" t="n">
        <f aca="false">IF($K645="","",$K645+$L645)</f>
        <v>1945</v>
      </c>
      <c r="P645" s="17" t="str">
        <f aca="false">IF($B$10=0,"",IFERROR(IF($B$4&gt;0,IF($M645="",1/0,$M645*$B$4),0)+IF($B$5&gt;0,IF($N645="",1/0,$N645*$B$5),0)+IF($B$6&gt;0,IF($O645="",1/0,$O645*$B$6),0),""))</f>
        <v/>
      </c>
      <c r="Q645" s="17" t="s">
        <v>44</v>
      </c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6"/>
    </row>
    <row r="646" s="22" customFormat="true" ht="28.5" hidden="false" customHeight="true" outlineLevel="0" collapsed="false">
      <c r="A646" s="16" t="str">
        <f aca="false">IF($T646="","",1+COUNTIF($W$15:$W$728,"&lt;"&amp;W646))</f>
        <v/>
      </c>
      <c r="B646" s="16" t="s">
        <v>6</v>
      </c>
      <c r="C646" s="16" t="s">
        <v>1919</v>
      </c>
      <c r="D646" s="16" t="s">
        <v>141</v>
      </c>
      <c r="E646" s="16" t="s">
        <v>58</v>
      </c>
      <c r="F646" s="16" t="s">
        <v>1920</v>
      </c>
      <c r="G646" s="16" t="s">
        <v>1921</v>
      </c>
      <c r="H646" s="17" t="n">
        <v>1925</v>
      </c>
      <c r="I646" s="17"/>
      <c r="J646" s="17"/>
      <c r="K646" s="17" t="n">
        <v>1945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1925</v>
      </c>
      <c r="N646" s="17" t="str">
        <f aca="false">IF($I646="","",$I646+$L646)</f>
        <v/>
      </c>
      <c r="O646" s="17" t="n">
        <f aca="false">IF($K646="","",$K646+$L646)</f>
        <v>1945</v>
      </c>
      <c r="P646" s="17" t="str">
        <f aca="false">IF($B$10=0,"",IFERROR(IF($B$4&gt;0,IF($M646="",1/0,$M646*$B$4),0)+IF($B$5&gt;0,IF($N646="",1/0,$N646*$B$5),0)+IF($B$6&gt;0,IF($O646="",1/0,$O646*$B$6),0),""))</f>
        <v/>
      </c>
      <c r="Q646" s="17" t="s">
        <v>44</v>
      </c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C646" s="6"/>
    </row>
    <row r="647" s="22" customFormat="true" ht="28.5" hidden="false" customHeight="true" outlineLevel="0" collapsed="false">
      <c r="A647" s="16" t="str">
        <f aca="false">IF($T647="","",1+COUNTIF($W$15:$W$728,"&lt;"&amp;W647))</f>
        <v/>
      </c>
      <c r="B647" s="16" t="s">
        <v>12</v>
      </c>
      <c r="C647" s="16" t="s">
        <v>1922</v>
      </c>
      <c r="D647" s="20" t="s">
        <v>141</v>
      </c>
      <c r="E647" s="16" t="s">
        <v>58</v>
      </c>
      <c r="F647" s="16" t="s">
        <v>1923</v>
      </c>
      <c r="G647" s="16" t="s">
        <v>1924</v>
      </c>
      <c r="H647" s="17" t="n">
        <v>2037</v>
      </c>
      <c r="I647" s="17"/>
      <c r="J647" s="17"/>
      <c r="K647" s="17" t="n">
        <v>2067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2037</v>
      </c>
      <c r="N647" s="17" t="str">
        <f aca="false">IF($I647="","",$I647+$L647)</f>
        <v/>
      </c>
      <c r="O647" s="17" t="n">
        <f aca="false">IF($K647="","",$K647+$L647)</f>
        <v>2067</v>
      </c>
      <c r="P647" s="17" t="str">
        <f aca="false">IF($B$10=0,"",IFERROR(IF($B$4&gt;0,IF($M647="",1/0,$M647*$B$4),0)+IF($B$5&gt;0,IF($N647="",1/0,$N647*$B$5),0)+IF($B$6&gt;0,IF($O647="",1/0,$O647*$B$6),0),""))</f>
        <v/>
      </c>
      <c r="Q647" s="17" t="s">
        <v>44</v>
      </c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6"/>
    </row>
    <row r="648" s="22" customFormat="true" ht="28.5" hidden="false" customHeight="true" outlineLevel="0" collapsed="false">
      <c r="A648" s="16" t="str">
        <f aca="false">IF($T648="","",1+COUNTIF($W$15:$W$728,"&lt;"&amp;W648))</f>
        <v/>
      </c>
      <c r="B648" s="16" t="s">
        <v>12</v>
      </c>
      <c r="C648" s="16" t="s">
        <v>1925</v>
      </c>
      <c r="D648" s="20" t="s">
        <v>208</v>
      </c>
      <c r="E648" s="16" t="s">
        <v>44</v>
      </c>
      <c r="F648" s="16" t="s">
        <v>1926</v>
      </c>
      <c r="G648" s="16" t="s">
        <v>1927</v>
      </c>
      <c r="H648" s="17" t="n">
        <v>1898</v>
      </c>
      <c r="I648" s="17"/>
      <c r="J648" s="17"/>
      <c r="K648" s="17" t="n">
        <v>1938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1898</v>
      </c>
      <c r="N648" s="17" t="str">
        <f aca="false">IF($I648="","",$I648+$L648)</f>
        <v/>
      </c>
      <c r="O648" s="17" t="n">
        <f aca="false">IF($K648="","",$K648+$L648)</f>
        <v>1938</v>
      </c>
      <c r="P648" s="17" t="str">
        <f aca="false">IF($B$10=0,"",IFERROR(IF($B$4&gt;0,IF($M648="",1/0,$M648*$B$4),0)+IF($B$5&gt;0,IF($N648="",1/0,$N648*$B$5),0)+IF($B$6&gt;0,IF($O648="",1/0,$O648*$B$6),0),""))</f>
        <v/>
      </c>
      <c r="Q648" s="17" t="s">
        <v>44</v>
      </c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C648" s="6"/>
    </row>
    <row r="649" s="22" customFormat="true" ht="28.5" hidden="false" customHeight="true" outlineLevel="0" collapsed="false">
      <c r="A649" s="16" t="str">
        <f aca="false">IF($T649="","",1+COUNTIF($W$15:$W$728,"&lt;"&amp;W649))</f>
        <v/>
      </c>
      <c r="B649" s="16" t="s">
        <v>12</v>
      </c>
      <c r="C649" s="16" t="s">
        <v>1928</v>
      </c>
      <c r="D649" s="20" t="s">
        <v>303</v>
      </c>
      <c r="E649" s="16" t="s">
        <v>58</v>
      </c>
      <c r="F649" s="16" t="s">
        <v>1929</v>
      </c>
      <c r="G649" s="16" t="s">
        <v>1930</v>
      </c>
      <c r="H649" s="17" t="n">
        <v>1958</v>
      </c>
      <c r="I649" s="17"/>
      <c r="J649" s="17"/>
      <c r="K649" s="17" t="n">
        <v>1998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1958</v>
      </c>
      <c r="N649" s="17" t="str">
        <f aca="false">IF($I649="","",$I649+$L649)</f>
        <v/>
      </c>
      <c r="O649" s="17" t="n">
        <f aca="false">IF($K649="","",$K649+$L649)</f>
        <v>1998</v>
      </c>
      <c r="P649" s="17" t="str">
        <f aca="false">IF($B$10=0,"",IFERROR(IF($B$4&gt;0,IF($M649="",1/0,$M649*$B$4),0)+IF($B$5&gt;0,IF($N649="",1/0,$N649*$B$5),0)+IF($B$6&gt;0,IF($O649="",1/0,$O649*$B$6),0),""))</f>
        <v/>
      </c>
      <c r="Q649" s="17" t="s">
        <v>44</v>
      </c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6"/>
    </row>
    <row r="650" s="22" customFormat="true" ht="28.5" hidden="false" customHeight="true" outlineLevel="0" collapsed="false">
      <c r="A650" s="16" t="str">
        <f aca="false">IF($T650="","",1+COUNTIF($W$15:$W$728,"&lt;"&amp;W650))</f>
        <v/>
      </c>
      <c r="B650" s="16" t="s">
        <v>10</v>
      </c>
      <c r="C650" s="16" t="s">
        <v>1931</v>
      </c>
      <c r="D650" s="16" t="s">
        <v>141</v>
      </c>
      <c r="E650" s="16" t="s">
        <v>58</v>
      </c>
      <c r="F650" s="16" t="s">
        <v>1932</v>
      </c>
      <c r="G650" s="16" t="s">
        <v>1933</v>
      </c>
      <c r="H650" s="17" t="n">
        <v>1858</v>
      </c>
      <c r="I650" s="17"/>
      <c r="J650" s="17"/>
      <c r="K650" s="17" t="n">
        <v>1838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1858</v>
      </c>
      <c r="N650" s="17" t="str">
        <f aca="false">IF($I650="","",$I650+$L650)</f>
        <v/>
      </c>
      <c r="O650" s="17" t="n">
        <f aca="false">IF($K650="","",$K650+$L650)</f>
        <v>1838</v>
      </c>
      <c r="P650" s="17" t="str">
        <f aca="false">IF($B$10=0,"",IFERROR(IF($B$4&gt;0,IF($M650="",1/0,$M650*$B$4),0)+IF($B$5&gt;0,IF($N650="",1/0,$N650*$B$5),0)+IF($B$6&gt;0,IF($O650="",1/0,$O650*$B$6),0),""))</f>
        <v/>
      </c>
      <c r="Q650" s="17" t="s">
        <v>44</v>
      </c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6"/>
    </row>
    <row r="651" s="22" customFormat="true" ht="28.5" hidden="false" customHeight="true" outlineLevel="0" collapsed="false">
      <c r="A651" s="16" t="str">
        <f aca="false">IF($T651="","",1+COUNTIF($W$15:$W$728,"&lt;"&amp;W651))</f>
        <v/>
      </c>
      <c r="B651" s="16" t="s">
        <v>10</v>
      </c>
      <c r="C651" s="16" t="s">
        <v>1934</v>
      </c>
      <c r="D651" s="16" t="s">
        <v>43</v>
      </c>
      <c r="E651" s="16" t="s">
        <v>44</v>
      </c>
      <c r="F651" s="16" t="s">
        <v>1935</v>
      </c>
      <c r="G651" s="16" t="s">
        <v>1936</v>
      </c>
      <c r="H651" s="17" t="n">
        <v>1958</v>
      </c>
      <c r="I651" s="17"/>
      <c r="J651" s="17"/>
      <c r="K651" s="17" t="n">
        <v>1998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1958</v>
      </c>
      <c r="N651" s="17" t="str">
        <f aca="false">IF($I651="","",$I651+$L651)</f>
        <v/>
      </c>
      <c r="O651" s="17" t="n">
        <f aca="false">IF($K651="","",$K651+$L651)</f>
        <v>1998</v>
      </c>
      <c r="P651" s="17" t="str">
        <f aca="false">IF($B$10=0,"",IFERROR(IF($B$4&gt;0,IF($M651="",1/0,$M651*$B$4),0)+IF($B$5&gt;0,IF($N651="",1/0,$N651*$B$5),0)+IF($B$6&gt;0,IF($O651="",1/0,$O651*$B$6),0),""))</f>
        <v/>
      </c>
      <c r="Q651" s="17" t="s">
        <v>44</v>
      </c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6"/>
    </row>
    <row r="652" s="22" customFormat="true" ht="28.5" hidden="false" customHeight="true" outlineLevel="0" collapsed="false">
      <c r="A652" s="16" t="str">
        <f aca="false">IF($T652="","",1+COUNTIF($W$15:$W$728,"&lt;"&amp;W652))</f>
        <v/>
      </c>
      <c r="B652" s="16" t="s">
        <v>12</v>
      </c>
      <c r="C652" s="16" t="s">
        <v>1937</v>
      </c>
      <c r="D652" s="20" t="s">
        <v>141</v>
      </c>
      <c r="E652" s="16" t="s">
        <v>44</v>
      </c>
      <c r="F652" s="16" t="s">
        <v>1938</v>
      </c>
      <c r="G652" s="16" t="s">
        <v>1939</v>
      </c>
      <c r="H652" s="17" t="n">
        <v>1979</v>
      </c>
      <c r="I652" s="17"/>
      <c r="J652" s="17"/>
      <c r="K652" s="17" t="n">
        <v>1998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1979</v>
      </c>
      <c r="N652" s="17" t="str">
        <f aca="false">IF($I652="","",$I652+$L652)</f>
        <v/>
      </c>
      <c r="O652" s="17" t="n">
        <f aca="false">IF($K652="","",$K652+$L652)</f>
        <v>1998</v>
      </c>
      <c r="P652" s="17" t="str">
        <f aca="false">IF($B$10=0,"",IFERROR(IF($B$4&gt;0,IF($M652="",1/0,$M652*$B$4),0)+IF($B$5&gt;0,IF($N652="",1/0,$N652*$B$5),0)+IF($B$6&gt;0,IF($O652="",1/0,$O652*$B$6),0),""))</f>
        <v/>
      </c>
      <c r="Q652" s="17" t="s">
        <v>44</v>
      </c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6"/>
    </row>
    <row r="653" s="22" customFormat="true" ht="28.5" hidden="false" customHeight="true" outlineLevel="0" collapsed="false">
      <c r="A653" s="16" t="str">
        <f aca="false">IF($T653="","",1+COUNTIF($W$15:$W$728,"&lt;"&amp;W653))</f>
        <v/>
      </c>
      <c r="B653" s="16" t="s">
        <v>10</v>
      </c>
      <c r="C653" s="16" t="s">
        <v>1940</v>
      </c>
      <c r="D653" s="16" t="s">
        <v>43</v>
      </c>
      <c r="E653" s="16" t="s">
        <v>44</v>
      </c>
      <c r="F653" s="16" t="s">
        <v>1941</v>
      </c>
      <c r="G653" s="16" t="s">
        <v>1942</v>
      </c>
      <c r="H653" s="17" t="n">
        <v>1849</v>
      </c>
      <c r="I653" s="17"/>
      <c r="J653" s="17"/>
      <c r="K653" s="17" t="n">
        <v>1859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1849</v>
      </c>
      <c r="N653" s="17" t="str">
        <f aca="false">IF($I653="","",$I653+$L653)</f>
        <v/>
      </c>
      <c r="O653" s="17" t="n">
        <f aca="false">IF($K653="","",$K653+$L653)</f>
        <v>1859</v>
      </c>
      <c r="P653" s="17" t="str">
        <f aca="false">IF($B$10=0,"",IFERROR(IF($B$4&gt;0,IF($M653="",1/0,$M653*$B$4),0)+IF($B$5&gt;0,IF($N653="",1/0,$N653*$B$5),0)+IF($B$6&gt;0,IF($O653="",1/0,$O653*$B$6),0),""))</f>
        <v/>
      </c>
      <c r="Q653" s="17" t="s">
        <v>44</v>
      </c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C653" s="6"/>
    </row>
    <row r="654" s="22" customFormat="true" ht="28.5" hidden="false" customHeight="true" outlineLevel="0" collapsed="false">
      <c r="A654" s="16" t="str">
        <f aca="false">IF($T654="","",1+COUNTIF($W$15:$W$728,"&lt;"&amp;W654))</f>
        <v/>
      </c>
      <c r="B654" s="16" t="s">
        <v>8</v>
      </c>
      <c r="C654" s="16" t="s">
        <v>1943</v>
      </c>
      <c r="D654" s="16" t="s">
        <v>43</v>
      </c>
      <c r="E654" s="16" t="s">
        <v>58</v>
      </c>
      <c r="F654" s="16" t="s">
        <v>1944</v>
      </c>
      <c r="G654" s="16" t="s">
        <v>1945</v>
      </c>
      <c r="H654" s="17" t="n">
        <v>1839</v>
      </c>
      <c r="I654" s="17"/>
      <c r="J654" s="17"/>
      <c r="K654" s="17" t="n">
        <v>1839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1839</v>
      </c>
      <c r="N654" s="17" t="str">
        <f aca="false">IF($I654="","",$I654+$L654)</f>
        <v/>
      </c>
      <c r="O654" s="17" t="n">
        <f aca="false">IF($K654="","",$K654+$L654)</f>
        <v>1839</v>
      </c>
      <c r="P654" s="17" t="str">
        <f aca="false">IF($B$10=0,"",IFERROR(IF($B$4&gt;0,IF($M654="",1/0,$M654*$B$4),0)+IF($B$5&gt;0,IF($N654="",1/0,$N654*$B$5),0)+IF($B$6&gt;0,IF($O654="",1/0,$O654*$B$6),0),""))</f>
        <v/>
      </c>
      <c r="Q654" s="17" t="s">
        <v>44</v>
      </c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C654" s="6"/>
    </row>
    <row r="655" s="22" customFormat="true" ht="28.5" hidden="false" customHeight="true" outlineLevel="0" collapsed="false">
      <c r="A655" s="16" t="str">
        <f aca="false">IF($T655="","",1+COUNTIF($W$15:$W$728,"&lt;"&amp;W655))</f>
        <v/>
      </c>
      <c r="B655" s="16" t="s">
        <v>10</v>
      </c>
      <c r="C655" s="16" t="s">
        <v>1946</v>
      </c>
      <c r="D655" s="20" t="s">
        <v>131</v>
      </c>
      <c r="E655" s="16" t="s">
        <v>58</v>
      </c>
      <c r="F655" s="16" t="s">
        <v>1947</v>
      </c>
      <c r="G655" s="16" t="s">
        <v>1948</v>
      </c>
      <c r="H655" s="17" t="n">
        <v>1949</v>
      </c>
      <c r="I655" s="17"/>
      <c r="J655" s="17"/>
      <c r="K655" s="17" t="n">
        <v>1949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1949</v>
      </c>
      <c r="N655" s="17" t="str">
        <f aca="false">IF($I655="","",$I655+$L655)</f>
        <v/>
      </c>
      <c r="O655" s="17" t="n">
        <f aca="false">IF($K655="","",$K655+$L655)</f>
        <v>1949</v>
      </c>
      <c r="P655" s="17" t="str">
        <f aca="false">IF($B$10=0,"",IFERROR(IF($B$4&gt;0,IF($M655="",1/0,$M655*$B$4),0)+IF($B$5&gt;0,IF($N655="",1/0,$N655*$B$5),0)+IF($B$6&gt;0,IF($O655="",1/0,$O655*$B$6),0),""))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6"/>
    </row>
    <row r="656" s="22" customFormat="true" ht="28.5" hidden="false" customHeight="true" outlineLevel="0" collapsed="false">
      <c r="A656" s="16" t="str">
        <f aca="false">IF($T656="","",1+COUNTIF($W$15:$W$728,"&lt;"&amp;W656))</f>
        <v/>
      </c>
      <c r="B656" s="16" t="s">
        <v>10</v>
      </c>
      <c r="C656" s="16" t="s">
        <v>1949</v>
      </c>
      <c r="D656" s="16" t="s">
        <v>48</v>
      </c>
      <c r="E656" s="16" t="s">
        <v>58</v>
      </c>
      <c r="F656" s="16" t="s">
        <v>1950</v>
      </c>
      <c r="G656" s="16" t="s">
        <v>1951</v>
      </c>
      <c r="H656" s="17" t="n">
        <v>1889</v>
      </c>
      <c r="I656" s="17"/>
      <c r="J656" s="17"/>
      <c r="K656" s="17" t="n">
        <v>1869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1889</v>
      </c>
      <c r="N656" s="17" t="str">
        <f aca="false">IF($I656="","",$I656+$L656)</f>
        <v/>
      </c>
      <c r="O656" s="17" t="n">
        <f aca="false">IF($K656="","",$K656+$L656)</f>
        <v>1869</v>
      </c>
      <c r="P656" s="17" t="str">
        <f aca="false">IF($B$10=0,"",IFERROR(IF($B$4&gt;0,IF($M656="",1/0,$M656*$B$4),0)+IF($B$5&gt;0,IF($N656="",1/0,$N656*$B$5),0)+IF($B$6&gt;0,IF($O656="",1/0,$O656*$B$6),0),""))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6"/>
    </row>
    <row r="657" s="22" customFormat="true" ht="28.5" hidden="false" customHeight="true" outlineLevel="0" collapsed="false">
      <c r="A657" s="16" t="str">
        <f aca="false">IF($T657="","",1+COUNTIF($W$15:$W$728,"&lt;"&amp;W657))</f>
        <v/>
      </c>
      <c r="B657" s="16" t="s">
        <v>14</v>
      </c>
      <c r="C657" s="16" t="s">
        <v>1952</v>
      </c>
      <c r="D657" s="16" t="s">
        <v>141</v>
      </c>
      <c r="E657" s="16" t="s">
        <v>58</v>
      </c>
      <c r="F657" s="16" t="s">
        <v>1953</v>
      </c>
      <c r="G657" s="16" t="s">
        <v>1954</v>
      </c>
      <c r="H657" s="17" t="n">
        <v>1959</v>
      </c>
      <c r="I657" s="17"/>
      <c r="J657" s="17"/>
      <c r="K657" s="17" t="n">
        <v>1999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1959</v>
      </c>
      <c r="N657" s="17" t="str">
        <f aca="false">IF($I657="","",$I657+$L657)</f>
        <v/>
      </c>
      <c r="O657" s="17" t="n">
        <f aca="false">IF($K657="","",$K657+$L657)</f>
        <v>1999</v>
      </c>
      <c r="P657" s="17" t="str">
        <f aca="false">IF($B$10=0,"",IFERROR(IF($B$4&gt;0,IF($M657="",1/0,$M657*$B$4),0)+IF($B$5&gt;0,IF($N657="",1/0,$N657*$B$5),0)+IF($B$6&gt;0,IF($O657="",1/0,$O657*$B$6),0),""))</f>
        <v/>
      </c>
      <c r="Q657" s="17" t="s">
        <v>44</v>
      </c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C657" s="6"/>
    </row>
    <row r="658" s="22" customFormat="true" ht="28.5" hidden="false" customHeight="true" outlineLevel="0" collapsed="false">
      <c r="A658" s="16" t="str">
        <f aca="false">IF($T658="","",1+COUNTIF($W$15:$W$728,"&lt;"&amp;W658))</f>
        <v/>
      </c>
      <c r="B658" s="16" t="s">
        <v>10</v>
      </c>
      <c r="C658" s="16" t="s">
        <v>1955</v>
      </c>
      <c r="D658" s="20" t="s">
        <v>131</v>
      </c>
      <c r="E658" s="16" t="s">
        <v>58</v>
      </c>
      <c r="F658" s="16" t="s">
        <v>1956</v>
      </c>
      <c r="G658" s="16" t="s">
        <v>1957</v>
      </c>
      <c r="H658" s="17" t="n">
        <v>1950</v>
      </c>
      <c r="I658" s="17"/>
      <c r="J658" s="17"/>
      <c r="K658" s="17" t="n">
        <v>1959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1950</v>
      </c>
      <c r="N658" s="17" t="str">
        <f aca="false">IF($I658="","",$I658+$L658)</f>
        <v/>
      </c>
      <c r="O658" s="17" t="n">
        <f aca="false">IF($K658="","",$K658+$L658)</f>
        <v>1959</v>
      </c>
      <c r="P658" s="17" t="str">
        <f aca="false">IF($B$10=0,"",IFERROR(IF($B$4&gt;0,IF($M658="",1/0,$M658*$B$4),0)+IF($B$5&gt;0,IF($N658="",1/0,$N658*$B$5),0)+IF($B$6&gt;0,IF($O658="",1/0,$O658*$B$6),0),""))</f>
        <v/>
      </c>
      <c r="Q658" s="17" t="s">
        <v>44</v>
      </c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6"/>
    </row>
    <row r="659" s="22" customFormat="true" ht="28.5" hidden="false" customHeight="true" outlineLevel="0" collapsed="false">
      <c r="A659" s="16" t="str">
        <f aca="false">IF($T659="","",1+COUNTIF($W$15:$W$728,"&lt;"&amp;W659))</f>
        <v/>
      </c>
      <c r="B659" s="16" t="s">
        <v>12</v>
      </c>
      <c r="C659" s="16" t="s">
        <v>1958</v>
      </c>
      <c r="D659" s="20" t="s">
        <v>303</v>
      </c>
      <c r="E659" s="16" t="s">
        <v>58</v>
      </c>
      <c r="F659" s="16" t="s">
        <v>1959</v>
      </c>
      <c r="G659" s="16" t="s">
        <v>1960</v>
      </c>
      <c r="H659" s="17" t="n">
        <v>1899</v>
      </c>
      <c r="I659" s="17"/>
      <c r="J659" s="17"/>
      <c r="K659" s="17" t="n">
        <v>1939</v>
      </c>
      <c r="L659" s="17" t="n">
        <v>0</v>
      </c>
      <c r="M659" s="17" t="n">
        <f aca="false">IF($H659="","",$H659+$L659)</f>
        <v>1899</v>
      </c>
      <c r="N659" s="17" t="str">
        <f aca="false">IF($I659="","",$I659+$L659)</f>
        <v/>
      </c>
      <c r="O659" s="17" t="n">
        <f aca="false">IF($K659="","",$K659+$L659)</f>
        <v>1939</v>
      </c>
      <c r="P659" s="17" t="str">
        <f aca="false">IF($B$10=0,"",IFERROR(IF($B$4&gt;0,IF($M659="",1/0,$M659*$B$4),0)+IF($B$5&gt;0,IF($N659="",1/0,$N659*$B$5),0)+IF($B$6&gt;0,IF($O659="",1/0,$O659*$B$6),0),""))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6"/>
    </row>
    <row r="660" s="22" customFormat="true" ht="28.5" hidden="false" customHeight="true" outlineLevel="0" collapsed="false">
      <c r="A660" s="16" t="str">
        <f aca="false">IF($T660="","",1+COUNTIF($W$15:$W$728,"&lt;"&amp;W660))</f>
        <v/>
      </c>
      <c r="B660" s="16" t="s">
        <v>12</v>
      </c>
      <c r="C660" s="16" t="s">
        <v>1961</v>
      </c>
      <c r="D660" s="20" t="s">
        <v>303</v>
      </c>
      <c r="E660" s="16" t="s">
        <v>58</v>
      </c>
      <c r="F660" s="16" t="s">
        <v>1962</v>
      </c>
      <c r="G660" s="16" t="s">
        <v>1963</v>
      </c>
      <c r="H660" s="17" t="n">
        <v>1899</v>
      </c>
      <c r="I660" s="17"/>
      <c r="J660" s="17"/>
      <c r="K660" s="17" t="n">
        <v>1939</v>
      </c>
      <c r="L660" s="17" t="n">
        <v>0</v>
      </c>
      <c r="M660" s="17" t="n">
        <f aca="false">IF($H660="","",$H660+$L660)</f>
        <v>1899</v>
      </c>
      <c r="N660" s="17" t="str">
        <f aca="false">IF($I660="","",$I660+$L660)</f>
        <v/>
      </c>
      <c r="O660" s="17" t="n">
        <f aca="false">IF($K660="","",$K660+$L660)</f>
        <v>1939</v>
      </c>
      <c r="P660" s="17" t="str">
        <f aca="false">IF($B$10=0,"",IFERROR(IF($B$4&gt;0,IF($M660="",1/0,$M660*$B$4),0)+IF($B$5&gt;0,IF($N660="",1/0,$N660*$B$5),0)+IF($B$6&gt;0,IF($O660="",1/0,$O660*$B$6),0),""))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6"/>
    </row>
    <row r="661" s="22" customFormat="true" ht="28.5" hidden="false" customHeight="true" outlineLevel="0" collapsed="false">
      <c r="A661" s="16" t="str">
        <f aca="false">IF($T661="","",1+COUNTIF($W$15:$W$728,"&lt;"&amp;W661))</f>
        <v/>
      </c>
      <c r="B661" s="16" t="s">
        <v>10</v>
      </c>
      <c r="C661" s="16" t="s">
        <v>1964</v>
      </c>
      <c r="D661" s="16" t="s">
        <v>43</v>
      </c>
      <c r="E661" s="16" t="s">
        <v>58</v>
      </c>
      <c r="F661" s="16" t="s">
        <v>1965</v>
      </c>
      <c r="G661" s="16" t="s">
        <v>1966</v>
      </c>
      <c r="H661" s="17" t="n">
        <v>1899</v>
      </c>
      <c r="I661" s="17"/>
      <c r="J661" s="17"/>
      <c r="K661" s="17" t="n">
        <v>1959</v>
      </c>
      <c r="L661" s="17" t="n">
        <f aca="false">IF(AND(IFERROR(SEARCH("현대오일뱅크",$C661),0)&gt;0,IFERROR(SEARCH("직영",$C661),0)&gt;0),$B$13,0)</f>
        <v>0</v>
      </c>
      <c r="M661" s="17" t="n">
        <f aca="false">IF($H661="","",$H661+$L661)</f>
        <v>1899</v>
      </c>
      <c r="N661" s="17" t="str">
        <f aca="false">IF($I661="","",$I661+$L661)</f>
        <v/>
      </c>
      <c r="O661" s="17" t="n">
        <f aca="false">IF($K661="","",$K661+$L661)</f>
        <v>1959</v>
      </c>
      <c r="P661" s="17" t="str">
        <f aca="false">IF($B$10=0,"",IFERROR(IF($B$4&gt;0,IF($M661="",1/0,$M661*$B$4),0)+IF($B$5&gt;0,IF($N661="",1/0,$N661*$B$5),0)+IF($B$6&gt;0,IF($O661="",1/0,$O661*$B$6),0),""))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6"/>
    </row>
    <row r="662" s="22" customFormat="true" ht="28.5" hidden="false" customHeight="true" outlineLevel="0" collapsed="false">
      <c r="A662" s="16" t="str">
        <f aca="false">IF($T662="","",1+COUNTIF($W$15:$W$728,"&lt;"&amp;W662))</f>
        <v/>
      </c>
      <c r="B662" s="16" t="s">
        <v>12</v>
      </c>
      <c r="C662" s="16" t="s">
        <v>1967</v>
      </c>
      <c r="D662" s="20" t="s">
        <v>303</v>
      </c>
      <c r="E662" s="16" t="s">
        <v>58</v>
      </c>
      <c r="F662" s="16" t="s">
        <v>1968</v>
      </c>
      <c r="G662" s="16" t="s">
        <v>1969</v>
      </c>
      <c r="H662" s="17" t="n">
        <v>1839</v>
      </c>
      <c r="I662" s="17"/>
      <c r="J662" s="17"/>
      <c r="K662" s="17" t="n">
        <v>1858</v>
      </c>
      <c r="L662" s="17" t="n">
        <v>0</v>
      </c>
      <c r="M662" s="17" t="n">
        <f aca="false">IF($H662="","",$H662+$L662)</f>
        <v>1839</v>
      </c>
      <c r="N662" s="17" t="str">
        <f aca="false">IF($I662="","",$I662+$L662)</f>
        <v/>
      </c>
      <c r="O662" s="17" t="n">
        <f aca="false">IF($K662="","",$K662+$L662)</f>
        <v>1858</v>
      </c>
      <c r="P662" s="17" t="str">
        <f aca="false">IF($B$10=0,"",IFERROR(IF($B$4&gt;0,IF($M662="",1/0,$M662*$B$4),0)+IF($B$5&gt;0,IF($N662="",1/0,$N662*$B$5),0)+IF($B$6&gt;0,IF($O662="",1/0,$O662*$B$6),0),""))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C662" s="6"/>
    </row>
    <row r="663" s="22" customFormat="true" ht="28.5" hidden="false" customHeight="true" outlineLevel="0" collapsed="false">
      <c r="A663" s="16" t="str">
        <f aca="false">IF($T663="","",1+COUNTIF($W$15:$W$728,"&lt;"&amp;W663))</f>
        <v/>
      </c>
      <c r="B663" s="16" t="s">
        <v>10</v>
      </c>
      <c r="C663" s="16" t="s">
        <v>1970</v>
      </c>
      <c r="D663" s="20" t="s">
        <v>131</v>
      </c>
      <c r="E663" s="16" t="s">
        <v>58</v>
      </c>
      <c r="F663" s="16" t="s">
        <v>1971</v>
      </c>
      <c r="G663" s="16" t="s">
        <v>1972</v>
      </c>
      <c r="H663" s="17" t="n">
        <v>1859</v>
      </c>
      <c r="I663" s="17"/>
      <c r="J663" s="17"/>
      <c r="K663" s="17" t="n">
        <v>1798</v>
      </c>
      <c r="L663" s="17" t="n">
        <f aca="false">IF(AND(IFERROR(SEARCH("현대오일뱅크",$C663),0)&gt;0,IFERROR(SEARCH("직영",$C663),0)&gt;0),$B$13,0)</f>
        <v>0</v>
      </c>
      <c r="M663" s="17" t="n">
        <f aca="false">IF($H663="","",$H663+$L663)</f>
        <v>1859</v>
      </c>
      <c r="N663" s="17" t="str">
        <f aca="false">IF($I663="","",$I663+$L663)</f>
        <v/>
      </c>
      <c r="O663" s="17" t="n">
        <f aca="false">IF($K663="","",$K663+$L663)</f>
        <v>1798</v>
      </c>
      <c r="P663" s="17" t="str">
        <f aca="false">IF($B$10=0,"",IFERROR(IF($B$4&gt;0,IF($M663="",1/0,$M663*$B$4),0)+IF($B$5&gt;0,IF($N663="",1/0,$N663*$B$5),0)+IF($B$6&gt;0,IF($O663="",1/0,$O663*$B$6),0),""))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C663" s="6"/>
    </row>
    <row r="664" s="22" customFormat="true" ht="28.5" hidden="false" customHeight="true" outlineLevel="0" collapsed="false">
      <c r="A664" s="16" t="str">
        <f aca="false">IF($T664="","",1+COUNTIF($W$15:$W$728,"&lt;"&amp;W664))</f>
        <v/>
      </c>
      <c r="B664" s="16" t="s">
        <v>12</v>
      </c>
      <c r="C664" s="16" t="s">
        <v>1973</v>
      </c>
      <c r="D664" s="20" t="s">
        <v>131</v>
      </c>
      <c r="E664" s="16" t="s">
        <v>58</v>
      </c>
      <c r="F664" s="16" t="s">
        <v>1974</v>
      </c>
      <c r="G664" s="16" t="s">
        <v>1975</v>
      </c>
      <c r="H664" s="17" t="n">
        <v>1849</v>
      </c>
      <c r="I664" s="17"/>
      <c r="J664" s="17"/>
      <c r="K664" s="17" t="n">
        <v>1799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1849</v>
      </c>
      <c r="N664" s="17" t="str">
        <f aca="false">IF($I664="","",$I664+$L664)</f>
        <v/>
      </c>
      <c r="O664" s="17" t="n">
        <f aca="false">IF($K664="","",$K664+$L664)</f>
        <v>1799</v>
      </c>
      <c r="P664" s="17" t="str">
        <f aca="false">IF($B$10=0,"",IFERROR(IF($B$4&gt;0,IF($M664="",1/0,$M664*$B$4),0)+IF($B$5&gt;0,IF($N664="",1/0,$N664*$B$5),0)+IF($B$6&gt;0,IF($O664="",1/0,$O664*$B$6),0),""))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C664" s="6"/>
    </row>
    <row r="665" s="22" customFormat="true" ht="28.5" hidden="false" customHeight="true" outlineLevel="0" collapsed="false">
      <c r="A665" s="16" t="str">
        <f aca="false">IF($T665="","",1+COUNTIF($W$15:$W$728,"&lt;"&amp;W665))</f>
        <v/>
      </c>
      <c r="B665" s="16" t="s">
        <v>6</v>
      </c>
      <c r="C665" s="16" t="s">
        <v>1976</v>
      </c>
      <c r="D665" s="16" t="s">
        <v>141</v>
      </c>
      <c r="E665" s="16" t="s">
        <v>44</v>
      </c>
      <c r="F665" s="16" t="s">
        <v>1977</v>
      </c>
      <c r="G665" s="16" t="s">
        <v>1978</v>
      </c>
      <c r="H665" s="17" t="n">
        <v>2015</v>
      </c>
      <c r="I665" s="17"/>
      <c r="J665" s="17"/>
      <c r="K665" s="17" t="n">
        <v>2015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2015</v>
      </c>
      <c r="N665" s="17" t="str">
        <f aca="false">IF($I665="","",$I665+$L665)</f>
        <v/>
      </c>
      <c r="O665" s="17" t="n">
        <f aca="false">IF($K665="","",$K665+$L665)</f>
        <v>2015</v>
      </c>
      <c r="P665" s="17" t="str">
        <f aca="false">IF($B$10=0,"",IFERROR(IF($B$4&gt;0,IF($M665="",1/0,$M665*$B$4),0)+IF($B$5&gt;0,IF($N665="",1/0,$N665*$B$5),0)+IF($B$6&gt;0,IF($O665="",1/0,$O665*$B$6),0),""))</f>
        <v/>
      </c>
      <c r="Q665" s="17" t="s">
        <v>44</v>
      </c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C665" s="6"/>
    </row>
    <row r="666" s="22" customFormat="true" ht="28.5" hidden="false" customHeight="true" outlineLevel="0" collapsed="false">
      <c r="A666" s="16" t="str">
        <f aca="false">IF($T666="","",1+COUNTIF($W$15:$W$728,"&lt;"&amp;W666))</f>
        <v/>
      </c>
      <c r="B666" s="16" t="s">
        <v>12</v>
      </c>
      <c r="C666" s="16" t="s">
        <v>1979</v>
      </c>
      <c r="D666" s="20" t="s">
        <v>141</v>
      </c>
      <c r="E666" s="16" t="s">
        <v>58</v>
      </c>
      <c r="F666" s="16" t="s">
        <v>1980</v>
      </c>
      <c r="G666" s="16" t="s">
        <v>1981</v>
      </c>
      <c r="H666" s="17" t="n">
        <v>1905</v>
      </c>
      <c r="I666" s="17"/>
      <c r="J666" s="17"/>
      <c r="K666" s="17" t="n">
        <v>1975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1905</v>
      </c>
      <c r="N666" s="17" t="str">
        <f aca="false">IF($I666="","",$I666+$L666)</f>
        <v/>
      </c>
      <c r="O666" s="17" t="n">
        <f aca="false">IF($K666="","",$K666+$L666)</f>
        <v>1975</v>
      </c>
      <c r="P666" s="17" t="str">
        <f aca="false">IF($B$10=0,"",IFERROR(IF($B$4&gt;0,IF($M666="",1/0,$M666*$B$4),0)+IF($B$5&gt;0,IF($N666="",1/0,$N666*$B$5),0)+IF($B$6&gt;0,IF($O666="",1/0,$O666*$B$6),0),""))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6"/>
    </row>
    <row r="667" s="22" customFormat="true" ht="28.5" hidden="false" customHeight="true" outlineLevel="0" collapsed="false">
      <c r="A667" s="16" t="str">
        <f aca="false">IF($T667="","",1+COUNTIF($W$15:$W$728,"&lt;"&amp;W667))</f>
        <v/>
      </c>
      <c r="B667" s="16" t="s">
        <v>8</v>
      </c>
      <c r="C667" s="16" t="s">
        <v>1982</v>
      </c>
      <c r="D667" s="16" t="s">
        <v>43</v>
      </c>
      <c r="E667" s="16" t="s">
        <v>58</v>
      </c>
      <c r="F667" s="16" t="s">
        <v>1983</v>
      </c>
      <c r="G667" s="16" t="s">
        <v>1984</v>
      </c>
      <c r="H667" s="17" t="n">
        <v>1865</v>
      </c>
      <c r="I667" s="17"/>
      <c r="J667" s="17"/>
      <c r="K667" s="17" t="n">
        <v>1895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1865</v>
      </c>
      <c r="N667" s="17" t="str">
        <f aca="false">IF($I667="","",$I667+$L667)</f>
        <v/>
      </c>
      <c r="O667" s="17" t="n">
        <f aca="false">IF($K667="","",$K667+$L667)</f>
        <v>1895</v>
      </c>
      <c r="P667" s="17" t="str">
        <f aca="false">IF($B$10=0,"",IFERROR(IF($B$4&gt;0,IF($M667="",1/0,$M667*$B$4),0)+IF($B$5&gt;0,IF($N667="",1/0,$N667*$B$5),0)+IF($B$6&gt;0,IF($O667="",1/0,$O667*$B$6),0),""))</f>
        <v/>
      </c>
      <c r="Q667" s="17" t="s">
        <v>44</v>
      </c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6"/>
    </row>
    <row r="668" s="22" customFormat="true" ht="28.5" hidden="false" customHeight="true" outlineLevel="0" collapsed="false">
      <c r="A668" s="16" t="str">
        <f aca="false">IF($T668="","",1+COUNTIF($W$15:$W$728,"&lt;"&amp;W668))</f>
        <v/>
      </c>
      <c r="B668" s="16" t="s">
        <v>12</v>
      </c>
      <c r="C668" s="16" t="s">
        <v>1985</v>
      </c>
      <c r="D668" s="20" t="s">
        <v>141</v>
      </c>
      <c r="E668" s="16" t="s">
        <v>44</v>
      </c>
      <c r="F668" s="16" t="s">
        <v>1986</v>
      </c>
      <c r="G668" s="16" t="s">
        <v>1987</v>
      </c>
      <c r="H668" s="17" t="n">
        <v>2145</v>
      </c>
      <c r="I668" s="17"/>
      <c r="J668" s="17"/>
      <c r="K668" s="17" t="n">
        <v>2145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2145</v>
      </c>
      <c r="N668" s="17" t="str">
        <f aca="false">IF($I668="","",$I668+$L668)</f>
        <v/>
      </c>
      <c r="O668" s="17" t="n">
        <f aca="false">IF($K668="","",$K668+$L668)</f>
        <v>2145</v>
      </c>
      <c r="P668" s="17" t="str">
        <f aca="false">IF($B$10=0,"",IFERROR(IF($B$4&gt;0,IF($M668="",1/0,$M668*$B$4),0)+IF($B$5&gt;0,IF($N668="",1/0,$N668*$B$5),0)+IF($B$6&gt;0,IF($O668="",1/0,$O668*$B$6),0),""))</f>
        <v/>
      </c>
      <c r="Q668" s="17" t="s">
        <v>44</v>
      </c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6"/>
    </row>
    <row r="669" s="22" customFormat="true" ht="28.5" hidden="false" customHeight="true" outlineLevel="0" collapsed="false">
      <c r="A669" s="16" t="str">
        <f aca="false">IF($T669="","",1+COUNTIF($W$15:$W$728,"&lt;"&amp;W669))</f>
        <v/>
      </c>
      <c r="B669" s="16" t="s">
        <v>6</v>
      </c>
      <c r="C669" s="16" t="s">
        <v>1988</v>
      </c>
      <c r="D669" s="20" t="s">
        <v>131</v>
      </c>
      <c r="E669" s="16" t="s">
        <v>58</v>
      </c>
      <c r="F669" s="16" t="s">
        <v>1989</v>
      </c>
      <c r="G669" s="16" t="s">
        <v>1990</v>
      </c>
      <c r="H669" s="17" t="n">
        <v>1945</v>
      </c>
      <c r="I669" s="17"/>
      <c r="J669" s="17"/>
      <c r="K669" s="17" t="n">
        <v>1995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1945</v>
      </c>
      <c r="N669" s="17" t="str">
        <f aca="false">IF($I669="","",$I669+$L669)</f>
        <v/>
      </c>
      <c r="O669" s="17" t="n">
        <f aca="false">IF($K669="","",$K669+$L669)</f>
        <v>1995</v>
      </c>
      <c r="P669" s="17" t="str">
        <f aca="false">IF($B$10=0,"",IFERROR(IF($B$4&gt;0,IF($M669="",1/0,$M669*$B$4),0)+IF($B$5&gt;0,IF($N669="",1/0,$N669*$B$5),0)+IF($B$6&gt;0,IF($O669="",1/0,$O669*$B$6),0),""))</f>
        <v/>
      </c>
      <c r="Q669" s="17" t="s">
        <v>44</v>
      </c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6"/>
    </row>
    <row r="670" s="22" customFormat="true" ht="28.5" hidden="false" customHeight="true" outlineLevel="0" collapsed="false">
      <c r="A670" s="16" t="str">
        <f aca="false">IF($T670="","",1+COUNTIF($W$15:$W$728,"&lt;"&amp;W670))</f>
        <v/>
      </c>
      <c r="B670" s="16" t="s">
        <v>12</v>
      </c>
      <c r="C670" s="16" t="s">
        <v>475</v>
      </c>
      <c r="D670" s="20" t="s">
        <v>208</v>
      </c>
      <c r="E670" s="16" t="s">
        <v>58</v>
      </c>
      <c r="F670" s="16" t="s">
        <v>1991</v>
      </c>
      <c r="G670" s="16" t="s">
        <v>1992</v>
      </c>
      <c r="H670" s="17" t="n">
        <v>1925</v>
      </c>
      <c r="I670" s="17"/>
      <c r="J670" s="17"/>
      <c r="K670" s="17" t="n">
        <v>1975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1925</v>
      </c>
      <c r="N670" s="17" t="str">
        <f aca="false">IF($I670="","",$I670+$L670)</f>
        <v/>
      </c>
      <c r="O670" s="17" t="n">
        <f aca="false">IF($K670="","",$K670+$L670)</f>
        <v>1975</v>
      </c>
      <c r="P670" s="17" t="str">
        <f aca="false">IF($B$10=0,"",IFERROR(IF($B$4&gt;0,IF($M670="",1/0,$M670*$B$4),0)+IF($B$5&gt;0,IF($N670="",1/0,$N670*$B$5),0)+IF($B$6&gt;0,IF($O670="",1/0,$O670*$B$6),0),""))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C670" s="6"/>
    </row>
    <row r="671" s="22" customFormat="true" ht="28.5" hidden="false" customHeight="true" outlineLevel="0" collapsed="false">
      <c r="A671" s="16" t="str">
        <f aca="false">IF($T671="","",1+COUNTIF($W$15:$W$728,"&lt;"&amp;W671))</f>
        <v/>
      </c>
      <c r="B671" s="16" t="s">
        <v>12</v>
      </c>
      <c r="C671" s="16" t="s">
        <v>1993</v>
      </c>
      <c r="D671" s="20" t="s">
        <v>141</v>
      </c>
      <c r="E671" s="16" t="s">
        <v>44</v>
      </c>
      <c r="F671" s="16" t="s">
        <v>1994</v>
      </c>
      <c r="G671" s="16" t="s">
        <v>1995</v>
      </c>
      <c r="H671" s="17" t="n">
        <v>2025</v>
      </c>
      <c r="I671" s="17"/>
      <c r="J671" s="17"/>
      <c r="K671" s="17" t="n">
        <v>2155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2025</v>
      </c>
      <c r="N671" s="17" t="str">
        <f aca="false">IF($I671="","",$I671+$L671)</f>
        <v/>
      </c>
      <c r="O671" s="17" t="n">
        <f aca="false">IF($K671="","",$K671+$L671)</f>
        <v>2155</v>
      </c>
      <c r="P671" s="17" t="str">
        <f aca="false">IF($B$10=0,"",IFERROR(IF($B$4&gt;0,IF($M671="",1/0,$M671*$B$4),0)+IF($B$5&gt;0,IF($N671="",1/0,$N671*$B$5),0)+IF($B$6&gt;0,IF($O671="",1/0,$O671*$B$6),0),""))</f>
        <v/>
      </c>
      <c r="Q671" s="17" t="s">
        <v>44</v>
      </c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C671" s="6"/>
    </row>
    <row r="672" s="22" customFormat="true" ht="28.5" hidden="false" customHeight="true" outlineLevel="0" collapsed="false">
      <c r="A672" s="16" t="str">
        <f aca="false">IF($T672="","",1+COUNTIF($W$15:$W$728,"&lt;"&amp;W672))</f>
        <v/>
      </c>
      <c r="B672" s="16" t="s">
        <v>10</v>
      </c>
      <c r="C672" s="16" t="s">
        <v>1996</v>
      </c>
      <c r="D672" s="16" t="s">
        <v>43</v>
      </c>
      <c r="E672" s="16" t="s">
        <v>44</v>
      </c>
      <c r="F672" s="16" t="s">
        <v>1997</v>
      </c>
      <c r="G672" s="16" t="s">
        <v>1998</v>
      </c>
      <c r="H672" s="17" t="n">
        <v>1945</v>
      </c>
      <c r="I672" s="17"/>
      <c r="J672" s="17"/>
      <c r="K672" s="17" t="n">
        <v>1765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1945</v>
      </c>
      <c r="N672" s="17" t="str">
        <f aca="false">IF($I672="","",$I672+$L672)</f>
        <v/>
      </c>
      <c r="O672" s="17" t="n">
        <f aca="false">IF($K672="","",$K672+$L672)</f>
        <v>1765</v>
      </c>
      <c r="P672" s="17" t="str">
        <f aca="false">IF($B$10=0,"",IFERROR(IF($B$4&gt;0,IF($M672="",1/0,$M672*$B$4),0)+IF($B$5&gt;0,IF($N672="",1/0,$N672*$B$5),0)+IF($B$6&gt;0,IF($O672="",1/0,$O672*$B$6),0),""))</f>
        <v/>
      </c>
      <c r="Q672" s="17" t="s">
        <v>44</v>
      </c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C672" s="6"/>
    </row>
    <row r="673" s="22" customFormat="true" ht="28.5" hidden="false" customHeight="true" outlineLevel="0" collapsed="false">
      <c r="A673" s="16" t="str">
        <f aca="false">IF($T673="","",1+COUNTIF($W$15:$W$728,"&lt;"&amp;W673))</f>
        <v/>
      </c>
      <c r="B673" s="16" t="s">
        <v>10</v>
      </c>
      <c r="C673" s="16" t="s">
        <v>1999</v>
      </c>
      <c r="D673" s="20" t="s">
        <v>131</v>
      </c>
      <c r="E673" s="16" t="s">
        <v>44</v>
      </c>
      <c r="F673" s="16" t="s">
        <v>2000</v>
      </c>
      <c r="G673" s="16" t="s">
        <v>2001</v>
      </c>
      <c r="H673" s="17" t="n">
        <v>1987</v>
      </c>
      <c r="I673" s="17"/>
      <c r="J673" s="17"/>
      <c r="K673" s="17" t="n">
        <v>1999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1987</v>
      </c>
      <c r="N673" s="17" t="str">
        <f aca="false">IF($I673="","",$I673+$L673)</f>
        <v/>
      </c>
      <c r="O673" s="17" t="n">
        <f aca="false">IF($K673="","",$K673+$L673)</f>
        <v>1999</v>
      </c>
      <c r="P673" s="17" t="str">
        <f aca="false">IF($B$10=0,"",IFERROR(IF($B$4&gt;0,IF($M673="",1/0,$M673*$B$4),0)+IF($B$5&gt;0,IF($N673="",1/0,$N673*$B$5),0)+IF($B$6&gt;0,IF($O673="",1/0,$O673*$B$6),0),""))</f>
        <v/>
      </c>
      <c r="Q673" s="17" t="s">
        <v>44</v>
      </c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6"/>
    </row>
    <row r="674" s="22" customFormat="true" ht="28.5" hidden="false" customHeight="true" outlineLevel="0" collapsed="false">
      <c r="A674" s="16" t="str">
        <f aca="false">IF($T674="","",1+COUNTIF($W$15:$W$728,"&lt;"&amp;W674))</f>
        <v/>
      </c>
      <c r="B674" s="16" t="s">
        <v>10</v>
      </c>
      <c r="C674" s="16" t="s">
        <v>2002</v>
      </c>
      <c r="D674" s="16" t="s">
        <v>43</v>
      </c>
      <c r="E674" s="16" t="s">
        <v>58</v>
      </c>
      <c r="F674" s="16" t="s">
        <v>2003</v>
      </c>
      <c r="G674" s="16" t="s">
        <v>2004</v>
      </c>
      <c r="H674" s="17" t="n">
        <v>1898</v>
      </c>
      <c r="I674" s="17"/>
      <c r="J674" s="17"/>
      <c r="K674" s="17" t="n">
        <v>1898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1898</v>
      </c>
      <c r="N674" s="17" t="str">
        <f aca="false">IF($I674="","",$I674+$L674)</f>
        <v/>
      </c>
      <c r="O674" s="17" t="n">
        <f aca="false">IF($K674="","",$K674+$L674)</f>
        <v>1898</v>
      </c>
      <c r="P674" s="17" t="str">
        <f aca="false">IF($B$10=0,"",IFERROR(IF($B$4&gt;0,IF($M674="",1/0,$M674*$B$4),0)+IF($B$5&gt;0,IF($N674="",1/0,$N674*$B$5),0)+IF($B$6&gt;0,IF($O674="",1/0,$O674*$B$6),0),""))</f>
        <v/>
      </c>
      <c r="Q674" s="17" t="s">
        <v>44</v>
      </c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6"/>
    </row>
    <row r="675" s="22" customFormat="true" ht="28.5" hidden="false" customHeight="true" outlineLevel="0" collapsed="false">
      <c r="A675" s="16" t="str">
        <f aca="false">IF($T675="","",1+COUNTIF($W$15:$W$728,"&lt;"&amp;W675))</f>
        <v/>
      </c>
      <c r="B675" s="16" t="s">
        <v>10</v>
      </c>
      <c r="C675" s="16" t="s">
        <v>2005</v>
      </c>
      <c r="D675" s="20" t="s">
        <v>131</v>
      </c>
      <c r="E675" s="16" t="s">
        <v>58</v>
      </c>
      <c r="F675" s="16" t="s">
        <v>2006</v>
      </c>
      <c r="G675" s="16" t="s">
        <v>2007</v>
      </c>
      <c r="H675" s="17" t="n">
        <v>1898</v>
      </c>
      <c r="I675" s="17"/>
      <c r="J675" s="17"/>
      <c r="K675" s="17" t="n">
        <v>1898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1898</v>
      </c>
      <c r="N675" s="17" t="str">
        <f aca="false">IF($I675="","",$I675+$L675)</f>
        <v/>
      </c>
      <c r="O675" s="17" t="n">
        <f aca="false">IF($K675="","",$K675+$L675)</f>
        <v>1898</v>
      </c>
      <c r="P675" s="17" t="str">
        <f aca="false">IF($B$10=0,"",IFERROR(IF($B$4&gt;0,IF($M675="",1/0,$M675*$B$4),0)+IF($B$5&gt;0,IF($N675="",1/0,$N675*$B$5),0)+IF($B$6&gt;0,IF($O675="",1/0,$O675*$B$6),0),""))</f>
        <v/>
      </c>
      <c r="Q675" s="17" t="s">
        <v>44</v>
      </c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6"/>
    </row>
    <row r="676" s="22" customFormat="true" ht="28.5" hidden="false" customHeight="true" outlineLevel="0" collapsed="false">
      <c r="A676" s="16" t="str">
        <f aca="false">IF($T676="","",1+COUNTIF($W$15:$W$728,"&lt;"&amp;W676))</f>
        <v/>
      </c>
      <c r="B676" s="16" t="s">
        <v>8</v>
      </c>
      <c r="C676" s="16" t="s">
        <v>2008</v>
      </c>
      <c r="D676" s="20" t="s">
        <v>131</v>
      </c>
      <c r="E676" s="16" t="s">
        <v>58</v>
      </c>
      <c r="F676" s="16" t="s">
        <v>2009</v>
      </c>
      <c r="G676" s="16" t="s">
        <v>2010</v>
      </c>
      <c r="H676" s="17" t="n">
        <v>1859</v>
      </c>
      <c r="I676" s="17"/>
      <c r="J676" s="17"/>
      <c r="K676" s="17" t="n">
        <v>1829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1859</v>
      </c>
      <c r="N676" s="17" t="str">
        <f aca="false">IF($I676="","",$I676+$L676)</f>
        <v/>
      </c>
      <c r="O676" s="17" t="n">
        <f aca="false">IF($K676="","",$K676+$L676)</f>
        <v>1829</v>
      </c>
      <c r="P676" s="17" t="str">
        <f aca="false">IF($B$10=0,"",IFERROR(IF($B$4&gt;0,IF($M676="",1/0,$M676*$B$4),0)+IF($B$5&gt;0,IF($N676="",1/0,$N676*$B$5),0)+IF($B$6&gt;0,IF($O676="",1/0,$O676*$B$6),0),""))</f>
        <v/>
      </c>
      <c r="Q676" s="17" t="s">
        <v>44</v>
      </c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C676" s="6"/>
    </row>
    <row r="677" s="22" customFormat="true" ht="28.5" hidden="false" customHeight="true" outlineLevel="0" collapsed="false">
      <c r="A677" s="16" t="str">
        <f aca="false">IF($T677="","",1+COUNTIF($W$15:$W$728,"&lt;"&amp;W677))</f>
        <v/>
      </c>
      <c r="B677" s="16" t="s">
        <v>10</v>
      </c>
      <c r="C677" s="16" t="s">
        <v>2011</v>
      </c>
      <c r="D677" s="16" t="s">
        <v>43</v>
      </c>
      <c r="E677" s="16" t="s">
        <v>44</v>
      </c>
      <c r="F677" s="16" t="s">
        <v>2012</v>
      </c>
      <c r="G677" s="16" t="s">
        <v>2013</v>
      </c>
      <c r="H677" s="17" t="n">
        <v>1899</v>
      </c>
      <c r="I677" s="17"/>
      <c r="J677" s="17"/>
      <c r="K677" s="17" t="n">
        <v>1899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1899</v>
      </c>
      <c r="N677" s="17" t="str">
        <f aca="false">IF($I677="","",$I677+$L677)</f>
        <v/>
      </c>
      <c r="O677" s="17" t="n">
        <f aca="false">IF($K677="","",$K677+$L677)</f>
        <v>1899</v>
      </c>
      <c r="P677" s="17" t="str">
        <f aca="false">IF($B$10=0,"",IFERROR(IF($B$4&gt;0,IF($M677="",1/0,$M677*$B$4),0)+IF($B$5&gt;0,IF($N677="",1/0,$N677*$B$5),0)+IF($B$6&gt;0,IF($O677="",1/0,$O677*$B$6),0),""))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6"/>
    </row>
    <row r="678" s="22" customFormat="true" ht="28.5" hidden="false" customHeight="true" outlineLevel="0" collapsed="false">
      <c r="A678" s="16" t="str">
        <f aca="false">IF($T678="","",1+COUNTIF($W$15:$W$728,"&lt;"&amp;W678))</f>
        <v/>
      </c>
      <c r="B678" s="16" t="s">
        <v>14</v>
      </c>
      <c r="C678" s="16" t="s">
        <v>2014</v>
      </c>
      <c r="D678" s="16" t="s">
        <v>141</v>
      </c>
      <c r="E678" s="16" t="s">
        <v>44</v>
      </c>
      <c r="F678" s="16" t="s">
        <v>2015</v>
      </c>
      <c r="G678" s="16" t="s">
        <v>2016</v>
      </c>
      <c r="H678" s="17" t="n">
        <v>1959</v>
      </c>
      <c r="I678" s="17"/>
      <c r="J678" s="17"/>
      <c r="K678" s="17" t="n">
        <v>1998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1959</v>
      </c>
      <c r="N678" s="17" t="str">
        <f aca="false">IF($I678="","",$I678+$L678)</f>
        <v/>
      </c>
      <c r="O678" s="17" t="n">
        <f aca="false">IF($K678="","",$K678+$L678)</f>
        <v>1998</v>
      </c>
      <c r="P678" s="17" t="str">
        <f aca="false">IF($B$10=0,"",IFERROR(IF($B$4&gt;0,IF($M678="",1/0,$M678*$B$4),0)+IF($B$5&gt;0,IF($N678="",1/0,$N678*$B$5),0)+IF($B$6&gt;0,IF($O678="",1/0,$O678*$B$6),0),""))</f>
        <v/>
      </c>
      <c r="Q678" s="17" t="s">
        <v>44</v>
      </c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C678" s="6"/>
    </row>
    <row r="679" s="22" customFormat="true" ht="28.5" hidden="false" customHeight="true" outlineLevel="0" collapsed="false">
      <c r="A679" s="16" t="str">
        <f aca="false">IF($T679="","",1+COUNTIF($W$15:$W$728,"&lt;"&amp;W679))</f>
        <v/>
      </c>
      <c r="B679" s="16" t="s">
        <v>10</v>
      </c>
      <c r="C679" s="16" t="s">
        <v>2017</v>
      </c>
      <c r="D679" s="16" t="s">
        <v>43</v>
      </c>
      <c r="E679" s="16" t="s">
        <v>44</v>
      </c>
      <c r="F679" s="16" t="s">
        <v>2018</v>
      </c>
      <c r="G679" s="16" t="s">
        <v>2019</v>
      </c>
      <c r="H679" s="17" t="n">
        <v>1850</v>
      </c>
      <c r="I679" s="17"/>
      <c r="J679" s="17"/>
      <c r="K679" s="17" t="n">
        <v>1890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1850</v>
      </c>
      <c r="N679" s="17" t="str">
        <f aca="false">IF($I679="","",$I679+$L679)</f>
        <v/>
      </c>
      <c r="O679" s="17" t="n">
        <f aca="false">IF($K679="","",$K679+$L679)</f>
        <v>1890</v>
      </c>
      <c r="P679" s="17" t="str">
        <f aca="false">IF($B$10=0,"",IFERROR(IF($B$4&gt;0,IF($M679="",1/0,$M679*$B$4),0)+IF($B$5&gt;0,IF($N679="",1/0,$N679*$B$5),0)+IF($B$6&gt;0,IF($O679="",1/0,$O679*$B$6),0),""))</f>
        <v/>
      </c>
      <c r="Q679" s="17" t="s">
        <v>44</v>
      </c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6"/>
    </row>
    <row r="680" s="22" customFormat="true" ht="28.5" hidden="false" customHeight="true" outlineLevel="0" collapsed="false">
      <c r="A680" s="16" t="str">
        <f aca="false">IF($T680="","",1+COUNTIF($W$15:$W$728,"&lt;"&amp;W680))</f>
        <v/>
      </c>
      <c r="B680" s="16" t="s">
        <v>8</v>
      </c>
      <c r="C680" s="16" t="s">
        <v>2020</v>
      </c>
      <c r="D680" s="16" t="s">
        <v>48</v>
      </c>
      <c r="E680" s="16" t="s">
        <v>58</v>
      </c>
      <c r="F680" s="16" t="s">
        <v>2021</v>
      </c>
      <c r="G680" s="16" t="s">
        <v>2022</v>
      </c>
      <c r="H680" s="17" t="n">
        <v>1910</v>
      </c>
      <c r="I680" s="17"/>
      <c r="J680" s="17"/>
      <c r="K680" s="17" t="n">
        <v>1950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1910</v>
      </c>
      <c r="N680" s="17" t="str">
        <f aca="false">IF($I680="","",$I680+$L680)</f>
        <v/>
      </c>
      <c r="O680" s="17" t="n">
        <f aca="false">IF($K680="","",$K680+$L680)</f>
        <v>1950</v>
      </c>
      <c r="P680" s="17" t="str">
        <f aca="false">IF($B$10=0,"",IFERROR(IF($B$4&gt;0,IF($M680="",1/0,$M680*$B$4),0)+IF($B$5&gt;0,IF($N680="",1/0,$N680*$B$5),0)+IF($B$6&gt;0,IF($O680="",1/0,$O680*$B$6),0),""))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6"/>
    </row>
    <row r="681" s="22" customFormat="true" ht="28.5" hidden="false" customHeight="true" outlineLevel="0" collapsed="false">
      <c r="A681" s="16" t="str">
        <f aca="false">IF($T681="","",1+COUNTIF($W$15:$W$728,"&lt;"&amp;W681))</f>
        <v/>
      </c>
      <c r="B681" s="16" t="s">
        <v>6</v>
      </c>
      <c r="C681" s="16" t="s">
        <v>2023</v>
      </c>
      <c r="D681" s="16" t="s">
        <v>43</v>
      </c>
      <c r="E681" s="16" t="s">
        <v>44</v>
      </c>
      <c r="F681" s="16" t="s">
        <v>2024</v>
      </c>
      <c r="G681" s="16" t="s">
        <v>2025</v>
      </c>
      <c r="H681" s="17" t="n">
        <v>1955</v>
      </c>
      <c r="I681" s="17"/>
      <c r="J681" s="17"/>
      <c r="K681" s="17" t="n">
        <v>2035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1955</v>
      </c>
      <c r="N681" s="17" t="str">
        <f aca="false">IF($I681="","",$I681+$L681)</f>
        <v/>
      </c>
      <c r="O681" s="17" t="n">
        <f aca="false">IF($K681="","",$K681+$L681)</f>
        <v>2035</v>
      </c>
      <c r="P681" s="17" t="str">
        <f aca="false">IF($B$10=0,"",IFERROR(IF($B$4&gt;0,IF($M681="",1/0,$M681*$B$4),0)+IF($B$5&gt;0,IF($N681="",1/0,$N681*$B$5),0)+IF($B$6&gt;0,IF($O681="",1/0,$O681*$B$6),0),""))</f>
        <v/>
      </c>
      <c r="Q681" s="17" t="s">
        <v>44</v>
      </c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6"/>
    </row>
    <row r="682" s="22" customFormat="true" ht="28.5" hidden="false" customHeight="true" outlineLevel="0" collapsed="false">
      <c r="A682" s="16" t="str">
        <f aca="false">IF($T682="","",1+COUNTIF($W$15:$W$728,"&lt;"&amp;W682))</f>
        <v/>
      </c>
      <c r="B682" s="16" t="s">
        <v>6</v>
      </c>
      <c r="C682" s="16" t="s">
        <v>2026</v>
      </c>
      <c r="D682" s="16" t="s">
        <v>141</v>
      </c>
      <c r="E682" s="16" t="s">
        <v>44</v>
      </c>
      <c r="F682" s="16" t="s">
        <v>2027</v>
      </c>
      <c r="G682" s="16" t="s">
        <v>2028</v>
      </c>
      <c r="H682" s="17" t="n">
        <v>1998</v>
      </c>
      <c r="I682" s="17"/>
      <c r="J682" s="17"/>
      <c r="K682" s="17" t="n">
        <v>2049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1998</v>
      </c>
      <c r="N682" s="17" t="str">
        <f aca="false">IF($I682="","",$I682+$L682)</f>
        <v/>
      </c>
      <c r="O682" s="17" t="n">
        <f aca="false">IF($K682="","",$K682+$L682)</f>
        <v>2049</v>
      </c>
      <c r="P682" s="17" t="str">
        <f aca="false">IF($B$10=0,"",IFERROR(IF($B$4&gt;0,IF($M682="",1/0,$M682*$B$4),0)+IF($B$5&gt;0,IF($N682="",1/0,$N682*$B$5),0)+IF($B$6&gt;0,IF($O682="",1/0,$O682*$B$6),0),""))</f>
        <v/>
      </c>
      <c r="Q682" s="17" t="s">
        <v>44</v>
      </c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C682" s="6"/>
    </row>
    <row r="683" s="22" customFormat="true" ht="28.5" hidden="false" customHeight="true" outlineLevel="0" collapsed="false">
      <c r="A683" s="16" t="str">
        <f aca="false">IF($T683="","",1+COUNTIF($W$15:$W$728,"&lt;"&amp;W683))</f>
        <v/>
      </c>
      <c r="B683" s="16" t="s">
        <v>12</v>
      </c>
      <c r="C683" s="16" t="s">
        <v>2029</v>
      </c>
      <c r="D683" s="20" t="s">
        <v>208</v>
      </c>
      <c r="E683" s="16" t="s">
        <v>58</v>
      </c>
      <c r="F683" s="16" t="s">
        <v>2030</v>
      </c>
      <c r="G683" s="16" t="s">
        <v>2031</v>
      </c>
      <c r="H683" s="17" t="n">
        <v>1987</v>
      </c>
      <c r="I683" s="17"/>
      <c r="J683" s="17"/>
      <c r="K683" s="17" t="n">
        <v>1987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1987</v>
      </c>
      <c r="N683" s="17" t="str">
        <f aca="false">IF($I683="","",$I683+$L683)</f>
        <v/>
      </c>
      <c r="O683" s="17" t="n">
        <f aca="false">IF($K683="","",$K683+$L683)</f>
        <v>1987</v>
      </c>
      <c r="P683" s="17" t="str">
        <f aca="false">IF($B$10=0,"",IFERROR(IF($B$4&gt;0,IF($M683="",1/0,$M683*$B$4),0)+IF($B$5&gt;0,IF($N683="",1/0,$N683*$B$5),0)+IF($B$6&gt;0,IF($O683="",1/0,$O683*$B$6),0),""))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6"/>
    </row>
    <row r="684" s="22" customFormat="true" ht="28.5" hidden="false" customHeight="true" outlineLevel="0" collapsed="false">
      <c r="A684" s="16" t="str">
        <f aca="false">IF($T684="","",1+COUNTIF($W$15:$W$728,"&lt;"&amp;W684))</f>
        <v/>
      </c>
      <c r="B684" s="16" t="s">
        <v>10</v>
      </c>
      <c r="C684" s="16" t="s">
        <v>2032</v>
      </c>
      <c r="D684" s="20" t="s">
        <v>131</v>
      </c>
      <c r="E684" s="16" t="s">
        <v>58</v>
      </c>
      <c r="F684" s="16" t="s">
        <v>2033</v>
      </c>
      <c r="G684" s="16" t="s">
        <v>2034</v>
      </c>
      <c r="H684" s="17" t="n">
        <v>1878</v>
      </c>
      <c r="I684" s="17"/>
      <c r="J684" s="17"/>
      <c r="K684" s="17" t="n">
        <v>1928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1878</v>
      </c>
      <c r="N684" s="17" t="str">
        <f aca="false">IF($I684="","",$I684+$L684)</f>
        <v/>
      </c>
      <c r="O684" s="17" t="n">
        <f aca="false">IF($K684="","",$K684+$L684)</f>
        <v>1928</v>
      </c>
      <c r="P684" s="17" t="str">
        <f aca="false">IF($B$10=0,"",IFERROR(IF($B$4&gt;0,IF($M684="",1/0,$M684*$B$4),0)+IF($B$5&gt;0,IF($N684="",1/0,$N684*$B$5),0)+IF($B$6&gt;0,IF($O684="",1/0,$O684*$B$6),0),""))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6"/>
    </row>
    <row r="685" s="22" customFormat="true" ht="28.5" hidden="false" customHeight="true" outlineLevel="0" collapsed="false">
      <c r="A685" s="16" t="str">
        <f aca="false">IF($T685="","",1+COUNTIF($W$15:$W$728,"&lt;"&amp;W685))</f>
        <v/>
      </c>
      <c r="B685" s="16" t="s">
        <v>12</v>
      </c>
      <c r="C685" s="16" t="s">
        <v>2035</v>
      </c>
      <c r="D685" s="20" t="s">
        <v>303</v>
      </c>
      <c r="E685" s="16" t="s">
        <v>58</v>
      </c>
      <c r="F685" s="16" t="s">
        <v>2036</v>
      </c>
      <c r="G685" s="16" t="s">
        <v>2037</v>
      </c>
      <c r="H685" s="17" t="n">
        <v>1945</v>
      </c>
      <c r="I685" s="17"/>
      <c r="J685" s="17"/>
      <c r="K685" s="17" t="n">
        <v>2158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1945</v>
      </c>
      <c r="N685" s="17" t="str">
        <f aca="false">IF($I685="","",$I685+$L685)</f>
        <v/>
      </c>
      <c r="O685" s="17" t="n">
        <f aca="false">IF($K685="","",$K685+$L685)</f>
        <v>2158</v>
      </c>
      <c r="P685" s="17" t="str">
        <f aca="false">IF($B$10=0,"",IFERROR(IF($B$4&gt;0,IF($M685="",1/0,$M685*$B$4),0)+IF($B$5&gt;0,IF($N685="",1/0,$N685*$B$5),0)+IF($B$6&gt;0,IF($O685="",1/0,$O685*$B$6),0),""))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C685" s="6"/>
    </row>
    <row r="686" s="22" customFormat="true" ht="28.5" hidden="false" customHeight="true" outlineLevel="0" collapsed="false">
      <c r="A686" s="16" t="str">
        <f aca="false">IF($T686="","",1+COUNTIF($W$15:$W$728,"&lt;"&amp;W686))</f>
        <v/>
      </c>
      <c r="B686" s="16" t="s">
        <v>10</v>
      </c>
      <c r="C686" s="16" t="s">
        <v>1985</v>
      </c>
      <c r="D686" s="16" t="s">
        <v>48</v>
      </c>
      <c r="E686" s="16" t="s">
        <v>58</v>
      </c>
      <c r="F686" s="16" t="s">
        <v>2038</v>
      </c>
      <c r="G686" s="16" t="s">
        <v>2039</v>
      </c>
      <c r="H686" s="17" t="n">
        <v>1899</v>
      </c>
      <c r="I686" s="17"/>
      <c r="J686" s="17"/>
      <c r="K686" s="17" t="n">
        <v>1889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1899</v>
      </c>
      <c r="N686" s="17" t="str">
        <f aca="false">IF($I686="","",$I686+$L686)</f>
        <v/>
      </c>
      <c r="O686" s="17" t="n">
        <f aca="false">IF($K686="","",$K686+$L686)</f>
        <v>1889</v>
      </c>
      <c r="P686" s="17" t="str">
        <f aca="false">IF($B$10=0,"",IFERROR(IF($B$4&gt;0,IF($M686="",1/0,$M686*$B$4),0)+IF($B$5&gt;0,IF($N686="",1/0,$N686*$B$5),0)+IF($B$6&gt;0,IF($O686="",1/0,$O686*$B$6),0),""))</f>
        <v/>
      </c>
      <c r="Q686" s="17" t="s">
        <v>44</v>
      </c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6"/>
    </row>
    <row r="687" s="22" customFormat="true" ht="28.5" hidden="false" customHeight="true" outlineLevel="0" collapsed="false">
      <c r="A687" s="16" t="str">
        <f aca="false">IF($T687="","",1+COUNTIF($W$15:$W$728,"&lt;"&amp;W687))</f>
        <v/>
      </c>
      <c r="B687" s="16" t="s">
        <v>10</v>
      </c>
      <c r="C687" s="16" t="s">
        <v>2040</v>
      </c>
      <c r="D687" s="16" t="s">
        <v>48</v>
      </c>
      <c r="E687" s="16" t="s">
        <v>58</v>
      </c>
      <c r="F687" s="16" t="s">
        <v>2041</v>
      </c>
      <c r="G687" s="16" t="s">
        <v>2042</v>
      </c>
      <c r="H687" s="17" t="n">
        <v>1869</v>
      </c>
      <c r="I687" s="17"/>
      <c r="J687" s="17"/>
      <c r="K687" s="17" t="n">
        <v>1869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1869</v>
      </c>
      <c r="N687" s="17" t="str">
        <f aca="false">IF($I687="","",$I687+$L687)</f>
        <v/>
      </c>
      <c r="O687" s="17" t="n">
        <f aca="false">IF($K687="","",$K687+$L687)</f>
        <v>1869</v>
      </c>
      <c r="P687" s="17" t="str">
        <f aca="false">IF($B$10=0,"",IFERROR(IF($B$4&gt;0,IF($M687="",1/0,$M687*$B$4),0)+IF($B$5&gt;0,IF($N687="",1/0,$N687*$B$5),0)+IF($B$6&gt;0,IF($O687="",1/0,$O687*$B$6),0),""))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C687" s="6"/>
    </row>
    <row r="688" s="22" customFormat="true" ht="28.5" hidden="false" customHeight="true" outlineLevel="0" collapsed="false">
      <c r="A688" s="16" t="str">
        <f aca="false">IF($T688="","",1+COUNTIF($W$15:$W$728,"&lt;"&amp;W688))</f>
        <v/>
      </c>
      <c r="B688" s="16" t="s">
        <v>14</v>
      </c>
      <c r="C688" s="16" t="s">
        <v>2043</v>
      </c>
      <c r="D688" s="20" t="s">
        <v>131</v>
      </c>
      <c r="E688" s="16" t="s">
        <v>44</v>
      </c>
      <c r="F688" s="16" t="s">
        <v>2044</v>
      </c>
      <c r="G688" s="16" t="s">
        <v>2045</v>
      </c>
      <c r="H688" s="17" t="n">
        <v>1949</v>
      </c>
      <c r="I688" s="17"/>
      <c r="J688" s="17"/>
      <c r="K688" s="17" t="n">
        <v>1999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1949</v>
      </c>
      <c r="N688" s="17" t="str">
        <f aca="false">IF($I688="","",$I688+$L688)</f>
        <v/>
      </c>
      <c r="O688" s="17" t="n">
        <f aca="false">IF($K688="","",$K688+$L688)</f>
        <v>1999</v>
      </c>
      <c r="P688" s="17" t="str">
        <f aca="false">IF($B$10=0,"",IFERROR(IF($B$4&gt;0,IF($M688="",1/0,$M688*$B$4),0)+IF($B$5&gt;0,IF($N688="",1/0,$N688*$B$5),0)+IF($B$6&gt;0,IF($O688="",1/0,$O688*$B$6),0),""))</f>
        <v/>
      </c>
      <c r="Q688" s="17" t="s">
        <v>44</v>
      </c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6"/>
    </row>
    <row r="689" s="22" customFormat="true" ht="28.5" hidden="false" customHeight="true" outlineLevel="0" collapsed="false">
      <c r="A689" s="16" t="str">
        <f aca="false">IF($T689="","",1+COUNTIF($W$15:$W$728,"&lt;"&amp;W689))</f>
        <v/>
      </c>
      <c r="B689" s="16" t="s">
        <v>8</v>
      </c>
      <c r="C689" s="16" t="s">
        <v>2046</v>
      </c>
      <c r="D689" s="20" t="s">
        <v>131</v>
      </c>
      <c r="E689" s="16" t="s">
        <v>44</v>
      </c>
      <c r="F689" s="16" t="s">
        <v>2047</v>
      </c>
      <c r="G689" s="16" t="s">
        <v>2048</v>
      </c>
      <c r="H689" s="17" t="n">
        <v>1899</v>
      </c>
      <c r="I689" s="17"/>
      <c r="J689" s="17"/>
      <c r="K689" s="17" t="n">
        <v>1899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1899</v>
      </c>
      <c r="N689" s="17" t="str">
        <f aca="false">IF($I689="","",$I689+$L689)</f>
        <v/>
      </c>
      <c r="O689" s="17" t="n">
        <f aca="false">IF($K689="","",$K689+$L689)</f>
        <v>1899</v>
      </c>
      <c r="P689" s="17" t="str">
        <f aca="false">IF($B$10=0,"",IFERROR(IF($B$4&gt;0,IF($M689="",1/0,$M689*$B$4),0)+IF($B$5&gt;0,IF($N689="",1/0,$N689*$B$5),0)+IF($B$6&gt;0,IF($O689="",1/0,$O689*$B$6),0),""))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6"/>
    </row>
    <row r="690" s="22" customFormat="true" ht="28.5" hidden="false" customHeight="true" outlineLevel="0" collapsed="false">
      <c r="A690" s="16" t="str">
        <f aca="false">IF($T690="","",1+COUNTIF($W$15:$W$728,"&lt;"&amp;W690))</f>
        <v/>
      </c>
      <c r="B690" s="16" t="s">
        <v>14</v>
      </c>
      <c r="C690" s="16" t="s">
        <v>2049</v>
      </c>
      <c r="D690" s="16" t="s">
        <v>141</v>
      </c>
      <c r="E690" s="16" t="s">
        <v>58</v>
      </c>
      <c r="F690" s="16" t="s">
        <v>2050</v>
      </c>
      <c r="G690" s="16" t="s">
        <v>2051</v>
      </c>
      <c r="H690" s="17" t="n">
        <v>1959</v>
      </c>
      <c r="I690" s="17"/>
      <c r="J690" s="17"/>
      <c r="K690" s="17" t="n">
        <v>1899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1959</v>
      </c>
      <c r="N690" s="17" t="str">
        <f aca="false">IF($I690="","",$I690+$L690)</f>
        <v/>
      </c>
      <c r="O690" s="17" t="n">
        <f aca="false">IF($K690="","",$K690+$L690)</f>
        <v>1899</v>
      </c>
      <c r="P690" s="17" t="str">
        <f aca="false">IF($B$10=0,"",IFERROR(IF($B$4&gt;0,IF($M690="",1/0,$M690*$B$4),0)+IF($B$5&gt;0,IF($N690="",1/0,$N690*$B$5),0)+IF($B$6&gt;0,IF($O690="",1/0,$O690*$B$6),0),""))</f>
        <v/>
      </c>
      <c r="Q690" s="17" t="s">
        <v>44</v>
      </c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C690" s="6"/>
    </row>
    <row r="691" s="22" customFormat="true" ht="28.5" hidden="false" customHeight="true" outlineLevel="0" collapsed="false">
      <c r="A691" s="16" t="str">
        <f aca="false">IF($T691="","",1+COUNTIF($W$15:$W$728,"&lt;"&amp;W691))</f>
        <v/>
      </c>
      <c r="B691" s="16" t="s">
        <v>10</v>
      </c>
      <c r="C691" s="16" t="s">
        <v>2052</v>
      </c>
      <c r="D691" s="16" t="s">
        <v>48</v>
      </c>
      <c r="E691" s="16" t="s">
        <v>58</v>
      </c>
      <c r="F691" s="16" t="s">
        <v>2053</v>
      </c>
      <c r="G691" s="16" t="s">
        <v>2054</v>
      </c>
      <c r="H691" s="17" t="n">
        <v>1899</v>
      </c>
      <c r="I691" s="17"/>
      <c r="J691" s="17"/>
      <c r="K691" s="17" t="n">
        <v>1899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1899</v>
      </c>
      <c r="N691" s="17" t="str">
        <f aca="false">IF($I691="","",$I691+$L691)</f>
        <v/>
      </c>
      <c r="O691" s="17" t="n">
        <f aca="false">IF($K691="","",$K691+$L691)</f>
        <v>1899</v>
      </c>
      <c r="P691" s="17" t="str">
        <f aca="false">IF($B$10=0,"",IFERROR(IF($B$4&gt;0,IF($M691="",1/0,$M691*$B$4),0)+IF($B$5&gt;0,IF($N691="",1/0,$N691*$B$5),0)+IF($B$6&gt;0,IF($O691="",1/0,$O691*$B$6),0),""))</f>
        <v/>
      </c>
      <c r="Q691" s="17" t="s">
        <v>44</v>
      </c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6"/>
    </row>
    <row r="692" s="22" customFormat="true" ht="28.5" hidden="false" customHeight="true" outlineLevel="0" collapsed="false">
      <c r="A692" s="16" t="str">
        <f aca="false">IF($T692="","",1+COUNTIF($W$15:$W$728,"&lt;"&amp;W692))</f>
        <v/>
      </c>
      <c r="B692" s="16" t="s">
        <v>10</v>
      </c>
      <c r="C692" s="16" t="s">
        <v>2055</v>
      </c>
      <c r="D692" s="16" t="s">
        <v>141</v>
      </c>
      <c r="E692" s="16" t="s">
        <v>58</v>
      </c>
      <c r="F692" s="16" t="s">
        <v>2056</v>
      </c>
      <c r="G692" s="16" t="s">
        <v>2057</v>
      </c>
      <c r="H692" s="17" t="n">
        <v>1879</v>
      </c>
      <c r="I692" s="17"/>
      <c r="J692" s="17"/>
      <c r="K692" s="17" t="n">
        <v>1859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1879</v>
      </c>
      <c r="N692" s="17" t="str">
        <f aca="false">IF($I692="","",$I692+$L692)</f>
        <v/>
      </c>
      <c r="O692" s="17" t="n">
        <f aca="false">IF($K692="","",$K692+$L692)</f>
        <v>1859</v>
      </c>
      <c r="P692" s="17" t="str">
        <f aca="false">IF($B$10=0,"",IFERROR(IF($B$4&gt;0,IF($M692="",1/0,$M692*$B$4),0)+IF($B$5&gt;0,IF($N692="",1/0,$N692*$B$5),0)+IF($B$6&gt;0,IF($O692="",1/0,$O692*$B$6),0),""))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C692" s="6"/>
    </row>
    <row r="693" s="22" customFormat="true" ht="28.5" hidden="false" customHeight="true" outlineLevel="0" collapsed="false">
      <c r="A693" s="16" t="str">
        <f aca="false">IF($T693="","",1+COUNTIF($W$15:$W$728,"&lt;"&amp;W693))</f>
        <v/>
      </c>
      <c r="B693" s="16" t="s">
        <v>12</v>
      </c>
      <c r="C693" s="16" t="s">
        <v>2058</v>
      </c>
      <c r="D693" s="20" t="s">
        <v>131</v>
      </c>
      <c r="E693" s="16" t="s">
        <v>44</v>
      </c>
      <c r="F693" s="16" t="s">
        <v>2059</v>
      </c>
      <c r="G693" s="16" t="s">
        <v>2060</v>
      </c>
      <c r="H693" s="17" t="n">
        <v>2190</v>
      </c>
      <c r="I693" s="17"/>
      <c r="J693" s="17"/>
      <c r="K693" s="17" t="n">
        <v>2200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2190</v>
      </c>
      <c r="N693" s="17" t="str">
        <f aca="false">IF($I693="","",$I693+$L693)</f>
        <v/>
      </c>
      <c r="O693" s="17" t="n">
        <f aca="false">IF($K693="","",$K693+$L693)</f>
        <v>2200</v>
      </c>
      <c r="P693" s="17" t="str">
        <f aca="false">IF($B$10=0,"",IFERROR(IF($B$4&gt;0,IF($M693="",1/0,$M693*$B$4),0)+IF($B$5&gt;0,IF($N693="",1/0,$N693*$B$5),0)+IF($B$6&gt;0,IF($O693="",1/0,$O693*$B$6),0),""))</f>
        <v/>
      </c>
      <c r="Q693" s="17" t="s">
        <v>44</v>
      </c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C693" s="6"/>
    </row>
    <row r="694" s="22" customFormat="true" ht="28.5" hidden="false" customHeight="true" outlineLevel="0" collapsed="false">
      <c r="A694" s="16" t="str">
        <f aca="false">IF($T694="","",1+COUNTIF($W$15:$W$728,"&lt;"&amp;W694))</f>
        <v/>
      </c>
      <c r="B694" s="16" t="s">
        <v>10</v>
      </c>
      <c r="C694" s="16" t="s">
        <v>2061</v>
      </c>
      <c r="D694" s="16" t="s">
        <v>48</v>
      </c>
      <c r="E694" s="16" t="s">
        <v>58</v>
      </c>
      <c r="F694" s="16" t="s">
        <v>2062</v>
      </c>
      <c r="G694" s="16" t="s">
        <v>2063</v>
      </c>
      <c r="H694" s="17" t="n">
        <v>1880</v>
      </c>
      <c r="I694" s="17"/>
      <c r="J694" s="17"/>
      <c r="K694" s="17" t="n">
        <v>1860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1880</v>
      </c>
      <c r="N694" s="17" t="str">
        <f aca="false">IF($I694="","",$I694+$L694)</f>
        <v/>
      </c>
      <c r="O694" s="17" t="n">
        <f aca="false">IF($K694="","",$K694+$L694)</f>
        <v>1860</v>
      </c>
      <c r="P694" s="17" t="str">
        <f aca="false">IF($B$10=0,"",IFERROR(IF($B$4&gt;0,IF($M694="",1/0,$M694*$B$4),0)+IF($B$5&gt;0,IF($N694="",1/0,$N694*$B$5),0)+IF($B$6&gt;0,IF($O694="",1/0,$O694*$B$6),0),""))</f>
        <v/>
      </c>
      <c r="Q694" s="17" t="s">
        <v>44</v>
      </c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6"/>
    </row>
    <row r="695" s="22" customFormat="true" ht="28.5" hidden="false" customHeight="true" outlineLevel="0" collapsed="false">
      <c r="A695" s="16" t="str">
        <f aca="false">IF($T695="","",1+COUNTIF($W$15:$W$728,"&lt;"&amp;W695))</f>
        <v/>
      </c>
      <c r="B695" s="16" t="s">
        <v>10</v>
      </c>
      <c r="C695" s="16" t="s">
        <v>2064</v>
      </c>
      <c r="D695" s="20" t="s">
        <v>131</v>
      </c>
      <c r="E695" s="16" t="s">
        <v>58</v>
      </c>
      <c r="F695" s="16" t="s">
        <v>2065</v>
      </c>
      <c r="G695" s="16" t="s">
        <v>2066</v>
      </c>
      <c r="H695" s="17" t="n">
        <v>1863</v>
      </c>
      <c r="I695" s="17"/>
      <c r="J695" s="17"/>
      <c r="K695" s="17" t="n">
        <v>1799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1863</v>
      </c>
      <c r="N695" s="17" t="str">
        <f aca="false">IF($I695="","",$I695+$L695)</f>
        <v/>
      </c>
      <c r="O695" s="17" t="n">
        <f aca="false">IF($K695="","",$K695+$L695)</f>
        <v>1799</v>
      </c>
      <c r="P695" s="17" t="str">
        <f aca="false">IF($B$10=0,"",IFERROR(IF($B$4&gt;0,IF($M695="",1/0,$M695*$B$4),0)+IF($B$5&gt;0,IF($N695="",1/0,$N695*$B$5),0)+IF($B$6&gt;0,IF($O695="",1/0,$O695*$B$6),0),""))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6"/>
    </row>
    <row r="696" s="22" customFormat="true" ht="28.5" hidden="false" customHeight="true" outlineLevel="0" collapsed="false">
      <c r="A696" s="16" t="str">
        <f aca="false">IF($T696="","",1+COUNTIF($W$15:$W$728,"&lt;"&amp;W696))</f>
        <v/>
      </c>
      <c r="B696" s="16" t="s">
        <v>12</v>
      </c>
      <c r="C696" s="16" t="s">
        <v>2067</v>
      </c>
      <c r="D696" s="20" t="s">
        <v>131</v>
      </c>
      <c r="E696" s="16" t="s">
        <v>58</v>
      </c>
      <c r="F696" s="16" t="s">
        <v>2068</v>
      </c>
      <c r="G696" s="16" t="s">
        <v>2069</v>
      </c>
      <c r="H696" s="17" t="n">
        <v>2076</v>
      </c>
      <c r="I696" s="17"/>
      <c r="J696" s="17"/>
      <c r="K696" s="17" t="n">
        <v>2136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2076</v>
      </c>
      <c r="N696" s="17" t="str">
        <f aca="false">IF($I696="","",$I696+$L696)</f>
        <v/>
      </c>
      <c r="O696" s="17" t="n">
        <f aca="false">IF($K696="","",$K696+$L696)</f>
        <v>2136</v>
      </c>
      <c r="P696" s="17" t="str">
        <f aca="false">IF($B$10=0,"",IFERROR(IF($B$4&gt;0,IF($M696="",1/0,$M696*$B$4),0)+IF($B$5&gt;0,IF($N696="",1/0,$N696*$B$5),0)+IF($B$6&gt;0,IF($O696="",1/0,$O696*$B$6),0),""))</f>
        <v/>
      </c>
      <c r="Q696" s="17" t="s">
        <v>44</v>
      </c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6"/>
    </row>
    <row r="697" s="22" customFormat="true" ht="28.5" hidden="false" customHeight="true" outlineLevel="0" collapsed="false">
      <c r="A697" s="16" t="str">
        <f aca="false">IF($T697="","",1+COUNTIF($W$15:$W$728,"&lt;"&amp;W697))</f>
        <v/>
      </c>
      <c r="B697" s="16" t="s">
        <v>10</v>
      </c>
      <c r="C697" s="16" t="s">
        <v>2070</v>
      </c>
      <c r="D697" s="20" t="s">
        <v>131</v>
      </c>
      <c r="E697" s="16" t="s">
        <v>44</v>
      </c>
      <c r="F697" s="16" t="s">
        <v>2071</v>
      </c>
      <c r="G697" s="16" t="s">
        <v>2072</v>
      </c>
      <c r="H697" s="17" t="n">
        <v>1847</v>
      </c>
      <c r="I697" s="17"/>
      <c r="J697" s="17"/>
      <c r="K697" s="17" t="n">
        <v>1847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1847</v>
      </c>
      <c r="N697" s="17" t="str">
        <f aca="false">IF($I697="","",$I697+$L697)</f>
        <v/>
      </c>
      <c r="O697" s="17" t="n">
        <f aca="false">IF($K697="","",$K697+$L697)</f>
        <v>1847</v>
      </c>
      <c r="P697" s="17" t="str">
        <f aca="false">IF($B$10=0,"",IFERROR(IF($B$4&gt;0,IF($M697="",1/0,$M697*$B$4),0)+IF($B$5&gt;0,IF($N697="",1/0,$N697*$B$5),0)+IF($B$6&gt;0,IF($O697="",1/0,$O697*$B$6),0),""))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C697" s="6"/>
    </row>
    <row r="698" s="22" customFormat="true" ht="28.5" hidden="false" customHeight="true" outlineLevel="0" collapsed="false">
      <c r="A698" s="16" t="str">
        <f aca="false">IF($T698="","",1+COUNTIF($W$15:$W$728,"&lt;"&amp;W698))</f>
        <v/>
      </c>
      <c r="B698" s="16" t="s">
        <v>12</v>
      </c>
      <c r="C698" s="16" t="s">
        <v>2073</v>
      </c>
      <c r="D698" s="20" t="s">
        <v>303</v>
      </c>
      <c r="E698" s="16" t="s">
        <v>58</v>
      </c>
      <c r="F698" s="16" t="s">
        <v>2074</v>
      </c>
      <c r="G698" s="16" t="s">
        <v>2075</v>
      </c>
      <c r="H698" s="17" t="n">
        <v>1938</v>
      </c>
      <c r="I698" s="17"/>
      <c r="J698" s="17"/>
      <c r="K698" s="17" t="n">
        <v>1958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1938</v>
      </c>
      <c r="N698" s="17" t="str">
        <f aca="false">IF($I698="","",$I698+$L698)</f>
        <v/>
      </c>
      <c r="O698" s="17" t="n">
        <f aca="false">IF($K698="","",$K698+$L698)</f>
        <v>1958</v>
      </c>
      <c r="P698" s="17" t="str">
        <f aca="false">IF($B$10=0,"",IFERROR(IF($B$4&gt;0,IF($M698="",1/0,$M698*$B$4),0)+IF($B$5&gt;0,IF($N698="",1/0,$N698*$B$5),0)+IF($B$6&gt;0,IF($O698="",1/0,$O698*$B$6),0),""))</f>
        <v/>
      </c>
      <c r="Q698" s="17" t="s">
        <v>44</v>
      </c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6"/>
    </row>
    <row r="699" s="22" customFormat="true" ht="28.5" hidden="false" customHeight="true" outlineLevel="0" collapsed="false">
      <c r="A699" s="16" t="str">
        <f aca="false">IF($T699="","",1+COUNTIF($W$15:$W$728,"&lt;"&amp;W699))</f>
        <v/>
      </c>
      <c r="B699" s="16" t="s">
        <v>12</v>
      </c>
      <c r="C699" s="16" t="s">
        <v>2076</v>
      </c>
      <c r="D699" s="20" t="s">
        <v>208</v>
      </c>
      <c r="E699" s="16" t="s">
        <v>58</v>
      </c>
      <c r="F699" s="16" t="s">
        <v>2077</v>
      </c>
      <c r="G699" s="16" t="s">
        <v>2078</v>
      </c>
      <c r="H699" s="17" t="n">
        <v>1998</v>
      </c>
      <c r="I699" s="17"/>
      <c r="J699" s="17"/>
      <c r="K699" s="17" t="n">
        <v>2138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1998</v>
      </c>
      <c r="N699" s="17" t="str">
        <f aca="false">IF($I699="","",$I699+$L699)</f>
        <v/>
      </c>
      <c r="O699" s="17" t="n">
        <f aca="false">IF($K699="","",$K699+$L699)</f>
        <v>2138</v>
      </c>
      <c r="P699" s="17" t="str">
        <f aca="false">IF($B$10=0,"",IFERROR(IF($B$4&gt;0,IF($M699="",1/0,$M699*$B$4),0)+IF($B$5&gt;0,IF($N699="",1/0,$N699*$B$5),0)+IF($B$6&gt;0,IF($O699="",1/0,$O699*$B$6),0),""))</f>
        <v/>
      </c>
      <c r="Q699" s="17" t="s">
        <v>44</v>
      </c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6"/>
    </row>
    <row r="700" s="22" customFormat="true" ht="28.5" hidden="false" customHeight="true" outlineLevel="0" collapsed="false">
      <c r="A700" s="16" t="str">
        <f aca="false">IF($T700="","",1+COUNTIF($W$15:$W$728,"&lt;"&amp;W700))</f>
        <v/>
      </c>
      <c r="B700" s="16" t="s">
        <v>10</v>
      </c>
      <c r="C700" s="16" t="s">
        <v>2079</v>
      </c>
      <c r="D700" s="16" t="s">
        <v>43</v>
      </c>
      <c r="E700" s="16" t="s">
        <v>44</v>
      </c>
      <c r="F700" s="16" t="s">
        <v>2080</v>
      </c>
      <c r="G700" s="16" t="s">
        <v>2081</v>
      </c>
      <c r="H700" s="17" t="n">
        <v>1859</v>
      </c>
      <c r="I700" s="17"/>
      <c r="J700" s="17"/>
      <c r="K700" s="17" t="n">
        <v>1889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1859</v>
      </c>
      <c r="N700" s="17" t="str">
        <f aca="false">IF($I700="","",$I700+$L700)</f>
        <v/>
      </c>
      <c r="O700" s="17" t="n">
        <f aca="false">IF($K700="","",$K700+$L700)</f>
        <v>1889</v>
      </c>
      <c r="P700" s="17" t="str">
        <f aca="false">IF($B$10=0,"",IFERROR(IF($B$4&gt;0,IF($M700="",1/0,$M700*$B$4),0)+IF($B$5&gt;0,IF($N700="",1/0,$N700*$B$5),0)+IF($B$6&gt;0,IF($O700="",1/0,$O700*$B$6),0),""))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C700" s="6"/>
    </row>
    <row r="701" s="22" customFormat="true" ht="28.5" hidden="false" customHeight="true" outlineLevel="0" collapsed="false">
      <c r="A701" s="16" t="str">
        <f aca="false">IF($T701="","",1+COUNTIF($W$15:$W$728,"&lt;"&amp;W701))</f>
        <v/>
      </c>
      <c r="B701" s="16" t="s">
        <v>6</v>
      </c>
      <c r="C701" s="16" t="s">
        <v>700</v>
      </c>
      <c r="D701" s="16" t="s">
        <v>48</v>
      </c>
      <c r="E701" s="16" t="s">
        <v>58</v>
      </c>
      <c r="F701" s="16" t="s">
        <v>2082</v>
      </c>
      <c r="G701" s="16" t="s">
        <v>2083</v>
      </c>
      <c r="H701" s="17" t="n">
        <v>1989</v>
      </c>
      <c r="I701" s="17"/>
      <c r="J701" s="17"/>
      <c r="K701" s="17" t="n">
        <v>1989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1989</v>
      </c>
      <c r="N701" s="17" t="str">
        <f aca="false">IF($I701="","",$I701+$L701)</f>
        <v/>
      </c>
      <c r="O701" s="17" t="n">
        <f aca="false">IF($K701="","",$K701+$L701)</f>
        <v>1989</v>
      </c>
      <c r="P701" s="17" t="str">
        <f aca="false">IF($B$10=0,"",IFERROR(IF($B$4&gt;0,IF($M701="",1/0,$M701*$B$4),0)+IF($B$5&gt;0,IF($N701="",1/0,$N701*$B$5),0)+IF($B$6&gt;0,IF($O701="",1/0,$O701*$B$6),0),""))</f>
        <v/>
      </c>
      <c r="Q701" s="17" t="s">
        <v>44</v>
      </c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6"/>
    </row>
    <row r="702" s="22" customFormat="true" ht="28.5" hidden="false" customHeight="true" outlineLevel="0" collapsed="false">
      <c r="A702" s="16" t="str">
        <f aca="false">IF($T702="","",1+COUNTIF($W$15:$W$728,"&lt;"&amp;W702))</f>
        <v/>
      </c>
      <c r="B702" s="16" t="s">
        <v>10</v>
      </c>
      <c r="C702" s="16" t="s">
        <v>2084</v>
      </c>
      <c r="D702" s="20" t="s">
        <v>131</v>
      </c>
      <c r="E702" s="16" t="s">
        <v>58</v>
      </c>
      <c r="F702" s="16" t="s">
        <v>2085</v>
      </c>
      <c r="G702" s="16" t="s">
        <v>2086</v>
      </c>
      <c r="H702" s="17" t="n">
        <v>1899</v>
      </c>
      <c r="I702" s="17"/>
      <c r="J702" s="17"/>
      <c r="K702" s="17" t="n">
        <v>1899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1899</v>
      </c>
      <c r="N702" s="17" t="str">
        <f aca="false">IF($I702="","",$I702+$L702)</f>
        <v/>
      </c>
      <c r="O702" s="17" t="n">
        <f aca="false">IF($K702="","",$K702+$L702)</f>
        <v>1899</v>
      </c>
      <c r="P702" s="17" t="str">
        <f aca="false">IF($B$10=0,"",IFERROR(IF($B$4&gt;0,IF($M702="",1/0,$M702*$B$4),0)+IF($B$5&gt;0,IF($N702="",1/0,$N702*$B$5),0)+IF($B$6&gt;0,IF($O702="",1/0,$O702*$B$6),0),""))</f>
        <v/>
      </c>
      <c r="Q702" s="17" t="s">
        <v>44</v>
      </c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6"/>
    </row>
    <row r="703" s="22" customFormat="true" ht="28.5" hidden="false" customHeight="true" outlineLevel="0" collapsed="false">
      <c r="A703" s="16" t="str">
        <f aca="false">IF($T703="","",1+COUNTIF($W$15:$W$728,"&lt;"&amp;W703))</f>
        <v/>
      </c>
      <c r="B703" s="16" t="s">
        <v>10</v>
      </c>
      <c r="C703" s="16" t="s">
        <v>2087</v>
      </c>
      <c r="D703" s="20" t="s">
        <v>131</v>
      </c>
      <c r="E703" s="16" t="s">
        <v>58</v>
      </c>
      <c r="F703" s="16" t="s">
        <v>2088</v>
      </c>
      <c r="G703" s="16" t="s">
        <v>2089</v>
      </c>
      <c r="H703" s="17" t="n">
        <v>1879</v>
      </c>
      <c r="I703" s="17"/>
      <c r="J703" s="17"/>
      <c r="K703" s="17" t="n">
        <v>1899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1879</v>
      </c>
      <c r="N703" s="17" t="str">
        <f aca="false">IF($I703="","",$I703+$L703)</f>
        <v/>
      </c>
      <c r="O703" s="17" t="n">
        <f aca="false">IF($K703="","",$K703+$L703)</f>
        <v>1899</v>
      </c>
      <c r="P703" s="17" t="str">
        <f aca="false">IF($B$10=0,"",IFERROR(IF($B$4&gt;0,IF($M703="",1/0,$M703*$B$4),0)+IF($B$5&gt;0,IF($N703="",1/0,$N703*$B$5),0)+IF($B$6&gt;0,IF($O703="",1/0,$O703*$B$6),0),""))</f>
        <v/>
      </c>
      <c r="Q703" s="17" t="s">
        <v>44</v>
      </c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6"/>
    </row>
    <row r="704" s="22" customFormat="true" ht="28.5" hidden="false" customHeight="true" outlineLevel="0" collapsed="false">
      <c r="A704" s="16" t="str">
        <f aca="false">IF($T704="","",1+COUNTIF($W$15:$W$728,"&lt;"&amp;W704))</f>
        <v/>
      </c>
      <c r="B704" s="16" t="s">
        <v>6</v>
      </c>
      <c r="C704" s="16" t="s">
        <v>2090</v>
      </c>
      <c r="D704" s="16" t="s">
        <v>43</v>
      </c>
      <c r="E704" s="16" t="s">
        <v>44</v>
      </c>
      <c r="F704" s="16" t="s">
        <v>2091</v>
      </c>
      <c r="G704" s="16" t="s">
        <v>2092</v>
      </c>
      <c r="H704" s="17" t="n">
        <v>1895</v>
      </c>
      <c r="I704" s="17"/>
      <c r="J704" s="17"/>
      <c r="K704" s="17" t="n">
        <v>1895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1895</v>
      </c>
      <c r="N704" s="17" t="str">
        <f aca="false">IF($I704="","",$I704+$L704)</f>
        <v/>
      </c>
      <c r="O704" s="17" t="n">
        <f aca="false">IF($K704="","",$K704+$L704)</f>
        <v>1895</v>
      </c>
      <c r="P704" s="17" t="str">
        <f aca="false">IF($B$10=0,"",IFERROR(IF($B$4&gt;0,IF($M704="",1/0,$M704*$B$4),0)+IF($B$5&gt;0,IF($N704="",1/0,$N704*$B$5),0)+IF($B$6&gt;0,IF($O704="",1/0,$O704*$B$6),0),""))</f>
        <v/>
      </c>
      <c r="Q704" s="17" t="s">
        <v>44</v>
      </c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6"/>
    </row>
    <row r="705" s="22" customFormat="true" ht="28.5" hidden="false" customHeight="true" outlineLevel="0" collapsed="false">
      <c r="A705" s="16" t="str">
        <f aca="false">IF($T705="","",1+COUNTIF($W$15:$W$728,"&lt;"&amp;W705))</f>
        <v/>
      </c>
      <c r="B705" s="16" t="s">
        <v>6</v>
      </c>
      <c r="C705" s="16" t="s">
        <v>2093</v>
      </c>
      <c r="D705" s="16" t="s">
        <v>43</v>
      </c>
      <c r="E705" s="16" t="s">
        <v>58</v>
      </c>
      <c r="F705" s="16" t="s">
        <v>2094</v>
      </c>
      <c r="G705" s="16" t="s">
        <v>2095</v>
      </c>
      <c r="H705" s="17" t="n">
        <v>1969</v>
      </c>
      <c r="I705" s="17"/>
      <c r="J705" s="17"/>
      <c r="K705" s="17" t="n">
        <v>1989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1969</v>
      </c>
      <c r="N705" s="17" t="str">
        <f aca="false">IF($I705="","",$I705+$L705)</f>
        <v/>
      </c>
      <c r="O705" s="17" t="n">
        <f aca="false">IF($K705="","",$K705+$L705)</f>
        <v>1989</v>
      </c>
      <c r="P705" s="17" t="str">
        <f aca="false">IF($B$10=0,"",IFERROR(IF($B$4&gt;0,IF($M705="",1/0,$M705*$B$4),0)+IF($B$5&gt;0,IF($N705="",1/0,$N705*$B$5),0)+IF($B$6&gt;0,IF($O705="",1/0,$O705*$B$6),0),""))</f>
        <v/>
      </c>
      <c r="Q705" s="17" t="s">
        <v>44</v>
      </c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6"/>
    </row>
    <row r="706" s="22" customFormat="true" ht="28.5" hidden="false" customHeight="true" outlineLevel="0" collapsed="false">
      <c r="A706" s="16" t="str">
        <f aca="false">IF($T706="","",1+COUNTIF($W$15:$W$728,"&lt;"&amp;W706))</f>
        <v/>
      </c>
      <c r="B706" s="16" t="s">
        <v>6</v>
      </c>
      <c r="C706" s="16" t="s">
        <v>2096</v>
      </c>
      <c r="D706" s="16" t="s">
        <v>43</v>
      </c>
      <c r="E706" s="16" t="s">
        <v>58</v>
      </c>
      <c r="F706" s="16" t="s">
        <v>2097</v>
      </c>
      <c r="G706" s="16" t="s">
        <v>2098</v>
      </c>
      <c r="H706" s="17" t="n">
        <v>1804</v>
      </c>
      <c r="I706" s="17"/>
      <c r="J706" s="17"/>
      <c r="K706" s="17" t="n">
        <v>1759</v>
      </c>
      <c r="L706" s="17" t="n">
        <v>0</v>
      </c>
      <c r="M706" s="17" t="n">
        <f aca="false">IF($H706="","",$H706+$L706)</f>
        <v>1804</v>
      </c>
      <c r="N706" s="17" t="str">
        <f aca="false">IF($I706="","",$I706+$L706)</f>
        <v/>
      </c>
      <c r="O706" s="17" t="n">
        <f aca="false">IF($K706="","",$K706+$L706)</f>
        <v>1759</v>
      </c>
      <c r="P706" s="17" t="str">
        <f aca="false">IF($B$10=0,"",IFERROR(IF($B$4&gt;0,IF($M706="",1/0,$M706*$B$4),0)+IF($B$5&gt;0,IF($N706="",1/0,$N706*$B$5),0)+IF($B$6&gt;0,IF($O706="",1/0,$O706*$B$6),0),""))</f>
        <v/>
      </c>
      <c r="Q706" s="17" t="s">
        <v>44</v>
      </c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6"/>
    </row>
    <row r="707" s="22" customFormat="true" ht="28.5" hidden="false" customHeight="true" outlineLevel="0" collapsed="false">
      <c r="A707" s="16" t="str">
        <f aca="false">IF($T707="","",1+COUNTIF($W$15:$W$728,"&lt;"&amp;W707))</f>
        <v/>
      </c>
      <c r="B707" s="16" t="s">
        <v>6</v>
      </c>
      <c r="C707" s="16" t="s">
        <v>2099</v>
      </c>
      <c r="D707" s="16" t="s">
        <v>48</v>
      </c>
      <c r="E707" s="16" t="s">
        <v>58</v>
      </c>
      <c r="F707" s="16" t="s">
        <v>2100</v>
      </c>
      <c r="G707" s="16" t="s">
        <v>2101</v>
      </c>
      <c r="H707" s="17" t="n">
        <v>1948</v>
      </c>
      <c r="I707" s="17"/>
      <c r="J707" s="17"/>
      <c r="K707" s="17" t="n">
        <v>2048</v>
      </c>
      <c r="L707" s="17" t="n">
        <f aca="false">IF(AND(IFERROR(SEARCH("현대오일뱅크",$C707),0)&gt;0,IFERROR(SEARCH("직영",$C707),0)&gt;0),$B$13,0)</f>
        <v>0</v>
      </c>
      <c r="M707" s="17" t="n">
        <f aca="false">IF($H707="","",$H707+$L707)</f>
        <v>1948</v>
      </c>
      <c r="N707" s="17" t="str">
        <f aca="false">IF($I707="","",$I707+$L707)</f>
        <v/>
      </c>
      <c r="O707" s="17" t="n">
        <f aca="false">IF($K707="","",$K707+$L707)</f>
        <v>2048</v>
      </c>
      <c r="P707" s="17" t="str">
        <f aca="false">IF($B$10=0,"",IFERROR(IF($B$4&gt;0,IF($M707="",1/0,$M707*$B$4),0)+IF($B$5&gt;0,IF($N707="",1/0,$N707*$B$5),0)+IF($B$6&gt;0,IF($O707="",1/0,$O707*$B$6),0),""))</f>
        <v/>
      </c>
      <c r="Q707" s="17" t="s">
        <v>44</v>
      </c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6"/>
    </row>
    <row r="708" s="22" customFormat="true" ht="28.5" hidden="false" customHeight="true" outlineLevel="0" collapsed="false">
      <c r="A708" s="16" t="str">
        <f aca="false">IF($T708="","",1+COUNTIF($W$15:$W$728,"&lt;"&amp;W708))</f>
        <v/>
      </c>
      <c r="B708" s="16" t="s">
        <v>10</v>
      </c>
      <c r="C708" s="16" t="s">
        <v>1556</v>
      </c>
      <c r="D708" s="20" t="s">
        <v>131</v>
      </c>
      <c r="E708" s="16" t="s">
        <v>44</v>
      </c>
      <c r="F708" s="16" t="s">
        <v>2102</v>
      </c>
      <c r="G708" s="16" t="s">
        <v>2103</v>
      </c>
      <c r="H708" s="17" t="n">
        <v>1958</v>
      </c>
      <c r="I708" s="17"/>
      <c r="J708" s="17"/>
      <c r="K708" s="17" t="n">
        <v>1958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1958</v>
      </c>
      <c r="N708" s="17" t="str">
        <f aca="false">IF($I708="","",$I708+$L708)</f>
        <v/>
      </c>
      <c r="O708" s="17" t="n">
        <f aca="false">IF($K708="","",$K708+$L708)</f>
        <v>1958</v>
      </c>
      <c r="P708" s="17" t="str">
        <f aca="false">IF($B$10=0,"",IFERROR(IF($B$4&gt;0,IF($M708="",1/0,$M708*$B$4),0)+IF($B$5&gt;0,IF($N708="",1/0,$N708*$B$5),0)+IF($B$6&gt;0,IF($O708="",1/0,$O708*$B$6),0),""))</f>
        <v/>
      </c>
      <c r="Q708" s="17" t="s">
        <v>44</v>
      </c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C708" s="6"/>
    </row>
    <row r="709" s="22" customFormat="true" ht="28.5" hidden="false" customHeight="true" outlineLevel="0" collapsed="false">
      <c r="A709" s="16" t="str">
        <f aca="false">IF($T709="","",1+COUNTIF($W$15:$W$728,"&lt;"&amp;W709))</f>
        <v/>
      </c>
      <c r="B709" s="16" t="s">
        <v>14</v>
      </c>
      <c r="C709" s="16" t="s">
        <v>2104</v>
      </c>
      <c r="D709" s="16" t="s">
        <v>141</v>
      </c>
      <c r="E709" s="16" t="s">
        <v>44</v>
      </c>
      <c r="F709" s="16" t="s">
        <v>2105</v>
      </c>
      <c r="G709" s="16" t="s">
        <v>2106</v>
      </c>
      <c r="H709" s="17" t="n">
        <v>1899</v>
      </c>
      <c r="I709" s="17"/>
      <c r="J709" s="17"/>
      <c r="K709" s="17" t="n">
        <v>1953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1899</v>
      </c>
      <c r="N709" s="17" t="str">
        <f aca="false">IF($I709="","",$I709+$L709)</f>
        <v/>
      </c>
      <c r="O709" s="17" t="n">
        <f aca="false">IF($K709="","",$K709+$L709)</f>
        <v>1953</v>
      </c>
      <c r="P709" s="17" t="str">
        <f aca="false">IF($B$10=0,"",IFERROR(IF($B$4&gt;0,IF($M709="",1/0,$M709*$B$4),0)+IF($B$5&gt;0,IF($N709="",1/0,$N709*$B$5),0)+IF($B$6&gt;0,IF($O709="",1/0,$O709*$B$6),0),""))</f>
        <v/>
      </c>
      <c r="Q709" s="17" t="s">
        <v>44</v>
      </c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6"/>
    </row>
    <row r="710" s="22" customFormat="true" ht="28.5" hidden="false" customHeight="true" outlineLevel="0" collapsed="false">
      <c r="A710" s="16" t="str">
        <f aca="false">IF($T710="","",1+COUNTIF($W$15:$W$728,"&lt;"&amp;W710))</f>
        <v/>
      </c>
      <c r="B710" s="16" t="s">
        <v>10</v>
      </c>
      <c r="C710" s="16" t="s">
        <v>2107</v>
      </c>
      <c r="D710" s="16" t="s">
        <v>43</v>
      </c>
      <c r="E710" s="16" t="s">
        <v>44</v>
      </c>
      <c r="F710" s="16" t="s">
        <v>2108</v>
      </c>
      <c r="G710" s="16" t="s">
        <v>2109</v>
      </c>
      <c r="H710" s="17" t="n">
        <v>1759</v>
      </c>
      <c r="I710" s="17"/>
      <c r="J710" s="17"/>
      <c r="K710" s="17" t="n">
        <v>1709</v>
      </c>
      <c r="L710" s="17" t="n">
        <v>0</v>
      </c>
      <c r="M710" s="17" t="n">
        <f aca="false">IF($H710="","",$H710+$L710)</f>
        <v>1759</v>
      </c>
      <c r="N710" s="17" t="str">
        <f aca="false">IF($I710="","",$I710+$L710)</f>
        <v/>
      </c>
      <c r="O710" s="17" t="n">
        <f aca="false">IF($K710="","",$K710+$L710)</f>
        <v>1709</v>
      </c>
      <c r="P710" s="17" t="str">
        <f aca="false">IF($B$10=0,"",IFERROR(IF($B$4&gt;0,IF($M710="",1/0,$M710*$B$4),0)+IF($B$5&gt;0,IF($N710="",1/0,$N710*$B$5),0)+IF($B$6&gt;0,IF($O710="",1/0,$O710*$B$6),0),""))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C710" s="6"/>
    </row>
    <row r="711" s="22" customFormat="true" ht="28.5" hidden="false" customHeight="true" outlineLevel="0" collapsed="false">
      <c r="A711" s="16" t="str">
        <f aca="false">IF($T711="","",1+COUNTIF($W$15:$W$728,"&lt;"&amp;W711))</f>
        <v/>
      </c>
      <c r="B711" s="16" t="s">
        <v>10</v>
      </c>
      <c r="C711" s="16" t="s">
        <v>2110</v>
      </c>
      <c r="D711" s="16" t="s">
        <v>43</v>
      </c>
      <c r="E711" s="16" t="s">
        <v>58</v>
      </c>
      <c r="F711" s="16" t="s">
        <v>2111</v>
      </c>
      <c r="G711" s="16" t="s">
        <v>2112</v>
      </c>
      <c r="H711" s="17" t="n">
        <v>1899</v>
      </c>
      <c r="I711" s="17"/>
      <c r="J711" s="17"/>
      <c r="K711" s="17" t="n">
        <v>1899</v>
      </c>
      <c r="L711" s="17" t="n">
        <f aca="false">IF(AND(IFERROR(SEARCH("현대오일뱅크",$C711),0)&gt;0,IFERROR(SEARCH("직영",$C711),0)&gt;0),$B$13,0)</f>
        <v>0</v>
      </c>
      <c r="M711" s="17" t="n">
        <f aca="false">IF($H711="","",$H711+$L711)</f>
        <v>1899</v>
      </c>
      <c r="N711" s="17" t="str">
        <f aca="false">IF($I711="","",$I711+$L711)</f>
        <v/>
      </c>
      <c r="O711" s="17" t="n">
        <f aca="false">IF($K711="","",$K711+$L711)</f>
        <v>1899</v>
      </c>
      <c r="P711" s="17" t="str">
        <f aca="false">IF($B$10=0,"",IFERROR(IF($B$4&gt;0,IF($M711="",1/0,$M711*$B$4),0)+IF($B$5&gt;0,IF($N711="",1/0,$N711*$B$5),0)+IF($B$6&gt;0,IF($O711="",1/0,$O711*$B$6),0),""))</f>
        <v/>
      </c>
      <c r="Q711" s="17" t="s">
        <v>44</v>
      </c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C711" s="6"/>
    </row>
    <row r="712" s="22" customFormat="true" ht="28.5" hidden="false" customHeight="true" outlineLevel="0" collapsed="false">
      <c r="A712" s="16" t="str">
        <f aca="false">IF($T712="","",1+COUNTIF($W$15:$W$728,"&lt;"&amp;W712))</f>
        <v/>
      </c>
      <c r="B712" s="16" t="s">
        <v>10</v>
      </c>
      <c r="C712" s="16" t="s">
        <v>2113</v>
      </c>
      <c r="D712" s="20" t="s">
        <v>131</v>
      </c>
      <c r="E712" s="16" t="s">
        <v>58</v>
      </c>
      <c r="F712" s="16" t="s">
        <v>2114</v>
      </c>
      <c r="G712" s="16" t="s">
        <v>2115</v>
      </c>
      <c r="H712" s="17" t="n">
        <v>1899</v>
      </c>
      <c r="I712" s="17"/>
      <c r="J712" s="17"/>
      <c r="K712" s="17" t="n">
        <v>1895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1899</v>
      </c>
      <c r="N712" s="17" t="str">
        <f aca="false">IF($I712="","",$I712+$L712)</f>
        <v/>
      </c>
      <c r="O712" s="17" t="n">
        <f aca="false">IF($K712="","",$K712+$L712)</f>
        <v>1895</v>
      </c>
      <c r="P712" s="17" t="str">
        <f aca="false">IF($B$10=0,"",IFERROR(IF($B$4&gt;0,IF($M712="",1/0,$M712*$B$4),0)+IF($B$5&gt;0,IF($N712="",1/0,$N712*$B$5),0)+IF($B$6&gt;0,IF($O712="",1/0,$O712*$B$6),0),""))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6"/>
    </row>
    <row r="713" s="22" customFormat="true" ht="28.5" hidden="false" customHeight="true" outlineLevel="0" collapsed="false">
      <c r="A713" s="16" t="str">
        <f aca="false">IF($T713="","",1+COUNTIF($W$15:$W$728,"&lt;"&amp;W713))</f>
        <v/>
      </c>
      <c r="B713" s="16" t="s">
        <v>12</v>
      </c>
      <c r="C713" s="16" t="s">
        <v>1579</v>
      </c>
      <c r="D713" s="20" t="s">
        <v>208</v>
      </c>
      <c r="E713" s="16" t="s">
        <v>58</v>
      </c>
      <c r="F713" s="16" t="s">
        <v>2116</v>
      </c>
      <c r="G713" s="16" t="s">
        <v>2117</v>
      </c>
      <c r="H713" s="17" t="n">
        <v>2079</v>
      </c>
      <c r="I713" s="17"/>
      <c r="J713" s="17"/>
      <c r="K713" s="17" t="n">
        <v>2179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2079</v>
      </c>
      <c r="N713" s="17" t="str">
        <f aca="false">IF($I713="","",$I713+$L713)</f>
        <v/>
      </c>
      <c r="O713" s="17" t="n">
        <f aca="false">IF($K713="","",$K713+$L713)</f>
        <v>2179</v>
      </c>
      <c r="P713" s="17" t="str">
        <f aca="false">IF($B$10=0,"",IFERROR(IF($B$4&gt;0,IF($M713="",1/0,$M713*$B$4),0)+IF($B$5&gt;0,IF($N713="",1/0,$N713*$B$5),0)+IF($B$6&gt;0,IF($O713="",1/0,$O713*$B$6),0),""))</f>
        <v/>
      </c>
      <c r="Q713" s="17" t="s">
        <v>44</v>
      </c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C713" s="6"/>
    </row>
    <row r="714" s="22" customFormat="true" ht="28.5" hidden="false" customHeight="true" outlineLevel="0" collapsed="false">
      <c r="A714" s="16" t="str">
        <f aca="false">IF($T714="","",1+COUNTIF($W$15:$W$728,"&lt;"&amp;W714))</f>
        <v/>
      </c>
      <c r="B714" s="16" t="s">
        <v>12</v>
      </c>
      <c r="C714" s="16" t="s">
        <v>2118</v>
      </c>
      <c r="D714" s="20" t="s">
        <v>208</v>
      </c>
      <c r="E714" s="16" t="s">
        <v>58</v>
      </c>
      <c r="F714" s="16" t="s">
        <v>2119</v>
      </c>
      <c r="G714" s="16" t="s">
        <v>2120</v>
      </c>
      <c r="H714" s="17" t="n">
        <v>1958</v>
      </c>
      <c r="I714" s="17"/>
      <c r="J714" s="17"/>
      <c r="K714" s="17" t="n">
        <v>1998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1958</v>
      </c>
      <c r="N714" s="17" t="str">
        <f aca="false">IF($I714="","",$I714+$L714)</f>
        <v/>
      </c>
      <c r="O714" s="17" t="n">
        <f aca="false">IF($K714="","",$K714+$L714)</f>
        <v>1998</v>
      </c>
      <c r="P714" s="17" t="str">
        <f aca="false">IF($B$10=0,"",IFERROR(IF($B$4&gt;0,IF($M714="",1/0,$M714*$B$4),0)+IF($B$5&gt;0,IF($N714="",1/0,$N714*$B$5),0)+IF($B$6&gt;0,IF($O714="",1/0,$O714*$B$6),0),""))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6"/>
    </row>
    <row r="715" s="22" customFormat="true" ht="28.5" hidden="false" customHeight="true" outlineLevel="0" collapsed="false">
      <c r="A715" s="16" t="str">
        <f aca="false">IF($T715="","",1+COUNTIF($W$15:$W$728,"&lt;"&amp;W715))</f>
        <v/>
      </c>
      <c r="B715" s="16" t="s">
        <v>10</v>
      </c>
      <c r="C715" s="16" t="s">
        <v>2121</v>
      </c>
      <c r="D715" s="20" t="s">
        <v>131</v>
      </c>
      <c r="E715" s="16" t="s">
        <v>58</v>
      </c>
      <c r="F715" s="16" t="s">
        <v>2122</v>
      </c>
      <c r="G715" s="16" t="s">
        <v>2123</v>
      </c>
      <c r="H715" s="17" t="n">
        <v>1843</v>
      </c>
      <c r="I715" s="17"/>
      <c r="J715" s="17"/>
      <c r="K715" s="17" t="n">
        <v>1725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1843</v>
      </c>
      <c r="N715" s="17" t="str">
        <f aca="false">IF($I715="","",$I715+$L715)</f>
        <v/>
      </c>
      <c r="O715" s="17" t="n">
        <f aca="false">IF($K715="","",$K715+$L715)</f>
        <v>1725</v>
      </c>
      <c r="P715" s="17" t="str">
        <f aca="false">IF($B$10=0,"",IFERROR(IF($B$4&gt;0,IF($M715="",1/0,$M715*$B$4),0)+IF($B$5&gt;0,IF($N715="",1/0,$N715*$B$5),0)+IF($B$6&gt;0,IF($O715="",1/0,$O715*$B$6),0),""))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6"/>
    </row>
    <row r="716" s="22" customFormat="true" ht="28.5" hidden="false" customHeight="true" outlineLevel="0" collapsed="false">
      <c r="A716" s="16" t="str">
        <f aca="false">IF($T716="","",1+COUNTIF($W$15:$W$728,"&lt;"&amp;W716))</f>
        <v/>
      </c>
      <c r="B716" s="16" t="s">
        <v>6</v>
      </c>
      <c r="C716" s="16" t="s">
        <v>1943</v>
      </c>
      <c r="D716" s="16" t="s">
        <v>141</v>
      </c>
      <c r="E716" s="16" t="s">
        <v>44</v>
      </c>
      <c r="F716" s="16" t="s">
        <v>2124</v>
      </c>
      <c r="G716" s="16" t="s">
        <v>2125</v>
      </c>
      <c r="H716" s="17" t="n">
        <v>1948</v>
      </c>
      <c r="I716" s="17"/>
      <c r="J716" s="17"/>
      <c r="K716" s="17" t="n">
        <v>1899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1948</v>
      </c>
      <c r="N716" s="17" t="str">
        <f aca="false">IF($I716="","",$I716+$L716)</f>
        <v/>
      </c>
      <c r="O716" s="17" t="n">
        <f aca="false">IF($K716="","",$K716+$L716)</f>
        <v>1899</v>
      </c>
      <c r="P716" s="17" t="str">
        <f aca="false">IF($B$10=0,"",IFERROR(IF($B$4&gt;0,IF($M716="",1/0,$M716*$B$4),0)+IF($B$5&gt;0,IF($N716="",1/0,$N716*$B$5),0)+IF($B$6&gt;0,IF($O716="",1/0,$O716*$B$6),0),""))</f>
        <v/>
      </c>
      <c r="Q716" s="17" t="s">
        <v>44</v>
      </c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6"/>
    </row>
    <row r="717" s="22" customFormat="true" ht="28.5" hidden="false" customHeight="true" outlineLevel="0" collapsed="false">
      <c r="A717" s="16" t="str">
        <f aca="false">IF($T717="","",1+COUNTIF($W$15:$W$728,"&lt;"&amp;W717))</f>
        <v/>
      </c>
      <c r="B717" s="16" t="s">
        <v>6</v>
      </c>
      <c r="C717" s="16" t="s">
        <v>2126</v>
      </c>
      <c r="D717" s="16" t="s">
        <v>48</v>
      </c>
      <c r="E717" s="16" t="s">
        <v>58</v>
      </c>
      <c r="F717" s="16" t="s">
        <v>2127</v>
      </c>
      <c r="G717" s="16" t="s">
        <v>2128</v>
      </c>
      <c r="H717" s="17" t="n">
        <v>1849</v>
      </c>
      <c r="I717" s="17"/>
      <c r="J717" s="17"/>
      <c r="K717" s="17" t="n">
        <v>1849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1849</v>
      </c>
      <c r="N717" s="17" t="str">
        <f aca="false">IF($I717="","",$I717+$L717)</f>
        <v/>
      </c>
      <c r="O717" s="17" t="n">
        <f aca="false">IF($K717="","",$K717+$L717)</f>
        <v>1849</v>
      </c>
      <c r="P717" s="17" t="str">
        <f aca="false">IF($B$10=0,"",IFERROR(IF($B$4&gt;0,IF($M717="",1/0,$M717*$B$4),0)+IF($B$5&gt;0,IF($N717="",1/0,$N717*$B$5),0)+IF($B$6&gt;0,IF($O717="",1/0,$O717*$B$6),0),""))</f>
        <v/>
      </c>
      <c r="Q717" s="17" t="s">
        <v>44</v>
      </c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C717" s="6"/>
    </row>
    <row r="718" s="22" customFormat="true" ht="28.5" hidden="false" customHeight="true" outlineLevel="0" collapsed="false">
      <c r="A718" s="16" t="str">
        <f aca="false">IF($T718="","",1+COUNTIF($W$15:$W$728,"&lt;"&amp;W718))</f>
        <v/>
      </c>
      <c r="B718" s="16" t="s">
        <v>10</v>
      </c>
      <c r="C718" s="16" t="s">
        <v>2129</v>
      </c>
      <c r="D718" s="16" t="s">
        <v>43</v>
      </c>
      <c r="E718" s="16" t="s">
        <v>58</v>
      </c>
      <c r="F718" s="16" t="s">
        <v>2130</v>
      </c>
      <c r="G718" s="16" t="s">
        <v>2131</v>
      </c>
      <c r="H718" s="17" t="n">
        <v>1904</v>
      </c>
      <c r="I718" s="17"/>
      <c r="J718" s="17"/>
      <c r="K718" s="17" t="n">
        <v>1949</v>
      </c>
      <c r="L718" s="17" t="n">
        <v>0</v>
      </c>
      <c r="M718" s="17" t="n">
        <f aca="false">IF($H718="","",$H718+$L718)</f>
        <v>1904</v>
      </c>
      <c r="N718" s="17" t="str">
        <f aca="false">IF($I718="","",$I718+$L718)</f>
        <v/>
      </c>
      <c r="O718" s="17" t="n">
        <f aca="false">IF($K718="","",$K718+$L718)</f>
        <v>1949</v>
      </c>
      <c r="P718" s="17" t="str">
        <f aca="false">IF($B$10=0,"",IFERROR(IF($B$4&gt;0,IF($M718="",1/0,$M718*$B$4),0)+IF($B$5&gt;0,IF($N718="",1/0,$N718*$B$5),0)+IF($B$6&gt;0,IF($O718="",1/0,$O718*$B$6),0),""))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6"/>
    </row>
    <row r="719" s="22" customFormat="true" ht="28.5" hidden="false" customHeight="true" outlineLevel="0" collapsed="false">
      <c r="A719" s="16" t="str">
        <f aca="false">IF($T719="","",1+COUNTIF($W$15:$W$728,"&lt;"&amp;W719))</f>
        <v/>
      </c>
      <c r="B719" s="16" t="s">
        <v>12</v>
      </c>
      <c r="C719" s="16" t="s">
        <v>2132</v>
      </c>
      <c r="D719" s="20" t="s">
        <v>303</v>
      </c>
      <c r="E719" s="16" t="s">
        <v>58</v>
      </c>
      <c r="F719" s="16" t="s">
        <v>2133</v>
      </c>
      <c r="G719" s="16" t="s">
        <v>2134</v>
      </c>
      <c r="H719" s="17" t="n">
        <v>2027</v>
      </c>
      <c r="I719" s="17"/>
      <c r="J719" s="17"/>
      <c r="K719" s="17" t="n">
        <v>2159</v>
      </c>
      <c r="L719" s="17" t="n">
        <f aca="false">IF(AND(IFERROR(SEARCH("현대오일뱅크",$C719),0)&gt;0,IFERROR(SEARCH("직영",$C719),0)&gt;0),$B$13,0)</f>
        <v>0</v>
      </c>
      <c r="M719" s="17" t="n">
        <f aca="false">IF($H719="","",$H719+$L719)</f>
        <v>2027</v>
      </c>
      <c r="N719" s="17" t="str">
        <f aca="false">IF($I719="","",$I719+$L719)</f>
        <v/>
      </c>
      <c r="O719" s="17" t="n">
        <f aca="false">IF($K719="","",$K719+$L719)</f>
        <v>2159</v>
      </c>
      <c r="P719" s="17" t="str">
        <f aca="false">IF($B$10=0,"",IFERROR(IF($B$4&gt;0,IF($M719="",1/0,$M719*$B$4),0)+IF($B$5&gt;0,IF($N719="",1/0,$N719*$B$5),0)+IF($B$6&gt;0,IF($O719="",1/0,$O719*$B$6),0),""))</f>
        <v/>
      </c>
      <c r="Q719" s="17" t="s">
        <v>44</v>
      </c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6"/>
    </row>
    <row r="720" s="22" customFormat="true" ht="28.5" hidden="false" customHeight="true" outlineLevel="0" collapsed="false">
      <c r="A720" s="16" t="str">
        <f aca="false">IF($T720="","",1+COUNTIF($W$15:$W$728,"&lt;"&amp;W720))</f>
        <v/>
      </c>
      <c r="B720" s="16" t="s">
        <v>12</v>
      </c>
      <c r="C720" s="16" t="s">
        <v>2135</v>
      </c>
      <c r="D720" s="20" t="s">
        <v>303</v>
      </c>
      <c r="E720" s="16" t="s">
        <v>58</v>
      </c>
      <c r="F720" s="16" t="s">
        <v>2136</v>
      </c>
      <c r="G720" s="16" t="s">
        <v>2137</v>
      </c>
      <c r="H720" s="17" t="n">
        <v>2095</v>
      </c>
      <c r="I720" s="17"/>
      <c r="J720" s="17"/>
      <c r="K720" s="17" t="n">
        <v>2165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2095</v>
      </c>
      <c r="N720" s="17" t="str">
        <f aca="false">IF($I720="","",$I720+$L720)</f>
        <v/>
      </c>
      <c r="O720" s="17" t="n">
        <f aca="false">IF($K720="","",$K720+$L720)</f>
        <v>2165</v>
      </c>
      <c r="P720" s="17" t="str">
        <f aca="false">IF($B$10=0,"",IFERROR(IF($B$4&gt;0,IF($M720="",1/0,$M720*$B$4),0)+IF($B$5&gt;0,IF($N720="",1/0,$N720*$B$5),0)+IF($B$6&gt;0,IF($O720="",1/0,$O720*$B$6),0),""))</f>
        <v/>
      </c>
      <c r="Q720" s="17" t="s">
        <v>44</v>
      </c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6"/>
    </row>
    <row r="721" s="22" customFormat="true" ht="28.5" hidden="false" customHeight="true" outlineLevel="0" collapsed="false">
      <c r="A721" s="16" t="str">
        <f aca="false">IF($T721="","",1+COUNTIF($W$15:$W$728,"&lt;"&amp;W721))</f>
        <v/>
      </c>
      <c r="B721" s="16" t="s">
        <v>10</v>
      </c>
      <c r="C721" s="16" t="s">
        <v>2138</v>
      </c>
      <c r="D721" s="20" t="s">
        <v>131</v>
      </c>
      <c r="E721" s="16" t="s">
        <v>44</v>
      </c>
      <c r="F721" s="16" t="s">
        <v>2139</v>
      </c>
      <c r="G721" s="16" t="s">
        <v>2140</v>
      </c>
      <c r="H721" s="17" t="n">
        <v>1940</v>
      </c>
      <c r="I721" s="17"/>
      <c r="J721" s="17"/>
      <c r="K721" s="17" t="n">
        <v>1895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1940</v>
      </c>
      <c r="N721" s="17" t="str">
        <f aca="false">IF($I721="","",$I721+$L721)</f>
        <v/>
      </c>
      <c r="O721" s="17" t="n">
        <f aca="false">IF($K721="","",$K721+$L721)</f>
        <v>1895</v>
      </c>
      <c r="P721" s="17" t="str">
        <f aca="false">IF($B$10=0,"",IFERROR(IF($B$4&gt;0,IF($M721="",1/0,$M721*$B$4),0)+IF($B$5&gt;0,IF($N721="",1/0,$N721*$B$5),0)+IF($B$6&gt;0,IF($O721="",1/0,$O721*$B$6),0),""))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6"/>
    </row>
    <row r="722" s="22" customFormat="true" ht="28.5" hidden="false" customHeight="true" outlineLevel="0" collapsed="false">
      <c r="A722" s="16" t="str">
        <f aca="false">IF($T722="","",1+COUNTIF($W$15:$W$728,"&lt;"&amp;W722))</f>
        <v/>
      </c>
      <c r="B722" s="16" t="s">
        <v>12</v>
      </c>
      <c r="C722" s="16" t="s">
        <v>2141</v>
      </c>
      <c r="D722" s="20" t="s">
        <v>131</v>
      </c>
      <c r="E722" s="16" t="s">
        <v>58</v>
      </c>
      <c r="F722" s="16" t="s">
        <v>2142</v>
      </c>
      <c r="G722" s="16" t="s">
        <v>2143</v>
      </c>
      <c r="H722" s="17" t="n">
        <v>1989</v>
      </c>
      <c r="I722" s="17"/>
      <c r="J722" s="17"/>
      <c r="K722" s="17" t="n">
        <v>1999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1989</v>
      </c>
      <c r="N722" s="17" t="str">
        <f aca="false">IF($I722="","",$I722+$L722)</f>
        <v/>
      </c>
      <c r="O722" s="17" t="n">
        <f aca="false">IF($K722="","",$K722+$L722)</f>
        <v>1999</v>
      </c>
      <c r="P722" s="17" t="str">
        <f aca="false">IF($B$10=0,"",IFERROR(IF($B$4&gt;0,IF($M722="",1/0,$M722*$B$4),0)+IF($B$5&gt;0,IF($N722="",1/0,$N722*$B$5),0)+IF($B$6&gt;0,IF($O722="",1/0,$O722*$B$6),0),""))</f>
        <v/>
      </c>
      <c r="Q722" s="17" t="s">
        <v>44</v>
      </c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6"/>
    </row>
    <row r="723" s="22" customFormat="true" ht="28.5" hidden="false" customHeight="true" outlineLevel="0" collapsed="false">
      <c r="A723" s="16" t="str">
        <f aca="false">IF($T723="","",1+COUNTIF($W$15:$W$728,"&lt;"&amp;W723))</f>
        <v/>
      </c>
      <c r="B723" s="16" t="s">
        <v>12</v>
      </c>
      <c r="C723" s="16" t="s">
        <v>2144</v>
      </c>
      <c r="D723" s="20" t="s">
        <v>208</v>
      </c>
      <c r="E723" s="16" t="s">
        <v>58</v>
      </c>
      <c r="F723" s="16" t="s">
        <v>2145</v>
      </c>
      <c r="G723" s="16" t="s">
        <v>2146</v>
      </c>
      <c r="H723" s="17" t="n">
        <v>1978</v>
      </c>
      <c r="I723" s="17"/>
      <c r="J723" s="17"/>
      <c r="K723" s="17" t="n">
        <v>1995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1978</v>
      </c>
      <c r="N723" s="17" t="str">
        <f aca="false">IF($I723="","",$I723+$L723)</f>
        <v/>
      </c>
      <c r="O723" s="17" t="n">
        <f aca="false">IF($K723="","",$K723+$L723)</f>
        <v>1995</v>
      </c>
      <c r="P723" s="17" t="str">
        <f aca="false">IF($B$10=0,"",IFERROR(IF($B$4&gt;0,IF($M723="",1/0,$M723*$B$4),0)+IF($B$5&gt;0,IF($N723="",1/0,$N723*$B$5),0)+IF($B$6&gt;0,IF($O723="",1/0,$O723*$B$6),0),""))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6"/>
    </row>
    <row r="724" s="22" customFormat="true" ht="28.5" hidden="false" customHeight="true" outlineLevel="0" collapsed="false">
      <c r="A724" s="16" t="str">
        <f aca="false">IF($T724="","",1+COUNTIF($W$15:$W$728,"&lt;"&amp;W724))</f>
        <v/>
      </c>
      <c r="B724" s="16" t="s">
        <v>6</v>
      </c>
      <c r="C724" s="16" t="s">
        <v>2147</v>
      </c>
      <c r="D724" s="20" t="s">
        <v>131</v>
      </c>
      <c r="E724" s="16" t="s">
        <v>44</v>
      </c>
      <c r="F724" s="16" t="s">
        <v>2148</v>
      </c>
      <c r="G724" s="16" t="s">
        <v>2149</v>
      </c>
      <c r="H724" s="17" t="n">
        <v>2299</v>
      </c>
      <c r="I724" s="17"/>
      <c r="J724" s="17"/>
      <c r="K724" s="17" t="n">
        <v>2199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2299</v>
      </c>
      <c r="N724" s="17" t="str">
        <f aca="false">IF($I724="","",$I724+$L724)</f>
        <v/>
      </c>
      <c r="O724" s="17" t="n">
        <f aca="false">IF($K724="","",$K724+$L724)</f>
        <v>2199</v>
      </c>
      <c r="P724" s="17" t="str">
        <f aca="false">IF($B$10=0,"",IFERROR(IF($B$4&gt;0,IF($M724="",1/0,$M724*$B$4),0)+IF($B$5&gt;0,IF($N724="",1/0,$N724*$B$5),0)+IF($B$6&gt;0,IF($O724="",1/0,$O724*$B$6),0),""))</f>
        <v/>
      </c>
      <c r="Q724" s="17" t="s">
        <v>44</v>
      </c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C724" s="6"/>
    </row>
    <row r="725" s="22" customFormat="true" ht="28.5" hidden="false" customHeight="true" outlineLevel="0" collapsed="false">
      <c r="A725" s="16" t="str">
        <f aca="false">IF($T725="","",1+COUNTIF($W$15:$W$728,"&lt;"&amp;W725))</f>
        <v/>
      </c>
      <c r="B725" s="16" t="s">
        <v>10</v>
      </c>
      <c r="C725" s="16" t="s">
        <v>2150</v>
      </c>
      <c r="D725" s="16" t="s">
        <v>48</v>
      </c>
      <c r="E725" s="16" t="s">
        <v>44</v>
      </c>
      <c r="F725" s="16" t="s">
        <v>2151</v>
      </c>
      <c r="G725" s="16" t="s">
        <v>2152</v>
      </c>
      <c r="H725" s="17"/>
      <c r="I725" s="17" t="n">
        <v>2009</v>
      </c>
      <c r="J725" s="17"/>
      <c r="K725" s="17" t="n">
        <v>1898</v>
      </c>
      <c r="L725" s="17" t="n">
        <f aca="false">IF(AND(IFERROR(SEARCH("현대오일뱅크",$C725),0)&gt;0,IFERROR(SEARCH("직영",$C725),0)&gt;0),$B$13,0)</f>
        <v>0</v>
      </c>
      <c r="M725" s="17" t="str">
        <f aca="false">IF($H725="","",$H725+$L725)</f>
        <v/>
      </c>
      <c r="N725" s="17" t="n">
        <f aca="false">IF($I725="","",$I725+$L725)</f>
        <v>2009</v>
      </c>
      <c r="O725" s="17" t="n">
        <f aca="false">IF($K725="","",$K725+$L725)</f>
        <v>1898</v>
      </c>
      <c r="P725" s="17" t="str">
        <f aca="false">IF($B$10=0,"",IFERROR(IF($B$4&gt;0,IF($M725="",1/0,$M725*$B$4),0)+IF($B$5&gt;0,IF($N725="",1/0,$N725*$B$5),0)+IF($B$6&gt;0,IF($O725="",1/0,$O725*$B$6),0),""))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6"/>
    </row>
    <row r="726" s="22" customFormat="true" ht="28.5" hidden="false" customHeight="true" outlineLevel="0" collapsed="false">
      <c r="A726" s="16" t="str">
        <f aca="false">IF($T726="","",1+COUNTIF($W$15:$W$728,"&lt;"&amp;W726))</f>
        <v/>
      </c>
      <c r="B726" s="16" t="s">
        <v>10</v>
      </c>
      <c r="C726" s="16" t="s">
        <v>475</v>
      </c>
      <c r="D726" s="20" t="s">
        <v>131</v>
      </c>
      <c r="E726" s="16" t="s">
        <v>58</v>
      </c>
      <c r="F726" s="16" t="s">
        <v>2153</v>
      </c>
      <c r="G726" s="16" t="s">
        <v>2154</v>
      </c>
      <c r="H726" s="17" t="n">
        <v>1769</v>
      </c>
      <c r="I726" s="17"/>
      <c r="J726" s="17"/>
      <c r="K726" s="17" t="n">
        <v>1719</v>
      </c>
      <c r="L726" s="17" t="n">
        <f aca="false">IF(AND(IFERROR(SEARCH("현대오일뱅크",$C726),0)&gt;0,IFERROR(SEARCH("직영",$C726),0)&gt;0),$B$13,0)</f>
        <v>0</v>
      </c>
      <c r="M726" s="17" t="n">
        <f aca="false">IF($H726="","",$H726+$L726)</f>
        <v>1769</v>
      </c>
      <c r="N726" s="17" t="str">
        <f aca="false">IF($I726="","",$I726+$L726)</f>
        <v/>
      </c>
      <c r="O726" s="17" t="n">
        <f aca="false">IF($K726="","",$K726+$L726)</f>
        <v>1719</v>
      </c>
      <c r="P726" s="17" t="str">
        <f aca="false">IF($B$10=0,"",IFERROR(IF($B$4&gt;0,IF($M726="",1/0,$M726*$B$4),0)+IF($B$5&gt;0,IF($N726="",1/0,$N726*$B$5),0)+IF($B$6&gt;0,IF($O726="",1/0,$O726*$B$6),0),""))</f>
        <v/>
      </c>
      <c r="Q726" s="17" t="s">
        <v>44</v>
      </c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C726" s="6"/>
    </row>
    <row r="727" s="6" customFormat="true" ht="28.6" hidden="false" customHeight="true" outlineLevel="0" collapsed="false">
      <c r="A727" s="16" t="str">
        <f aca="false">IF($T727="","",1+COUNTIF($W$15:$W$728,"&lt;"&amp;W727))</f>
        <v/>
      </c>
      <c r="B727" s="16" t="s">
        <v>10</v>
      </c>
      <c r="C727" s="16" t="s">
        <v>2155</v>
      </c>
      <c r="D727" s="16" t="s">
        <v>581</v>
      </c>
      <c r="E727" s="16" t="s">
        <v>58</v>
      </c>
      <c r="F727" s="16" t="s">
        <v>2156</v>
      </c>
      <c r="G727" s="16" t="s">
        <v>2157</v>
      </c>
      <c r="H727" s="17"/>
      <c r="I727" s="17"/>
      <c r="J727" s="17"/>
      <c r="K727" s="17" t="n">
        <v>1998</v>
      </c>
      <c r="L727" s="17" t="n">
        <f aca="false">IF(AND(IFERROR(SEARCH("현대오일뱅크",$C727),0)&gt;0,IFERROR(SEARCH("직영",$C727),0)&gt;0),$B$13,0)</f>
        <v>0</v>
      </c>
      <c r="M727" s="17" t="str">
        <f aca="false">IF($H727="","",$H727+$L727)</f>
        <v/>
      </c>
      <c r="N727" s="17" t="str">
        <f aca="false">IF($I727="","",$I727+$L727)</f>
        <v/>
      </c>
      <c r="O727" s="17" t="n">
        <f aca="false">IF($K727="","",$K727+$L727)</f>
        <v>1998</v>
      </c>
      <c r="P727" s="17" t="str">
        <f aca="false">IF($B$10=0,"",IFERROR(IF($B$4&gt;0,IF($M727="",1/0,$M727*$B$4),0)+IF($B$5&gt;0,IF($N727="",1/0,$N727*$B$5),0)+IF($B$6&gt;0,IF($O727="",1/0,$O727*$B$6),0),""))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</row>
    <row r="728" s="6" customFormat="true" ht="28.6" hidden="false" customHeight="true" outlineLevel="0" collapsed="false">
      <c r="A728" s="16" t="str">
        <f aca="false">IF($T728="","",1+COUNTIF($W$15:$W$728,"&lt;"&amp;W728))</f>
        <v/>
      </c>
      <c r="B728" s="16" t="s">
        <v>10</v>
      </c>
      <c r="C728" s="16" t="s">
        <v>2158</v>
      </c>
      <c r="D728" s="16" t="s">
        <v>43</v>
      </c>
      <c r="E728" s="16" t="s">
        <v>44</v>
      </c>
      <c r="F728" s="16" t="s">
        <v>2159</v>
      </c>
      <c r="G728" s="16" t="s">
        <v>2160</v>
      </c>
      <c r="H728" s="17" t="n">
        <v>1958</v>
      </c>
      <c r="I728" s="17"/>
      <c r="J728" s="17"/>
      <c r="K728" s="17" t="n">
        <v>1998</v>
      </c>
      <c r="L728" s="17" t="n">
        <f aca="false">IF(AND(IFERROR(SEARCH("현대오일뱅크",$C728),0)&gt;0,IFERROR(SEARCH("직영",$C728),0)&gt;0),$B$13,0)</f>
        <v>0</v>
      </c>
      <c r="M728" s="17" t="n">
        <f aca="false">IF($H728="","",$H728+$L728)</f>
        <v>1958</v>
      </c>
      <c r="N728" s="17" t="str">
        <f aca="false">IF($I728="","",$I728+$L728)</f>
        <v/>
      </c>
      <c r="O728" s="17" t="n">
        <f aca="false">IF($K728="","",$K728+$L728)</f>
        <v>1998</v>
      </c>
      <c r="P728" s="17" t="str">
        <f aca="false">IF($B$10=0,"",IFERROR(IF($B$4&gt;0,IF($M728="",1/0,$M728*$B$4),0)+IF($B$5&gt;0,IF($N728="",1/0,$N728*$B$5),0)+IF($B$6&gt;0,IF($O728="",1/0,$O728*$B$6),0),""))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</row>
    <row r="729" s="6" customFormat="true" ht="28.6" hidden="false" customHeight="true" outlineLevel="0" collapsed="false">
      <c r="A729" s="16" t="str">
        <f aca="false">IF($T729="","",1+COUNTIF($W$15:$W$728,"&lt;"&amp;W729))</f>
        <v/>
      </c>
      <c r="B729" s="16" t="s">
        <v>14</v>
      </c>
      <c r="C729" s="16" t="s">
        <v>2161</v>
      </c>
      <c r="D729" s="20" t="s">
        <v>131</v>
      </c>
      <c r="E729" s="16" t="s">
        <v>44</v>
      </c>
      <c r="F729" s="16" t="s">
        <v>2162</v>
      </c>
      <c r="G729" s="16" t="s">
        <v>2163</v>
      </c>
      <c r="H729" s="17" t="n">
        <v>1890</v>
      </c>
      <c r="I729" s="17"/>
      <c r="J729" s="17"/>
      <c r="K729" s="17" t="n">
        <v>1859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1890</v>
      </c>
      <c r="N729" s="17" t="str">
        <f aca="false">IF($I729="","",$I729+$L729)</f>
        <v/>
      </c>
      <c r="O729" s="17" t="n">
        <f aca="false">IF($K729="","",$K729+$L729)</f>
        <v>1859</v>
      </c>
      <c r="P729" s="17" t="str">
        <f aca="false">IF($B$10=0,"",IFERROR(IF($B$4&gt;0,IF($M729="",1/0,$M729*$B$4),0)+IF($B$5&gt;0,IF($N729="",1/0,$N729*$B$5),0)+IF($B$6&gt;0,IF($O729="",1/0,$O729*$B$6),0),""))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</row>
    <row r="730" s="6" customFormat="true" ht="28.6" hidden="false" customHeight="true" outlineLevel="0" collapsed="false">
      <c r="A730" s="16" t="str">
        <f aca="false">IF($T730="","",1+COUNTIF($W$15:$W$729,"&lt;"&amp;W730))</f>
        <v/>
      </c>
      <c r="B730" s="16" t="s">
        <v>14</v>
      </c>
      <c r="C730" s="16" t="s">
        <v>2164</v>
      </c>
      <c r="D730" s="20" t="s">
        <v>303</v>
      </c>
      <c r="E730" s="16" t="s">
        <v>44</v>
      </c>
      <c r="F730" s="16" t="s">
        <v>2165</v>
      </c>
      <c r="G730" s="16" t="s">
        <v>2166</v>
      </c>
      <c r="H730" s="17" t="n">
        <v>1943</v>
      </c>
      <c r="I730" s="17"/>
      <c r="J730" s="17"/>
      <c r="K730" s="17" t="n">
        <v>1947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1943</v>
      </c>
      <c r="N730" s="17" t="str">
        <f aca="false">IF($I730="","",$I730+$L730)</f>
        <v/>
      </c>
      <c r="O730" s="17" t="n">
        <f aca="false">IF($K730="","",$K730+$L730)</f>
        <v>1947</v>
      </c>
      <c r="P730" s="17" t="str">
        <f aca="false">IF($B$10=0,"",IFERROR(IF($B$4&gt;0,IF($M730="",1/0,$M730*$B$4),0)+IF($B$5&gt;0,IF($N730="",1/0,$N730*$B$5),0)+IF($B$6&gt;0,IF($O730="",1/0,$O730*$B$6),0),""))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</row>
    <row r="731" s="6" customFormat="true" ht="13.5" hidden="false" customHeight="true" outlineLevel="0" collapsed="false">
      <c r="F731" s="22"/>
      <c r="G731" s="22"/>
    </row>
    <row r="732" s="6" customFormat="true" ht="13.5" hidden="false" customHeight="true" outlineLevel="0" collapsed="false">
      <c r="F732" s="22"/>
      <c r="G732" s="22"/>
    </row>
  </sheetData>
  <autoFilter ref="A14:W730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2167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2168</v>
      </c>
    </row>
    <row r="3" s="22" customFormat="true" ht="27.75" hidden="false" customHeight="true" outlineLevel="0" collapsed="false">
      <c r="A3" s="9" t="s">
        <v>21</v>
      </c>
      <c r="B3" s="9" t="s">
        <v>22</v>
      </c>
      <c r="C3" s="9" t="s">
        <v>25</v>
      </c>
      <c r="D3" s="9" t="s">
        <v>2169</v>
      </c>
      <c r="E3" s="9" t="s">
        <v>2170</v>
      </c>
      <c r="F3" s="9" t="s">
        <v>2171</v>
      </c>
      <c r="G3" s="9" t="s">
        <v>2172</v>
      </c>
      <c r="H3" s="9" t="s">
        <v>2173</v>
      </c>
      <c r="I3" s="9" t="s">
        <v>2174</v>
      </c>
      <c r="J3" s="9" t="s">
        <v>2175</v>
      </c>
      <c r="K3" s="9" t="s">
        <v>2176</v>
      </c>
      <c r="L3" s="9" t="s">
        <v>2177</v>
      </c>
      <c r="M3" s="9" t="s">
        <v>2178</v>
      </c>
    </row>
    <row r="4" s="22" customFormat="true" ht="25.5" hidden="false" customHeight="true" outlineLevel="0" collapsed="false">
      <c r="A4" s="25" t="s">
        <v>6</v>
      </c>
      <c r="B4" s="26" t="s">
        <v>79</v>
      </c>
      <c r="C4" s="26" t="s">
        <v>80</v>
      </c>
      <c r="D4" s="26" t="s">
        <v>2179</v>
      </c>
      <c r="E4" s="27" t="n">
        <v>1914</v>
      </c>
      <c r="F4" s="27" t="n">
        <v>1804</v>
      </c>
      <c r="G4" s="27" t="n">
        <f aca="false">IF(OR(E4="",F4=""),"",F4-E4)</f>
        <v>-110</v>
      </c>
      <c r="H4" s="27" t="n">
        <v>2060</v>
      </c>
      <c r="I4" s="27" t="n">
        <v>2030</v>
      </c>
      <c r="J4" s="27" t="n">
        <f aca="false">IF(OR(H4="",I4=""),"",I4-H4)</f>
        <v>-30</v>
      </c>
      <c r="K4" s="27" t="n">
        <v>1949</v>
      </c>
      <c r="L4" s="27" t="n">
        <v>1759</v>
      </c>
      <c r="M4" s="27" t="n">
        <f aca="false">IF(OR(K4="",L4=""),"",L4-K4)</f>
        <v>-190</v>
      </c>
    </row>
    <row r="5" s="22" customFormat="true" ht="25.5" hidden="false" customHeight="true" outlineLevel="0" collapsed="false">
      <c r="A5" s="25" t="s">
        <v>12</v>
      </c>
      <c r="B5" s="26" t="s">
        <v>472</v>
      </c>
      <c r="C5" s="26" t="s">
        <v>473</v>
      </c>
      <c r="D5" s="26" t="s">
        <v>2179</v>
      </c>
      <c r="E5" s="27" t="n">
        <v>1934</v>
      </c>
      <c r="F5" s="27" t="n">
        <v>1924</v>
      </c>
      <c r="G5" s="27" t="n">
        <f aca="false">IF(OR(E5="",F5=""),"",F5-E5)</f>
        <v>-10</v>
      </c>
      <c r="H5" s="27" t="n">
        <v>2000</v>
      </c>
      <c r="I5" s="27"/>
      <c r="J5" s="27" t="str">
        <f aca="false">IF(OR(H5="",I5=""),"",I5-H5)</f>
        <v/>
      </c>
      <c r="K5" s="27" t="n">
        <v>1994</v>
      </c>
      <c r="L5" s="27" t="n">
        <v>1994</v>
      </c>
      <c r="M5" s="27" t="n">
        <f aca="false">IF(OR(K5="",L5=""),"",L5-K5)</f>
        <v>0</v>
      </c>
    </row>
    <row r="6" s="22" customFormat="true" ht="25.5" hidden="false" customHeight="true" outlineLevel="0" collapsed="false">
      <c r="A6" s="25" t="s">
        <v>6</v>
      </c>
      <c r="B6" s="26" t="s">
        <v>580</v>
      </c>
      <c r="C6" s="26" t="s">
        <v>582</v>
      </c>
      <c r="D6" s="26" t="s">
        <v>2179</v>
      </c>
      <c r="E6" s="27" t="n">
        <v>1944</v>
      </c>
      <c r="F6" s="27" t="n">
        <v>1894</v>
      </c>
      <c r="G6" s="27" t="n">
        <f aca="false">IF(OR(E6="",F6=""),"",F6-E6)</f>
        <v>-50</v>
      </c>
      <c r="H6" s="27"/>
      <c r="I6" s="27"/>
      <c r="J6" s="27" t="str">
        <f aca="false">IF(OR(H6="",I6=""),"",I6-H6)</f>
        <v/>
      </c>
      <c r="K6" s="27" t="n">
        <v>1944</v>
      </c>
      <c r="L6" s="27" t="n">
        <v>1894</v>
      </c>
      <c r="M6" s="27" t="n">
        <f aca="false">IF(OR(K6="",L6=""),"",L6-K6)</f>
        <v>-50</v>
      </c>
    </row>
    <row r="7" s="22" customFormat="true" ht="25.5" hidden="false" customHeight="true" outlineLevel="0" collapsed="false">
      <c r="A7" s="25" t="s">
        <v>12</v>
      </c>
      <c r="B7" s="26" t="s">
        <v>780</v>
      </c>
      <c r="C7" s="26" t="s">
        <v>781</v>
      </c>
      <c r="D7" s="26" t="s">
        <v>2179</v>
      </c>
      <c r="E7" s="27" t="n">
        <v>1959</v>
      </c>
      <c r="F7" s="27" t="n">
        <v>1959</v>
      </c>
      <c r="G7" s="27" t="n">
        <f aca="false">IF(OR(E7="",F7=""),"",F7-E7)</f>
        <v>0</v>
      </c>
      <c r="H7" s="27"/>
      <c r="I7" s="27"/>
      <c r="J7" s="27" t="str">
        <f aca="false">IF(OR(H7="",I7=""),"",I7-H7)</f>
        <v/>
      </c>
      <c r="K7" s="27" t="n">
        <v>2195</v>
      </c>
      <c r="L7" s="27" t="n">
        <v>2159</v>
      </c>
      <c r="M7" s="27" t="n">
        <f aca="false">IF(OR(K7="",L7=""),"",L7-K7)</f>
        <v>-36</v>
      </c>
    </row>
    <row r="8" s="22" customFormat="true" ht="25.5" hidden="false" customHeight="true" outlineLevel="0" collapsed="false">
      <c r="A8" s="25" t="s">
        <v>10</v>
      </c>
      <c r="B8" s="26" t="s">
        <v>1395</v>
      </c>
      <c r="C8" s="26" t="s">
        <v>1412</v>
      </c>
      <c r="D8" s="26" t="s">
        <v>2179</v>
      </c>
      <c r="E8" s="27" t="n">
        <v>1884</v>
      </c>
      <c r="F8" s="27" t="n">
        <v>1914</v>
      </c>
      <c r="G8" s="27" t="n">
        <f aca="false">IF(OR(E8="",F8=""),"",F8-E8)</f>
        <v>30</v>
      </c>
      <c r="H8" s="27"/>
      <c r="I8" s="27"/>
      <c r="J8" s="27" t="str">
        <f aca="false">IF(OR(H8="",I8=""),"",I8-H8)</f>
        <v/>
      </c>
      <c r="K8" s="27" t="n">
        <v>1957</v>
      </c>
      <c r="L8" s="27" t="n">
        <v>1957</v>
      </c>
      <c r="M8" s="27" t="n">
        <f aca="false">IF(OR(K8="",L8=""),"",L8-K8)</f>
        <v>0</v>
      </c>
    </row>
    <row r="9" s="22" customFormat="true" ht="25.5" hidden="false" customHeight="true" outlineLevel="0" collapsed="false">
      <c r="A9" s="25" t="s">
        <v>6</v>
      </c>
      <c r="B9" s="26" t="s">
        <v>1553</v>
      </c>
      <c r="C9" s="26" t="s">
        <v>1554</v>
      </c>
      <c r="D9" s="26" t="s">
        <v>2179</v>
      </c>
      <c r="E9" s="27" t="n">
        <v>1895</v>
      </c>
      <c r="F9" s="27" t="n">
        <v>1945</v>
      </c>
      <c r="G9" s="27" t="n">
        <f aca="false">IF(OR(E9="",F9=""),"",F9-E9)</f>
        <v>50</v>
      </c>
      <c r="H9" s="27"/>
      <c r="I9" s="27"/>
      <c r="J9" s="27" t="str">
        <f aca="false">IF(OR(H9="",I9=""),"",I9-H9)</f>
        <v/>
      </c>
      <c r="K9" s="27" t="n">
        <v>1895</v>
      </c>
      <c r="L9" s="27" t="n">
        <v>1945</v>
      </c>
      <c r="M9" s="27" t="n">
        <f aca="false">IF(OR(K9="",L9=""),"",L9-K9)</f>
        <v>50</v>
      </c>
    </row>
    <row r="10" s="22" customFormat="true" ht="25.5" hidden="false" customHeight="true" outlineLevel="0" collapsed="false">
      <c r="A10" s="25" t="s">
        <v>6</v>
      </c>
      <c r="B10" s="26" t="s">
        <v>1556</v>
      </c>
      <c r="C10" s="26" t="s">
        <v>1557</v>
      </c>
      <c r="D10" s="26" t="s">
        <v>2179</v>
      </c>
      <c r="E10" s="27" t="n">
        <v>1895</v>
      </c>
      <c r="F10" s="27" t="n">
        <v>1945</v>
      </c>
      <c r="G10" s="27" t="n">
        <f aca="false">IF(OR(E10="",F10=""),"",F10-E10)</f>
        <v>50</v>
      </c>
      <c r="H10" s="27"/>
      <c r="I10" s="27"/>
      <c r="J10" s="27" t="str">
        <f aca="false">IF(OR(H10="",I10=""),"",I10-H10)</f>
        <v/>
      </c>
      <c r="K10" s="27" t="n">
        <v>1895</v>
      </c>
      <c r="L10" s="27" t="n">
        <v>1945</v>
      </c>
      <c r="M10" s="27" t="n">
        <f aca="false">IF(OR(K10="",L10=""),"",L10-K10)</f>
        <v>50</v>
      </c>
    </row>
    <row r="11" s="22" customFormat="true" ht="25.5" hidden="false" customHeight="true" outlineLevel="0" collapsed="false">
      <c r="A11" s="25" t="s">
        <v>6</v>
      </c>
      <c r="B11" s="26" t="s">
        <v>1559</v>
      </c>
      <c r="C11" s="26" t="s">
        <v>1560</v>
      </c>
      <c r="D11" s="26" t="s">
        <v>2179</v>
      </c>
      <c r="E11" s="27" t="n">
        <v>1895</v>
      </c>
      <c r="F11" s="27" t="n">
        <v>1945</v>
      </c>
      <c r="G11" s="27" t="n">
        <f aca="false">IF(OR(E11="",F11=""),"",F11-E11)</f>
        <v>50</v>
      </c>
      <c r="H11" s="27"/>
      <c r="I11" s="27"/>
      <c r="J11" s="27" t="str">
        <f aca="false">IF(OR(H11="",I11=""),"",I11-H11)</f>
        <v/>
      </c>
      <c r="K11" s="27" t="n">
        <v>1895</v>
      </c>
      <c r="L11" s="27" t="n">
        <v>1945</v>
      </c>
      <c r="M11" s="27" t="n">
        <f aca="false">IF(OR(K11="",L11=""),"",L11-K11)</f>
        <v>50</v>
      </c>
    </row>
    <row r="12" s="22" customFormat="true" ht="25.5" hidden="false" customHeight="true" outlineLevel="0" collapsed="false">
      <c r="A12" s="25" t="s">
        <v>6</v>
      </c>
      <c r="B12" s="26" t="s">
        <v>1603</v>
      </c>
      <c r="C12" s="26" t="s">
        <v>1604</v>
      </c>
      <c r="D12" s="26" t="s">
        <v>2179</v>
      </c>
      <c r="E12" s="27" t="n">
        <v>1825</v>
      </c>
      <c r="F12" s="27" t="n">
        <v>1865</v>
      </c>
      <c r="G12" s="27" t="n">
        <f aca="false">IF(OR(E12="",F12=""),"",F12-E12)</f>
        <v>40</v>
      </c>
      <c r="H12" s="27"/>
      <c r="I12" s="27"/>
      <c r="J12" s="27" t="str">
        <f aca="false">IF(OR(H12="",I12=""),"",I12-H12)</f>
        <v/>
      </c>
      <c r="K12" s="27" t="n">
        <v>1845</v>
      </c>
      <c r="L12" s="27" t="n">
        <v>1885</v>
      </c>
      <c r="M12" s="27" t="n">
        <f aca="false">IF(OR(K12="",L12=""),"",L12-K12)</f>
        <v>40</v>
      </c>
    </row>
    <row r="13" s="22" customFormat="true" ht="25.5" hidden="false" customHeight="true" outlineLevel="0" collapsed="false">
      <c r="A13" s="25" t="s">
        <v>12</v>
      </c>
      <c r="B13" s="26" t="s">
        <v>1973</v>
      </c>
      <c r="C13" s="26" t="s">
        <v>1974</v>
      </c>
      <c r="D13" s="26" t="s">
        <v>2179</v>
      </c>
      <c r="E13" s="27" t="n">
        <v>1859</v>
      </c>
      <c r="F13" s="27" t="n">
        <v>1849</v>
      </c>
      <c r="G13" s="27" t="n">
        <f aca="false">IF(OR(E13="",F13=""),"",F13-E13)</f>
        <v>-10</v>
      </c>
      <c r="H13" s="27"/>
      <c r="I13" s="27"/>
      <c r="J13" s="27" t="str">
        <f aca="false">IF(OR(H13="",I13=""),"",I13-H13)</f>
        <v/>
      </c>
      <c r="K13" s="27" t="n">
        <v>1799</v>
      </c>
      <c r="L13" s="27" t="n">
        <v>1799</v>
      </c>
      <c r="M13" s="27" t="n">
        <f aca="false">IF(OR(K13="",L13=""),"",L13-K13)</f>
        <v>0</v>
      </c>
    </row>
    <row r="14" s="22" customFormat="true" ht="25.5" hidden="false" customHeight="true" outlineLevel="0" collapsed="false">
      <c r="A14" s="25" t="s">
        <v>6</v>
      </c>
      <c r="B14" s="26" t="s">
        <v>2096</v>
      </c>
      <c r="C14" s="26" t="s">
        <v>2097</v>
      </c>
      <c r="D14" s="26" t="s">
        <v>2179</v>
      </c>
      <c r="E14" s="27" t="n">
        <v>1914</v>
      </c>
      <c r="F14" s="27" t="n">
        <v>1804</v>
      </c>
      <c r="G14" s="27" t="n">
        <f aca="false">IF(OR(E14="",F14=""),"",F14-E14)</f>
        <v>-110</v>
      </c>
      <c r="H14" s="27"/>
      <c r="I14" s="27"/>
      <c r="J14" s="27" t="str">
        <f aca="false">IF(OR(H14="",I14=""),"",I14-H14)</f>
        <v/>
      </c>
      <c r="K14" s="27" t="n">
        <v>1949</v>
      </c>
      <c r="L14" s="27" t="n">
        <v>1759</v>
      </c>
      <c r="M14" s="27" t="n">
        <f aca="false">IF(OR(K14="",L14=""),"",L14-K14)</f>
        <v>-190</v>
      </c>
    </row>
    <row r="15" s="22" customFormat="true" ht="25.5" hidden="false" customHeight="true" outlineLevel="0" collapsed="false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2" customFormat="true" ht="25.5" hidden="false" customHeight="true" outlineLevel="0" collapsed="false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2" customFormat="true" ht="25.5" hidden="false" customHeight="true" outlineLevel="0" collapsed="false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2" customFormat="true" ht="25.5" hidden="false" customHeight="true" outlineLevel="0" collapsed="false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2" customFormat="true" ht="25.5" hidden="false" customHeight="true" outlineLevel="0" collapsed="false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2" customFormat="true" ht="25.5" hidden="false" customHeight="true" outlineLevel="0" collapsed="false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2" customFormat="true" ht="25.5" hidden="false" customHeight="true" outlineLevel="0" collapsed="false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2" customFormat="true" ht="25.5" hidden="false" customHeight="true" outlineLevel="0" collapsed="false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2" customFormat="true" ht="25.5" hidden="false" customHeight="true" outlineLevel="0" collapsed="false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2" customFormat="true" ht="25.5" hidden="false" customHeight="true" outlineLevel="0" collapsed="false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2" customFormat="true" ht="25.5" hidden="false" customHeight="true" outlineLevel="0" collapsed="false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2" customFormat="true" ht="25.5" hidden="false" customHeight="true" outlineLevel="0" collapsed="false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2" customFormat="true" ht="25.5" hidden="false" customHeight="true" outlineLevel="0" collapsed="false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2" customFormat="true" ht="25.5" hidden="false" customHeight="true" outlineLevel="0" collapsed="false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ustomFormat="true" ht="25.5" hidden="false" customHeight="true" outlineLevel="0" collapsed="false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ustomFormat="true" ht="25.5" hidden="false" customHeight="true" outlineLevel="0" collapsed="false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ustomFormat="true" ht="25.5" hidden="false" customHeight="true" outlineLevel="0" collapsed="false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ustomFormat="true" ht="25.5" hidden="false" customHeight="true" outlineLevel="0" collapsed="false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ustomFormat="true" ht="25.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ustomFormat="true" ht="25.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ustomFormat="true" ht="25.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ustomFormat="true" ht="25.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ustomFormat="true" ht="25.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ustomFormat="true" ht="25.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ustomFormat="true" ht="25.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ustomFormat="true" ht="25.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ustomFormat="true" ht="25.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ustomFormat="true" ht="25.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ustomFormat="true" ht="25.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ustomFormat="true" ht="25.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ustomFormat="true" ht="25.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ustomFormat="true" ht="25.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ustomFormat="true" ht="25.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ustomFormat="true" ht="25.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ustomFormat="true" ht="25.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ustomFormat="true" ht="25.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ustomFormat="true" ht="25.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ustomFormat="true" ht="25.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ustomFormat="true" ht="25.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ustomFormat="true" ht="25.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ustomFormat="true" ht="25.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ustomFormat="true" ht="25.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ustomFormat="true" ht="25.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ustomFormat="true" ht="25.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ustomFormat="true" ht="25.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ustomFormat="true" ht="25.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ustomFormat="true" ht="25.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ustomFormat="true" ht="25.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ustomFormat="true" ht="25.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ustomFormat="true" ht="25.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ustomFormat="true" ht="25.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ustomFormat="true" ht="25.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ustomFormat="true" ht="25.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ustomFormat="true" ht="25.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ustomFormat="true" ht="25.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ustomFormat="true" ht="25.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ustomFormat="true" ht="25.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ustomFormat="true" ht="25.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ustomFormat="true" ht="25.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ustomFormat="true" ht="25.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ustomFormat="true" ht="25.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ustomFormat="true" ht="25.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ustomFormat="true" ht="25.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ustomFormat="true" ht="25.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ustomFormat="true" ht="25.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ustomFormat="true" ht="25.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ustomFormat="true" ht="25.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ustomFormat="true" ht="25.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ustomFormat="true" ht="25.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ustomFormat="true" ht="25.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ustomFormat="true" ht="25.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ustomFormat="true" ht="25.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ustomFormat="true" ht="25.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ustomFormat="true" ht="25.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ustomFormat="true" ht="25.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ustomFormat="true" ht="25.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ustomFormat="true" ht="25.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ustomFormat="true" ht="25.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ustomFormat="true" ht="25.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ustomFormat="true" ht="25.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ustomFormat="true" ht="25.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ustomFormat="true" ht="25.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ustomFormat="true" ht="25.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ustomFormat="true" ht="25.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ustomFormat="true" ht="25.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ustomFormat="true" ht="25.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ustomFormat="true" ht="25.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ustomFormat="true" ht="25.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ustomFormat="true" ht="25.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ustomFormat="true" ht="25.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ustomFormat="true" ht="25.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ustomFormat="true" ht="25.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ustomFormat="true" ht="25.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ustomFormat="true" ht="25.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ustomFormat="true" ht="25.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ustomFormat="true" ht="25.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ustomFormat="true" ht="25.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ustomFormat="true" ht="25.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ustomFormat="true" ht="25.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ustomFormat="true" ht="25.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ustomFormat="true" ht="25.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ustomFormat="true" ht="25.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ustomFormat="true" ht="25.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ustomFormat="true" ht="25.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ustomFormat="true" ht="25.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ustomFormat="true" ht="25.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ustomFormat="true" ht="25.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ustomFormat="true" ht="25.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ustomFormat="true" ht="25.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ustomFormat="true" ht="25.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ustomFormat="true" ht="25.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ustomFormat="true" ht="25.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ustomFormat="true" ht="25.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ustomFormat="true" ht="25.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ustomFormat="true" ht="25.5" hidden="false" customHeight="true" outlineLevel="0" collapsed="false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ustomFormat="true" ht="25.5" hidden="false" customHeight="true" outlineLevel="0" collapsed="false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ustomFormat="true" ht="25.5" hidden="false" customHeight="true" outlineLevel="0" collapsed="false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ustomFormat="true" ht="25.5" hidden="false" customHeight="true" outlineLevel="0" collapsed="false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ustomFormat="true" ht="25.5" hidden="false" customHeight="true" outlineLevel="0" collapsed="false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ustomFormat="true" ht="25.5" hidden="false" customHeight="true" outlineLevel="0" collapsed="false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ustomFormat="true" ht="25.5" hidden="false" customHeight="true" outlineLevel="0" collapsed="false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ustomFormat="true" ht="25.5" hidden="false" customHeight="true" outlineLevel="0" collapsed="false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ustomFormat="true" ht="25.5" hidden="false" customHeight="true" outlineLevel="0" collapsed="false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ustomFormat="true" ht="25.5" hidden="false" customHeight="true" outlineLevel="0" collapsed="false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ustomFormat="true" ht="25.5" hidden="false" customHeight="true" outlineLevel="0" collapsed="false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ustomFormat="true" ht="25.5" hidden="false" customHeight="true" outlineLevel="0" collapsed="false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ustomFormat="true" ht="25.5" hidden="false" customHeight="true" outlineLevel="0" collapsed="false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ustomFormat="true" ht="25.5" hidden="false" customHeight="true" outlineLevel="0" collapsed="false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ustomFormat="true" ht="25.5" hidden="false" customHeight="true" outlineLevel="0" collapsed="false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ustomFormat="true" ht="25.5" hidden="false" customHeight="true" outlineLevel="0" collapsed="false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ustomFormat="true" ht="25.5" hidden="false" customHeight="true" outlineLevel="0" collapsed="false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ustomFormat="true" ht="25.5" hidden="false" customHeight="true" outlineLevel="0" collapsed="false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ustomFormat="true" ht="25.5" hidden="false" customHeight="true" outlineLevel="0" collapsed="false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ustomFormat="true" ht="25.5" hidden="false" customHeight="true" outlineLevel="0" collapsed="false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ustomFormat="true" ht="25.5" hidden="false" customHeight="true" outlineLevel="0" collapsed="false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ustomFormat="true" ht="25.5" hidden="false" customHeight="true" outlineLevel="0" collapsed="false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ustomFormat="true" ht="25.5" hidden="false" customHeight="true" outlineLevel="0" collapsed="false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ustomFormat="true" ht="25.5" hidden="false" customHeight="true" outlineLevel="0" collapsed="false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ustomFormat="true" ht="25.5" hidden="false" customHeight="true" outlineLevel="0" collapsed="false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ustomFormat="true" ht="25.5" hidden="false" customHeight="true" outlineLevel="0" collapsed="false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ustomFormat="true" ht="25.5" hidden="false" customHeight="true" outlineLevel="0" collapsed="false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ustomFormat="true" ht="25.5" hidden="false" customHeight="true" outlineLevel="0" collapsed="false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ustomFormat="true" ht="25.5" hidden="false" customHeight="true" outlineLevel="0" collapsed="false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ustomFormat="true" ht="25.5" hidden="false" customHeight="true" outlineLevel="0" collapsed="false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ustomFormat="true" ht="25.5" hidden="false" customHeight="true" outlineLevel="0" collapsed="false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ustomFormat="true" ht="25.5" hidden="false" customHeight="true" outlineLevel="0" collapsed="false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ustomFormat="true" ht="25.5" hidden="false" customHeight="true" outlineLevel="0" collapsed="false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ustomFormat="true" ht="25.5" hidden="false" customHeight="true" outlineLevel="0" collapsed="false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ustomFormat="true" ht="25.5" hidden="false" customHeight="true" outlineLevel="0" collapsed="false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ustomFormat="true" ht="25.5" hidden="false" customHeight="true" outlineLevel="0" collapsed="false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ustomFormat="true" ht="25.5" hidden="false" customHeight="true" outlineLevel="0" collapsed="false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ustomFormat="true" ht="25.5" hidden="false" customHeight="true" outlineLevel="0" collapsed="false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ustomFormat="true" ht="25.5" hidden="false" customHeight="true" outlineLevel="0" collapsed="false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ustomFormat="true" ht="25.5" hidden="false" customHeight="true" outlineLevel="0" collapsed="false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ustomFormat="true" ht="25.5" hidden="false" customHeight="true" outlineLevel="0" collapsed="false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ustomFormat="true" ht="25.5" hidden="false" customHeight="true" outlineLevel="0" collapsed="false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ustomFormat="true" ht="25.5" hidden="false" customHeight="true" outlineLevel="0" collapsed="false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ustomFormat="true" ht="25.5" hidden="false" customHeight="true" outlineLevel="0" collapsed="false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ustomFormat="true" ht="25.5" hidden="false" customHeight="true" outlineLevel="0" collapsed="false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ustomFormat="true" ht="25.5" hidden="false" customHeight="true" outlineLevel="0" collapsed="false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ustomFormat="true" ht="25.5" hidden="false" customHeight="true" outlineLevel="0" collapsed="false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ustomFormat="true" ht="25.5" hidden="false" customHeight="true" outlineLevel="0" collapsed="false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ustomFormat="true" ht="25.5" hidden="false" customHeight="true" outlineLevel="0" collapsed="false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ustomFormat="true" ht="25.5" hidden="false" customHeight="true" outlineLevel="0" collapsed="false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ustomFormat="true" ht="25.5" hidden="false" customHeight="true" outlineLevel="0" collapsed="false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ustomFormat="true" ht="25.5" hidden="false" customHeight="true" outlineLevel="0" collapsed="false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ustomFormat="true" ht="25.5" hidden="false" customHeight="true" outlineLevel="0" collapsed="false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ustomFormat="true" ht="25.5" hidden="false" customHeight="true" outlineLevel="0" collapsed="false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ustomFormat="true" ht="25.5" hidden="false" customHeight="true" outlineLevel="0" collapsed="false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ustomFormat="true" ht="25.5" hidden="false" customHeight="true" outlineLevel="0" collapsed="false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ustomFormat="true" ht="25.5" hidden="false" customHeight="true" outlineLevel="0" collapsed="false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ustomFormat="true" ht="25.5" hidden="false" customHeight="true" outlineLevel="0" collapsed="false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ustomFormat="true" ht="25.5" hidden="false" customHeight="true" outlineLevel="0" collapsed="false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ustomFormat="true" ht="25.5" hidden="false" customHeight="true" outlineLevel="0" collapsed="false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ustomFormat="true" ht="25.5" hidden="false" customHeight="true" outlineLevel="0" collapsed="false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ustomFormat="true" ht="25.5" hidden="false" customHeight="true" outlineLevel="0" collapsed="false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ustomFormat="true" ht="25.5" hidden="false" customHeight="true" outlineLevel="0" collapsed="false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ustomFormat="true" ht="25.5" hidden="false" customHeight="true" outlineLevel="0" collapsed="false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ustomFormat="true" ht="25.5" hidden="false" customHeight="true" outlineLevel="0" collapsed="false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ustomFormat="true" ht="25.5" hidden="false" customHeight="true" outlineLevel="0" collapsed="false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ustomFormat="true" ht="25.5" hidden="false" customHeight="true" outlineLevel="0" collapsed="false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ustomFormat="true" ht="25.5" hidden="false" customHeight="true" outlineLevel="0" collapsed="false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ustomFormat="true" ht="25.5" hidden="false" customHeight="true" outlineLevel="0" collapsed="false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ustomFormat="true" ht="25.5" hidden="false" customHeight="true" outlineLevel="0" collapsed="false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ustomFormat="true" ht="25.5" hidden="false" customHeight="true" outlineLevel="0" collapsed="false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ustomFormat="true" ht="25.5" hidden="false" customHeight="true" outlineLevel="0" collapsed="false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ustomFormat="true" ht="25.5" hidden="false" customHeight="true" outlineLevel="0" collapsed="false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ustomFormat="true" ht="25.5" hidden="false" customHeight="true" outlineLevel="0" collapsed="false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ustomFormat="true" ht="25.5" hidden="false" customHeight="true" outlineLevel="0" collapsed="false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ustomFormat="true" ht="25.5" hidden="false" customHeight="true" outlineLevel="0" collapsed="false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ustomFormat="true" ht="25.5" hidden="false" customHeight="true" outlineLevel="0" collapsed="false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ustomFormat="true" ht="25.5" hidden="false" customHeight="true" outlineLevel="0" collapsed="false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ustomFormat="true" ht="25.5" hidden="false" customHeight="true" outlineLevel="0" collapsed="false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ustomFormat="true" ht="25.5" hidden="false" customHeight="true" outlineLevel="0" collapsed="false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ustomFormat="true" ht="25.5" hidden="false" customHeight="true" outlineLevel="0" collapsed="false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ustomFormat="true" ht="25.5" hidden="false" customHeight="true" outlineLevel="0" collapsed="false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ustomFormat="true" ht="25.5" hidden="false" customHeight="true" outlineLevel="0" collapsed="false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ustomFormat="true" ht="25.5" hidden="false" customHeight="true" outlineLevel="0" collapsed="false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ustomFormat="true" ht="25.5" hidden="false" customHeight="true" outlineLevel="0" collapsed="false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ustomFormat="true" ht="25.5" hidden="false" customHeight="true" outlineLevel="0" collapsed="false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ustomFormat="true" ht="25.5" hidden="false" customHeight="true" outlineLevel="0" collapsed="false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ustomFormat="true" ht="25.5" hidden="false" customHeight="true" outlineLevel="0" collapsed="false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ustomFormat="true" ht="25.5" hidden="false" customHeight="true" outlineLevel="0" collapsed="false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ustomFormat="true" ht="25.5" hidden="false" customHeight="true" outlineLevel="0" collapsed="false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ustomFormat="true" ht="25.5" hidden="false" customHeight="true" outlineLevel="0" collapsed="false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ustomFormat="true" ht="25.5" hidden="false" customHeight="true" outlineLevel="0" collapsed="false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ustomFormat="true" ht="25.5" hidden="false" customHeight="true" outlineLevel="0" collapsed="false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ustomFormat="true" ht="25.5" hidden="false" customHeight="true" outlineLevel="0" collapsed="false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ustomFormat="true" ht="25.5" hidden="false" customHeight="true" outlineLevel="0" collapsed="false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ustomFormat="true" ht="25.5" hidden="false" customHeight="true" outlineLevel="0" collapsed="false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ustomFormat="true" ht="25.5" hidden="false" customHeight="true" outlineLevel="0" collapsed="false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ustomFormat="true" ht="25.5" hidden="false" customHeight="true" outlineLevel="0" collapsed="false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ustomFormat="true" ht="25.5" hidden="false" customHeight="true" outlineLevel="0" collapsed="false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ustomFormat="true" ht="25.5" hidden="false" customHeight="true" outlineLevel="0" collapsed="false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ustomFormat="true" ht="25.5" hidden="false" customHeight="true" outlineLevel="0" collapsed="false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ustomFormat="true" ht="25.5" hidden="false" customHeight="true" outlineLevel="0" collapsed="false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ustomFormat="true" ht="25.5" hidden="false" customHeight="true" outlineLevel="0" collapsed="false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ustomFormat="true" ht="25.5" hidden="false" customHeight="true" outlineLevel="0" collapsed="false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ustomFormat="true" ht="25.5" hidden="false" customHeight="true" outlineLevel="0" collapsed="false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ustomFormat="true" ht="25.5" hidden="false" customHeight="true" outlineLevel="0" collapsed="false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ustomFormat="true" ht="25.5" hidden="false" customHeight="true" outlineLevel="0" collapsed="false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ustomFormat="true" ht="25.5" hidden="false" customHeight="true" outlineLevel="0" collapsed="false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ustomFormat="true" ht="25.5" hidden="false" customHeight="true" outlineLevel="0" collapsed="false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ustomFormat="true" ht="25.5" hidden="false" customHeight="true" outlineLevel="0" collapsed="false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ustomFormat="true" ht="25.5" hidden="false" customHeight="true" outlineLevel="0" collapsed="false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ustomFormat="true" ht="25.5" hidden="false" customHeight="true" outlineLevel="0" collapsed="false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ustomFormat="true" ht="25.5" hidden="false" customHeight="true" outlineLevel="0" collapsed="false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ustomFormat="true" ht="25.5" hidden="false" customHeight="true" outlineLevel="0" collapsed="false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ustomFormat="true" ht="25.5" hidden="false" customHeight="true" outlineLevel="0" collapsed="false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ustomFormat="true" ht="25.5" hidden="false" customHeight="true" outlineLevel="0" collapsed="false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ustomFormat="true" ht="25.5" hidden="false" customHeight="true" outlineLevel="0" collapsed="false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ustomFormat="true" ht="25.5" hidden="false" customHeight="true" outlineLevel="0" collapsed="false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ustomFormat="true" ht="25.5" hidden="false" customHeight="true" outlineLevel="0" collapsed="false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ustomFormat="true" ht="25.5" hidden="false" customHeight="true" outlineLevel="0" collapsed="false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ustomFormat="true" ht="25.5" hidden="false" customHeight="true" outlineLevel="0" collapsed="false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ustomFormat="true" ht="25.5" hidden="false" customHeight="true" outlineLevel="0" collapsed="false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ustomFormat="true" ht="25.5" hidden="false" customHeight="true" outlineLevel="0" collapsed="false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ustomFormat="true" ht="25.5" hidden="false" customHeight="true" outlineLevel="0" collapsed="false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ustomFormat="true" ht="25.5" hidden="false" customHeight="true" outlineLevel="0" collapsed="false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ustomFormat="true" ht="25.5" hidden="false" customHeight="true" outlineLevel="0" collapsed="false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ustomFormat="true" ht="25.5" hidden="false" customHeight="true" outlineLevel="0" collapsed="false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ustomFormat="true" ht="25.5" hidden="false" customHeight="true" outlineLevel="0" collapsed="false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ustomFormat="true" ht="25.5" hidden="false" customHeight="true" outlineLevel="0" collapsed="false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ustomFormat="true" ht="25.5" hidden="false" customHeight="true" outlineLevel="0" collapsed="false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ustomFormat="true" ht="25.5" hidden="false" customHeight="true" outlineLevel="0" collapsed="false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ustomFormat="true" ht="25.5" hidden="false" customHeight="true" outlineLevel="0" collapsed="false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ustomFormat="true" ht="25.5" hidden="false" customHeight="true" outlineLevel="0" collapsed="false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ustomFormat="true" ht="25.5" hidden="false" customHeight="true" outlineLevel="0" collapsed="false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ustomFormat="true" ht="25.5" hidden="false" customHeight="true" outlineLevel="0" collapsed="false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ustomFormat="true" ht="25.5" hidden="false" customHeight="true" outlineLevel="0" collapsed="false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ustomFormat="true" ht="25.5" hidden="false" customHeight="true" outlineLevel="0" collapsed="false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ustomFormat="true" ht="25.5" hidden="false" customHeight="true" outlineLevel="0" collapsed="false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ustomFormat="true" ht="25.5" hidden="false" customHeight="true" outlineLevel="0" collapsed="false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ustomFormat="true" ht="25.5" hidden="false" customHeight="true" outlineLevel="0" collapsed="false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ustomFormat="true" ht="25.5" hidden="false" customHeight="true" outlineLevel="0" collapsed="false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ustomFormat="true" ht="25.5" hidden="false" customHeight="true" outlineLevel="0" collapsed="false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ustomFormat="true" ht="25.5" hidden="false" customHeight="true" outlineLevel="0" collapsed="false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ustomFormat="true" ht="25.5" hidden="false" customHeight="true" outlineLevel="0" collapsed="false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ustomFormat="true" ht="25.5" hidden="false" customHeight="true" outlineLevel="0" collapsed="false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ustomFormat="true" ht="25.5" hidden="false" customHeight="true" outlineLevel="0" collapsed="false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ustomFormat="true" ht="25.5" hidden="false" customHeight="true" outlineLevel="0" collapsed="false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ustomFormat="true" ht="25.5" hidden="false" customHeight="true" outlineLevel="0" collapsed="false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ustomFormat="true" ht="25.5" hidden="false" customHeight="true" outlineLevel="0" collapsed="false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ustomFormat="true" ht="25.5" hidden="false" customHeight="true" outlineLevel="0" collapsed="false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ustomFormat="true" ht="25.5" hidden="false" customHeight="true" outlineLevel="0" collapsed="false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ustomFormat="true" ht="25.5" hidden="false" customHeight="true" outlineLevel="0" collapsed="false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ustomFormat="true" ht="25.5" hidden="false" customHeight="true" outlineLevel="0" collapsed="false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ustomFormat="true" ht="25.5" hidden="false" customHeight="true" outlineLevel="0" collapsed="false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ustomFormat="true" ht="25.5" hidden="false" customHeight="true" outlineLevel="0" collapsed="false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ustomFormat="true" ht="25.5" hidden="false" customHeight="true" outlineLevel="0" collapsed="false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ustomFormat="true" ht="25.5" hidden="false" customHeight="true" outlineLevel="0" collapsed="false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ustomFormat="true" ht="25.5" hidden="false" customHeight="true" outlineLevel="0" collapsed="false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ustomFormat="true" ht="25.5" hidden="false" customHeight="true" outlineLevel="0" collapsed="false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ustomFormat="true" ht="25.5" hidden="false" customHeight="true" outlineLevel="0" collapsed="false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ustomFormat="true" ht="25.5" hidden="false" customHeight="true" outlineLevel="0" collapsed="false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ustomFormat="true" ht="25.5" hidden="false" customHeight="true" outlineLevel="0" collapsed="false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ustomFormat="true" ht="25.5" hidden="false" customHeight="true" outlineLevel="0" collapsed="false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ustomFormat="true" ht="25.5" hidden="false" customHeight="true" outlineLevel="0" collapsed="false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ustomFormat="true" ht="25.5" hidden="false" customHeight="true" outlineLevel="0" collapsed="false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ustomFormat="true" ht="25.5" hidden="false" customHeight="true" outlineLevel="0" collapsed="false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ustomFormat="true" ht="25.5" hidden="false" customHeight="true" outlineLevel="0" collapsed="false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ustomFormat="true" ht="25.5" hidden="false" customHeight="true" outlineLevel="0" collapsed="false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ustomFormat="true" ht="25.5" hidden="false" customHeight="true" outlineLevel="0" collapsed="false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ustomFormat="true" ht="25.5" hidden="false" customHeight="true" outlineLevel="0" collapsed="false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ustomFormat="true" ht="25.5" hidden="false" customHeight="true" outlineLevel="0" collapsed="false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ustomFormat="true" ht="25.5" hidden="false" customHeight="true" outlineLevel="0" collapsed="false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ustomFormat="true" ht="25.5" hidden="false" customHeight="true" outlineLevel="0" collapsed="false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ustomFormat="true" ht="25.5" hidden="false" customHeight="true" outlineLevel="0" collapsed="false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ustomFormat="true" ht="25.5" hidden="false" customHeight="true" outlineLevel="0" collapsed="false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ustomFormat="true" ht="25.5" hidden="false" customHeight="true" outlineLevel="0" collapsed="false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ustomFormat="true" ht="25.5" hidden="false" customHeight="true" outlineLevel="0" collapsed="false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ustomFormat="true" ht="25.5" hidden="false" customHeight="true" outlineLevel="0" collapsed="false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ustomFormat="true" ht="25.5" hidden="false" customHeight="true" outlineLevel="0" collapsed="false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ustomFormat="true" ht="25.5" hidden="false" customHeight="true" outlineLevel="0" collapsed="false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ustomFormat="true" ht="25.5" hidden="false" customHeight="true" outlineLevel="0" collapsed="false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ustomFormat="true" ht="25.5" hidden="false" customHeight="true" outlineLevel="0" collapsed="false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ustomFormat="true" ht="25.5" hidden="false" customHeight="true" outlineLevel="0" collapsed="false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ustomFormat="true" ht="25.5" hidden="false" customHeight="true" outlineLevel="0" collapsed="false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ustomFormat="true" ht="25.5" hidden="false" customHeight="true" outlineLevel="0" collapsed="false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ustomFormat="true" ht="25.5" hidden="false" customHeight="true" outlineLevel="0" collapsed="false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ustomFormat="true" ht="25.5" hidden="false" customHeight="true" outlineLevel="0" collapsed="false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ustomFormat="true" ht="25.5" hidden="false" customHeight="true" outlineLevel="0" collapsed="false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ustomFormat="true" ht="25.5" hidden="false" customHeight="true" outlineLevel="0" collapsed="false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ustomFormat="true" ht="25.5" hidden="false" customHeight="true" outlineLevel="0" collapsed="false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ustomFormat="true" ht="25.5" hidden="false" customHeight="true" outlineLevel="0" collapsed="false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ustomFormat="true" ht="25.5" hidden="false" customHeight="true" outlineLevel="0" collapsed="false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ustomFormat="true" ht="25.5" hidden="false" customHeight="true" outlineLevel="0" collapsed="false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ustomFormat="true" ht="25.5" hidden="false" customHeight="true" outlineLevel="0" collapsed="false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ustomFormat="true" ht="25.5" hidden="false" customHeight="true" outlineLevel="0" collapsed="false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ustomFormat="true" ht="25.5" hidden="false" customHeight="true" outlineLevel="0" collapsed="false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ustomFormat="true" ht="25.5" hidden="false" customHeight="true" outlineLevel="0" collapsed="false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ustomFormat="true" ht="25.5" hidden="false" customHeight="true" outlineLevel="0" collapsed="false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ustomFormat="true" ht="25.5" hidden="false" customHeight="true" outlineLevel="0" collapsed="false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ustomFormat="true" ht="25.5" hidden="false" customHeight="true" outlineLevel="0" collapsed="false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ustomFormat="true" ht="25.5" hidden="false" customHeight="true" outlineLevel="0" collapsed="false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ustomFormat="true" ht="25.5" hidden="false" customHeight="true" outlineLevel="0" collapsed="false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ustomFormat="true" ht="25.5" hidden="false" customHeight="true" outlineLevel="0" collapsed="false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ustomFormat="true" ht="25.5" hidden="false" customHeight="true" outlineLevel="0" collapsed="false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ustomFormat="true" ht="25.5" hidden="false" customHeight="true" outlineLevel="0" collapsed="false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ustomFormat="true" ht="25.5" hidden="false" customHeight="true" outlineLevel="0" collapsed="false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ustomFormat="true" ht="25.5" hidden="false" customHeight="true" outlineLevel="0" collapsed="false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ustomFormat="true" ht="25.5" hidden="false" customHeight="true" outlineLevel="0" collapsed="false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ustomFormat="true" ht="25.5" hidden="false" customHeight="true" outlineLevel="0" collapsed="false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ustomFormat="true" ht="25.5" hidden="false" customHeight="true" outlineLevel="0" collapsed="false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ustomFormat="true" ht="25.5" hidden="false" customHeight="true" outlineLevel="0" collapsed="false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ustomFormat="true" ht="25.5" hidden="false" customHeight="true" outlineLevel="0" collapsed="false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ustomFormat="true" ht="25.5" hidden="false" customHeight="true" outlineLevel="0" collapsed="false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ustomFormat="true" ht="25.5" hidden="false" customHeight="true" outlineLevel="0" collapsed="false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ustomFormat="true" ht="25.5" hidden="false" customHeight="true" outlineLevel="0" collapsed="false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ustomFormat="true" ht="25.5" hidden="false" customHeight="true" outlineLevel="0" collapsed="false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ustomFormat="true" ht="25.5" hidden="false" customHeight="true" outlineLevel="0" collapsed="false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ustomFormat="true" ht="25.5" hidden="false" customHeight="true" outlineLevel="0" collapsed="false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ustomFormat="true" ht="25.5" hidden="false" customHeight="true" outlineLevel="0" collapsed="false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ustomFormat="true" ht="25.5" hidden="false" customHeight="true" outlineLevel="0" collapsed="false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ustomFormat="true" ht="25.5" hidden="false" customHeight="true" outlineLevel="0" collapsed="false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ustomFormat="true" ht="25.5" hidden="false" customHeight="true" outlineLevel="0" collapsed="false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ustomFormat="true" ht="25.5" hidden="false" customHeight="true" outlineLevel="0" collapsed="false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ustomFormat="true" ht="25.5" hidden="false" customHeight="true" outlineLevel="0" collapsed="false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ustomFormat="true" ht="25.5" hidden="false" customHeight="true" outlineLevel="0" collapsed="false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ustomFormat="true" ht="25.5" hidden="false" customHeight="true" outlineLevel="0" collapsed="false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ustomFormat="true" ht="25.5" hidden="false" customHeight="true" outlineLevel="0" collapsed="false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ustomFormat="true" ht="25.5" hidden="false" customHeight="true" outlineLevel="0" collapsed="false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ustomFormat="true" ht="25.5" hidden="false" customHeight="true" outlineLevel="0" collapsed="false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ustomFormat="true" ht="25.5" hidden="false" customHeight="true" outlineLevel="0" collapsed="false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ustomFormat="true" ht="25.5" hidden="false" customHeight="true" outlineLevel="0" collapsed="false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ustomFormat="true" ht="25.5" hidden="false" customHeight="true" outlineLevel="0" collapsed="false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ustomFormat="true" ht="25.5" hidden="false" customHeight="true" outlineLevel="0" collapsed="false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ustomFormat="true" ht="25.5" hidden="false" customHeight="true" outlineLevel="0" collapsed="false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ustomFormat="true" ht="25.5" hidden="false" customHeight="true" outlineLevel="0" collapsed="false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ustomFormat="true" ht="25.5" hidden="false" customHeight="true" outlineLevel="0" collapsed="false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ustomFormat="true" ht="25.5" hidden="false" customHeight="true" outlineLevel="0" collapsed="false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ustomFormat="true" ht="25.5" hidden="false" customHeight="true" outlineLevel="0" collapsed="false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ustomFormat="true" ht="25.5" hidden="false" customHeight="true" outlineLevel="0" collapsed="false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ustomFormat="true" ht="25.5" hidden="false" customHeight="true" outlineLevel="0" collapsed="false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ustomFormat="true" ht="25.5" hidden="false" customHeight="true" outlineLevel="0" collapsed="false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ustomFormat="true" ht="25.5" hidden="false" customHeight="true" outlineLevel="0" collapsed="false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ustomFormat="true" ht="25.5" hidden="false" customHeight="true" outlineLevel="0" collapsed="false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ustomFormat="true" ht="25.5" hidden="false" customHeight="true" outlineLevel="0" collapsed="false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ustomFormat="true" ht="25.5" hidden="false" customHeight="true" outlineLevel="0" collapsed="false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ustomFormat="true" ht="25.5" hidden="false" customHeight="true" outlineLevel="0" collapsed="false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ustomFormat="true" ht="25.5" hidden="false" customHeight="true" outlineLevel="0" collapsed="false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ustomFormat="true" ht="25.5" hidden="false" customHeight="true" outlineLevel="0" collapsed="false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ustomFormat="true" ht="25.5" hidden="false" customHeight="true" outlineLevel="0" collapsed="false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ustomFormat="true" ht="25.5" hidden="false" customHeight="true" outlineLevel="0" collapsed="false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ustomFormat="true" ht="25.5" hidden="false" customHeight="true" outlineLevel="0" collapsed="false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ustomFormat="true" ht="25.5" hidden="false" customHeight="true" outlineLevel="0" collapsed="false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ustomFormat="true" ht="25.5" hidden="false" customHeight="true" outlineLevel="0" collapsed="false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ustomFormat="true" ht="25.5" hidden="false" customHeight="true" outlineLevel="0" collapsed="false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ustomFormat="true" ht="25.5" hidden="false" customHeight="true" outlineLevel="0" collapsed="false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ustomFormat="true" ht="25.5" hidden="false" customHeight="true" outlineLevel="0" collapsed="false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ustomFormat="true" ht="25.5" hidden="false" customHeight="true" outlineLevel="0" collapsed="false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ustomFormat="true" ht="25.5" hidden="false" customHeight="true" outlineLevel="0" collapsed="false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ustomFormat="true" ht="25.5" hidden="false" customHeight="true" outlineLevel="0" collapsed="false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ustomFormat="true" ht="25.5" hidden="false" customHeight="true" outlineLevel="0" collapsed="false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ustomFormat="true" ht="25.5" hidden="false" customHeight="true" outlineLevel="0" collapsed="false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ustomFormat="true" ht="25.5" hidden="false" customHeight="true" outlineLevel="0" collapsed="false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ustomFormat="true" ht="25.5" hidden="false" customHeight="true" outlineLevel="0" collapsed="false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ustomFormat="true" ht="25.5" hidden="false" customHeight="true" outlineLevel="0" collapsed="false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ustomFormat="true" ht="25.5" hidden="false" customHeight="true" outlineLevel="0" collapsed="false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ustomFormat="true" ht="25.5" hidden="false" customHeight="true" outlineLevel="0" collapsed="false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ustomFormat="true" ht="25.5" hidden="false" customHeight="true" outlineLevel="0" collapsed="false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ustomFormat="true" ht="25.5" hidden="false" customHeight="true" outlineLevel="0" collapsed="false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ustomFormat="true" ht="25.5" hidden="false" customHeight="true" outlineLevel="0" collapsed="false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ustomFormat="true" ht="25.5" hidden="false" customHeight="true" outlineLevel="0" collapsed="false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ustomFormat="true" ht="25.5" hidden="false" customHeight="true" outlineLevel="0" collapsed="false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ustomFormat="true" ht="25.5" hidden="false" customHeight="true" outlineLevel="0" collapsed="false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ustomFormat="true" ht="25.5" hidden="false" customHeight="true" outlineLevel="0" collapsed="false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ustomFormat="true" ht="25.5" hidden="false" customHeight="true" outlineLevel="0" collapsed="false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ustomFormat="true" ht="25.5" hidden="false" customHeight="true" outlineLevel="0" collapsed="false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ustomFormat="true" ht="25.5" hidden="false" customHeight="true" outlineLevel="0" collapsed="false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ustomFormat="true" ht="25.5" hidden="false" customHeight="true" outlineLevel="0" collapsed="false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ustomFormat="true" ht="25.5" hidden="false" customHeight="true" outlineLevel="0" collapsed="false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ustomFormat="true" ht="25.5" hidden="false" customHeight="true" outlineLevel="0" collapsed="false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ustomFormat="true" ht="25.5" hidden="false" customHeight="true" outlineLevel="0" collapsed="false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ustomFormat="true" ht="25.5" hidden="false" customHeight="true" outlineLevel="0" collapsed="false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ustomFormat="true" ht="25.5" hidden="false" customHeight="true" outlineLevel="0" collapsed="false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ustomFormat="true" ht="25.5" hidden="false" customHeight="true" outlineLevel="0" collapsed="false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ustomFormat="true" ht="25.5" hidden="false" customHeight="true" outlineLevel="0" collapsed="false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ustomFormat="true" ht="25.5" hidden="false" customHeight="true" outlineLevel="0" collapsed="false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ustomFormat="true" ht="25.5" hidden="false" customHeight="true" outlineLevel="0" collapsed="false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ustomFormat="true" ht="25.5" hidden="false" customHeight="true" outlineLevel="0" collapsed="false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ustomFormat="true" ht="25.5" hidden="false" customHeight="true" outlineLevel="0" collapsed="false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ustomFormat="true" ht="25.5" hidden="false" customHeight="true" outlineLevel="0" collapsed="false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ustomFormat="true" ht="25.5" hidden="false" customHeight="true" outlineLevel="0" collapsed="false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ustomFormat="true" ht="25.5" hidden="false" customHeight="true" outlineLevel="0" collapsed="false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ustomFormat="true" ht="25.5" hidden="false" customHeight="true" outlineLevel="0" collapsed="false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ustomFormat="true" ht="25.5" hidden="false" customHeight="true" outlineLevel="0" collapsed="false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ustomFormat="true" ht="25.5" hidden="false" customHeight="true" outlineLevel="0" collapsed="false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ustomFormat="true" ht="25.5" hidden="false" customHeight="true" outlineLevel="0" collapsed="false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ustomFormat="true" ht="25.5" hidden="false" customHeight="true" outlineLevel="0" collapsed="false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ustomFormat="true" ht="25.5" hidden="false" customHeight="true" outlineLevel="0" collapsed="false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ustomFormat="true" ht="25.5" hidden="false" customHeight="true" outlineLevel="0" collapsed="false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ustomFormat="true" ht="25.5" hidden="false" customHeight="true" outlineLevel="0" collapsed="false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ustomFormat="true" ht="25.5" hidden="false" customHeight="true" outlineLevel="0" collapsed="false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ustomFormat="true" ht="25.5" hidden="false" customHeight="true" outlineLevel="0" collapsed="false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ustomFormat="true" ht="25.5" hidden="false" customHeight="true" outlineLevel="0" collapsed="false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ustomFormat="true" ht="25.5" hidden="false" customHeight="true" outlineLevel="0" collapsed="false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ustomFormat="true" ht="25.5" hidden="false" customHeight="true" outlineLevel="0" collapsed="false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ustomFormat="true" ht="25.5" hidden="false" customHeight="true" outlineLevel="0" collapsed="false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ustomFormat="true" ht="25.5" hidden="false" customHeight="true" outlineLevel="0" collapsed="false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ustomFormat="true" ht="25.5" hidden="false" customHeight="true" outlineLevel="0" collapsed="false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ustomFormat="true" ht="25.5" hidden="false" customHeight="true" outlineLevel="0" collapsed="false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ustomFormat="true" ht="25.5" hidden="false" customHeight="true" outlineLevel="0" collapsed="false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ustomFormat="true" ht="25.5" hidden="false" customHeight="true" outlineLevel="0" collapsed="false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ustomFormat="true" ht="25.5" hidden="false" customHeight="true" outlineLevel="0" collapsed="false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ustomFormat="true" ht="25.5" hidden="false" customHeight="true" outlineLevel="0" collapsed="false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ustomFormat="true" ht="25.5" hidden="false" customHeight="true" outlineLevel="0" collapsed="false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ustomFormat="true" ht="25.5" hidden="false" customHeight="true" outlineLevel="0" collapsed="false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ustomFormat="true" ht="25.5" hidden="false" customHeight="true" outlineLevel="0" collapsed="false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ustomFormat="true" ht="25.5" hidden="false" customHeight="true" outlineLevel="0" collapsed="false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ustomFormat="true" ht="25.5" hidden="false" customHeight="true" outlineLevel="0" collapsed="false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ustomFormat="true" ht="25.5" hidden="false" customHeight="true" outlineLevel="0" collapsed="false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</sheetData>
  <mergeCells count="1">
    <mergeCell ref="A1:M1"/>
  </mergeCells>
  <conditionalFormatting sqref="G4:G71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19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719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2026-03-06T18:22:45Z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