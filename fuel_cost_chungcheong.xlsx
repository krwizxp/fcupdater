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0" yWindow="0" windowWidth="16380" windowHeight="8196" tabRatio="500"/>
  </bookViews>
  <sheets>
    <sheet name="유류비" sheetId="1" r:id="rId1"/>
    <sheet name="변경내역" sheetId="2" r:id="rId2"/>
  </sheets>
  <definedNames>
    <definedName name="_xlnm._FilterDatabase" localSheetId="0" hidden="1">유류비!$A$15:$XFC$890</definedName>
  </definedNames>
  <calcPr calcId="145621" iterateDelta="1E-4" forceFullCalc="1"/>
  <extLs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M890" i="1" l="1"/>
  <c r="L890" i="1"/>
  <c r="K890" i="1"/>
  <c r="N890" i="1" s="1"/>
  <c r="L889" i="1"/>
  <c r="K889" i="1"/>
  <c r="N889" i="1" s="1"/>
  <c r="L888" i="1"/>
  <c r="K888" i="1"/>
  <c r="N888" i="1" s="1"/>
  <c r="M887" i="1"/>
  <c r="K887" i="1"/>
  <c r="N887" i="1" s="1"/>
  <c r="M886" i="1"/>
  <c r="K886" i="1"/>
  <c r="M884" i="1"/>
  <c r="K884" i="1"/>
  <c r="N884" i="1" s="1"/>
  <c r="M883" i="1"/>
  <c r="K883" i="1"/>
  <c r="N883" i="1" s="1"/>
  <c r="M882" i="1"/>
  <c r="K882" i="1"/>
  <c r="N882" i="1" s="1"/>
  <c r="M881" i="1"/>
  <c r="K881" i="1"/>
  <c r="M880" i="1"/>
  <c r="K880" i="1"/>
  <c r="N880" i="1" s="1"/>
  <c r="M879" i="1"/>
  <c r="K879" i="1"/>
  <c r="L879" i="1" s="1"/>
  <c r="M878" i="1"/>
  <c r="K878" i="1"/>
  <c r="L878" i="1" s="1"/>
  <c r="M877" i="1"/>
  <c r="K877" i="1"/>
  <c r="M876" i="1"/>
  <c r="K876" i="1"/>
  <c r="N876" i="1" s="1"/>
  <c r="M875" i="1"/>
  <c r="K875" i="1"/>
  <c r="L875" i="1" s="1"/>
  <c r="M874" i="1"/>
  <c r="K874" i="1"/>
  <c r="L874" i="1" s="1"/>
  <c r="M873" i="1"/>
  <c r="K873" i="1"/>
  <c r="M872" i="1"/>
  <c r="K872" i="1"/>
  <c r="N872" i="1" s="1"/>
  <c r="M871" i="1"/>
  <c r="K871" i="1"/>
  <c r="L871" i="1" s="1"/>
  <c r="M869" i="1"/>
  <c r="K869" i="1"/>
  <c r="N869" i="1" s="1"/>
  <c r="M868" i="1"/>
  <c r="K868" i="1"/>
  <c r="M867" i="1"/>
  <c r="K867" i="1"/>
  <c r="N867" i="1" s="1"/>
  <c r="M866" i="1"/>
  <c r="K866" i="1"/>
  <c r="L866" i="1" s="1"/>
  <c r="M865" i="1"/>
  <c r="K865" i="1"/>
  <c r="L865" i="1" s="1"/>
  <c r="M864" i="1"/>
  <c r="K864" i="1"/>
  <c r="M863" i="1"/>
  <c r="K863" i="1"/>
  <c r="N863" i="1" s="1"/>
  <c r="M862" i="1"/>
  <c r="K862" i="1"/>
  <c r="M861" i="1"/>
  <c r="K861" i="1"/>
  <c r="L861" i="1" s="1"/>
  <c r="M860" i="1"/>
  <c r="K860" i="1"/>
  <c r="M859" i="1"/>
  <c r="K859" i="1"/>
  <c r="N859" i="1" s="1"/>
  <c r="M858" i="1"/>
  <c r="K858" i="1"/>
  <c r="N858" i="1" s="1"/>
  <c r="M857" i="1"/>
  <c r="K857" i="1"/>
  <c r="N857" i="1" s="1"/>
  <c r="M856" i="1"/>
  <c r="K856" i="1"/>
  <c r="L856" i="1" s="1"/>
  <c r="M855" i="1"/>
  <c r="K855" i="1"/>
  <c r="L855" i="1" s="1"/>
  <c r="M854" i="1"/>
  <c r="K854" i="1"/>
  <c r="N854" i="1" s="1"/>
  <c r="M853" i="1"/>
  <c r="K853" i="1"/>
  <c r="N853" i="1" s="1"/>
  <c r="M852" i="1"/>
  <c r="K852" i="1"/>
  <c r="N852" i="1" s="1"/>
  <c r="M851" i="1"/>
  <c r="K851" i="1"/>
  <c r="L851" i="1" s="1"/>
  <c r="M850" i="1"/>
  <c r="K850" i="1"/>
  <c r="N850" i="1" s="1"/>
  <c r="M847" i="1"/>
  <c r="K847" i="1"/>
  <c r="N847" i="1" s="1"/>
  <c r="M846" i="1"/>
  <c r="K846" i="1"/>
  <c r="N846" i="1" s="1"/>
  <c r="M845" i="1"/>
  <c r="K845" i="1"/>
  <c r="L845" i="1" s="1"/>
  <c r="M844" i="1"/>
  <c r="K844" i="1"/>
  <c r="N844" i="1" s="1"/>
  <c r="M843" i="1"/>
  <c r="K843" i="1"/>
  <c r="N843" i="1" s="1"/>
  <c r="M842" i="1"/>
  <c r="K842" i="1"/>
  <c r="N842" i="1" s="1"/>
  <c r="M841" i="1"/>
  <c r="K841" i="1"/>
  <c r="L841" i="1" s="1"/>
  <c r="M840" i="1"/>
  <c r="K840" i="1"/>
  <c r="M839" i="1"/>
  <c r="K839" i="1"/>
  <c r="N839" i="1" s="1"/>
  <c r="M838" i="1"/>
  <c r="K838" i="1"/>
  <c r="N838" i="1" s="1"/>
  <c r="M837" i="1"/>
  <c r="K837" i="1"/>
  <c r="L837" i="1" s="1"/>
  <c r="M836" i="1"/>
  <c r="K836" i="1"/>
  <c r="L836" i="1" s="1"/>
  <c r="M835" i="1"/>
  <c r="K835" i="1"/>
  <c r="N835" i="1" s="1"/>
  <c r="M834" i="1"/>
  <c r="K834" i="1"/>
  <c r="N834" i="1" s="1"/>
  <c r="M833" i="1"/>
  <c r="K833" i="1"/>
  <c r="N833" i="1" s="1"/>
  <c r="M832" i="1"/>
  <c r="K832" i="1"/>
  <c r="N832" i="1" s="1"/>
  <c r="M831" i="1"/>
  <c r="K831" i="1"/>
  <c r="N831" i="1" s="1"/>
  <c r="M830" i="1"/>
  <c r="K830" i="1"/>
  <c r="L830" i="1" s="1"/>
  <c r="M829" i="1"/>
  <c r="K829" i="1"/>
  <c r="N829" i="1" s="1"/>
  <c r="M828" i="1"/>
  <c r="K828" i="1"/>
  <c r="N828" i="1" s="1"/>
  <c r="M827" i="1"/>
  <c r="K827" i="1"/>
  <c r="L827" i="1" s="1"/>
  <c r="M826" i="1"/>
  <c r="K826" i="1"/>
  <c r="L826" i="1" s="1"/>
  <c r="M825" i="1"/>
  <c r="K825" i="1"/>
  <c r="N825" i="1" s="1"/>
  <c r="M824" i="1"/>
  <c r="K824" i="1"/>
  <c r="N824" i="1" s="1"/>
  <c r="M821" i="1"/>
  <c r="K821" i="1"/>
  <c r="L821" i="1" s="1"/>
  <c r="M820" i="1"/>
  <c r="K820" i="1"/>
  <c r="L820" i="1" s="1"/>
  <c r="M819" i="1"/>
  <c r="K819" i="1"/>
  <c r="N819" i="1" s="1"/>
  <c r="M818" i="1"/>
  <c r="K818" i="1"/>
  <c r="N818" i="1" s="1"/>
  <c r="M817" i="1"/>
  <c r="K817" i="1"/>
  <c r="L817" i="1" s="1"/>
  <c r="M816" i="1"/>
  <c r="K816" i="1"/>
  <c r="L816" i="1" s="1"/>
  <c r="M815" i="1"/>
  <c r="K815" i="1"/>
  <c r="N815" i="1" s="1"/>
  <c r="M814" i="1"/>
  <c r="K814" i="1"/>
  <c r="N814" i="1" s="1"/>
  <c r="M813" i="1"/>
  <c r="K813" i="1"/>
  <c r="L813" i="1" s="1"/>
  <c r="M812" i="1"/>
  <c r="K812" i="1"/>
  <c r="L812" i="1" s="1"/>
  <c r="M811" i="1"/>
  <c r="K811" i="1"/>
  <c r="N811" i="1" s="1"/>
  <c r="M810" i="1"/>
  <c r="K810" i="1"/>
  <c r="N810" i="1" s="1"/>
  <c r="M809" i="1"/>
  <c r="K809" i="1"/>
  <c r="N809" i="1" s="1"/>
  <c r="M808" i="1"/>
  <c r="K808" i="1"/>
  <c r="L808" i="1" s="1"/>
  <c r="M807" i="1"/>
  <c r="K807" i="1"/>
  <c r="N807" i="1" s="1"/>
  <c r="M806" i="1"/>
  <c r="K806" i="1"/>
  <c r="N806" i="1" s="1"/>
  <c r="M805" i="1"/>
  <c r="K805" i="1"/>
  <c r="N805" i="1" s="1"/>
  <c r="M804" i="1"/>
  <c r="K804" i="1"/>
  <c r="L804" i="1" s="1"/>
  <c r="M803" i="1"/>
  <c r="K803" i="1"/>
  <c r="L803" i="1" s="1"/>
  <c r="M802" i="1"/>
  <c r="K802" i="1"/>
  <c r="N802" i="1" s="1"/>
  <c r="M799" i="1"/>
  <c r="K799" i="1"/>
  <c r="N799" i="1" s="1"/>
  <c r="M798" i="1"/>
  <c r="K798" i="1"/>
  <c r="L798" i="1" s="1"/>
  <c r="M797" i="1"/>
  <c r="K797" i="1"/>
  <c r="L797" i="1" s="1"/>
  <c r="M796" i="1"/>
  <c r="K796" i="1"/>
  <c r="N796" i="1" s="1"/>
  <c r="M795" i="1"/>
  <c r="K795" i="1"/>
  <c r="N795" i="1" s="1"/>
  <c r="M794" i="1"/>
  <c r="K794" i="1"/>
  <c r="N794" i="1" s="1"/>
  <c r="M793" i="1"/>
  <c r="K793" i="1"/>
  <c r="L793" i="1" s="1"/>
  <c r="M792" i="1"/>
  <c r="K792" i="1"/>
  <c r="N792" i="1" s="1"/>
  <c r="M791" i="1"/>
  <c r="K791" i="1"/>
  <c r="N791" i="1" s="1"/>
  <c r="M790" i="1"/>
  <c r="K790" i="1"/>
  <c r="L790" i="1" s="1"/>
  <c r="M788" i="1"/>
  <c r="K788" i="1"/>
  <c r="L788" i="1" s="1"/>
  <c r="M787" i="1"/>
  <c r="K787" i="1"/>
  <c r="N787" i="1" s="1"/>
  <c r="M786" i="1"/>
  <c r="K786" i="1"/>
  <c r="N786" i="1" s="1"/>
  <c r="M785" i="1"/>
  <c r="K785" i="1"/>
  <c r="N785" i="1" s="1"/>
  <c r="M784" i="1"/>
  <c r="K784" i="1"/>
  <c r="L784" i="1" s="1"/>
  <c r="M783" i="1"/>
  <c r="K783" i="1"/>
  <c r="N783" i="1" s="1"/>
  <c r="M782" i="1"/>
  <c r="K782" i="1"/>
  <c r="N782" i="1" s="1"/>
  <c r="M781" i="1"/>
  <c r="K781" i="1"/>
  <c r="N781" i="1" s="1"/>
  <c r="M780" i="1"/>
  <c r="K780" i="1"/>
  <c r="L780" i="1" s="1"/>
  <c r="M779" i="1"/>
  <c r="K779" i="1"/>
  <c r="N779" i="1" s="1"/>
  <c r="M778" i="1"/>
  <c r="K778" i="1"/>
  <c r="N778" i="1" s="1"/>
  <c r="M777" i="1"/>
  <c r="K777" i="1"/>
  <c r="L777" i="1" s="1"/>
  <c r="M775" i="1"/>
  <c r="K775" i="1"/>
  <c r="M774" i="1"/>
  <c r="K774" i="1"/>
  <c r="N774" i="1" s="1"/>
  <c r="M773" i="1"/>
  <c r="K773" i="1"/>
  <c r="N773" i="1" s="1"/>
  <c r="M772" i="1"/>
  <c r="K772" i="1"/>
  <c r="L772" i="1" s="1"/>
  <c r="M771" i="1"/>
  <c r="K771" i="1"/>
  <c r="M770" i="1"/>
  <c r="K770" i="1"/>
  <c r="N770" i="1" s="1"/>
  <c r="M769" i="1"/>
  <c r="K769" i="1"/>
  <c r="N769" i="1" s="1"/>
  <c r="M768" i="1"/>
  <c r="K768" i="1"/>
  <c r="L768" i="1" s="1"/>
  <c r="N801" i="1"/>
  <c r="M801" i="1"/>
  <c r="L801" i="1"/>
  <c r="M767" i="1"/>
  <c r="K767" i="1"/>
  <c r="N767" i="1" s="1"/>
  <c r="M766" i="1"/>
  <c r="K766" i="1"/>
  <c r="N766" i="1" s="1"/>
  <c r="M765" i="1"/>
  <c r="K765" i="1"/>
  <c r="L765" i="1" s="1"/>
  <c r="M764" i="1"/>
  <c r="K764" i="1"/>
  <c r="L764" i="1" s="1"/>
  <c r="M763" i="1"/>
  <c r="K763" i="1"/>
  <c r="N763" i="1" s="1"/>
  <c r="M762" i="1"/>
  <c r="K762" i="1"/>
  <c r="N762" i="1" s="1"/>
  <c r="M761" i="1"/>
  <c r="K761" i="1"/>
  <c r="L761" i="1" s="1"/>
  <c r="M760" i="1"/>
  <c r="K760" i="1"/>
  <c r="L760" i="1" s="1"/>
  <c r="M759" i="1"/>
  <c r="K759" i="1"/>
  <c r="N759" i="1" s="1"/>
  <c r="M758" i="1"/>
  <c r="K758" i="1"/>
  <c r="N758" i="1" s="1"/>
  <c r="M755" i="1"/>
  <c r="K755" i="1"/>
  <c r="L755" i="1" s="1"/>
  <c r="M754" i="1"/>
  <c r="K754" i="1"/>
  <c r="L754" i="1" s="1"/>
  <c r="M753" i="1"/>
  <c r="K753" i="1"/>
  <c r="N753" i="1" s="1"/>
  <c r="M751" i="1"/>
  <c r="K751" i="1"/>
  <c r="N751" i="1" s="1"/>
  <c r="M750" i="1"/>
  <c r="K750" i="1"/>
  <c r="L750" i="1" s="1"/>
  <c r="M749" i="1"/>
  <c r="K749" i="1"/>
  <c r="L749" i="1" s="1"/>
  <c r="M748" i="1"/>
  <c r="K748" i="1"/>
  <c r="N748" i="1" s="1"/>
  <c r="M745" i="1"/>
  <c r="K745" i="1"/>
  <c r="N745" i="1" s="1"/>
  <c r="M744" i="1"/>
  <c r="K744" i="1"/>
  <c r="L744" i="1" s="1"/>
  <c r="M743" i="1"/>
  <c r="K743" i="1"/>
  <c r="L743" i="1" s="1"/>
  <c r="M742" i="1"/>
  <c r="K742" i="1"/>
  <c r="N742" i="1" s="1"/>
  <c r="M741" i="1"/>
  <c r="K741" i="1"/>
  <c r="N741" i="1" s="1"/>
  <c r="M739" i="1"/>
  <c r="K739" i="1"/>
  <c r="L739" i="1" s="1"/>
  <c r="M738" i="1"/>
  <c r="K738" i="1"/>
  <c r="L738" i="1" s="1"/>
  <c r="M737" i="1"/>
  <c r="K737" i="1"/>
  <c r="L737" i="1" s="1"/>
  <c r="M736" i="1"/>
  <c r="K736" i="1"/>
  <c r="N736" i="1" s="1"/>
  <c r="M735" i="1"/>
  <c r="K735" i="1"/>
  <c r="N735" i="1" s="1"/>
  <c r="M734" i="1"/>
  <c r="K734" i="1"/>
  <c r="L734" i="1" s="1"/>
  <c r="M733" i="1"/>
  <c r="K733" i="1"/>
  <c r="L733" i="1" s="1"/>
  <c r="M732" i="1"/>
  <c r="K732" i="1"/>
  <c r="N732" i="1" s="1"/>
  <c r="M731" i="1"/>
  <c r="K731" i="1"/>
  <c r="N731" i="1" s="1"/>
  <c r="M730" i="1"/>
  <c r="K730" i="1"/>
  <c r="L730" i="1" s="1"/>
  <c r="M729" i="1"/>
  <c r="K729" i="1"/>
  <c r="L729" i="1" s="1"/>
  <c r="M728" i="1"/>
  <c r="K728" i="1"/>
  <c r="N728" i="1" s="1"/>
  <c r="M727" i="1"/>
  <c r="K727" i="1"/>
  <c r="N727" i="1" s="1"/>
  <c r="N740" i="1"/>
  <c r="M740" i="1"/>
  <c r="L740" i="1"/>
  <c r="M725" i="1"/>
  <c r="K725" i="1"/>
  <c r="L725" i="1" s="1"/>
  <c r="M724" i="1"/>
  <c r="K724" i="1"/>
  <c r="N724" i="1" s="1"/>
  <c r="M723" i="1"/>
  <c r="K723" i="1"/>
  <c r="N723" i="1" s="1"/>
  <c r="M722" i="1"/>
  <c r="K722" i="1"/>
  <c r="L722" i="1" s="1"/>
  <c r="M721" i="1"/>
  <c r="K721" i="1"/>
  <c r="L721" i="1" s="1"/>
  <c r="M719" i="1"/>
  <c r="K719" i="1"/>
  <c r="N719" i="1" s="1"/>
  <c r="M718" i="1"/>
  <c r="K718" i="1"/>
  <c r="N718" i="1" s="1"/>
  <c r="M717" i="1"/>
  <c r="K717" i="1"/>
  <c r="L717" i="1" s="1"/>
  <c r="M716" i="1"/>
  <c r="K716" i="1"/>
  <c r="L716" i="1" s="1"/>
  <c r="M715" i="1"/>
  <c r="K715" i="1"/>
  <c r="N715" i="1" s="1"/>
  <c r="M714" i="1"/>
  <c r="K714" i="1"/>
  <c r="N714" i="1" s="1"/>
  <c r="M713" i="1"/>
  <c r="K713" i="1"/>
  <c r="L713" i="1" s="1"/>
  <c r="M712" i="1"/>
  <c r="K712" i="1"/>
  <c r="L712" i="1" s="1"/>
  <c r="M711" i="1"/>
  <c r="K711" i="1"/>
  <c r="N711" i="1" s="1"/>
  <c r="M710" i="1"/>
  <c r="K710" i="1"/>
  <c r="N710" i="1" s="1"/>
  <c r="M709" i="1"/>
  <c r="K709" i="1"/>
  <c r="L709" i="1" s="1"/>
  <c r="M708" i="1"/>
  <c r="K708" i="1"/>
  <c r="M707" i="1"/>
  <c r="K707" i="1"/>
  <c r="N707" i="1" s="1"/>
  <c r="M706" i="1"/>
  <c r="K706" i="1"/>
  <c r="M705" i="1"/>
  <c r="K705" i="1"/>
  <c r="L705" i="1" s="1"/>
  <c r="M704" i="1"/>
  <c r="K704" i="1"/>
  <c r="N704" i="1" s="1"/>
  <c r="M703" i="1"/>
  <c r="K703" i="1"/>
  <c r="N703" i="1" s="1"/>
  <c r="M702" i="1"/>
  <c r="K702" i="1"/>
  <c r="L702" i="1" s="1"/>
  <c r="M701" i="1"/>
  <c r="K701" i="1"/>
  <c r="L701" i="1" s="1"/>
  <c r="M700" i="1"/>
  <c r="K700" i="1"/>
  <c r="M699" i="1"/>
  <c r="K699" i="1"/>
  <c r="N699" i="1" s="1"/>
  <c r="M698" i="1"/>
  <c r="K698" i="1"/>
  <c r="L698" i="1" s="1"/>
  <c r="M697" i="1"/>
  <c r="K697" i="1"/>
  <c r="L697" i="1" s="1"/>
  <c r="M696" i="1"/>
  <c r="K696" i="1"/>
  <c r="M695" i="1"/>
  <c r="K695" i="1"/>
  <c r="N695" i="1" s="1"/>
  <c r="M694" i="1"/>
  <c r="K694" i="1"/>
  <c r="L694" i="1" s="1"/>
  <c r="M693" i="1"/>
  <c r="K693" i="1"/>
  <c r="L693" i="1" s="1"/>
  <c r="M692" i="1"/>
  <c r="K692" i="1"/>
  <c r="M691" i="1"/>
  <c r="K691" i="1"/>
  <c r="N691" i="1" s="1"/>
  <c r="M690" i="1"/>
  <c r="K690" i="1"/>
  <c r="L690" i="1" s="1"/>
  <c r="M689" i="1"/>
  <c r="K689" i="1"/>
  <c r="L689" i="1" s="1"/>
  <c r="M688" i="1"/>
  <c r="K688" i="1"/>
  <c r="M687" i="1"/>
  <c r="K687" i="1"/>
  <c r="N687" i="1" s="1"/>
  <c r="M686" i="1"/>
  <c r="K686" i="1"/>
  <c r="L686" i="1" s="1"/>
  <c r="M685" i="1"/>
  <c r="K685" i="1"/>
  <c r="L685" i="1" s="1"/>
  <c r="M684" i="1"/>
  <c r="K684" i="1"/>
  <c r="M683" i="1"/>
  <c r="K683" i="1"/>
  <c r="N683" i="1" s="1"/>
  <c r="M682" i="1"/>
  <c r="K682" i="1"/>
  <c r="L682" i="1" s="1"/>
  <c r="M681" i="1"/>
  <c r="K681" i="1"/>
  <c r="L681" i="1" s="1"/>
  <c r="M680" i="1"/>
  <c r="K680" i="1"/>
  <c r="N680" i="1" s="1"/>
  <c r="M679" i="1"/>
  <c r="K679" i="1"/>
  <c r="N679" i="1" s="1"/>
  <c r="M678" i="1"/>
  <c r="K678" i="1"/>
  <c r="N678" i="1" s="1"/>
  <c r="M677" i="1"/>
  <c r="K677" i="1"/>
  <c r="L677" i="1" s="1"/>
  <c r="M676" i="1"/>
  <c r="K676" i="1"/>
  <c r="N676" i="1" s="1"/>
  <c r="M675" i="1"/>
  <c r="K675" i="1"/>
  <c r="N675" i="1" s="1"/>
  <c r="M674" i="1"/>
  <c r="K674" i="1"/>
  <c r="L674" i="1" s="1"/>
  <c r="M673" i="1"/>
  <c r="K673" i="1"/>
  <c r="L673" i="1" s="1"/>
  <c r="M672" i="1"/>
  <c r="K672" i="1"/>
  <c r="N672" i="1" s="1"/>
  <c r="M671" i="1"/>
  <c r="K671" i="1"/>
  <c r="N671" i="1" s="1"/>
  <c r="M670" i="1"/>
  <c r="K670" i="1"/>
  <c r="L670" i="1" s="1"/>
  <c r="M669" i="1"/>
  <c r="K669" i="1"/>
  <c r="L669" i="1" s="1"/>
  <c r="M668" i="1"/>
  <c r="K668" i="1"/>
  <c r="N668" i="1" s="1"/>
  <c r="M667" i="1"/>
  <c r="K667" i="1"/>
  <c r="N667" i="1" s="1"/>
  <c r="M666" i="1"/>
  <c r="K666" i="1"/>
  <c r="L666" i="1" s="1"/>
  <c r="M665" i="1"/>
  <c r="K665" i="1"/>
  <c r="L665" i="1" s="1"/>
  <c r="M664" i="1"/>
  <c r="K664" i="1"/>
  <c r="N664" i="1" s="1"/>
  <c r="M663" i="1"/>
  <c r="K663" i="1"/>
  <c r="N663" i="1" s="1"/>
  <c r="M662" i="1"/>
  <c r="K662" i="1"/>
  <c r="L662" i="1" s="1"/>
  <c r="M661" i="1"/>
  <c r="K661" i="1"/>
  <c r="L661" i="1" s="1"/>
  <c r="M660" i="1"/>
  <c r="K660" i="1"/>
  <c r="N660" i="1" s="1"/>
  <c r="M659" i="1"/>
  <c r="K659" i="1"/>
  <c r="N659" i="1" s="1"/>
  <c r="M658" i="1"/>
  <c r="K658" i="1"/>
  <c r="L658" i="1" s="1"/>
  <c r="M657" i="1"/>
  <c r="K657" i="1"/>
  <c r="L657" i="1" s="1"/>
  <c r="M656" i="1"/>
  <c r="K656" i="1"/>
  <c r="N656" i="1" s="1"/>
  <c r="M637" i="1"/>
  <c r="K637" i="1"/>
  <c r="N637" i="1" s="1"/>
  <c r="M636" i="1"/>
  <c r="K636" i="1"/>
  <c r="L636" i="1" s="1"/>
  <c r="M635" i="1"/>
  <c r="K635" i="1"/>
  <c r="L635" i="1" s="1"/>
  <c r="M634" i="1"/>
  <c r="K634" i="1"/>
  <c r="N634" i="1" s="1"/>
  <c r="M633" i="1"/>
  <c r="K633" i="1"/>
  <c r="N633" i="1" s="1"/>
  <c r="M632" i="1"/>
  <c r="K632" i="1"/>
  <c r="L632" i="1" s="1"/>
  <c r="M631" i="1"/>
  <c r="K631" i="1"/>
  <c r="L631" i="1" s="1"/>
  <c r="M630" i="1"/>
  <c r="K630" i="1"/>
  <c r="N630" i="1" s="1"/>
  <c r="M629" i="1"/>
  <c r="K629" i="1"/>
  <c r="N629" i="1" s="1"/>
  <c r="M628" i="1"/>
  <c r="K628" i="1"/>
  <c r="L628" i="1" s="1"/>
  <c r="M627" i="1"/>
  <c r="K627" i="1"/>
  <c r="L627" i="1" s="1"/>
  <c r="M626" i="1"/>
  <c r="K626" i="1"/>
  <c r="N626" i="1" s="1"/>
  <c r="M625" i="1"/>
  <c r="K625" i="1"/>
  <c r="N625" i="1" s="1"/>
  <c r="M624" i="1"/>
  <c r="K624" i="1"/>
  <c r="N624" i="1" s="1"/>
  <c r="M623" i="1"/>
  <c r="K623" i="1"/>
  <c r="L623" i="1" s="1"/>
  <c r="M622" i="1"/>
  <c r="K622" i="1"/>
  <c r="N622" i="1" s="1"/>
  <c r="M618" i="1"/>
  <c r="K618" i="1"/>
  <c r="N618" i="1" s="1"/>
  <c r="M617" i="1"/>
  <c r="K617" i="1"/>
  <c r="L617" i="1" s="1"/>
  <c r="M616" i="1"/>
  <c r="K616" i="1"/>
  <c r="N616" i="1" s="1"/>
  <c r="M615" i="1"/>
  <c r="K615" i="1"/>
  <c r="N615" i="1" s="1"/>
  <c r="M614" i="1"/>
  <c r="K614" i="1"/>
  <c r="L614" i="1" s="1"/>
  <c r="M613" i="1"/>
  <c r="K613" i="1"/>
  <c r="L613" i="1" s="1"/>
  <c r="M612" i="1"/>
  <c r="K612" i="1"/>
  <c r="L612" i="1" s="1"/>
  <c r="M611" i="1"/>
  <c r="K611" i="1"/>
  <c r="N611" i="1" s="1"/>
  <c r="M610" i="1"/>
  <c r="K610" i="1"/>
  <c r="N610" i="1" s="1"/>
  <c r="M609" i="1"/>
  <c r="K609" i="1"/>
  <c r="L609" i="1" s="1"/>
  <c r="M608" i="1"/>
  <c r="K608" i="1"/>
  <c r="N608" i="1" s="1"/>
  <c r="M607" i="1"/>
  <c r="K607" i="1"/>
  <c r="N607" i="1" s="1"/>
  <c r="M606" i="1"/>
  <c r="K606" i="1"/>
  <c r="L606" i="1" s="1"/>
  <c r="M605" i="1"/>
  <c r="K605" i="1"/>
  <c r="L605" i="1" s="1"/>
  <c r="M604" i="1"/>
  <c r="K604" i="1"/>
  <c r="N604" i="1" s="1"/>
  <c r="M603" i="1"/>
  <c r="K603" i="1"/>
  <c r="N603" i="1" s="1"/>
  <c r="M602" i="1"/>
  <c r="K602" i="1"/>
  <c r="L602" i="1" s="1"/>
  <c r="M601" i="1"/>
  <c r="K601" i="1"/>
  <c r="L601" i="1" s="1"/>
  <c r="M600" i="1"/>
  <c r="K600" i="1"/>
  <c r="N600" i="1" s="1"/>
  <c r="M599" i="1"/>
  <c r="K599" i="1"/>
  <c r="N599" i="1" s="1"/>
  <c r="M598" i="1"/>
  <c r="K598" i="1"/>
  <c r="N598" i="1" s="1"/>
  <c r="M597" i="1"/>
  <c r="K597" i="1"/>
  <c r="L597" i="1" s="1"/>
  <c r="M592" i="1"/>
  <c r="K592" i="1"/>
  <c r="L592" i="1" s="1"/>
  <c r="M591" i="1"/>
  <c r="K591" i="1"/>
  <c r="N591" i="1" s="1"/>
  <c r="M590" i="1"/>
  <c r="K590" i="1"/>
  <c r="L590" i="1" s="1"/>
  <c r="M589" i="1"/>
  <c r="K589" i="1"/>
  <c r="L589" i="1" s="1"/>
  <c r="M588" i="1"/>
  <c r="K588" i="1"/>
  <c r="L588" i="1" s="1"/>
  <c r="M587" i="1"/>
  <c r="K587" i="1"/>
  <c r="N587" i="1" s="1"/>
  <c r="M586" i="1"/>
  <c r="K586" i="1"/>
  <c r="N586" i="1" s="1"/>
  <c r="M585" i="1"/>
  <c r="K585" i="1"/>
  <c r="L585" i="1" s="1"/>
  <c r="M580" i="1"/>
  <c r="K580" i="1"/>
  <c r="L580" i="1" s="1"/>
  <c r="M579" i="1"/>
  <c r="K579" i="1"/>
  <c r="M578" i="1"/>
  <c r="K578" i="1"/>
  <c r="N578" i="1" s="1"/>
  <c r="M577" i="1"/>
  <c r="K577" i="1"/>
  <c r="M575" i="1"/>
  <c r="K575" i="1"/>
  <c r="L575" i="1" s="1"/>
  <c r="M574" i="1"/>
  <c r="K574" i="1"/>
  <c r="M573" i="1"/>
  <c r="K573" i="1"/>
  <c r="N573" i="1" s="1"/>
  <c r="M572" i="1"/>
  <c r="K572" i="1"/>
  <c r="N572" i="1" s="1"/>
  <c r="M569" i="1"/>
  <c r="K569" i="1"/>
  <c r="N569" i="1" s="1"/>
  <c r="M568" i="1"/>
  <c r="K568" i="1"/>
  <c r="N568" i="1" s="1"/>
  <c r="M567" i="1"/>
  <c r="K567" i="1"/>
  <c r="L567" i="1" s="1"/>
  <c r="M566" i="1"/>
  <c r="K566" i="1"/>
  <c r="N566" i="1" s="1"/>
  <c r="M565" i="1"/>
  <c r="K565" i="1"/>
  <c r="N565" i="1" s="1"/>
  <c r="M564" i="1"/>
  <c r="K564" i="1"/>
  <c r="N564" i="1" s="1"/>
  <c r="M563" i="1"/>
  <c r="K563" i="1"/>
  <c r="L563" i="1" s="1"/>
  <c r="M562" i="1"/>
  <c r="K562" i="1"/>
  <c r="N562" i="1" s="1"/>
  <c r="M561" i="1"/>
  <c r="K561" i="1"/>
  <c r="L561" i="1" s="1"/>
  <c r="M560" i="1"/>
  <c r="K560" i="1"/>
  <c r="N560" i="1" s="1"/>
  <c r="M556" i="1"/>
  <c r="K556" i="1"/>
  <c r="L556" i="1" s="1"/>
  <c r="M554" i="1"/>
  <c r="K554" i="1"/>
  <c r="N554" i="1" s="1"/>
  <c r="M553" i="1"/>
  <c r="K553" i="1"/>
  <c r="L553" i="1" s="1"/>
  <c r="M552" i="1"/>
  <c r="K552" i="1"/>
  <c r="L552" i="1" s="1"/>
  <c r="M550" i="1"/>
  <c r="K550" i="1"/>
  <c r="L550" i="1" s="1"/>
  <c r="M549" i="1"/>
  <c r="K549" i="1"/>
  <c r="N549" i="1" s="1"/>
  <c r="M548" i="1"/>
  <c r="K548" i="1"/>
  <c r="N548" i="1" s="1"/>
  <c r="M547" i="1"/>
  <c r="K547" i="1"/>
  <c r="L547" i="1" s="1"/>
  <c r="M546" i="1"/>
  <c r="K546" i="1"/>
  <c r="L546" i="1" s="1"/>
  <c r="M545" i="1"/>
  <c r="K545" i="1"/>
  <c r="N545" i="1" s="1"/>
  <c r="M544" i="1"/>
  <c r="K544" i="1"/>
  <c r="N544" i="1" s="1"/>
  <c r="M543" i="1"/>
  <c r="K543" i="1"/>
  <c r="L543" i="1" s="1"/>
  <c r="N584" i="1"/>
  <c r="M584" i="1"/>
  <c r="L584" i="1"/>
  <c r="M541" i="1"/>
  <c r="K541" i="1"/>
  <c r="L541" i="1" s="1"/>
  <c r="M540" i="1"/>
  <c r="K540" i="1"/>
  <c r="N540" i="1" s="1"/>
  <c r="M539" i="1"/>
  <c r="K539" i="1"/>
  <c r="N539" i="1" s="1"/>
  <c r="M538" i="1"/>
  <c r="K538" i="1"/>
  <c r="N538" i="1" s="1"/>
  <c r="M537" i="1"/>
  <c r="K537" i="1"/>
  <c r="L537" i="1" s="1"/>
  <c r="M536" i="1"/>
  <c r="K536" i="1"/>
  <c r="N536" i="1" s="1"/>
  <c r="M532" i="1"/>
  <c r="K532" i="1"/>
  <c r="N532" i="1" s="1"/>
  <c r="M531" i="1"/>
  <c r="K531" i="1"/>
  <c r="N531" i="1" s="1"/>
  <c r="M530" i="1"/>
  <c r="K530" i="1"/>
  <c r="L530" i="1" s="1"/>
  <c r="M529" i="1"/>
  <c r="K529" i="1"/>
  <c r="N529" i="1" s="1"/>
  <c r="M528" i="1"/>
  <c r="K528" i="1"/>
  <c r="N528" i="1" s="1"/>
  <c r="M527" i="1"/>
  <c r="K527" i="1"/>
  <c r="N527" i="1" s="1"/>
  <c r="M526" i="1"/>
  <c r="K526" i="1"/>
  <c r="L526" i="1" s="1"/>
  <c r="M525" i="1"/>
  <c r="K525" i="1"/>
  <c r="N525" i="1" s="1"/>
  <c r="M524" i="1"/>
  <c r="K524" i="1"/>
  <c r="N524" i="1" s="1"/>
  <c r="M523" i="1"/>
  <c r="K523" i="1"/>
  <c r="N523" i="1" s="1"/>
  <c r="M522" i="1"/>
  <c r="K522" i="1"/>
  <c r="L522" i="1" s="1"/>
  <c r="M521" i="1"/>
  <c r="K521" i="1"/>
  <c r="N521" i="1" s="1"/>
  <c r="M520" i="1"/>
  <c r="K520" i="1"/>
  <c r="N520" i="1" s="1"/>
  <c r="M519" i="1"/>
  <c r="K519" i="1"/>
  <c r="L519" i="1" s="1"/>
  <c r="M518" i="1"/>
  <c r="K518" i="1"/>
  <c r="L518" i="1" s="1"/>
  <c r="M517" i="1"/>
  <c r="K517" i="1"/>
  <c r="N517" i="1" s="1"/>
  <c r="M515" i="1"/>
  <c r="K515" i="1"/>
  <c r="N515" i="1" s="1"/>
  <c r="M514" i="1"/>
  <c r="K514" i="1"/>
  <c r="N514" i="1" s="1"/>
  <c r="M513" i="1"/>
  <c r="K513" i="1"/>
  <c r="L513" i="1" s="1"/>
  <c r="M512" i="1"/>
  <c r="K512" i="1"/>
  <c r="N512" i="1" s="1"/>
  <c r="M511" i="1"/>
  <c r="K511" i="1"/>
  <c r="N511" i="1" s="1"/>
  <c r="M510" i="1"/>
  <c r="K510" i="1"/>
  <c r="L510" i="1" s="1"/>
  <c r="M507" i="1"/>
  <c r="K507" i="1"/>
  <c r="L507" i="1" s="1"/>
  <c r="M505" i="1"/>
  <c r="K505" i="1"/>
  <c r="N505" i="1" s="1"/>
  <c r="M504" i="1"/>
  <c r="K504" i="1"/>
  <c r="N504" i="1" s="1"/>
  <c r="M503" i="1"/>
  <c r="K503" i="1"/>
  <c r="L503" i="1" s="1"/>
  <c r="M502" i="1"/>
  <c r="K502" i="1"/>
  <c r="L502" i="1" s="1"/>
  <c r="M501" i="1"/>
  <c r="K501" i="1"/>
  <c r="N501" i="1" s="1"/>
  <c r="M500" i="1"/>
  <c r="K500" i="1"/>
  <c r="N500" i="1" s="1"/>
  <c r="M499" i="1"/>
  <c r="K499" i="1"/>
  <c r="L499" i="1" s="1"/>
  <c r="M496" i="1"/>
  <c r="K496" i="1"/>
  <c r="L496" i="1" s="1"/>
  <c r="M495" i="1"/>
  <c r="K495" i="1"/>
  <c r="M492" i="1"/>
  <c r="K492" i="1"/>
  <c r="N492" i="1" s="1"/>
  <c r="M491" i="1"/>
  <c r="K491" i="1"/>
  <c r="L491" i="1" s="1"/>
  <c r="M490" i="1"/>
  <c r="K490" i="1"/>
  <c r="N490" i="1" s="1"/>
  <c r="M489" i="1"/>
  <c r="K489" i="1"/>
  <c r="N489" i="1" s="1"/>
  <c r="M488" i="1"/>
  <c r="K488" i="1"/>
  <c r="L488" i="1" s="1"/>
  <c r="M486" i="1"/>
  <c r="K486" i="1"/>
  <c r="N486" i="1" s="1"/>
  <c r="M485" i="1"/>
  <c r="K485" i="1"/>
  <c r="N485" i="1" s="1"/>
  <c r="M483" i="1"/>
  <c r="K483" i="1"/>
  <c r="N483" i="1" s="1"/>
  <c r="M482" i="1"/>
  <c r="K482" i="1"/>
  <c r="L482" i="1" s="1"/>
  <c r="M481" i="1"/>
  <c r="K481" i="1"/>
  <c r="N481" i="1" s="1"/>
  <c r="M480" i="1"/>
  <c r="K480" i="1"/>
  <c r="N480" i="1" s="1"/>
  <c r="M479" i="1"/>
  <c r="K479" i="1"/>
  <c r="L479" i="1" s="1"/>
  <c r="M478" i="1"/>
  <c r="K478" i="1"/>
  <c r="L478" i="1" s="1"/>
  <c r="M477" i="1"/>
  <c r="K477" i="1"/>
  <c r="N477" i="1" s="1"/>
  <c r="M476" i="1"/>
  <c r="K476" i="1"/>
  <c r="N476" i="1" s="1"/>
  <c r="M474" i="1"/>
  <c r="K474" i="1"/>
  <c r="L474" i="1" s="1"/>
  <c r="M473" i="1"/>
  <c r="K473" i="1"/>
  <c r="L473" i="1" s="1"/>
  <c r="M472" i="1"/>
  <c r="K472" i="1"/>
  <c r="N472" i="1" s="1"/>
  <c r="M471" i="1"/>
  <c r="K471" i="1"/>
  <c r="N471" i="1" s="1"/>
  <c r="M470" i="1"/>
  <c r="K470" i="1"/>
  <c r="L470" i="1" s="1"/>
  <c r="M464" i="1"/>
  <c r="K464" i="1"/>
  <c r="L464" i="1" s="1"/>
  <c r="M463" i="1"/>
  <c r="K463" i="1"/>
  <c r="N463" i="1" s="1"/>
  <c r="M461" i="1"/>
  <c r="K461" i="1"/>
  <c r="N461" i="1" s="1"/>
  <c r="M459" i="1"/>
  <c r="K459" i="1"/>
  <c r="L459" i="1" s="1"/>
  <c r="M458" i="1"/>
  <c r="K458" i="1"/>
  <c r="L458" i="1" s="1"/>
  <c r="M457" i="1"/>
  <c r="K457" i="1"/>
  <c r="N457" i="1" s="1"/>
  <c r="M456" i="1"/>
  <c r="K456" i="1"/>
  <c r="N456" i="1" s="1"/>
  <c r="M451" i="1"/>
  <c r="K451" i="1"/>
  <c r="L451" i="1" s="1"/>
  <c r="M448" i="1"/>
  <c r="K448" i="1"/>
  <c r="L448" i="1" s="1"/>
  <c r="M447" i="1"/>
  <c r="K447" i="1"/>
  <c r="L447" i="1" s="1"/>
  <c r="M446" i="1"/>
  <c r="K446" i="1"/>
  <c r="N446" i="1" s="1"/>
  <c r="N469" i="1"/>
  <c r="M469" i="1"/>
  <c r="L469" i="1"/>
  <c r="M443" i="1"/>
  <c r="K443" i="1"/>
  <c r="N443" i="1" s="1"/>
  <c r="M442" i="1"/>
  <c r="K442" i="1"/>
  <c r="L442" i="1" s="1"/>
  <c r="M438" i="1"/>
  <c r="K438" i="1"/>
  <c r="L438" i="1" s="1"/>
  <c r="N444" i="1"/>
  <c r="M444" i="1"/>
  <c r="L444" i="1"/>
  <c r="M437" i="1"/>
  <c r="K437" i="1"/>
  <c r="N437" i="1" s="1"/>
  <c r="M436" i="1"/>
  <c r="K436" i="1"/>
  <c r="N436" i="1" s="1"/>
  <c r="M434" i="1"/>
  <c r="K434" i="1"/>
  <c r="N434" i="1" s="1"/>
  <c r="M433" i="1"/>
  <c r="K433" i="1"/>
  <c r="L433" i="1" s="1"/>
  <c r="M432" i="1"/>
  <c r="K432" i="1"/>
  <c r="L432" i="1" s="1"/>
  <c r="M431" i="1"/>
  <c r="K431" i="1"/>
  <c r="N431" i="1" s="1"/>
  <c r="M430" i="1"/>
  <c r="K430" i="1"/>
  <c r="L430" i="1" s="1"/>
  <c r="M429" i="1"/>
  <c r="K429" i="1"/>
  <c r="N429" i="1" s="1"/>
  <c r="M428" i="1"/>
  <c r="K428" i="1"/>
  <c r="N428" i="1" s="1"/>
  <c r="M427" i="1"/>
  <c r="K427" i="1"/>
  <c r="N427" i="1" s="1"/>
  <c r="M426" i="1"/>
  <c r="K426" i="1"/>
  <c r="L426" i="1" s="1"/>
  <c r="M425" i="1"/>
  <c r="K425" i="1"/>
  <c r="N425" i="1" s="1"/>
  <c r="M424" i="1"/>
  <c r="K424" i="1"/>
  <c r="N424" i="1" s="1"/>
  <c r="M423" i="1"/>
  <c r="K423" i="1"/>
  <c r="N423" i="1" s="1"/>
  <c r="M422" i="1"/>
  <c r="K422" i="1"/>
  <c r="L422" i="1" s="1"/>
  <c r="M419" i="1"/>
  <c r="K419" i="1"/>
  <c r="N419" i="1" s="1"/>
  <c r="M418" i="1"/>
  <c r="K418" i="1"/>
  <c r="L418" i="1" s="1"/>
  <c r="M417" i="1"/>
  <c r="K417" i="1"/>
  <c r="N417" i="1" s="1"/>
  <c r="M416" i="1"/>
  <c r="K416" i="1"/>
  <c r="L416" i="1" s="1"/>
  <c r="M415" i="1"/>
  <c r="K415" i="1"/>
  <c r="L415" i="1" s="1"/>
  <c r="M414" i="1"/>
  <c r="K414" i="1"/>
  <c r="N414" i="1" s="1"/>
  <c r="M413" i="1"/>
  <c r="K413" i="1"/>
  <c r="N413" i="1" s="1"/>
  <c r="M412" i="1"/>
  <c r="K412" i="1"/>
  <c r="L412" i="1" s="1"/>
  <c r="M411" i="1"/>
  <c r="K411" i="1"/>
  <c r="L411" i="1" s="1"/>
  <c r="M410" i="1"/>
  <c r="K410" i="1"/>
  <c r="L410" i="1" s="1"/>
  <c r="M409" i="1"/>
  <c r="K409" i="1"/>
  <c r="N409" i="1" s="1"/>
  <c r="M408" i="1"/>
  <c r="K408" i="1"/>
  <c r="L408" i="1" s="1"/>
  <c r="M407" i="1"/>
  <c r="K407" i="1"/>
  <c r="L407" i="1" s="1"/>
  <c r="M406" i="1"/>
  <c r="K406" i="1"/>
  <c r="N406" i="1" s="1"/>
  <c r="M405" i="1"/>
  <c r="K405" i="1"/>
  <c r="N405" i="1" s="1"/>
  <c r="M404" i="1"/>
  <c r="K404" i="1"/>
  <c r="L404" i="1" s="1"/>
  <c r="M403" i="1"/>
  <c r="K403" i="1"/>
  <c r="L403" i="1" s="1"/>
  <c r="M402" i="1"/>
  <c r="K402" i="1"/>
  <c r="N402" i="1" s="1"/>
  <c r="M401" i="1"/>
  <c r="K401" i="1"/>
  <c r="M400" i="1"/>
  <c r="K400" i="1"/>
  <c r="M399" i="1"/>
  <c r="K399" i="1"/>
  <c r="L399" i="1" s="1"/>
  <c r="M398" i="1"/>
  <c r="K398" i="1"/>
  <c r="N398" i="1" s="1"/>
  <c r="M397" i="1"/>
  <c r="K397" i="1"/>
  <c r="M396" i="1"/>
  <c r="K396" i="1"/>
  <c r="L396" i="1" s="1"/>
  <c r="M395" i="1"/>
  <c r="K395" i="1"/>
  <c r="L395" i="1" s="1"/>
  <c r="M394" i="1"/>
  <c r="K394" i="1"/>
  <c r="N394" i="1" s="1"/>
  <c r="M393" i="1"/>
  <c r="K393" i="1"/>
  <c r="N393" i="1" s="1"/>
  <c r="M392" i="1"/>
  <c r="K392" i="1"/>
  <c r="L392" i="1" s="1"/>
  <c r="M391" i="1"/>
  <c r="K391" i="1"/>
  <c r="L391" i="1" s="1"/>
  <c r="M390" i="1"/>
  <c r="K390" i="1"/>
  <c r="N390" i="1" s="1"/>
  <c r="M389" i="1"/>
  <c r="K389" i="1"/>
  <c r="N389" i="1" s="1"/>
  <c r="M388" i="1"/>
  <c r="K388" i="1"/>
  <c r="L388" i="1" s="1"/>
  <c r="M387" i="1"/>
  <c r="K387" i="1"/>
  <c r="L387" i="1" s="1"/>
  <c r="M386" i="1"/>
  <c r="K386" i="1"/>
  <c r="N386" i="1" s="1"/>
  <c r="M385" i="1"/>
  <c r="K385" i="1"/>
  <c r="N385" i="1" s="1"/>
  <c r="M384" i="1"/>
  <c r="K384" i="1"/>
  <c r="L384" i="1" s="1"/>
  <c r="M383" i="1"/>
  <c r="K383" i="1"/>
  <c r="L383" i="1" s="1"/>
  <c r="M382" i="1"/>
  <c r="K382" i="1"/>
  <c r="N382" i="1" s="1"/>
  <c r="M381" i="1"/>
  <c r="K381" i="1"/>
  <c r="N381" i="1" s="1"/>
  <c r="M380" i="1"/>
  <c r="K380" i="1"/>
  <c r="L380" i="1" s="1"/>
  <c r="M379" i="1"/>
  <c r="K379" i="1"/>
  <c r="M378" i="1"/>
  <c r="K378" i="1"/>
  <c r="N378" i="1" s="1"/>
  <c r="M377" i="1"/>
  <c r="K377" i="1"/>
  <c r="N377" i="1" s="1"/>
  <c r="M376" i="1"/>
  <c r="K376" i="1"/>
  <c r="M375" i="1"/>
  <c r="K375" i="1"/>
  <c r="L375" i="1" s="1"/>
  <c r="M374" i="1"/>
  <c r="K374" i="1"/>
  <c r="N374" i="1" s="1"/>
  <c r="M373" i="1"/>
  <c r="K373" i="1"/>
  <c r="M372" i="1"/>
  <c r="K372" i="1"/>
  <c r="M371" i="1"/>
  <c r="K371" i="1"/>
  <c r="L371" i="1" s="1"/>
  <c r="M370" i="1"/>
  <c r="K370" i="1"/>
  <c r="N370" i="1" s="1"/>
  <c r="M367" i="1"/>
  <c r="K367" i="1"/>
  <c r="M366" i="1"/>
  <c r="K366" i="1"/>
  <c r="M365" i="1"/>
  <c r="K365" i="1"/>
  <c r="L365" i="1" s="1"/>
  <c r="M363" i="1"/>
  <c r="K363" i="1"/>
  <c r="N363" i="1" s="1"/>
  <c r="M362" i="1"/>
  <c r="K362" i="1"/>
  <c r="M361" i="1"/>
  <c r="K361" i="1"/>
  <c r="M360" i="1"/>
  <c r="K360" i="1"/>
  <c r="L360" i="1" s="1"/>
  <c r="M359" i="1"/>
  <c r="K359" i="1"/>
  <c r="N359" i="1" s="1"/>
  <c r="M358" i="1"/>
  <c r="K358" i="1"/>
  <c r="M357" i="1"/>
  <c r="K357" i="1"/>
  <c r="N357" i="1" s="1"/>
  <c r="M354" i="1"/>
  <c r="K354" i="1"/>
  <c r="M353" i="1"/>
  <c r="K353" i="1"/>
  <c r="N353" i="1" s="1"/>
  <c r="M352" i="1"/>
  <c r="K352" i="1"/>
  <c r="N352" i="1" s="1"/>
  <c r="M351" i="1"/>
  <c r="K351" i="1"/>
  <c r="N351" i="1" s="1"/>
  <c r="M350" i="1"/>
  <c r="K350" i="1"/>
  <c r="L350" i="1" s="1"/>
  <c r="M349" i="1"/>
  <c r="K349" i="1"/>
  <c r="N349" i="1" s="1"/>
  <c r="M348" i="1"/>
  <c r="K348" i="1"/>
  <c r="M347" i="1"/>
  <c r="K347" i="1"/>
  <c r="L347" i="1" s="1"/>
  <c r="M346" i="1"/>
  <c r="K346" i="1"/>
  <c r="L346" i="1" s="1"/>
  <c r="M345" i="1"/>
  <c r="K345" i="1"/>
  <c r="N345" i="1" s="1"/>
  <c r="M344" i="1"/>
  <c r="K344" i="1"/>
  <c r="N344" i="1" s="1"/>
  <c r="M343" i="1"/>
  <c r="K343" i="1"/>
  <c r="M341" i="1"/>
  <c r="K341" i="1"/>
  <c r="L341" i="1" s="1"/>
  <c r="M340" i="1"/>
  <c r="K340" i="1"/>
  <c r="N340" i="1" s="1"/>
  <c r="M339" i="1"/>
  <c r="K339" i="1"/>
  <c r="N339" i="1" s="1"/>
  <c r="M338" i="1"/>
  <c r="K338" i="1"/>
  <c r="N338" i="1" s="1"/>
  <c r="M337" i="1"/>
  <c r="K337" i="1"/>
  <c r="M336" i="1"/>
  <c r="K336" i="1"/>
  <c r="N336" i="1" s="1"/>
  <c r="M335" i="1"/>
  <c r="K335" i="1"/>
  <c r="M334" i="1"/>
  <c r="K334" i="1"/>
  <c r="N334" i="1" s="1"/>
  <c r="M333" i="1"/>
  <c r="K333" i="1"/>
  <c r="N333" i="1" s="1"/>
  <c r="M332" i="1"/>
  <c r="K332" i="1"/>
  <c r="N332" i="1" s="1"/>
  <c r="M331" i="1"/>
  <c r="K331" i="1"/>
  <c r="L331" i="1" s="1"/>
  <c r="M330" i="1"/>
  <c r="K330" i="1"/>
  <c r="N330" i="1" s="1"/>
  <c r="M329" i="1"/>
  <c r="K329" i="1"/>
  <c r="N329" i="1" s="1"/>
  <c r="M328" i="1"/>
  <c r="K328" i="1"/>
  <c r="L328" i="1" s="1"/>
  <c r="M327" i="1"/>
  <c r="K327" i="1"/>
  <c r="N327" i="1" s="1"/>
  <c r="M326" i="1"/>
  <c r="K326" i="1"/>
  <c r="N326" i="1" s="1"/>
  <c r="M324" i="1"/>
  <c r="K324" i="1"/>
  <c r="N324" i="1" s="1"/>
  <c r="M323" i="1"/>
  <c r="K323" i="1"/>
  <c r="L323" i="1" s="1"/>
  <c r="M322" i="1"/>
  <c r="K322" i="1"/>
  <c r="N322" i="1" s="1"/>
  <c r="M321" i="1"/>
  <c r="K321" i="1"/>
  <c r="N321" i="1" s="1"/>
  <c r="M320" i="1"/>
  <c r="K320" i="1"/>
  <c r="N320" i="1" s="1"/>
  <c r="M319" i="1"/>
  <c r="K319" i="1"/>
  <c r="N319" i="1" s="1"/>
  <c r="M318" i="1"/>
  <c r="K318" i="1"/>
  <c r="N318" i="1" s="1"/>
  <c r="M316" i="1"/>
  <c r="K316" i="1"/>
  <c r="N316" i="1" s="1"/>
  <c r="M315" i="1"/>
  <c r="K315" i="1"/>
  <c r="N315" i="1" s="1"/>
  <c r="M314" i="1"/>
  <c r="K314" i="1"/>
  <c r="N314" i="1" s="1"/>
  <c r="M313" i="1"/>
  <c r="K313" i="1"/>
  <c r="L313" i="1" s="1"/>
  <c r="M312" i="1"/>
  <c r="K312" i="1"/>
  <c r="N312" i="1" s="1"/>
  <c r="M311" i="1"/>
  <c r="K311" i="1"/>
  <c r="N311" i="1" s="1"/>
  <c r="M310" i="1"/>
  <c r="K310" i="1"/>
  <c r="N310" i="1" s="1"/>
  <c r="M309" i="1"/>
  <c r="K309" i="1"/>
  <c r="L309" i="1" s="1"/>
  <c r="M308" i="1"/>
  <c r="K308" i="1"/>
  <c r="N308" i="1" s="1"/>
  <c r="M306" i="1"/>
  <c r="K306" i="1"/>
  <c r="N306" i="1" s="1"/>
  <c r="M305" i="1"/>
  <c r="K305" i="1"/>
  <c r="N305" i="1" s="1"/>
  <c r="M304" i="1"/>
  <c r="K304" i="1"/>
  <c r="N304" i="1" s="1"/>
  <c r="M302" i="1"/>
  <c r="K302" i="1"/>
  <c r="L302" i="1" s="1"/>
  <c r="M301" i="1"/>
  <c r="K301" i="1"/>
  <c r="N301" i="1" s="1"/>
  <c r="M300" i="1"/>
  <c r="K300" i="1"/>
  <c r="N300" i="1" s="1"/>
  <c r="M299" i="1"/>
  <c r="K299" i="1"/>
  <c r="N299" i="1" s="1"/>
  <c r="M298" i="1"/>
  <c r="K298" i="1"/>
  <c r="L298" i="1" s="1"/>
  <c r="M297" i="1"/>
  <c r="K297" i="1"/>
  <c r="N297" i="1" s="1"/>
  <c r="M296" i="1"/>
  <c r="K296" i="1"/>
  <c r="N296" i="1" s="1"/>
  <c r="M295" i="1"/>
  <c r="K295" i="1"/>
  <c r="L295" i="1" s="1"/>
  <c r="M294" i="1"/>
  <c r="K294" i="1"/>
  <c r="L294" i="1" s="1"/>
  <c r="M292" i="1"/>
  <c r="K292" i="1"/>
  <c r="N292" i="1" s="1"/>
  <c r="M291" i="1"/>
  <c r="K291" i="1"/>
  <c r="N291" i="1" s="1"/>
  <c r="M290" i="1"/>
  <c r="K290" i="1"/>
  <c r="L290" i="1" s="1"/>
  <c r="M289" i="1"/>
  <c r="K289" i="1"/>
  <c r="L289" i="1" s="1"/>
  <c r="M288" i="1"/>
  <c r="K288" i="1"/>
  <c r="N288" i="1" s="1"/>
  <c r="M286" i="1"/>
  <c r="K286" i="1"/>
  <c r="N286" i="1" s="1"/>
  <c r="M285" i="1"/>
  <c r="K285" i="1"/>
  <c r="L285" i="1" s="1"/>
  <c r="M284" i="1"/>
  <c r="K284" i="1"/>
  <c r="L284" i="1" s="1"/>
  <c r="M283" i="1"/>
  <c r="K283" i="1"/>
  <c r="N283" i="1" s="1"/>
  <c r="M282" i="1"/>
  <c r="K282" i="1"/>
  <c r="N282" i="1" s="1"/>
  <c r="M281" i="1"/>
  <c r="K281" i="1"/>
  <c r="L281" i="1" s="1"/>
  <c r="M280" i="1"/>
  <c r="K280" i="1"/>
  <c r="L280" i="1" s="1"/>
  <c r="M279" i="1"/>
  <c r="K279" i="1"/>
  <c r="N279" i="1" s="1"/>
  <c r="M278" i="1"/>
  <c r="K278" i="1"/>
  <c r="N278" i="1" s="1"/>
  <c r="M277" i="1"/>
  <c r="K277" i="1"/>
  <c r="L277" i="1" s="1"/>
  <c r="M275" i="1"/>
  <c r="K275" i="1"/>
  <c r="L275" i="1" s="1"/>
  <c r="M274" i="1"/>
  <c r="K274" i="1"/>
  <c r="N274" i="1" s="1"/>
  <c r="M273" i="1"/>
  <c r="K273" i="1"/>
  <c r="N273" i="1" s="1"/>
  <c r="M272" i="1"/>
  <c r="K272" i="1"/>
  <c r="N272" i="1" s="1"/>
  <c r="M271" i="1"/>
  <c r="K271" i="1"/>
  <c r="L271" i="1" s="1"/>
  <c r="M270" i="1"/>
  <c r="K270" i="1"/>
  <c r="N270" i="1" s="1"/>
  <c r="M269" i="1"/>
  <c r="K269" i="1"/>
  <c r="N269" i="1" s="1"/>
  <c r="M268" i="1"/>
  <c r="K268" i="1"/>
  <c r="N268" i="1" s="1"/>
  <c r="M267" i="1"/>
  <c r="K267" i="1"/>
  <c r="L267" i="1" s="1"/>
  <c r="M266" i="1"/>
  <c r="K266" i="1"/>
  <c r="N266" i="1" s="1"/>
  <c r="M265" i="1"/>
  <c r="K265" i="1"/>
  <c r="N265" i="1" s="1"/>
  <c r="M264" i="1"/>
  <c r="K264" i="1"/>
  <c r="N264" i="1" s="1"/>
  <c r="M263" i="1"/>
  <c r="K263" i="1"/>
  <c r="L263" i="1" s="1"/>
  <c r="M262" i="1"/>
  <c r="K262" i="1"/>
  <c r="N262" i="1" s="1"/>
  <c r="M261" i="1"/>
  <c r="K261" i="1"/>
  <c r="N261" i="1" s="1"/>
  <c r="M260" i="1"/>
  <c r="K260" i="1"/>
  <c r="N260" i="1" s="1"/>
  <c r="M259" i="1"/>
  <c r="K259" i="1"/>
  <c r="L259" i="1" s="1"/>
  <c r="M258" i="1"/>
  <c r="K258" i="1"/>
  <c r="N258" i="1" s="1"/>
  <c r="M257" i="1"/>
  <c r="K257" i="1"/>
  <c r="N257" i="1" s="1"/>
  <c r="M256" i="1"/>
  <c r="K256" i="1"/>
  <c r="L256" i="1" s="1"/>
  <c r="M255" i="1"/>
  <c r="K255" i="1"/>
  <c r="L255" i="1" s="1"/>
  <c r="M254" i="1"/>
  <c r="K254" i="1"/>
  <c r="N254" i="1" s="1"/>
  <c r="M253" i="1"/>
  <c r="K253" i="1"/>
  <c r="N253" i="1" s="1"/>
  <c r="M252" i="1"/>
  <c r="K252" i="1"/>
  <c r="L252" i="1" s="1"/>
  <c r="M251" i="1"/>
  <c r="K251" i="1"/>
  <c r="L251" i="1" s="1"/>
  <c r="M250" i="1"/>
  <c r="K250" i="1"/>
  <c r="N250" i="1" s="1"/>
  <c r="M249" i="1"/>
  <c r="K249" i="1"/>
  <c r="N249" i="1" s="1"/>
  <c r="M248" i="1"/>
  <c r="K248" i="1"/>
  <c r="L248" i="1" s="1"/>
  <c r="M247" i="1"/>
  <c r="K247" i="1"/>
  <c r="N247" i="1" s="1"/>
  <c r="M246" i="1"/>
  <c r="K246" i="1"/>
  <c r="N246" i="1" s="1"/>
  <c r="M245" i="1"/>
  <c r="K245" i="1"/>
  <c r="N245" i="1" s="1"/>
  <c r="M244" i="1"/>
  <c r="K244" i="1"/>
  <c r="L244" i="1" s="1"/>
  <c r="M237" i="1"/>
  <c r="K237" i="1"/>
  <c r="L237" i="1" s="1"/>
  <c r="M236" i="1"/>
  <c r="K236" i="1"/>
  <c r="N236" i="1" s="1"/>
  <c r="M235" i="1"/>
  <c r="K235" i="1"/>
  <c r="N235" i="1" s="1"/>
  <c r="M234" i="1"/>
  <c r="K234" i="1"/>
  <c r="L234" i="1" s="1"/>
  <c r="M233" i="1"/>
  <c r="K233" i="1"/>
  <c r="L233" i="1" s="1"/>
  <c r="M232" i="1"/>
  <c r="K232" i="1"/>
  <c r="N232" i="1" s="1"/>
  <c r="M231" i="1"/>
  <c r="K231" i="1"/>
  <c r="N231" i="1" s="1"/>
  <c r="M230" i="1"/>
  <c r="K230" i="1"/>
  <c r="L230" i="1" s="1"/>
  <c r="M229" i="1"/>
  <c r="K229" i="1"/>
  <c r="L229" i="1" s="1"/>
  <c r="M228" i="1"/>
  <c r="K228" i="1"/>
  <c r="N228" i="1" s="1"/>
  <c r="M227" i="1"/>
  <c r="K227" i="1"/>
  <c r="N227" i="1" s="1"/>
  <c r="M226" i="1"/>
  <c r="K226" i="1"/>
  <c r="L226" i="1" s="1"/>
  <c r="M225" i="1"/>
  <c r="K225" i="1"/>
  <c r="L225" i="1" s="1"/>
  <c r="M224" i="1"/>
  <c r="K224" i="1"/>
  <c r="N224" i="1" s="1"/>
  <c r="M223" i="1"/>
  <c r="K223" i="1"/>
  <c r="N223" i="1" s="1"/>
  <c r="M222" i="1"/>
  <c r="K222" i="1"/>
  <c r="L222" i="1" s="1"/>
  <c r="M221" i="1"/>
  <c r="K221" i="1"/>
  <c r="N221" i="1" s="1"/>
  <c r="M220" i="1"/>
  <c r="K220" i="1"/>
  <c r="N220" i="1" s="1"/>
  <c r="M219" i="1"/>
  <c r="K219" i="1"/>
  <c r="L219" i="1" s="1"/>
  <c r="M218" i="1"/>
  <c r="K218" i="1"/>
  <c r="L218" i="1" s="1"/>
  <c r="M211" i="1"/>
  <c r="K211" i="1"/>
  <c r="N211" i="1" s="1"/>
  <c r="M210" i="1"/>
  <c r="K210" i="1"/>
  <c r="N210" i="1" s="1"/>
  <c r="M209" i="1"/>
  <c r="K209" i="1"/>
  <c r="L209" i="1" s="1"/>
  <c r="M208" i="1"/>
  <c r="K208" i="1"/>
  <c r="L208" i="1" s="1"/>
  <c r="M207" i="1"/>
  <c r="K207" i="1"/>
  <c r="N207" i="1" s="1"/>
  <c r="M205" i="1"/>
  <c r="K205" i="1"/>
  <c r="N205" i="1" s="1"/>
  <c r="M204" i="1"/>
  <c r="K204" i="1"/>
  <c r="N204" i="1" s="1"/>
  <c r="M203" i="1"/>
  <c r="K203" i="1"/>
  <c r="L203" i="1" s="1"/>
  <c r="M202" i="1"/>
  <c r="K202" i="1"/>
  <c r="N202" i="1" s="1"/>
  <c r="M201" i="1"/>
  <c r="K201" i="1"/>
  <c r="N201" i="1" s="1"/>
  <c r="M200" i="1"/>
  <c r="K200" i="1"/>
  <c r="N200" i="1" s="1"/>
  <c r="M199" i="1"/>
  <c r="K199" i="1"/>
  <c r="L199" i="1" s="1"/>
  <c r="M198" i="1"/>
  <c r="K198" i="1"/>
  <c r="L198" i="1" s="1"/>
  <c r="M197" i="1"/>
  <c r="K197" i="1"/>
  <c r="N197" i="1" s="1"/>
  <c r="M196" i="1"/>
  <c r="K196" i="1"/>
  <c r="N196" i="1" s="1"/>
  <c r="M195" i="1"/>
  <c r="K195" i="1"/>
  <c r="L195" i="1" s="1"/>
  <c r="M194" i="1"/>
  <c r="K194" i="1"/>
  <c r="L194" i="1" s="1"/>
  <c r="M193" i="1"/>
  <c r="K193" i="1"/>
  <c r="N193" i="1" s="1"/>
  <c r="M192" i="1"/>
  <c r="K192" i="1"/>
  <c r="N192" i="1" s="1"/>
  <c r="M191" i="1"/>
  <c r="K191" i="1"/>
  <c r="L191" i="1" s="1"/>
  <c r="M190" i="1"/>
  <c r="K190" i="1"/>
  <c r="N190" i="1" s="1"/>
  <c r="M189" i="1"/>
  <c r="K189" i="1"/>
  <c r="N189" i="1" s="1"/>
  <c r="M188" i="1"/>
  <c r="K188" i="1"/>
  <c r="N188" i="1" s="1"/>
  <c r="M187" i="1"/>
  <c r="K187" i="1"/>
  <c r="N187" i="1" s="1"/>
  <c r="M186" i="1"/>
  <c r="K186" i="1"/>
  <c r="L186" i="1" s="1"/>
  <c r="M185" i="1"/>
  <c r="K185" i="1"/>
  <c r="N185" i="1" s="1"/>
  <c r="M184" i="1"/>
  <c r="K184" i="1"/>
  <c r="N184" i="1" s="1"/>
  <c r="M183" i="1"/>
  <c r="K183" i="1"/>
  <c r="L183" i="1" s="1"/>
  <c r="M182" i="1"/>
  <c r="K182" i="1"/>
  <c r="L182" i="1" s="1"/>
  <c r="M181" i="1"/>
  <c r="K181" i="1"/>
  <c r="N181" i="1" s="1"/>
  <c r="M180" i="1"/>
  <c r="K180" i="1"/>
  <c r="N180" i="1" s="1"/>
  <c r="M176" i="1"/>
  <c r="K176" i="1"/>
  <c r="L176" i="1" s="1"/>
  <c r="M175" i="1"/>
  <c r="K175" i="1"/>
  <c r="L175" i="1" s="1"/>
  <c r="M174" i="1"/>
  <c r="K174" i="1"/>
  <c r="N174" i="1" s="1"/>
  <c r="M172" i="1"/>
  <c r="K172" i="1"/>
  <c r="N172" i="1" s="1"/>
  <c r="M170" i="1"/>
  <c r="K170" i="1"/>
  <c r="L170" i="1" s="1"/>
  <c r="M169" i="1"/>
  <c r="K169" i="1"/>
  <c r="L169" i="1" s="1"/>
  <c r="M167" i="1"/>
  <c r="K167" i="1"/>
  <c r="N167" i="1" s="1"/>
  <c r="M165" i="1"/>
  <c r="K165" i="1"/>
  <c r="L165" i="1" s="1"/>
  <c r="M164" i="1"/>
  <c r="K164" i="1"/>
  <c r="L164" i="1" s="1"/>
  <c r="M163" i="1"/>
  <c r="K163" i="1"/>
  <c r="L163" i="1" s="1"/>
  <c r="M162" i="1"/>
  <c r="K162" i="1"/>
  <c r="N162" i="1" s="1"/>
  <c r="M161" i="1"/>
  <c r="K161" i="1"/>
  <c r="N161" i="1" s="1"/>
  <c r="M160" i="1"/>
  <c r="K160" i="1"/>
  <c r="L160" i="1" s="1"/>
  <c r="M159" i="1"/>
  <c r="K159" i="1"/>
  <c r="L159" i="1" s="1"/>
  <c r="M158" i="1"/>
  <c r="K158" i="1"/>
  <c r="N158" i="1" s="1"/>
  <c r="M157" i="1"/>
  <c r="K157" i="1"/>
  <c r="N157" i="1" s="1"/>
  <c r="M156" i="1"/>
  <c r="K156" i="1"/>
  <c r="L156" i="1" s="1"/>
  <c r="M155" i="1"/>
  <c r="K155" i="1"/>
  <c r="L155" i="1" s="1"/>
  <c r="M154" i="1"/>
  <c r="K154" i="1"/>
  <c r="N154" i="1" s="1"/>
  <c r="M153" i="1"/>
  <c r="K153" i="1"/>
  <c r="N153" i="1" s="1"/>
  <c r="M152" i="1"/>
  <c r="K152" i="1"/>
  <c r="L152" i="1" s="1"/>
  <c r="M151" i="1"/>
  <c r="K151" i="1"/>
  <c r="L151" i="1" s="1"/>
  <c r="M150" i="1"/>
  <c r="K150" i="1"/>
  <c r="N150" i="1" s="1"/>
  <c r="M149" i="1"/>
  <c r="K149" i="1"/>
  <c r="N149" i="1" s="1"/>
  <c r="M148" i="1"/>
  <c r="K148" i="1"/>
  <c r="L148" i="1" s="1"/>
  <c r="M142" i="1"/>
  <c r="K142" i="1"/>
  <c r="L142" i="1" s="1"/>
  <c r="M141" i="1"/>
  <c r="K141" i="1"/>
  <c r="N141" i="1" s="1"/>
  <c r="M140" i="1"/>
  <c r="K140" i="1"/>
  <c r="N140" i="1" s="1"/>
  <c r="M139" i="1"/>
  <c r="K139" i="1"/>
  <c r="N139" i="1" s="1"/>
  <c r="M138" i="1"/>
  <c r="K138" i="1"/>
  <c r="L138" i="1" s="1"/>
  <c r="M137" i="1"/>
  <c r="K137" i="1"/>
  <c r="N137" i="1" s="1"/>
  <c r="M136" i="1"/>
  <c r="K136" i="1"/>
  <c r="N136" i="1" s="1"/>
  <c r="M135" i="1"/>
  <c r="K135" i="1"/>
  <c r="L135" i="1" s="1"/>
  <c r="M134" i="1"/>
  <c r="K134" i="1"/>
  <c r="L134" i="1" s="1"/>
  <c r="M130" i="1"/>
  <c r="K130" i="1"/>
  <c r="N130" i="1" s="1"/>
  <c r="M129" i="1"/>
  <c r="K129" i="1"/>
  <c r="L129" i="1" s="1"/>
  <c r="M128" i="1"/>
  <c r="K128" i="1"/>
  <c r="L128" i="1" s="1"/>
  <c r="M127" i="1"/>
  <c r="K127" i="1"/>
  <c r="N127" i="1" s="1"/>
  <c r="M126" i="1"/>
  <c r="K126" i="1"/>
  <c r="N126" i="1" s="1"/>
  <c r="M125" i="1"/>
  <c r="K125" i="1"/>
  <c r="L125" i="1" s="1"/>
  <c r="M124" i="1"/>
  <c r="K124" i="1"/>
  <c r="L124" i="1" s="1"/>
  <c r="M123" i="1"/>
  <c r="K123" i="1"/>
  <c r="N123" i="1" s="1"/>
  <c r="M122" i="1"/>
  <c r="K122" i="1"/>
  <c r="N122" i="1" s="1"/>
  <c r="M119" i="1"/>
  <c r="K119" i="1"/>
  <c r="L119" i="1" s="1"/>
  <c r="M118" i="1"/>
  <c r="K118" i="1"/>
  <c r="L118" i="1" s="1"/>
  <c r="M117" i="1"/>
  <c r="K117" i="1"/>
  <c r="N117" i="1" s="1"/>
  <c r="M116" i="1"/>
  <c r="K116" i="1"/>
  <c r="N116" i="1" s="1"/>
  <c r="M114" i="1"/>
  <c r="K114" i="1"/>
  <c r="L114" i="1" s="1"/>
  <c r="M113" i="1"/>
  <c r="K113" i="1"/>
  <c r="L113" i="1" s="1"/>
  <c r="M109" i="1"/>
  <c r="K109" i="1"/>
  <c r="L109" i="1" s="1"/>
  <c r="M108" i="1"/>
  <c r="K108" i="1"/>
  <c r="N108" i="1" s="1"/>
  <c r="M107" i="1"/>
  <c r="K107" i="1"/>
  <c r="L107" i="1" s="1"/>
  <c r="M106" i="1"/>
  <c r="K106" i="1"/>
  <c r="L106" i="1" s="1"/>
  <c r="M105" i="1"/>
  <c r="K105" i="1"/>
  <c r="N105" i="1" s="1"/>
  <c r="M104" i="1"/>
  <c r="K104" i="1"/>
  <c r="N104" i="1" s="1"/>
  <c r="M101" i="1"/>
  <c r="K101" i="1"/>
  <c r="L101" i="1" s="1"/>
  <c r="M100" i="1"/>
  <c r="K100" i="1"/>
  <c r="L100" i="1" s="1"/>
  <c r="M99" i="1"/>
  <c r="K99" i="1"/>
  <c r="N99" i="1" s="1"/>
  <c r="M98" i="1"/>
  <c r="K98" i="1"/>
  <c r="N98" i="1" s="1"/>
  <c r="M97" i="1"/>
  <c r="K97" i="1"/>
  <c r="L97" i="1" s="1"/>
  <c r="M96" i="1"/>
  <c r="K96" i="1"/>
  <c r="L96" i="1" s="1"/>
  <c r="M95" i="1"/>
  <c r="K95" i="1"/>
  <c r="N95" i="1" s="1"/>
  <c r="M94" i="1"/>
  <c r="K94" i="1"/>
  <c r="N94" i="1" s="1"/>
  <c r="M93" i="1"/>
  <c r="K93" i="1"/>
  <c r="L93" i="1" s="1"/>
  <c r="M92" i="1"/>
  <c r="K92" i="1"/>
  <c r="L92" i="1" s="1"/>
  <c r="M91" i="1"/>
  <c r="K91" i="1"/>
  <c r="N91" i="1" s="1"/>
  <c r="M87" i="1"/>
  <c r="K87" i="1"/>
  <c r="N87" i="1" s="1"/>
  <c r="M86" i="1"/>
  <c r="K86" i="1"/>
  <c r="L86" i="1" s="1"/>
  <c r="M85" i="1"/>
  <c r="K85" i="1"/>
  <c r="L85" i="1" s="1"/>
  <c r="M83" i="1"/>
  <c r="K83" i="1"/>
  <c r="N83" i="1" s="1"/>
  <c r="M82" i="1"/>
  <c r="K82" i="1"/>
  <c r="N82" i="1" s="1"/>
  <c r="M81" i="1"/>
  <c r="K81" i="1"/>
  <c r="L81" i="1" s="1"/>
  <c r="M80" i="1"/>
  <c r="K80" i="1"/>
  <c r="L80" i="1" s="1"/>
  <c r="M78" i="1"/>
  <c r="K78" i="1"/>
  <c r="N78" i="1" s="1"/>
  <c r="M77" i="1"/>
  <c r="K77" i="1"/>
  <c r="N77" i="1" s="1"/>
  <c r="M76" i="1"/>
  <c r="K76" i="1"/>
  <c r="L76" i="1" s="1"/>
  <c r="M72" i="1"/>
  <c r="K72" i="1"/>
  <c r="L72" i="1" s="1"/>
  <c r="M71" i="1"/>
  <c r="K71" i="1"/>
  <c r="N71" i="1" s="1"/>
  <c r="M70" i="1"/>
  <c r="K70" i="1"/>
  <c r="N70" i="1" s="1"/>
  <c r="M57" i="1"/>
  <c r="K57" i="1"/>
  <c r="L57" i="1" s="1"/>
  <c r="M56" i="1"/>
  <c r="K56" i="1"/>
  <c r="L56" i="1" s="1"/>
  <c r="M55" i="1"/>
  <c r="K55" i="1"/>
  <c r="N55" i="1" s="1"/>
  <c r="N69" i="1"/>
  <c r="M69" i="1"/>
  <c r="L69" i="1"/>
  <c r="M53" i="1"/>
  <c r="K53" i="1"/>
  <c r="N53" i="1" s="1"/>
  <c r="M52" i="1"/>
  <c r="K52" i="1"/>
  <c r="L52" i="1" s="1"/>
  <c r="M51" i="1"/>
  <c r="K51" i="1"/>
  <c r="L51" i="1" s="1"/>
  <c r="M47" i="1"/>
  <c r="K47" i="1"/>
  <c r="N47" i="1" s="1"/>
  <c r="M46" i="1"/>
  <c r="K46" i="1"/>
  <c r="N46" i="1" s="1"/>
  <c r="M45" i="1"/>
  <c r="K45" i="1"/>
  <c r="L45" i="1" s="1"/>
  <c r="M44" i="1"/>
  <c r="K44" i="1"/>
  <c r="L44" i="1" s="1"/>
  <c r="M43" i="1"/>
  <c r="K43" i="1"/>
  <c r="N43" i="1" s="1"/>
  <c r="M41" i="1"/>
  <c r="K41" i="1"/>
  <c r="N41" i="1" s="1"/>
  <c r="M40" i="1"/>
  <c r="K40" i="1"/>
  <c r="L40" i="1" s="1"/>
  <c r="M39" i="1"/>
  <c r="K39" i="1"/>
  <c r="M38" i="1"/>
  <c r="K38" i="1"/>
  <c r="N38" i="1" s="1"/>
  <c r="M37" i="1"/>
  <c r="K37" i="1"/>
  <c r="N37" i="1" s="1"/>
  <c r="M36" i="1"/>
  <c r="K36" i="1"/>
  <c r="N36" i="1" s="1"/>
  <c r="M35" i="1"/>
  <c r="K35" i="1"/>
  <c r="M34" i="1"/>
  <c r="K34" i="1"/>
  <c r="N34" i="1" s="1"/>
  <c r="M33" i="1"/>
  <c r="K33" i="1"/>
  <c r="M32" i="1"/>
  <c r="K32" i="1"/>
  <c r="L32" i="1" s="1"/>
  <c r="M31" i="1"/>
  <c r="K31" i="1"/>
  <c r="M30" i="1"/>
  <c r="K30" i="1"/>
  <c r="N30" i="1" s="1"/>
  <c r="M29" i="1"/>
  <c r="K29" i="1"/>
  <c r="M28" i="1"/>
  <c r="K28" i="1"/>
  <c r="L28" i="1" s="1"/>
  <c r="M27" i="1"/>
  <c r="K27" i="1"/>
  <c r="M26" i="1"/>
  <c r="K26" i="1"/>
  <c r="N26" i="1" s="1"/>
  <c r="M25" i="1"/>
  <c r="K25" i="1"/>
  <c r="M24" i="1"/>
  <c r="K24" i="1"/>
  <c r="N24" i="1" s="1"/>
  <c r="M23" i="1"/>
  <c r="K23" i="1"/>
  <c r="M22" i="1"/>
  <c r="K22" i="1"/>
  <c r="M21" i="1"/>
  <c r="K21" i="1"/>
  <c r="N21" i="1" s="1"/>
  <c r="M20" i="1"/>
  <c r="K20" i="1"/>
  <c r="N20" i="1" s="1"/>
  <c r="M19" i="1"/>
  <c r="K19" i="1"/>
  <c r="N19" i="1" s="1"/>
  <c r="M18" i="1"/>
  <c r="K18" i="1"/>
  <c r="N18" i="1" s="1"/>
  <c r="M16" i="1"/>
  <c r="K16" i="1"/>
  <c r="N16" i="1" s="1"/>
  <c r="N15" i="1"/>
  <c r="M15" i="1"/>
  <c r="L15" i="1"/>
  <c r="K885" i="1"/>
  <c r="N885" i="1" s="1"/>
  <c r="K849" i="1"/>
  <c r="M849" i="1" s="1"/>
  <c r="K848" i="1"/>
  <c r="N848" i="1" s="1"/>
  <c r="K870" i="1"/>
  <c r="N870" i="1" s="1"/>
  <c r="K655" i="1"/>
  <c r="L655" i="1" s="1"/>
  <c r="K596" i="1"/>
  <c r="M596" i="1" s="1"/>
  <c r="K757" i="1"/>
  <c r="N757" i="1" s="1"/>
  <c r="K776" i="1"/>
  <c r="N776" i="1" s="1"/>
  <c r="K551" i="1"/>
  <c r="L551" i="1" s="1"/>
  <c r="K654" i="1"/>
  <c r="M654" i="1" s="1"/>
  <c r="K595" i="1"/>
  <c r="N595" i="1" s="1"/>
  <c r="K559" i="1"/>
  <c r="N559" i="1" s="1"/>
  <c r="K558" i="1"/>
  <c r="L558" i="1" s="1"/>
  <c r="K752" i="1"/>
  <c r="N752" i="1" s="1"/>
  <c r="K535" i="1"/>
  <c r="N535" i="1" s="1"/>
  <c r="K421" i="1"/>
  <c r="M421" i="1" s="1"/>
  <c r="K475" i="1"/>
  <c r="L475" i="1" s="1"/>
  <c r="K441" i="1"/>
  <c r="M441" i="1" s="1"/>
  <c r="K449" i="1"/>
  <c r="N449" i="1" s="1"/>
  <c r="K516" i="1"/>
  <c r="L516" i="1" s="1"/>
  <c r="K445" i="1"/>
  <c r="L445" i="1" s="1"/>
  <c r="K756" i="1"/>
  <c r="M756" i="1" s="1"/>
  <c r="K823" i="1"/>
  <c r="N823" i="1" s="1"/>
  <c r="K653" i="1"/>
  <c r="M653" i="1" s="1"/>
  <c r="K652" i="1"/>
  <c r="L652" i="1" s="1"/>
  <c r="K651" i="1"/>
  <c r="M651" i="1" s="1"/>
  <c r="K720" i="1"/>
  <c r="N720" i="1" s="1"/>
  <c r="K576" i="1"/>
  <c r="N576" i="1" s="1"/>
  <c r="K650" i="1"/>
  <c r="L650" i="1" s="1"/>
  <c r="K789" i="1"/>
  <c r="M789" i="1" s="1"/>
  <c r="K747" i="1"/>
  <c r="N747" i="1" s="1"/>
  <c r="K822" i="1"/>
  <c r="M822" i="1" s="1"/>
  <c r="K800" i="1"/>
  <c r="L800" i="1" s="1"/>
  <c r="K746" i="1"/>
  <c r="M746" i="1" s="1"/>
  <c r="K726" i="1"/>
  <c r="N726" i="1" s="1"/>
  <c r="K649" i="1"/>
  <c r="N649" i="1" s="1"/>
  <c r="K583" i="1"/>
  <c r="L583" i="1" s="1"/>
  <c r="K509" i="1"/>
  <c r="M509" i="1" s="1"/>
  <c r="K508" i="1"/>
  <c r="N508" i="1" s="1"/>
  <c r="K494" i="1"/>
  <c r="M494" i="1" s="1"/>
  <c r="K648" i="1"/>
  <c r="L648" i="1" s="1"/>
  <c r="K647" i="1"/>
  <c r="M647" i="1" s="1"/>
  <c r="K646" i="1"/>
  <c r="N646" i="1" s="1"/>
  <c r="K645" i="1"/>
  <c r="M645" i="1" s="1"/>
  <c r="K644" i="1"/>
  <c r="L644" i="1" s="1"/>
  <c r="K643" i="1"/>
  <c r="M643" i="1" s="1"/>
  <c r="K498" i="1"/>
  <c r="N498" i="1" s="1"/>
  <c r="K642" i="1"/>
  <c r="L642" i="1" s="1"/>
  <c r="K641" i="1"/>
  <c r="L641" i="1" s="1"/>
  <c r="K582" i="1"/>
  <c r="M582" i="1" s="1"/>
  <c r="K621" i="1"/>
  <c r="N621" i="1" s="1"/>
  <c r="K534" i="1"/>
  <c r="L534" i="1" s="1"/>
  <c r="K506" i="1"/>
  <c r="L506" i="1" s="1"/>
  <c r="K640" i="1"/>
  <c r="M640" i="1" s="1"/>
  <c r="K639" i="1"/>
  <c r="N639" i="1" s="1"/>
  <c r="K620" i="1"/>
  <c r="L620" i="1" s="1"/>
  <c r="K555" i="1"/>
  <c r="L555" i="1" s="1"/>
  <c r="K594" i="1"/>
  <c r="M594" i="1" s="1"/>
  <c r="K638" i="1"/>
  <c r="N638" i="1" s="1"/>
  <c r="K484" i="1"/>
  <c r="M484" i="1" s="1"/>
  <c r="K593" i="1"/>
  <c r="L593" i="1" s="1"/>
  <c r="K468" i="1"/>
  <c r="M468" i="1" s="1"/>
  <c r="K533" i="1"/>
  <c r="N533" i="1" s="1"/>
  <c r="K571" i="1"/>
  <c r="N571" i="1" s="1"/>
  <c r="K570" i="1"/>
  <c r="L570" i="1" s="1"/>
  <c r="K455" i="1"/>
  <c r="M455" i="1" s="1"/>
  <c r="K493" i="1"/>
  <c r="N493" i="1" s="1"/>
  <c r="K581" i="1"/>
  <c r="L581" i="1" s="1"/>
  <c r="K542" i="1"/>
  <c r="L542" i="1" s="1"/>
  <c r="K467" i="1"/>
  <c r="M467" i="1" s="1"/>
  <c r="K466" i="1"/>
  <c r="N466" i="1" s="1"/>
  <c r="K487" i="1"/>
  <c r="M487" i="1" s="1"/>
  <c r="K450" i="1"/>
  <c r="L450" i="1" s="1"/>
  <c r="K462" i="1"/>
  <c r="M462" i="1" s="1"/>
  <c r="K460" i="1"/>
  <c r="N460" i="1" s="1"/>
  <c r="K454" i="1"/>
  <c r="L454" i="1" s="1"/>
  <c r="K619" i="1"/>
  <c r="L619" i="1" s="1"/>
  <c r="K453" i="1"/>
  <c r="M453" i="1" s="1"/>
  <c r="K440" i="1"/>
  <c r="N440" i="1" s="1"/>
  <c r="K557" i="1"/>
  <c r="N557" i="1" s="1"/>
  <c r="K497" i="1"/>
  <c r="L497" i="1" s="1"/>
  <c r="K452" i="1"/>
  <c r="M452" i="1" s="1"/>
  <c r="K465" i="1"/>
  <c r="N465" i="1" s="1"/>
  <c r="K439" i="1"/>
  <c r="L439" i="1" s="1"/>
  <c r="K420" i="1"/>
  <c r="L420" i="1" s="1"/>
  <c r="K435" i="1"/>
  <c r="M435" i="1" s="1"/>
  <c r="K369" i="1"/>
  <c r="N369" i="1" s="1"/>
  <c r="K356" i="1"/>
  <c r="N356" i="1" s="1"/>
  <c r="K217" i="1"/>
  <c r="L217" i="1" s="1"/>
  <c r="K364" i="1"/>
  <c r="M364" i="1" s="1"/>
  <c r="K90" i="1"/>
  <c r="N90" i="1" s="1"/>
  <c r="K293" i="1"/>
  <c r="L293" i="1" s="1"/>
  <c r="K368" i="1"/>
  <c r="L368" i="1" s="1"/>
  <c r="K216" i="1"/>
  <c r="M216" i="1" s="1"/>
  <c r="K215" i="1"/>
  <c r="N215" i="1" s="1"/>
  <c r="K355" i="1"/>
  <c r="N355" i="1" s="1"/>
  <c r="K214" i="1"/>
  <c r="L214" i="1" s="1"/>
  <c r="K213" i="1"/>
  <c r="M213" i="1" s="1"/>
  <c r="K179" i="1"/>
  <c r="N179" i="1" s="1"/>
  <c r="K178" i="1"/>
  <c r="L178" i="1" s="1"/>
  <c r="K75" i="1"/>
  <c r="L75" i="1" s="1"/>
  <c r="K74" i="1"/>
  <c r="M74" i="1" s="1"/>
  <c r="K73" i="1"/>
  <c r="N73" i="1" s="1"/>
  <c r="K112" i="1"/>
  <c r="M112" i="1" s="1"/>
  <c r="K325" i="1"/>
  <c r="L325" i="1" s="1"/>
  <c r="K239" i="1"/>
  <c r="M239" i="1" s="1"/>
  <c r="K342" i="1"/>
  <c r="N342" i="1" s="1"/>
  <c r="K303" i="1"/>
  <c r="L303" i="1" s="1"/>
  <c r="K243" i="1"/>
  <c r="L243" i="1" s="1"/>
  <c r="K317" i="1"/>
  <c r="K147" i="1"/>
  <c r="N147" i="1" s="1"/>
  <c r="K146" i="1"/>
  <c r="M146" i="1" s="1"/>
  <c r="K171" i="1"/>
  <c r="L171" i="1" s="1"/>
  <c r="K238" i="1"/>
  <c r="M238" i="1" s="1"/>
  <c r="K307" i="1"/>
  <c r="N307" i="1" s="1"/>
  <c r="K242" i="1"/>
  <c r="N242" i="1" s="1"/>
  <c r="K241" i="1"/>
  <c r="L241" i="1" s="1"/>
  <c r="K168" i="1"/>
  <c r="M168" i="1" s="1"/>
  <c r="K177" i="1"/>
  <c r="N177" i="1" s="1"/>
  <c r="K145" i="1"/>
  <c r="N145" i="1" s="1"/>
  <c r="K144" i="1"/>
  <c r="M144" i="1" s="1"/>
  <c r="K212" i="1"/>
  <c r="L212" i="1" s="1"/>
  <c r="K103" i="1"/>
  <c r="M103" i="1" s="1"/>
  <c r="K111" i="1"/>
  <c r="N111" i="1" s="1"/>
  <c r="K68" i="1"/>
  <c r="N68" i="1" s="1"/>
  <c r="K276" i="1"/>
  <c r="L276" i="1" s="1"/>
  <c r="K89" i="1"/>
  <c r="M89" i="1" s="1"/>
  <c r="K110" i="1"/>
  <c r="N110" i="1" s="1"/>
  <c r="K67" i="1"/>
  <c r="M67" i="1" s="1"/>
  <c r="K66" i="1"/>
  <c r="L66" i="1" s="1"/>
  <c r="K65" i="1"/>
  <c r="M65" i="1" s="1"/>
  <c r="K166" i="1"/>
  <c r="N166" i="1" s="1"/>
  <c r="K240" i="1"/>
  <c r="M240" i="1" s="1"/>
  <c r="K42" i="1"/>
  <c r="L42" i="1" s="1"/>
  <c r="K63" i="1"/>
  <c r="M63" i="1" s="1"/>
  <c r="K62" i="1"/>
  <c r="N62" i="1" s="1"/>
  <c r="K121" i="1"/>
  <c r="M121" i="1" s="1"/>
  <c r="K120" i="1"/>
  <c r="L120" i="1" s="1"/>
  <c r="K206" i="1"/>
  <c r="M206" i="1" s="1"/>
  <c r="K61" i="1"/>
  <c r="N61" i="1" s="1"/>
  <c r="K84" i="1"/>
  <c r="M84" i="1" s="1"/>
  <c r="K64" i="1"/>
  <c r="L64" i="1" s="1"/>
  <c r="K173" i="1"/>
  <c r="M173" i="1" s="1"/>
  <c r="K58" i="1"/>
  <c r="N58" i="1" s="1"/>
  <c r="K143" i="1"/>
  <c r="M143" i="1" s="1"/>
  <c r="K54" i="1"/>
  <c r="L54" i="1" s="1"/>
  <c r="K102" i="1"/>
  <c r="M102" i="1" s="1"/>
  <c r="K133" i="1"/>
  <c r="N133" i="1" s="1"/>
  <c r="K287" i="1"/>
  <c r="M287" i="1" s="1"/>
  <c r="K79" i="1"/>
  <c r="L79" i="1" s="1"/>
  <c r="K50" i="1"/>
  <c r="M50" i="1" s="1"/>
  <c r="K115" i="1"/>
  <c r="N115" i="1" s="1"/>
  <c r="K60" i="1"/>
  <c r="M60" i="1" s="1"/>
  <c r="K59" i="1"/>
  <c r="L59" i="1" s="1"/>
  <c r="K88" i="1"/>
  <c r="N88" i="1" s="1"/>
  <c r="K132" i="1"/>
  <c r="L132" i="1" s="1"/>
  <c r="K131" i="1"/>
  <c r="M131" i="1" s="1"/>
  <c r="K48" i="1"/>
  <c r="L48" i="1" s="1"/>
  <c r="K49" i="1"/>
  <c r="M49" i="1" s="1"/>
  <c r="K17" i="1"/>
  <c r="N17" i="1" s="1"/>
  <c r="B12" i="1"/>
  <c r="B11" i="1"/>
  <c r="B10" i="1"/>
  <c r="L278" i="1" l="1"/>
  <c r="L564" i="1"/>
  <c r="L799" i="1"/>
  <c r="N121" i="1"/>
  <c r="L187" i="1"/>
  <c r="P187" i="1" s="1"/>
  <c r="L869" i="1"/>
  <c r="O869" i="1" s="1"/>
  <c r="N52" i="1"/>
  <c r="L231" i="1"/>
  <c r="P231" i="1" s="1"/>
  <c r="L157" i="1"/>
  <c r="P157" i="1" s="1"/>
  <c r="L357" i="1"/>
  <c r="N518" i="1"/>
  <c r="L616" i="1"/>
  <c r="O616" i="1" s="1"/>
  <c r="L833" i="1"/>
  <c r="O833" i="1" s="1"/>
  <c r="M440" i="1"/>
  <c r="L884" i="1"/>
  <c r="O884" i="1" s="1"/>
  <c r="N244" i="1"/>
  <c r="L429" i="1"/>
  <c r="N479" i="1"/>
  <c r="L600" i="1"/>
  <c r="N648" i="1"/>
  <c r="N543" i="1"/>
  <c r="N698" i="1"/>
  <c r="L814" i="1"/>
  <c r="P814" i="1" s="1"/>
  <c r="L857" i="1"/>
  <c r="L245" i="1"/>
  <c r="P245" i="1" s="1"/>
  <c r="L322" i="1"/>
  <c r="P322" i="1" s="1"/>
  <c r="L68" i="1"/>
  <c r="P68" i="1" s="1"/>
  <c r="L781" i="1"/>
  <c r="O781" i="1" s="1"/>
  <c r="N287" i="1"/>
  <c r="M68" i="1"/>
  <c r="L466" i="1"/>
  <c r="N32" i="1"/>
  <c r="L34" i="1"/>
  <c r="P34" i="1" s="1"/>
  <c r="L172" i="1"/>
  <c r="O172" i="1" s="1"/>
  <c r="N234" i="1"/>
  <c r="L481" i="1"/>
  <c r="O481" i="1" s="1"/>
  <c r="L539" i="1"/>
  <c r="O539" i="1" s="1"/>
  <c r="L680" i="1"/>
  <c r="P680" i="1" s="1"/>
  <c r="N693" i="1"/>
  <c r="L67" i="1"/>
  <c r="O67" i="1" s="1"/>
  <c r="L123" i="1"/>
  <c r="O123" i="1" s="1"/>
  <c r="L223" i="1"/>
  <c r="L235" i="1"/>
  <c r="N606" i="1"/>
  <c r="N267" i="1"/>
  <c r="L339" i="1"/>
  <c r="O339" i="1" s="1"/>
  <c r="L578" i="1"/>
  <c r="L794" i="1"/>
  <c r="P794" i="1" s="1"/>
  <c r="L65" i="1"/>
  <c r="P65" i="1" s="1"/>
  <c r="L145" i="1"/>
  <c r="N171" i="1"/>
  <c r="M215" i="1"/>
  <c r="L557" i="1"/>
  <c r="P557" i="1" s="1"/>
  <c r="L487" i="1"/>
  <c r="N581" i="1"/>
  <c r="L449" i="1"/>
  <c r="O449" i="1" s="1"/>
  <c r="L21" i="1"/>
  <c r="P21" i="1" s="1"/>
  <c r="L24" i="1"/>
  <c r="O24" i="1" s="1"/>
  <c r="N40" i="1"/>
  <c r="L43" i="1"/>
  <c r="P43" i="1" s="1"/>
  <c r="L127" i="1"/>
  <c r="P127" i="1" s="1"/>
  <c r="L190" i="1"/>
  <c r="L253" i="1"/>
  <c r="P253" i="1" s="1"/>
  <c r="N256" i="1"/>
  <c r="L286" i="1"/>
  <c r="P286" i="1" s="1"/>
  <c r="N392" i="1"/>
  <c r="L568" i="1"/>
  <c r="L586" i="1"/>
  <c r="P586" i="1" s="1"/>
  <c r="N658" i="1"/>
  <c r="L664" i="1"/>
  <c r="N669" i="1"/>
  <c r="N487" i="1"/>
  <c r="N230" i="1"/>
  <c r="N233" i="1"/>
  <c r="N237" i="1"/>
  <c r="N387" i="1"/>
  <c r="N550" i="1"/>
  <c r="N657" i="1"/>
  <c r="N673" i="1"/>
  <c r="N709" i="1"/>
  <c r="N131" i="1"/>
  <c r="L173" i="1"/>
  <c r="L89" i="1"/>
  <c r="P89" i="1" s="1"/>
  <c r="N178" i="1"/>
  <c r="L440" i="1"/>
  <c r="O440" i="1" s="1"/>
  <c r="N619" i="1"/>
  <c r="N542" i="1"/>
  <c r="M533" i="1"/>
  <c r="N596" i="1"/>
  <c r="L26" i="1"/>
  <c r="L332" i="1"/>
  <c r="L344" i="1"/>
  <c r="O344" i="1" s="1"/>
  <c r="L419" i="1"/>
  <c r="L49" i="1"/>
  <c r="P49" i="1" s="1"/>
  <c r="L102" i="1"/>
  <c r="O102" i="1" s="1"/>
  <c r="L63" i="1"/>
  <c r="O63" i="1" s="1"/>
  <c r="M111" i="1"/>
  <c r="M307" i="1"/>
  <c r="L215" i="1"/>
  <c r="N368" i="1"/>
  <c r="N439" i="1"/>
  <c r="N555" i="1"/>
  <c r="N642" i="1"/>
  <c r="L646" i="1"/>
  <c r="M726" i="1"/>
  <c r="M576" i="1"/>
  <c r="N652" i="1"/>
  <c r="L823" i="1"/>
  <c r="P823" i="1" s="1"/>
  <c r="L596" i="1"/>
  <c r="O596" i="1" s="1"/>
  <c r="N28" i="1"/>
  <c r="L30" i="1"/>
  <c r="O30" i="1" s="1"/>
  <c r="L36" i="1"/>
  <c r="O36" i="1" s="1"/>
  <c r="N45" i="1"/>
  <c r="L47" i="1"/>
  <c r="P47" i="1" s="1"/>
  <c r="L188" i="1"/>
  <c r="N395" i="1"/>
  <c r="L538" i="1"/>
  <c r="P538" i="1" s="1"/>
  <c r="N552" i="1"/>
  <c r="N580" i="1"/>
  <c r="N627" i="1"/>
  <c r="N685" i="1"/>
  <c r="N701" i="1"/>
  <c r="N812" i="1"/>
  <c r="N826" i="1"/>
  <c r="N855" i="1"/>
  <c r="N134" i="1"/>
  <c r="L149" i="1"/>
  <c r="O149" i="1" s="1"/>
  <c r="L282" i="1"/>
  <c r="P282" i="1" s="1"/>
  <c r="L296" i="1"/>
  <c r="P296" i="1" s="1"/>
  <c r="L299" i="1"/>
  <c r="P299" i="1" s="1"/>
  <c r="L300" i="1"/>
  <c r="O300" i="1" s="1"/>
  <c r="L304" i="1"/>
  <c r="O304" i="1" s="1"/>
  <c r="L305" i="1"/>
  <c r="P305" i="1" s="1"/>
  <c r="L327" i="1"/>
  <c r="P327" i="1" s="1"/>
  <c r="L333" i="1"/>
  <c r="L340" i="1"/>
  <c r="L428" i="1"/>
  <c r="P428" i="1" s="1"/>
  <c r="N451" i="1"/>
  <c r="L569" i="1"/>
  <c r="O569" i="1" s="1"/>
  <c r="L598" i="1"/>
  <c r="O598" i="1" s="1"/>
  <c r="L608" i="1"/>
  <c r="O608" i="1" s="1"/>
  <c r="L711" i="1"/>
  <c r="O711" i="1" s="1"/>
  <c r="N750" i="1"/>
  <c r="L753" i="1"/>
  <c r="P753" i="1" s="1"/>
  <c r="L769" i="1"/>
  <c r="P769" i="1" s="1"/>
  <c r="N772" i="1"/>
  <c r="N821" i="1"/>
  <c r="L50" i="1"/>
  <c r="P50" i="1" s="1"/>
  <c r="L206" i="1"/>
  <c r="P206" i="1" s="1"/>
  <c r="N65" i="1"/>
  <c r="N67" i="1"/>
  <c r="N89" i="1"/>
  <c r="M145" i="1"/>
  <c r="L355" i="1"/>
  <c r="L356" i="1"/>
  <c r="O356" i="1" s="1"/>
  <c r="M466" i="1"/>
  <c r="N620" i="1"/>
  <c r="N641" i="1"/>
  <c r="L498" i="1"/>
  <c r="L645" i="1"/>
  <c r="O645" i="1" s="1"/>
  <c r="L508" i="1"/>
  <c r="M649" i="1"/>
  <c r="L653" i="1"/>
  <c r="M449" i="1"/>
  <c r="L38" i="1"/>
  <c r="P38" i="1" s="1"/>
  <c r="N165" i="1"/>
  <c r="L192" i="1"/>
  <c r="O192" i="1" s="1"/>
  <c r="N195" i="1"/>
  <c r="N777" i="1"/>
  <c r="N820" i="1"/>
  <c r="N830" i="1"/>
  <c r="M356" i="1"/>
  <c r="N109" i="1"/>
  <c r="L117" i="1"/>
  <c r="P117" i="1" s="1"/>
  <c r="N151" i="1"/>
  <c r="L153" i="1"/>
  <c r="P153" i="1" s="1"/>
  <c r="N208" i="1"/>
  <c r="N263" i="1"/>
  <c r="L291" i="1"/>
  <c r="N295" i="1"/>
  <c r="N298" i="1"/>
  <c r="N302" i="1"/>
  <c r="L329" i="1"/>
  <c r="L351" i="1"/>
  <c r="O351" i="1" s="1"/>
  <c r="L377" i="1"/>
  <c r="O377" i="1" s="1"/>
  <c r="N384" i="1"/>
  <c r="N410" i="1"/>
  <c r="L414" i="1"/>
  <c r="O414" i="1" s="1"/>
  <c r="L565" i="1"/>
  <c r="L604" i="1"/>
  <c r="P604" i="1" s="1"/>
  <c r="N632" i="1"/>
  <c r="N690" i="1"/>
  <c r="N717" i="1"/>
  <c r="L719" i="1"/>
  <c r="O719" i="1" s="1"/>
  <c r="L748" i="1"/>
  <c r="P748" i="1" s="1"/>
  <c r="L783" i="1"/>
  <c r="O783" i="1" s="1"/>
  <c r="N827" i="1"/>
  <c r="L838" i="1"/>
  <c r="P838" i="1" s="1"/>
  <c r="N841" i="1"/>
  <c r="N878" i="1"/>
  <c r="M88" i="1"/>
  <c r="N173" i="1"/>
  <c r="M242" i="1"/>
  <c r="M303" i="1"/>
  <c r="M342" i="1"/>
  <c r="M369" i="1"/>
  <c r="M534" i="1"/>
  <c r="N645" i="1"/>
  <c r="N494" i="1"/>
  <c r="N653" i="1"/>
  <c r="N142" i="1"/>
  <c r="N155" i="1"/>
  <c r="N203" i="1"/>
  <c r="N209" i="1"/>
  <c r="N226" i="1"/>
  <c r="N259" i="1"/>
  <c r="N275" i="1"/>
  <c r="N280" i="1"/>
  <c r="N284" i="1"/>
  <c r="N289" i="1"/>
  <c r="N347" i="1"/>
  <c r="N380" i="1"/>
  <c r="N388" i="1"/>
  <c r="N404" i="1"/>
  <c r="N418" i="1"/>
  <c r="N474" i="1"/>
  <c r="N513" i="1"/>
  <c r="N519" i="1"/>
  <c r="N546" i="1"/>
  <c r="N556" i="1"/>
  <c r="N575" i="1"/>
  <c r="N602" i="1"/>
  <c r="N623" i="1"/>
  <c r="N628" i="1"/>
  <c r="N635" i="1"/>
  <c r="N681" i="1"/>
  <c r="N686" i="1"/>
  <c r="N694" i="1"/>
  <c r="N702" i="1"/>
  <c r="N744" i="1"/>
  <c r="N761" i="1"/>
  <c r="L763" i="1"/>
  <c r="P763" i="1" s="1"/>
  <c r="L805" i="1"/>
  <c r="O805" i="1" s="1"/>
  <c r="N808" i="1"/>
  <c r="N813" i="1"/>
  <c r="N816" i="1"/>
  <c r="L824" i="1"/>
  <c r="L828" i="1"/>
  <c r="L831" i="1"/>
  <c r="L834" i="1"/>
  <c r="O834" i="1" s="1"/>
  <c r="N837" i="1"/>
  <c r="N851" i="1"/>
  <c r="N303" i="1"/>
  <c r="N534" i="1"/>
  <c r="N313" i="1"/>
  <c r="N590" i="1"/>
  <c r="N612" i="1"/>
  <c r="N874" i="1"/>
  <c r="L880" i="1"/>
  <c r="L88" i="1"/>
  <c r="O88" i="1" s="1"/>
  <c r="N60" i="1"/>
  <c r="N143" i="1"/>
  <c r="N84" i="1"/>
  <c r="L242" i="1"/>
  <c r="O242" i="1" s="1"/>
  <c r="L342" i="1"/>
  <c r="P342" i="1" s="1"/>
  <c r="N325" i="1"/>
  <c r="M355" i="1"/>
  <c r="N293" i="1"/>
  <c r="L369" i="1"/>
  <c r="P369" i="1" s="1"/>
  <c r="N420" i="1"/>
  <c r="M557" i="1"/>
  <c r="N454" i="1"/>
  <c r="M571" i="1"/>
  <c r="L621" i="1"/>
  <c r="L494" i="1"/>
  <c r="M823" i="1"/>
  <c r="L654" i="1"/>
  <c r="O654" i="1" s="1"/>
  <c r="M757" i="1"/>
  <c r="N138" i="1"/>
  <c r="L180" i="1"/>
  <c r="O180" i="1" s="1"/>
  <c r="N199" i="1"/>
  <c r="N229" i="1"/>
  <c r="N271" i="1"/>
  <c r="N277" i="1"/>
  <c r="N281" i="1"/>
  <c r="N285" i="1"/>
  <c r="N290" i="1"/>
  <c r="L314" i="1"/>
  <c r="P314" i="1" s="1"/>
  <c r="N383" i="1"/>
  <c r="N391" i="1"/>
  <c r="N459" i="1"/>
  <c r="L486" i="1"/>
  <c r="P486" i="1" s="1"/>
  <c r="N507" i="1"/>
  <c r="N522" i="1"/>
  <c r="L532" i="1"/>
  <c r="O532" i="1" s="1"/>
  <c r="N547" i="1"/>
  <c r="N636" i="1"/>
  <c r="N689" i="1"/>
  <c r="N697" i="1"/>
  <c r="N705" i="1"/>
  <c r="L707" i="1"/>
  <c r="P707" i="1" s="1"/>
  <c r="N713" i="1"/>
  <c r="L715" i="1"/>
  <c r="P715" i="1" s="1"/>
  <c r="N722" i="1"/>
  <c r="L724" i="1"/>
  <c r="P724" i="1" s="1"/>
  <c r="L766" i="1"/>
  <c r="P766" i="1" s="1"/>
  <c r="L796" i="1"/>
  <c r="N817" i="1"/>
  <c r="N845" i="1"/>
  <c r="M132" i="1"/>
  <c r="N240" i="1"/>
  <c r="N146" i="1"/>
  <c r="N112" i="1"/>
  <c r="M178" i="1"/>
  <c r="M179" i="1"/>
  <c r="M293" i="1"/>
  <c r="M90" i="1"/>
  <c r="M439" i="1"/>
  <c r="M465" i="1"/>
  <c r="M454" i="1"/>
  <c r="M460" i="1"/>
  <c r="M581" i="1"/>
  <c r="L571" i="1"/>
  <c r="P571" i="1" s="1"/>
  <c r="L533" i="1"/>
  <c r="O533" i="1" s="1"/>
  <c r="N593" i="1"/>
  <c r="N484" i="1"/>
  <c r="M620" i="1"/>
  <c r="M641" i="1"/>
  <c r="M642" i="1"/>
  <c r="O642" i="1" s="1"/>
  <c r="M648" i="1"/>
  <c r="L649" i="1"/>
  <c r="P649" i="1" s="1"/>
  <c r="L726" i="1"/>
  <c r="O726" i="1" s="1"/>
  <c r="N800" i="1"/>
  <c r="N822" i="1"/>
  <c r="L576" i="1"/>
  <c r="P576" i="1" s="1"/>
  <c r="L720" i="1"/>
  <c r="M535" i="1"/>
  <c r="N849" i="1"/>
  <c r="L19" i="1"/>
  <c r="L20" i="1"/>
  <c r="O20" i="1" s="1"/>
  <c r="L55" i="1"/>
  <c r="P55" i="1" s="1"/>
  <c r="N57" i="1"/>
  <c r="L71" i="1"/>
  <c r="N76" i="1"/>
  <c r="L78" i="1"/>
  <c r="P78" i="1" s="1"/>
  <c r="N81" i="1"/>
  <c r="L83" i="1"/>
  <c r="P83" i="1" s="1"/>
  <c r="N86" i="1"/>
  <c r="L91" i="1"/>
  <c r="P91" i="1" s="1"/>
  <c r="N93" i="1"/>
  <c r="L95" i="1"/>
  <c r="N97" i="1"/>
  <c r="L99" i="1"/>
  <c r="P99" i="1" s="1"/>
  <c r="N101" i="1"/>
  <c r="L105" i="1"/>
  <c r="O105" i="1" s="1"/>
  <c r="N107" i="1"/>
  <c r="N114" i="1"/>
  <c r="N119" i="1"/>
  <c r="N125" i="1"/>
  <c r="N129" i="1"/>
  <c r="N183" i="1"/>
  <c r="L196" i="1"/>
  <c r="L200" i="1"/>
  <c r="O200" i="1" s="1"/>
  <c r="L201" i="1"/>
  <c r="O201" i="1" s="1"/>
  <c r="L204" i="1"/>
  <c r="P204" i="1" s="1"/>
  <c r="N218" i="1"/>
  <c r="N219" i="1"/>
  <c r="L227" i="1"/>
  <c r="P227" i="1" s="1"/>
  <c r="N248" i="1"/>
  <c r="N251" i="1"/>
  <c r="L257" i="1"/>
  <c r="L260" i="1"/>
  <c r="O260" i="1" s="1"/>
  <c r="L261" i="1"/>
  <c r="P261" i="1" s="1"/>
  <c r="L264" i="1"/>
  <c r="L265" i="1"/>
  <c r="L268" i="1"/>
  <c r="O268" i="1" s="1"/>
  <c r="L269" i="1"/>
  <c r="P269" i="1" s="1"/>
  <c r="L272" i="1"/>
  <c r="L273" i="1"/>
  <c r="N309" i="1"/>
  <c r="L318" i="1"/>
  <c r="O318" i="1" s="1"/>
  <c r="L319" i="1"/>
  <c r="L343" i="1"/>
  <c r="N343" i="1"/>
  <c r="N348" i="1"/>
  <c r="L348" i="1"/>
  <c r="L379" i="1"/>
  <c r="N379" i="1"/>
  <c r="N397" i="1"/>
  <c r="L397" i="1"/>
  <c r="N401" i="1"/>
  <c r="L401" i="1"/>
  <c r="O401" i="1" s="1"/>
  <c r="N331" i="1"/>
  <c r="N361" i="1"/>
  <c r="L361" i="1"/>
  <c r="N366" i="1"/>
  <c r="L366" i="1"/>
  <c r="O366" i="1" s="1"/>
  <c r="N372" i="1"/>
  <c r="L372" i="1"/>
  <c r="O372" i="1" s="1"/>
  <c r="L376" i="1"/>
  <c r="P376" i="1" s="1"/>
  <c r="N376" i="1"/>
  <c r="M58" i="1"/>
  <c r="M62" i="1"/>
  <c r="L144" i="1"/>
  <c r="O144" i="1" s="1"/>
  <c r="L146" i="1"/>
  <c r="P146" i="1" s="1"/>
  <c r="L147" i="1"/>
  <c r="N243" i="1"/>
  <c r="L112" i="1"/>
  <c r="O112" i="1" s="1"/>
  <c r="L73" i="1"/>
  <c r="P73" i="1" s="1"/>
  <c r="N570" i="1"/>
  <c r="L484" i="1"/>
  <c r="L638" i="1"/>
  <c r="M506" i="1"/>
  <c r="M644" i="1"/>
  <c r="N583" i="1"/>
  <c r="L822" i="1"/>
  <c r="O822" i="1" s="1"/>
  <c r="L747" i="1"/>
  <c r="P747" i="1" s="1"/>
  <c r="N650" i="1"/>
  <c r="M516" i="1"/>
  <c r="N421" i="1"/>
  <c r="L752" i="1"/>
  <c r="O752" i="1" s="1"/>
  <c r="L849" i="1"/>
  <c r="L885" i="1"/>
  <c r="P885" i="1" s="1"/>
  <c r="L136" i="1"/>
  <c r="O136" i="1" s="1"/>
  <c r="L140" i="1"/>
  <c r="O140" i="1" s="1"/>
  <c r="L161" i="1"/>
  <c r="L184" i="1"/>
  <c r="O184" i="1" s="1"/>
  <c r="L249" i="1"/>
  <c r="O249" i="1" s="1"/>
  <c r="N294" i="1"/>
  <c r="L310" i="1"/>
  <c r="L338" i="1"/>
  <c r="O338" i="1" s="1"/>
  <c r="L352" i="1"/>
  <c r="O352" i="1" s="1"/>
  <c r="L354" i="1"/>
  <c r="P354" i="1" s="1"/>
  <c r="N354" i="1"/>
  <c r="N400" i="1"/>
  <c r="L400" i="1"/>
  <c r="P400" i="1" s="1"/>
  <c r="L133" i="1"/>
  <c r="P133" i="1" s="1"/>
  <c r="M166" i="1"/>
  <c r="M17" i="1"/>
  <c r="N132" i="1"/>
  <c r="M115" i="1"/>
  <c r="M133" i="1"/>
  <c r="M61" i="1"/>
  <c r="L240" i="1"/>
  <c r="P240" i="1" s="1"/>
  <c r="M110" i="1"/>
  <c r="L103" i="1"/>
  <c r="N144" i="1"/>
  <c r="N241" i="1"/>
  <c r="M147" i="1"/>
  <c r="M73" i="1"/>
  <c r="L179" i="1"/>
  <c r="N214" i="1"/>
  <c r="L90" i="1"/>
  <c r="P90" i="1" s="1"/>
  <c r="N217" i="1"/>
  <c r="L465" i="1"/>
  <c r="P465" i="1" s="1"/>
  <c r="N497" i="1"/>
  <c r="L460" i="1"/>
  <c r="P460" i="1" s="1"/>
  <c r="N450" i="1"/>
  <c r="L493" i="1"/>
  <c r="L639" i="1"/>
  <c r="N506" i="1"/>
  <c r="N644" i="1"/>
  <c r="M747" i="1"/>
  <c r="N516" i="1"/>
  <c r="M752" i="1"/>
  <c r="M595" i="1"/>
  <c r="M885" i="1"/>
  <c r="L139" i="1"/>
  <c r="O139" i="1" s="1"/>
  <c r="N191" i="1"/>
  <c r="N198" i="1"/>
  <c r="N222" i="1"/>
  <c r="N225" i="1"/>
  <c r="N252" i="1"/>
  <c r="N255" i="1"/>
  <c r="L335" i="1"/>
  <c r="N335" i="1"/>
  <c r="L337" i="1"/>
  <c r="P337" i="1" s="1"/>
  <c r="N337" i="1"/>
  <c r="N358" i="1"/>
  <c r="L358" i="1"/>
  <c r="P358" i="1" s="1"/>
  <c r="N362" i="1"/>
  <c r="L362" i="1"/>
  <c r="N367" i="1"/>
  <c r="L367" i="1"/>
  <c r="O367" i="1" s="1"/>
  <c r="N373" i="1"/>
  <c r="L373" i="1"/>
  <c r="N588" i="1"/>
  <c r="N592" i="1"/>
  <c r="N614" i="1"/>
  <c r="N662" i="1"/>
  <c r="N666" i="1"/>
  <c r="N670" i="1"/>
  <c r="N674" i="1"/>
  <c r="N682" i="1"/>
  <c r="L424" i="1"/>
  <c r="L425" i="1"/>
  <c r="O425" i="1" s="1"/>
  <c r="N432" i="1"/>
  <c r="L434" i="1"/>
  <c r="L446" i="1"/>
  <c r="L463" i="1"/>
  <c r="P463" i="1" s="1"/>
  <c r="L477" i="1"/>
  <c r="P477" i="1" s="1"/>
  <c r="L492" i="1"/>
  <c r="N496" i="1"/>
  <c r="L500" i="1"/>
  <c r="O500" i="1" s="1"/>
  <c r="N510" i="1"/>
  <c r="L524" i="1"/>
  <c r="L527" i="1"/>
  <c r="L528" i="1"/>
  <c r="P528" i="1" s="1"/>
  <c r="L531" i="1"/>
  <c r="O531" i="1" s="1"/>
  <c r="L678" i="1"/>
  <c r="L679" i="1"/>
  <c r="L703" i="1"/>
  <c r="P703" i="1" s="1"/>
  <c r="L727" i="1"/>
  <c r="P727" i="1" s="1"/>
  <c r="N729" i="1"/>
  <c r="L731" i="1"/>
  <c r="P731" i="1" s="1"/>
  <c r="N733" i="1"/>
  <c r="L735" i="1"/>
  <c r="O735" i="1" s="1"/>
  <c r="N737" i="1"/>
  <c r="N755" i="1"/>
  <c r="L759" i="1"/>
  <c r="P759" i="1" s="1"/>
  <c r="L762" i="1"/>
  <c r="O762" i="1" s="1"/>
  <c r="L774" i="1"/>
  <c r="L779" i="1"/>
  <c r="O779" i="1" s="1"/>
  <c r="L785" i="1"/>
  <c r="P785" i="1" s="1"/>
  <c r="N790" i="1"/>
  <c r="L792" i="1"/>
  <c r="L832" i="1"/>
  <c r="P832" i="1" s="1"/>
  <c r="L839" i="1"/>
  <c r="O839" i="1" s="1"/>
  <c r="L842" i="1"/>
  <c r="P842" i="1" s="1"/>
  <c r="L843" i="1"/>
  <c r="P843" i="1" s="1"/>
  <c r="L846" i="1"/>
  <c r="P846" i="1" s="1"/>
  <c r="L847" i="1"/>
  <c r="O847" i="1" s="1"/>
  <c r="L852" i="1"/>
  <c r="P852" i="1" s="1"/>
  <c r="L853" i="1"/>
  <c r="O853" i="1" s="1"/>
  <c r="L859" i="1"/>
  <c r="O859" i="1" s="1"/>
  <c r="N861" i="1"/>
  <c r="L863" i="1"/>
  <c r="P863" i="1" s="1"/>
  <c r="N865" i="1"/>
  <c r="L867" i="1"/>
  <c r="P867" i="1" s="1"/>
  <c r="L872" i="1"/>
  <c r="L876" i="1"/>
  <c r="O876" i="1" s="1"/>
  <c r="L882" i="1"/>
  <c r="P882" i="1" s="1"/>
  <c r="L883" i="1"/>
  <c r="P883" i="1" s="1"/>
  <c r="L887" i="1"/>
  <c r="P887" i="1" s="1"/>
  <c r="L393" i="1"/>
  <c r="O393" i="1" s="1"/>
  <c r="L437" i="1"/>
  <c r="L457" i="1"/>
  <c r="L461" i="1"/>
  <c r="P461" i="1" s="1"/>
  <c r="L515" i="1"/>
  <c r="O515" i="1" s="1"/>
  <c r="L520" i="1"/>
  <c r="L523" i="1"/>
  <c r="N537" i="1"/>
  <c r="N541" i="1"/>
  <c r="L560" i="1"/>
  <c r="N563" i="1"/>
  <c r="N567" i="1"/>
  <c r="L573" i="1"/>
  <c r="P573" i="1" s="1"/>
  <c r="L618" i="1"/>
  <c r="L625" i="1"/>
  <c r="O625" i="1" s="1"/>
  <c r="L630" i="1"/>
  <c r="P630" i="1" s="1"/>
  <c r="L663" i="1"/>
  <c r="P663" i="1" s="1"/>
  <c r="L667" i="1"/>
  <c r="L671" i="1"/>
  <c r="L675" i="1"/>
  <c r="O675" i="1" s="1"/>
  <c r="L683" i="1"/>
  <c r="O683" i="1" s="1"/>
  <c r="L687" i="1"/>
  <c r="L691" i="1"/>
  <c r="L695" i="1"/>
  <c r="L699" i="1"/>
  <c r="O699" i="1" s="1"/>
  <c r="N739" i="1"/>
  <c r="L742" i="1"/>
  <c r="O742" i="1" s="1"/>
  <c r="N765" i="1"/>
  <c r="L770" i="1"/>
  <c r="O770" i="1" s="1"/>
  <c r="L773" i="1"/>
  <c r="L778" i="1"/>
  <c r="O778" i="1" s="1"/>
  <c r="N798" i="1"/>
  <c r="N804" i="1"/>
  <c r="L810" i="1"/>
  <c r="L818" i="1"/>
  <c r="O818" i="1" s="1"/>
  <c r="N856" i="1"/>
  <c r="M888" i="1"/>
  <c r="P888" i="1" s="1"/>
  <c r="N360" i="1"/>
  <c r="N365" i="1"/>
  <c r="N371" i="1"/>
  <c r="N375" i="1"/>
  <c r="L381" i="1"/>
  <c r="L385" i="1"/>
  <c r="O385" i="1" s="1"/>
  <c r="L389" i="1"/>
  <c r="P389" i="1" s="1"/>
  <c r="N396" i="1"/>
  <c r="N399" i="1"/>
  <c r="L405" i="1"/>
  <c r="N470" i="1"/>
  <c r="L472" i="1"/>
  <c r="P472" i="1" s="1"/>
  <c r="N502" i="1"/>
  <c r="L504" i="1"/>
  <c r="L511" i="1"/>
  <c r="O511" i="1" s="1"/>
  <c r="L514" i="1"/>
  <c r="O514" i="1" s="1"/>
  <c r="N526" i="1"/>
  <c r="N530" i="1"/>
  <c r="L544" i="1"/>
  <c r="P544" i="1" s="1"/>
  <c r="L548" i="1"/>
  <c r="P548" i="1" s="1"/>
  <c r="L610" i="1"/>
  <c r="L624" i="1"/>
  <c r="P624" i="1" s="1"/>
  <c r="L629" i="1"/>
  <c r="O629" i="1" s="1"/>
  <c r="L633" i="1"/>
  <c r="O633" i="1" s="1"/>
  <c r="L637" i="1"/>
  <c r="L659" i="1"/>
  <c r="O659" i="1" s="1"/>
  <c r="L767" i="1"/>
  <c r="L787" i="1"/>
  <c r="P787" i="1" s="1"/>
  <c r="N803" i="1"/>
  <c r="L806" i="1"/>
  <c r="P806" i="1" s="1"/>
  <c r="L809" i="1"/>
  <c r="P809" i="1" s="1"/>
  <c r="O880" i="1"/>
  <c r="P879" i="1"/>
  <c r="P875" i="1"/>
  <c r="P871" i="1"/>
  <c r="O867" i="1"/>
  <c r="P866" i="1"/>
  <c r="O883" i="1"/>
  <c r="O879" i="1"/>
  <c r="P878" i="1"/>
  <c r="O875" i="1"/>
  <c r="P874" i="1"/>
  <c r="O871" i="1"/>
  <c r="O866" i="1"/>
  <c r="P865" i="1"/>
  <c r="P890" i="1"/>
  <c r="O882" i="1"/>
  <c r="O878" i="1"/>
  <c r="O874" i="1"/>
  <c r="O865" i="1"/>
  <c r="O861" i="1"/>
  <c r="O890" i="1"/>
  <c r="P856" i="1"/>
  <c r="P880" i="1"/>
  <c r="O856" i="1"/>
  <c r="P855" i="1"/>
  <c r="P851" i="1"/>
  <c r="P845" i="1"/>
  <c r="P841" i="1"/>
  <c r="P837" i="1"/>
  <c r="P861" i="1"/>
  <c r="O855" i="1"/>
  <c r="O851" i="1"/>
  <c r="O845" i="1"/>
  <c r="O841" i="1"/>
  <c r="O837" i="1"/>
  <c r="P836" i="1"/>
  <c r="P853" i="1"/>
  <c r="P824" i="1"/>
  <c r="P818" i="1"/>
  <c r="P810" i="1"/>
  <c r="O836" i="1"/>
  <c r="O832" i="1"/>
  <c r="P831" i="1"/>
  <c r="P827" i="1"/>
  <c r="O824" i="1"/>
  <c r="P821" i="1"/>
  <c r="P817" i="1"/>
  <c r="O814" i="1"/>
  <c r="P813" i="1"/>
  <c r="O810" i="1"/>
  <c r="O806" i="1"/>
  <c r="O831" i="1"/>
  <c r="P830" i="1"/>
  <c r="O827" i="1"/>
  <c r="P826" i="1"/>
  <c r="O821" i="1"/>
  <c r="P820" i="1"/>
  <c r="O817" i="1"/>
  <c r="P816" i="1"/>
  <c r="O813" i="1"/>
  <c r="P812" i="1"/>
  <c r="P808" i="1"/>
  <c r="P804" i="1"/>
  <c r="O799" i="1"/>
  <c r="O830" i="1"/>
  <c r="O826" i="1"/>
  <c r="O820" i="1"/>
  <c r="O816" i="1"/>
  <c r="O812" i="1"/>
  <c r="O808" i="1"/>
  <c r="O804" i="1"/>
  <c r="P803" i="1"/>
  <c r="O798" i="1"/>
  <c r="P797" i="1"/>
  <c r="P793" i="1"/>
  <c r="O790" i="1"/>
  <c r="P788" i="1"/>
  <c r="P784" i="1"/>
  <c r="P780" i="1"/>
  <c r="O777" i="1"/>
  <c r="O772" i="1"/>
  <c r="O797" i="1"/>
  <c r="P796" i="1"/>
  <c r="O793" i="1"/>
  <c r="P792" i="1"/>
  <c r="O788" i="1"/>
  <c r="O784" i="1"/>
  <c r="O780" i="1"/>
  <c r="O803" i="1"/>
  <c r="O796" i="1"/>
  <c r="O792" i="1"/>
  <c r="P778" i="1"/>
  <c r="O774" i="1"/>
  <c r="P773" i="1"/>
  <c r="P799" i="1"/>
  <c r="P798" i="1"/>
  <c r="P790" i="1"/>
  <c r="P777" i="1"/>
  <c r="O773" i="1"/>
  <c r="P772" i="1"/>
  <c r="O769" i="1"/>
  <c r="P768" i="1"/>
  <c r="O765" i="1"/>
  <c r="P764" i="1"/>
  <c r="O761" i="1"/>
  <c r="P760" i="1"/>
  <c r="O755" i="1"/>
  <c r="P754" i="1"/>
  <c r="O750" i="1"/>
  <c r="P749" i="1"/>
  <c r="O744" i="1"/>
  <c r="P743" i="1"/>
  <c r="O739" i="1"/>
  <c r="P738" i="1"/>
  <c r="P734" i="1"/>
  <c r="O731" i="1"/>
  <c r="P730" i="1"/>
  <c r="P740" i="1"/>
  <c r="P725" i="1"/>
  <c r="O722" i="1"/>
  <c r="P721" i="1"/>
  <c r="O717" i="1"/>
  <c r="P716" i="1"/>
  <c r="O713" i="1"/>
  <c r="P712" i="1"/>
  <c r="O709" i="1"/>
  <c r="O705" i="1"/>
  <c r="O768" i="1"/>
  <c r="P801" i="1"/>
  <c r="O764" i="1"/>
  <c r="O760" i="1"/>
  <c r="O754" i="1"/>
  <c r="O749" i="1"/>
  <c r="O743" i="1"/>
  <c r="P742" i="1"/>
  <c r="O738" i="1"/>
  <c r="P737" i="1"/>
  <c r="O734" i="1"/>
  <c r="P733" i="1"/>
  <c r="O730" i="1"/>
  <c r="P729" i="1"/>
  <c r="O740" i="1"/>
  <c r="O725" i="1"/>
  <c r="O721" i="1"/>
  <c r="O716" i="1"/>
  <c r="O712" i="1"/>
  <c r="P779" i="1"/>
  <c r="O801" i="1"/>
  <c r="O753" i="1"/>
  <c r="O737" i="1"/>
  <c r="O733" i="1"/>
  <c r="O729" i="1"/>
  <c r="O707" i="1"/>
  <c r="P774" i="1"/>
  <c r="O766" i="1"/>
  <c r="P765" i="1"/>
  <c r="P761" i="1"/>
  <c r="P755" i="1"/>
  <c r="P750" i="1"/>
  <c r="P744" i="1"/>
  <c r="P739" i="1"/>
  <c r="P722" i="1"/>
  <c r="P717" i="1"/>
  <c r="P713" i="1"/>
  <c r="P705" i="1"/>
  <c r="P702" i="1"/>
  <c r="P698" i="1"/>
  <c r="P694" i="1"/>
  <c r="O691" i="1"/>
  <c r="P690" i="1"/>
  <c r="O687" i="1"/>
  <c r="P686" i="1"/>
  <c r="P682" i="1"/>
  <c r="O679" i="1"/>
  <c r="P678" i="1"/>
  <c r="P674" i="1"/>
  <c r="O671" i="1"/>
  <c r="P670" i="1"/>
  <c r="O667" i="1"/>
  <c r="P666" i="1"/>
  <c r="P662" i="1"/>
  <c r="P658" i="1"/>
  <c r="O637" i="1"/>
  <c r="P636" i="1"/>
  <c r="P632" i="1"/>
  <c r="P628" i="1"/>
  <c r="O702" i="1"/>
  <c r="P701" i="1"/>
  <c r="O698" i="1"/>
  <c r="P697" i="1"/>
  <c r="O694" i="1"/>
  <c r="P693" i="1"/>
  <c r="O690" i="1"/>
  <c r="P689" i="1"/>
  <c r="O686" i="1"/>
  <c r="P685" i="1"/>
  <c r="O682" i="1"/>
  <c r="P681" i="1"/>
  <c r="O678" i="1"/>
  <c r="P677" i="1"/>
  <c r="O674" i="1"/>
  <c r="P673" i="1"/>
  <c r="O670" i="1"/>
  <c r="P669" i="1"/>
  <c r="O666" i="1"/>
  <c r="P665" i="1"/>
  <c r="O662" i="1"/>
  <c r="P661" i="1"/>
  <c r="O658" i="1"/>
  <c r="P657" i="1"/>
  <c r="O636" i="1"/>
  <c r="P635" i="1"/>
  <c r="O632" i="1"/>
  <c r="P631" i="1"/>
  <c r="O628" i="1"/>
  <c r="P627" i="1"/>
  <c r="P711" i="1"/>
  <c r="P709" i="1"/>
  <c r="O701" i="1"/>
  <c r="O697" i="1"/>
  <c r="O693" i="1"/>
  <c r="O689" i="1"/>
  <c r="O685" i="1"/>
  <c r="O681" i="1"/>
  <c r="P679" i="1"/>
  <c r="O677" i="1"/>
  <c r="P664" i="1"/>
  <c r="O661" i="1"/>
  <c r="O618" i="1"/>
  <c r="P617" i="1"/>
  <c r="O614" i="1"/>
  <c r="P613" i="1"/>
  <c r="O610" i="1"/>
  <c r="P609" i="1"/>
  <c r="O606" i="1"/>
  <c r="P605" i="1"/>
  <c r="O602" i="1"/>
  <c r="P601" i="1"/>
  <c r="P597" i="1"/>
  <c r="O590" i="1"/>
  <c r="P589" i="1"/>
  <c r="P585" i="1"/>
  <c r="O578" i="1"/>
  <c r="P691" i="1"/>
  <c r="P667" i="1"/>
  <c r="O665" i="1"/>
  <c r="O664" i="1"/>
  <c r="O631" i="1"/>
  <c r="P623" i="1"/>
  <c r="O617" i="1"/>
  <c r="O613" i="1"/>
  <c r="P612" i="1"/>
  <c r="O609" i="1"/>
  <c r="P608" i="1"/>
  <c r="O605" i="1"/>
  <c r="O601" i="1"/>
  <c r="P600" i="1"/>
  <c r="O597" i="1"/>
  <c r="P592" i="1"/>
  <c r="O589" i="1"/>
  <c r="P588" i="1"/>
  <c r="O585" i="1"/>
  <c r="P580" i="1"/>
  <c r="P687" i="1"/>
  <c r="P671" i="1"/>
  <c r="O669" i="1"/>
  <c r="P637" i="1"/>
  <c r="O635" i="1"/>
  <c r="O627" i="1"/>
  <c r="O623" i="1"/>
  <c r="O612" i="1"/>
  <c r="O604" i="1"/>
  <c r="O600" i="1"/>
  <c r="O592" i="1"/>
  <c r="O588" i="1"/>
  <c r="O580" i="1"/>
  <c r="O575" i="1"/>
  <c r="O673" i="1"/>
  <c r="P659" i="1"/>
  <c r="O657" i="1"/>
  <c r="P625" i="1"/>
  <c r="P618" i="1"/>
  <c r="P614" i="1"/>
  <c r="P610" i="1"/>
  <c r="P606" i="1"/>
  <c r="P602" i="1"/>
  <c r="P590" i="1"/>
  <c r="P565" i="1"/>
  <c r="P561" i="1"/>
  <c r="P553" i="1"/>
  <c r="P539" i="1"/>
  <c r="P532" i="1"/>
  <c r="P524" i="1"/>
  <c r="P520" i="1"/>
  <c r="P511" i="1"/>
  <c r="P504" i="1"/>
  <c r="P575" i="1"/>
  <c r="P569" i="1"/>
  <c r="P568" i="1"/>
  <c r="O565" i="1"/>
  <c r="P564" i="1"/>
  <c r="O561" i="1"/>
  <c r="P560" i="1"/>
  <c r="O553" i="1"/>
  <c r="P552" i="1"/>
  <c r="P547" i="1"/>
  <c r="O544" i="1"/>
  <c r="P543" i="1"/>
  <c r="P531" i="1"/>
  <c r="P527" i="1"/>
  <c r="O524" i="1"/>
  <c r="P523" i="1"/>
  <c r="O520" i="1"/>
  <c r="P519" i="1"/>
  <c r="P510" i="1"/>
  <c r="O504" i="1"/>
  <c r="P503" i="1"/>
  <c r="P499" i="1"/>
  <c r="O492" i="1"/>
  <c r="P491" i="1"/>
  <c r="P578" i="1"/>
  <c r="O568" i="1"/>
  <c r="P567" i="1"/>
  <c r="O564" i="1"/>
  <c r="P563" i="1"/>
  <c r="O560" i="1"/>
  <c r="P556" i="1"/>
  <c r="O552" i="1"/>
  <c r="P550" i="1"/>
  <c r="O547" i="1"/>
  <c r="P546" i="1"/>
  <c r="O543" i="1"/>
  <c r="P584" i="1"/>
  <c r="P541" i="1"/>
  <c r="P537" i="1"/>
  <c r="P530" i="1"/>
  <c r="O527" i="1"/>
  <c r="P526" i="1"/>
  <c r="O523" i="1"/>
  <c r="P522" i="1"/>
  <c r="O519" i="1"/>
  <c r="P518" i="1"/>
  <c r="P513" i="1"/>
  <c r="O510" i="1"/>
  <c r="P507" i="1"/>
  <c r="O503" i="1"/>
  <c r="P502" i="1"/>
  <c r="O499" i="1"/>
  <c r="O567" i="1"/>
  <c r="O563" i="1"/>
  <c r="O556" i="1"/>
  <c r="O550" i="1"/>
  <c r="O546" i="1"/>
  <c r="O584" i="1"/>
  <c r="O541" i="1"/>
  <c r="O537" i="1"/>
  <c r="O530" i="1"/>
  <c r="O526" i="1"/>
  <c r="O522" i="1"/>
  <c r="O518" i="1"/>
  <c r="O513" i="1"/>
  <c r="O507" i="1"/>
  <c r="O502" i="1"/>
  <c r="O496" i="1"/>
  <c r="P492" i="1"/>
  <c r="P488" i="1"/>
  <c r="P482" i="1"/>
  <c r="O479" i="1"/>
  <c r="P478" i="1"/>
  <c r="O474" i="1"/>
  <c r="P473" i="1"/>
  <c r="O470" i="1"/>
  <c r="P464" i="1"/>
  <c r="O459" i="1"/>
  <c r="P458" i="1"/>
  <c r="O451" i="1"/>
  <c r="P448" i="1"/>
  <c r="O469" i="1"/>
  <c r="P442" i="1"/>
  <c r="P434" i="1"/>
  <c r="P430" i="1"/>
  <c r="P426" i="1"/>
  <c r="P422" i="1"/>
  <c r="P416" i="1"/>
  <c r="P412" i="1"/>
  <c r="P408" i="1"/>
  <c r="O405" i="1"/>
  <c r="P404" i="1"/>
  <c r="O397" i="1"/>
  <c r="P396" i="1"/>
  <c r="P392" i="1"/>
  <c r="P388" i="1"/>
  <c r="P384" i="1"/>
  <c r="O381" i="1"/>
  <c r="P380" i="1"/>
  <c r="O373" i="1"/>
  <c r="P372" i="1"/>
  <c r="O362" i="1"/>
  <c r="P361" i="1"/>
  <c r="P357" i="1"/>
  <c r="P351" i="1"/>
  <c r="O348" i="1"/>
  <c r="P347" i="1"/>
  <c r="P343" i="1"/>
  <c r="P338" i="1"/>
  <c r="P496" i="1"/>
  <c r="O488" i="1"/>
  <c r="O482" i="1"/>
  <c r="O478" i="1"/>
  <c r="O473" i="1"/>
  <c r="O464" i="1"/>
  <c r="O458" i="1"/>
  <c r="P457" i="1"/>
  <c r="O448" i="1"/>
  <c r="P447" i="1"/>
  <c r="O442" i="1"/>
  <c r="P438" i="1"/>
  <c r="O434" i="1"/>
  <c r="P433" i="1"/>
  <c r="O430" i="1"/>
  <c r="P429" i="1"/>
  <c r="O426" i="1"/>
  <c r="O422" i="1"/>
  <c r="P419" i="1"/>
  <c r="O416" i="1"/>
  <c r="P415" i="1"/>
  <c r="O412" i="1"/>
  <c r="P411" i="1"/>
  <c r="O408" i="1"/>
  <c r="P407" i="1"/>
  <c r="O404" i="1"/>
  <c r="P403" i="1"/>
  <c r="O400" i="1"/>
  <c r="P399" i="1"/>
  <c r="O396" i="1"/>
  <c r="P395" i="1"/>
  <c r="O392" i="1"/>
  <c r="P391" i="1"/>
  <c r="O388" i="1"/>
  <c r="P387" i="1"/>
  <c r="O384" i="1"/>
  <c r="P383" i="1"/>
  <c r="O380" i="1"/>
  <c r="P379" i="1"/>
  <c r="O376" i="1"/>
  <c r="P375" i="1"/>
  <c r="P371" i="1"/>
  <c r="P365" i="1"/>
  <c r="O361" i="1"/>
  <c r="P360" i="1"/>
  <c r="O357" i="1"/>
  <c r="P350" i="1"/>
  <c r="O347" i="1"/>
  <c r="P346" i="1"/>
  <c r="O343" i="1"/>
  <c r="P341" i="1"/>
  <c r="O491" i="1"/>
  <c r="O457" i="1"/>
  <c r="O447" i="1"/>
  <c r="P446" i="1"/>
  <c r="O438" i="1"/>
  <c r="P444" i="1"/>
  <c r="P437" i="1"/>
  <c r="O433" i="1"/>
  <c r="P432" i="1"/>
  <c r="O429" i="1"/>
  <c r="P424" i="1"/>
  <c r="O419" i="1"/>
  <c r="P418" i="1"/>
  <c r="O415" i="1"/>
  <c r="O411" i="1"/>
  <c r="P410" i="1"/>
  <c r="O407" i="1"/>
  <c r="O403" i="1"/>
  <c r="O399" i="1"/>
  <c r="O395" i="1"/>
  <c r="O391" i="1"/>
  <c r="O387" i="1"/>
  <c r="O383" i="1"/>
  <c r="O379" i="1"/>
  <c r="O375" i="1"/>
  <c r="O371" i="1"/>
  <c r="O365" i="1"/>
  <c r="O360" i="1"/>
  <c r="O350" i="1"/>
  <c r="O346" i="1"/>
  <c r="O341" i="1"/>
  <c r="P479" i="1"/>
  <c r="P474" i="1"/>
  <c r="P470" i="1"/>
  <c r="P459" i="1"/>
  <c r="P451" i="1"/>
  <c r="O446" i="1"/>
  <c r="P469" i="1"/>
  <c r="O444" i="1"/>
  <c r="O437" i="1"/>
  <c r="O432" i="1"/>
  <c r="O424" i="1"/>
  <c r="O418" i="1"/>
  <c r="O410" i="1"/>
  <c r="P405" i="1"/>
  <c r="P397" i="1"/>
  <c r="P385" i="1"/>
  <c r="P381" i="1"/>
  <c r="P377" i="1"/>
  <c r="P373" i="1"/>
  <c r="P362" i="1"/>
  <c r="P348" i="1"/>
  <c r="O333" i="1"/>
  <c r="P332" i="1"/>
  <c r="O329" i="1"/>
  <c r="P328" i="1"/>
  <c r="P323" i="1"/>
  <c r="P319" i="1"/>
  <c r="P310" i="1"/>
  <c r="P300" i="1"/>
  <c r="P291" i="1"/>
  <c r="P278" i="1"/>
  <c r="P273" i="1"/>
  <c r="P265" i="1"/>
  <c r="P257" i="1"/>
  <c r="P235" i="1"/>
  <c r="P223" i="1"/>
  <c r="P219" i="1"/>
  <c r="P209" i="1"/>
  <c r="P335" i="1"/>
  <c r="O332" i="1"/>
  <c r="P331" i="1"/>
  <c r="O328" i="1"/>
  <c r="O323" i="1"/>
  <c r="O319" i="1"/>
  <c r="P313" i="1"/>
  <c r="O310" i="1"/>
  <c r="P309" i="1"/>
  <c r="O296" i="1"/>
  <c r="P295" i="1"/>
  <c r="O291" i="1"/>
  <c r="P290" i="1"/>
  <c r="O286" i="1"/>
  <c r="P285" i="1"/>
  <c r="P281" i="1"/>
  <c r="O278" i="1"/>
  <c r="P277" i="1"/>
  <c r="O273" i="1"/>
  <c r="P272" i="1"/>
  <c r="O269" i="1"/>
  <c r="O265" i="1"/>
  <c r="P264" i="1"/>
  <c r="O261" i="1"/>
  <c r="O257" i="1"/>
  <c r="P256" i="1"/>
  <c r="O253" i="1"/>
  <c r="P252" i="1"/>
  <c r="P248" i="1"/>
  <c r="O245" i="1"/>
  <c r="P244" i="1"/>
  <c r="O235" i="1"/>
  <c r="P234" i="1"/>
  <c r="P230" i="1"/>
  <c r="P226" i="1"/>
  <c r="O223" i="1"/>
  <c r="P222" i="1"/>
  <c r="O219" i="1"/>
  <c r="P218" i="1"/>
  <c r="O209" i="1"/>
  <c r="P208" i="1"/>
  <c r="P203" i="1"/>
  <c r="P199" i="1"/>
  <c r="O196" i="1"/>
  <c r="P195" i="1"/>
  <c r="P191" i="1"/>
  <c r="O188" i="1"/>
  <c r="O335" i="1"/>
  <c r="O331" i="1"/>
  <c r="O322" i="1"/>
  <c r="O313" i="1"/>
  <c r="O309" i="1"/>
  <c r="P302" i="1"/>
  <c r="O299" i="1"/>
  <c r="P298" i="1"/>
  <c r="O295" i="1"/>
  <c r="P294" i="1"/>
  <c r="O290" i="1"/>
  <c r="P289" i="1"/>
  <c r="O285" i="1"/>
  <c r="P284" i="1"/>
  <c r="O281" i="1"/>
  <c r="P280" i="1"/>
  <c r="O277" i="1"/>
  <c r="P275" i="1"/>
  <c r="O272" i="1"/>
  <c r="P271" i="1"/>
  <c r="P267" i="1"/>
  <c r="O264" i="1"/>
  <c r="P263" i="1"/>
  <c r="P259" i="1"/>
  <c r="O256" i="1"/>
  <c r="P255" i="1"/>
  <c r="O252" i="1"/>
  <c r="P251" i="1"/>
  <c r="O248" i="1"/>
  <c r="O244" i="1"/>
  <c r="P237" i="1"/>
  <c r="O234" i="1"/>
  <c r="P233" i="1"/>
  <c r="O230" i="1"/>
  <c r="P229" i="1"/>
  <c r="O226" i="1"/>
  <c r="P225" i="1"/>
  <c r="O222" i="1"/>
  <c r="O218" i="1"/>
  <c r="O208" i="1"/>
  <c r="O203" i="1"/>
  <c r="O199" i="1"/>
  <c r="P198" i="1"/>
  <c r="O195" i="1"/>
  <c r="P194" i="1"/>
  <c r="O191" i="1"/>
  <c r="P333" i="1"/>
  <c r="P329" i="1"/>
  <c r="O302" i="1"/>
  <c r="O298" i="1"/>
  <c r="O294" i="1"/>
  <c r="O289" i="1"/>
  <c r="O284" i="1"/>
  <c r="O280" i="1"/>
  <c r="O275" i="1"/>
  <c r="O271" i="1"/>
  <c r="O267" i="1"/>
  <c r="O263" i="1"/>
  <c r="O259" i="1"/>
  <c r="O255" i="1"/>
  <c r="O251" i="1"/>
  <c r="O237" i="1"/>
  <c r="O233" i="1"/>
  <c r="O229" i="1"/>
  <c r="O225" i="1"/>
  <c r="P196" i="1"/>
  <c r="O194" i="1"/>
  <c r="O190" i="1"/>
  <c r="P188" i="1"/>
  <c r="P183" i="1"/>
  <c r="P176" i="1"/>
  <c r="P170" i="1"/>
  <c r="O165" i="1"/>
  <c r="P164" i="1"/>
  <c r="O161" i="1"/>
  <c r="P160" i="1"/>
  <c r="P156" i="1"/>
  <c r="P152" i="1"/>
  <c r="P148" i="1"/>
  <c r="P135" i="1"/>
  <c r="O129" i="1"/>
  <c r="P128" i="1"/>
  <c r="O125" i="1"/>
  <c r="P124" i="1"/>
  <c r="O119" i="1"/>
  <c r="P118" i="1"/>
  <c r="O114" i="1"/>
  <c r="P113" i="1"/>
  <c r="O107" i="1"/>
  <c r="P106" i="1"/>
  <c r="O101" i="1"/>
  <c r="P100" i="1"/>
  <c r="O97" i="1"/>
  <c r="P96" i="1"/>
  <c r="O93" i="1"/>
  <c r="P92" i="1"/>
  <c r="O86" i="1"/>
  <c r="P85" i="1"/>
  <c r="O81" i="1"/>
  <c r="P80" i="1"/>
  <c r="O76" i="1"/>
  <c r="P72" i="1"/>
  <c r="O57" i="1"/>
  <c r="P56" i="1"/>
  <c r="O52" i="1"/>
  <c r="P51" i="1"/>
  <c r="O45" i="1"/>
  <c r="P44" i="1"/>
  <c r="O40" i="1"/>
  <c r="O32" i="1"/>
  <c r="O28" i="1"/>
  <c r="P200" i="1"/>
  <c r="O198" i="1"/>
  <c r="P186" i="1"/>
  <c r="O183" i="1"/>
  <c r="P182" i="1"/>
  <c r="O176" i="1"/>
  <c r="P175" i="1"/>
  <c r="O170" i="1"/>
  <c r="P169" i="1"/>
  <c r="O164" i="1"/>
  <c r="P163" i="1"/>
  <c r="O160" i="1"/>
  <c r="P159" i="1"/>
  <c r="O156" i="1"/>
  <c r="P155" i="1"/>
  <c r="O152" i="1"/>
  <c r="P151" i="1"/>
  <c r="O148" i="1"/>
  <c r="P142" i="1"/>
  <c r="P138" i="1"/>
  <c r="O135" i="1"/>
  <c r="P134" i="1"/>
  <c r="O128" i="1"/>
  <c r="O124" i="1"/>
  <c r="O118" i="1"/>
  <c r="O113" i="1"/>
  <c r="P109" i="1"/>
  <c r="O106" i="1"/>
  <c r="P105" i="1"/>
  <c r="O100" i="1"/>
  <c r="O96" i="1"/>
  <c r="P95" i="1"/>
  <c r="O92" i="1"/>
  <c r="O85" i="1"/>
  <c r="O80" i="1"/>
  <c r="O72" i="1"/>
  <c r="P71" i="1"/>
  <c r="O56" i="1"/>
  <c r="O51" i="1"/>
  <c r="O44" i="1"/>
  <c r="O186" i="1"/>
  <c r="O182" i="1"/>
  <c r="O175" i="1"/>
  <c r="O169" i="1"/>
  <c r="O163" i="1"/>
  <c r="O159" i="1"/>
  <c r="O155" i="1"/>
  <c r="O151" i="1"/>
  <c r="O142" i="1"/>
  <c r="O138" i="1"/>
  <c r="O134" i="1"/>
  <c r="O109" i="1"/>
  <c r="O95" i="1"/>
  <c r="O83" i="1"/>
  <c r="O71" i="1"/>
  <c r="P69" i="1"/>
  <c r="O47" i="1"/>
  <c r="O34" i="1"/>
  <c r="O26" i="1"/>
  <c r="P192" i="1"/>
  <c r="P190" i="1"/>
  <c r="P165" i="1"/>
  <c r="P161" i="1"/>
  <c r="P149" i="1"/>
  <c r="P129" i="1"/>
  <c r="P125" i="1"/>
  <c r="P119" i="1"/>
  <c r="P114" i="1"/>
  <c r="P107" i="1"/>
  <c r="P101" i="1"/>
  <c r="P97" i="1"/>
  <c r="P93" i="1"/>
  <c r="P86" i="1"/>
  <c r="P81" i="1"/>
  <c r="P76" i="1"/>
  <c r="P57" i="1"/>
  <c r="O69" i="1"/>
  <c r="P52" i="1"/>
  <c r="P45" i="1"/>
  <c r="P40" i="1"/>
  <c r="P36" i="1"/>
  <c r="P30" i="1"/>
  <c r="P15" i="1"/>
  <c r="O516" i="1"/>
  <c r="O653" i="1"/>
  <c r="O576" i="1"/>
  <c r="O649" i="1"/>
  <c r="O494" i="1"/>
  <c r="P648" i="1"/>
  <c r="P644" i="1"/>
  <c r="P641" i="1"/>
  <c r="O534" i="1"/>
  <c r="P506" i="1"/>
  <c r="O620" i="1"/>
  <c r="O484" i="1"/>
  <c r="O571" i="1"/>
  <c r="O581" i="1"/>
  <c r="O487" i="1"/>
  <c r="O454" i="1"/>
  <c r="O439" i="1"/>
  <c r="O293" i="1"/>
  <c r="O355" i="1"/>
  <c r="O178" i="1"/>
  <c r="O303" i="1"/>
  <c r="O145" i="1"/>
  <c r="P32" i="1"/>
  <c r="P24" i="1"/>
  <c r="P19" i="1"/>
  <c r="O15" i="1"/>
  <c r="O885" i="1"/>
  <c r="P849" i="1"/>
  <c r="P752" i="1"/>
  <c r="O648" i="1"/>
  <c r="O644" i="1"/>
  <c r="O641" i="1"/>
  <c r="O506" i="1"/>
  <c r="P26" i="1"/>
  <c r="O19" i="1"/>
  <c r="O849" i="1"/>
  <c r="P466" i="1"/>
  <c r="P215" i="1"/>
  <c r="P179" i="1"/>
  <c r="P28" i="1"/>
  <c r="P516" i="1"/>
  <c r="P653" i="1"/>
  <c r="O747" i="1"/>
  <c r="P494" i="1"/>
  <c r="P645" i="1"/>
  <c r="P642" i="1"/>
  <c r="P534" i="1"/>
  <c r="P620" i="1"/>
  <c r="P484" i="1"/>
  <c r="P581" i="1"/>
  <c r="O466" i="1"/>
  <c r="P487" i="1"/>
  <c r="P454" i="1"/>
  <c r="O465" i="1"/>
  <c r="P439" i="1"/>
  <c r="P356" i="1"/>
  <c r="P293" i="1"/>
  <c r="O215" i="1"/>
  <c r="P355" i="1"/>
  <c r="O179" i="1"/>
  <c r="P178" i="1"/>
  <c r="P303" i="1"/>
  <c r="O147" i="1"/>
  <c r="N49" i="1"/>
  <c r="M48" i="1"/>
  <c r="O48" i="1" s="1"/>
  <c r="L131" i="1"/>
  <c r="P131" i="1" s="1"/>
  <c r="O132" i="1"/>
  <c r="M59" i="1"/>
  <c r="P59" i="1" s="1"/>
  <c r="L60" i="1"/>
  <c r="P60" i="1" s="1"/>
  <c r="N50" i="1"/>
  <c r="M79" i="1"/>
  <c r="P79" i="1" s="1"/>
  <c r="L287" i="1"/>
  <c r="O287" i="1" s="1"/>
  <c r="O133" i="1"/>
  <c r="N102" i="1"/>
  <c r="M54" i="1"/>
  <c r="P54" i="1" s="1"/>
  <c r="L143" i="1"/>
  <c r="P143" i="1" s="1"/>
  <c r="M64" i="1"/>
  <c r="O64" i="1" s="1"/>
  <c r="L84" i="1"/>
  <c r="O84" i="1" s="1"/>
  <c r="N206" i="1"/>
  <c r="M120" i="1"/>
  <c r="O120" i="1" s="1"/>
  <c r="L121" i="1"/>
  <c r="P121" i="1" s="1"/>
  <c r="N63" i="1"/>
  <c r="M42" i="1"/>
  <c r="P42" i="1" s="1"/>
  <c r="M66" i="1"/>
  <c r="O66" i="1" s="1"/>
  <c r="M276" i="1"/>
  <c r="O276" i="1" s="1"/>
  <c r="N103" i="1"/>
  <c r="M212" i="1"/>
  <c r="P212" i="1" s="1"/>
  <c r="P145" i="1"/>
  <c r="M177" i="1"/>
  <c r="L17" i="1"/>
  <c r="O17" i="1" s="1"/>
  <c r="O49" i="1"/>
  <c r="N48" i="1"/>
  <c r="P132" i="1"/>
  <c r="N59" i="1"/>
  <c r="L115" i="1"/>
  <c r="O115" i="1" s="1"/>
  <c r="N79" i="1"/>
  <c r="N54" i="1"/>
  <c r="L58" i="1"/>
  <c r="O58" i="1" s="1"/>
  <c r="O173" i="1"/>
  <c r="N64" i="1"/>
  <c r="L61" i="1"/>
  <c r="O61" i="1" s="1"/>
  <c r="N120" i="1"/>
  <c r="L62" i="1"/>
  <c r="P62" i="1" s="1"/>
  <c r="N42" i="1"/>
  <c r="L166" i="1"/>
  <c r="P166" i="1" s="1"/>
  <c r="O65" i="1"/>
  <c r="N66" i="1"/>
  <c r="L110" i="1"/>
  <c r="O110" i="1" s="1"/>
  <c r="O89" i="1"/>
  <c r="N276" i="1"/>
  <c r="L111" i="1"/>
  <c r="P111" i="1" s="1"/>
  <c r="O103" i="1"/>
  <c r="N212" i="1"/>
  <c r="L168" i="1"/>
  <c r="O168" i="1" s="1"/>
  <c r="L238" i="1"/>
  <c r="P238" i="1" s="1"/>
  <c r="P147" i="1"/>
  <c r="M317" i="1"/>
  <c r="N317" i="1"/>
  <c r="P102" i="1"/>
  <c r="P173" i="1"/>
  <c r="P103" i="1"/>
  <c r="N168" i="1"/>
  <c r="N238" i="1"/>
  <c r="L317" i="1"/>
  <c r="O240" i="1"/>
  <c r="O68" i="1"/>
  <c r="L177" i="1"/>
  <c r="M241" i="1"/>
  <c r="P241" i="1" s="1"/>
  <c r="L307" i="1"/>
  <c r="P307" i="1" s="1"/>
  <c r="M171" i="1"/>
  <c r="O171" i="1" s="1"/>
  <c r="M243" i="1"/>
  <c r="P243" i="1" s="1"/>
  <c r="N239" i="1"/>
  <c r="M325" i="1"/>
  <c r="P325" i="1" s="1"/>
  <c r="N74" i="1"/>
  <c r="M75" i="1"/>
  <c r="P75" i="1" s="1"/>
  <c r="N213" i="1"/>
  <c r="M214" i="1"/>
  <c r="P214" i="1" s="1"/>
  <c r="N216" i="1"/>
  <c r="M368" i="1"/>
  <c r="P368" i="1" s="1"/>
  <c r="N364" i="1"/>
  <c r="M217" i="1"/>
  <c r="P217" i="1" s="1"/>
  <c r="N435" i="1"/>
  <c r="M420" i="1"/>
  <c r="P420" i="1" s="1"/>
  <c r="N452" i="1"/>
  <c r="M497" i="1"/>
  <c r="P497" i="1" s="1"/>
  <c r="N453" i="1"/>
  <c r="M619" i="1"/>
  <c r="P619" i="1" s="1"/>
  <c r="N462" i="1"/>
  <c r="M450" i="1"/>
  <c r="P450" i="1" s="1"/>
  <c r="N467" i="1"/>
  <c r="M542" i="1"/>
  <c r="P542" i="1" s="1"/>
  <c r="N455" i="1"/>
  <c r="M570" i="1"/>
  <c r="O570" i="1" s="1"/>
  <c r="N468" i="1"/>
  <c r="M593" i="1"/>
  <c r="P593" i="1" s="1"/>
  <c r="N594" i="1"/>
  <c r="M555" i="1"/>
  <c r="O555" i="1" s="1"/>
  <c r="N640" i="1"/>
  <c r="N582" i="1"/>
  <c r="N643" i="1"/>
  <c r="N647" i="1"/>
  <c r="N509" i="1"/>
  <c r="M583" i="1"/>
  <c r="P583" i="1" s="1"/>
  <c r="N746" i="1"/>
  <c r="M800" i="1"/>
  <c r="P800" i="1" s="1"/>
  <c r="N789" i="1"/>
  <c r="M650" i="1"/>
  <c r="P650" i="1" s="1"/>
  <c r="N651" i="1"/>
  <c r="M652" i="1"/>
  <c r="O652" i="1" s="1"/>
  <c r="N756" i="1"/>
  <c r="M445" i="1"/>
  <c r="P445" i="1" s="1"/>
  <c r="N441" i="1"/>
  <c r="M475" i="1"/>
  <c r="P475" i="1" s="1"/>
  <c r="L421" i="1"/>
  <c r="O421" i="1" s="1"/>
  <c r="M558" i="1"/>
  <c r="P558" i="1" s="1"/>
  <c r="L559" i="1"/>
  <c r="N654" i="1"/>
  <c r="M551" i="1"/>
  <c r="O551" i="1" s="1"/>
  <c r="L776" i="1"/>
  <c r="M655" i="1"/>
  <c r="P655" i="1" s="1"/>
  <c r="L870" i="1"/>
  <c r="L16" i="1"/>
  <c r="P16" i="1" s="1"/>
  <c r="N29" i="1"/>
  <c r="L29" i="1"/>
  <c r="P29" i="1" s="1"/>
  <c r="L39" i="1"/>
  <c r="P39" i="1" s="1"/>
  <c r="N39" i="1"/>
  <c r="N75" i="1"/>
  <c r="N445" i="1"/>
  <c r="N475" i="1"/>
  <c r="L535" i="1"/>
  <c r="O535" i="1" s="1"/>
  <c r="N558" i="1"/>
  <c r="M559" i="1"/>
  <c r="L595" i="1"/>
  <c r="P595" i="1" s="1"/>
  <c r="N551" i="1"/>
  <c r="M776" i="1"/>
  <c r="L757" i="1"/>
  <c r="O757" i="1" s="1"/>
  <c r="N655" i="1"/>
  <c r="M870" i="1"/>
  <c r="L848" i="1"/>
  <c r="L18" i="1"/>
  <c r="O18" i="1" s="1"/>
  <c r="L22" i="1"/>
  <c r="O22" i="1" s="1"/>
  <c r="N22" i="1"/>
  <c r="L27" i="1"/>
  <c r="P27" i="1" s="1"/>
  <c r="N27" i="1"/>
  <c r="L239" i="1"/>
  <c r="O239" i="1" s="1"/>
  <c r="L74" i="1"/>
  <c r="P74" i="1" s="1"/>
  <c r="L213" i="1"/>
  <c r="O213" i="1" s="1"/>
  <c r="L216" i="1"/>
  <c r="P216" i="1" s="1"/>
  <c r="L364" i="1"/>
  <c r="O364" i="1" s="1"/>
  <c r="L435" i="1"/>
  <c r="P435" i="1" s="1"/>
  <c r="L452" i="1"/>
  <c r="P452" i="1" s="1"/>
  <c r="L453" i="1"/>
  <c r="P453" i="1" s="1"/>
  <c r="L462" i="1"/>
  <c r="O462" i="1" s="1"/>
  <c r="L467" i="1"/>
  <c r="P467" i="1" s="1"/>
  <c r="M493" i="1"/>
  <c r="P493" i="1" s="1"/>
  <c r="L455" i="1"/>
  <c r="O455" i="1" s="1"/>
  <c r="L468" i="1"/>
  <c r="P468" i="1" s="1"/>
  <c r="M638" i="1"/>
  <c r="L594" i="1"/>
  <c r="P594" i="1" s="1"/>
  <c r="M639" i="1"/>
  <c r="L640" i="1"/>
  <c r="P640" i="1" s="1"/>
  <c r="M621" i="1"/>
  <c r="P621" i="1" s="1"/>
  <c r="L582" i="1"/>
  <c r="O582" i="1" s="1"/>
  <c r="M498" i="1"/>
  <c r="O498" i="1" s="1"/>
  <c r="L643" i="1"/>
  <c r="P643" i="1" s="1"/>
  <c r="M646" i="1"/>
  <c r="L647" i="1"/>
  <c r="P647" i="1" s="1"/>
  <c r="M508" i="1"/>
  <c r="L509" i="1"/>
  <c r="P509" i="1" s="1"/>
  <c r="L746" i="1"/>
  <c r="O746" i="1" s="1"/>
  <c r="L789" i="1"/>
  <c r="P789" i="1" s="1"/>
  <c r="M720" i="1"/>
  <c r="L651" i="1"/>
  <c r="O651" i="1" s="1"/>
  <c r="L756" i="1"/>
  <c r="P756" i="1" s="1"/>
  <c r="L441" i="1"/>
  <c r="P441" i="1" s="1"/>
  <c r="M848" i="1"/>
  <c r="N25" i="1"/>
  <c r="L25" i="1"/>
  <c r="P25" i="1" s="1"/>
  <c r="N33" i="1"/>
  <c r="L33" i="1"/>
  <c r="O33" i="1" s="1"/>
  <c r="L23" i="1"/>
  <c r="P23" i="1" s="1"/>
  <c r="N23" i="1"/>
  <c r="L31" i="1"/>
  <c r="P31" i="1" s="1"/>
  <c r="N31" i="1"/>
  <c r="L35" i="1"/>
  <c r="O35" i="1" s="1"/>
  <c r="N35" i="1"/>
  <c r="N159" i="1"/>
  <c r="N163" i="1"/>
  <c r="N169" i="1"/>
  <c r="N175" i="1"/>
  <c r="N182" i="1"/>
  <c r="N186" i="1"/>
  <c r="L197" i="1"/>
  <c r="P197" i="1" s="1"/>
  <c r="L37" i="1"/>
  <c r="P37" i="1" s="1"/>
  <c r="L41" i="1"/>
  <c r="P41" i="1" s="1"/>
  <c r="N44" i="1"/>
  <c r="L46" i="1"/>
  <c r="P46" i="1" s="1"/>
  <c r="N51" i="1"/>
  <c r="L53" i="1"/>
  <c r="O53" i="1" s="1"/>
  <c r="N56" i="1"/>
  <c r="L70" i="1"/>
  <c r="P70" i="1" s="1"/>
  <c r="N72" i="1"/>
  <c r="L77" i="1"/>
  <c r="O77" i="1" s="1"/>
  <c r="N80" i="1"/>
  <c r="L82" i="1"/>
  <c r="P82" i="1" s="1"/>
  <c r="N85" i="1"/>
  <c r="L87" i="1"/>
  <c r="O87" i="1" s="1"/>
  <c r="N92" i="1"/>
  <c r="L94" i="1"/>
  <c r="P94" i="1" s="1"/>
  <c r="N96" i="1"/>
  <c r="L98" i="1"/>
  <c r="O98" i="1" s="1"/>
  <c r="N100" i="1"/>
  <c r="L104" i="1"/>
  <c r="P104" i="1" s="1"/>
  <c r="N106" i="1"/>
  <c r="L108" i="1"/>
  <c r="O108" i="1" s="1"/>
  <c r="N113" i="1"/>
  <c r="L116" i="1"/>
  <c r="P116" i="1" s="1"/>
  <c r="N118" i="1"/>
  <c r="L122" i="1"/>
  <c r="O122" i="1" s="1"/>
  <c r="N124" i="1"/>
  <c r="L126" i="1"/>
  <c r="P126" i="1" s="1"/>
  <c r="N128" i="1"/>
  <c r="L130" i="1"/>
  <c r="O130" i="1" s="1"/>
  <c r="N135" i="1"/>
  <c r="L137" i="1"/>
  <c r="P137" i="1" s="1"/>
  <c r="L141" i="1"/>
  <c r="O141" i="1" s="1"/>
  <c r="N148" i="1"/>
  <c r="L150" i="1"/>
  <c r="P150" i="1" s="1"/>
  <c r="N152" i="1"/>
  <c r="L154" i="1"/>
  <c r="O154" i="1" s="1"/>
  <c r="N156" i="1"/>
  <c r="L158" i="1"/>
  <c r="P158" i="1" s="1"/>
  <c r="N160" i="1"/>
  <c r="L162" i="1"/>
  <c r="O162" i="1" s="1"/>
  <c r="N164" i="1"/>
  <c r="L167" i="1"/>
  <c r="P167" i="1" s="1"/>
  <c r="N170" i="1"/>
  <c r="L174" i="1"/>
  <c r="O174" i="1" s="1"/>
  <c r="N176" i="1"/>
  <c r="L181" i="1"/>
  <c r="P181" i="1" s="1"/>
  <c r="L185" i="1"/>
  <c r="O185" i="1" s="1"/>
  <c r="L193" i="1"/>
  <c r="P193" i="1" s="1"/>
  <c r="L189" i="1"/>
  <c r="P189" i="1" s="1"/>
  <c r="N194" i="1"/>
  <c r="L205" i="1"/>
  <c r="O205" i="1" s="1"/>
  <c r="L210" i="1"/>
  <c r="P210" i="1" s="1"/>
  <c r="L220" i="1"/>
  <c r="O220" i="1" s="1"/>
  <c r="L224" i="1"/>
  <c r="P224" i="1" s="1"/>
  <c r="L228" i="1"/>
  <c r="O228" i="1" s="1"/>
  <c r="L232" i="1"/>
  <c r="P232" i="1" s="1"/>
  <c r="L236" i="1"/>
  <c r="O236" i="1" s="1"/>
  <c r="L246" i="1"/>
  <c r="P246" i="1" s="1"/>
  <c r="L250" i="1"/>
  <c r="O250" i="1" s="1"/>
  <c r="L254" i="1"/>
  <c r="P254" i="1" s="1"/>
  <c r="L258" i="1"/>
  <c r="O258" i="1" s="1"/>
  <c r="L262" i="1"/>
  <c r="P262" i="1" s="1"/>
  <c r="L266" i="1"/>
  <c r="O266" i="1" s="1"/>
  <c r="L270" i="1"/>
  <c r="P270" i="1" s="1"/>
  <c r="L274" i="1"/>
  <c r="O274" i="1" s="1"/>
  <c r="L279" i="1"/>
  <c r="P279" i="1" s="1"/>
  <c r="L283" i="1"/>
  <c r="O283" i="1" s="1"/>
  <c r="L288" i="1"/>
  <c r="P288" i="1" s="1"/>
  <c r="L292" i="1"/>
  <c r="O292" i="1" s="1"/>
  <c r="L297" i="1"/>
  <c r="P297" i="1" s="1"/>
  <c r="L301" i="1"/>
  <c r="O301" i="1" s="1"/>
  <c r="L306" i="1"/>
  <c r="P306" i="1" s="1"/>
  <c r="L311" i="1"/>
  <c r="O311" i="1" s="1"/>
  <c r="L315" i="1"/>
  <c r="P315" i="1" s="1"/>
  <c r="L320" i="1"/>
  <c r="O320" i="1" s="1"/>
  <c r="L324" i="1"/>
  <c r="P324" i="1" s="1"/>
  <c r="L202" i="1"/>
  <c r="P202" i="1" s="1"/>
  <c r="L207" i="1"/>
  <c r="P207" i="1" s="1"/>
  <c r="L211" i="1"/>
  <c r="P211" i="1" s="1"/>
  <c r="L221" i="1"/>
  <c r="P221" i="1" s="1"/>
  <c r="L247" i="1"/>
  <c r="P247" i="1" s="1"/>
  <c r="L308" i="1"/>
  <c r="P308" i="1" s="1"/>
  <c r="L312" i="1"/>
  <c r="P312" i="1" s="1"/>
  <c r="L316" i="1"/>
  <c r="P316" i="1" s="1"/>
  <c r="L321" i="1"/>
  <c r="P321" i="1" s="1"/>
  <c r="N323" i="1"/>
  <c r="L326" i="1"/>
  <c r="P326" i="1" s="1"/>
  <c r="N328" i="1"/>
  <c r="L330" i="1"/>
  <c r="P330" i="1" s="1"/>
  <c r="L334" i="1"/>
  <c r="P334" i="1" s="1"/>
  <c r="L336" i="1"/>
  <c r="P336" i="1" s="1"/>
  <c r="N341" i="1"/>
  <c r="N346" i="1"/>
  <c r="N350" i="1"/>
  <c r="N403" i="1"/>
  <c r="N407" i="1"/>
  <c r="L409" i="1"/>
  <c r="P409" i="1" s="1"/>
  <c r="N411" i="1"/>
  <c r="L413" i="1"/>
  <c r="P413" i="1" s="1"/>
  <c r="N415" i="1"/>
  <c r="L417" i="1"/>
  <c r="P417" i="1" s="1"/>
  <c r="L423" i="1"/>
  <c r="P423" i="1" s="1"/>
  <c r="L427" i="1"/>
  <c r="O427" i="1" s="1"/>
  <c r="L431" i="1"/>
  <c r="P431" i="1" s="1"/>
  <c r="N433" i="1"/>
  <c r="L436" i="1"/>
  <c r="O436" i="1" s="1"/>
  <c r="N438" i="1"/>
  <c r="L443" i="1"/>
  <c r="O443" i="1" s="1"/>
  <c r="N447" i="1"/>
  <c r="L483" i="1"/>
  <c r="O483" i="1" s="1"/>
  <c r="L489" i="1"/>
  <c r="P489" i="1" s="1"/>
  <c r="L490" i="1"/>
  <c r="O490" i="1" s="1"/>
  <c r="N491" i="1"/>
  <c r="L345" i="1"/>
  <c r="P345" i="1" s="1"/>
  <c r="L349" i="1"/>
  <c r="O349" i="1" s="1"/>
  <c r="L353" i="1"/>
  <c r="P353" i="1" s="1"/>
  <c r="L359" i="1"/>
  <c r="O359" i="1" s="1"/>
  <c r="L363" i="1"/>
  <c r="P363" i="1" s="1"/>
  <c r="L370" i="1"/>
  <c r="O370" i="1" s="1"/>
  <c r="L374" i="1"/>
  <c r="P374" i="1" s="1"/>
  <c r="L378" i="1"/>
  <c r="O378" i="1" s="1"/>
  <c r="L382" i="1"/>
  <c r="P382" i="1" s="1"/>
  <c r="L386" i="1"/>
  <c r="O386" i="1" s="1"/>
  <c r="L390" i="1"/>
  <c r="P390" i="1" s="1"/>
  <c r="L394" i="1"/>
  <c r="O394" i="1" s="1"/>
  <c r="L398" i="1"/>
  <c r="P398" i="1" s="1"/>
  <c r="L402" i="1"/>
  <c r="O402" i="1" s="1"/>
  <c r="L406" i="1"/>
  <c r="P406" i="1" s="1"/>
  <c r="N408" i="1"/>
  <c r="N412" i="1"/>
  <c r="N416" i="1"/>
  <c r="N422" i="1"/>
  <c r="N426" i="1"/>
  <c r="N430" i="1"/>
  <c r="N442" i="1"/>
  <c r="N448" i="1"/>
  <c r="L456" i="1"/>
  <c r="P456" i="1" s="1"/>
  <c r="N458" i="1"/>
  <c r="N464" i="1"/>
  <c r="L471" i="1"/>
  <c r="O471" i="1" s="1"/>
  <c r="N473" i="1"/>
  <c r="L476" i="1"/>
  <c r="P476" i="1" s="1"/>
  <c r="N478" i="1"/>
  <c r="L480" i="1"/>
  <c r="O480" i="1" s="1"/>
  <c r="N482" i="1"/>
  <c r="L485" i="1"/>
  <c r="P485" i="1" s="1"/>
  <c r="N488" i="1"/>
  <c r="N495" i="1"/>
  <c r="L495" i="1"/>
  <c r="O495" i="1" s="1"/>
  <c r="N499" i="1"/>
  <c r="L501" i="1"/>
  <c r="P501" i="1" s="1"/>
  <c r="N503" i="1"/>
  <c r="L505" i="1"/>
  <c r="O505" i="1" s="1"/>
  <c r="L512" i="1"/>
  <c r="P512" i="1" s="1"/>
  <c r="L517" i="1"/>
  <c r="O517" i="1" s="1"/>
  <c r="L521" i="1"/>
  <c r="P521" i="1" s="1"/>
  <c r="L525" i="1"/>
  <c r="O525" i="1" s="1"/>
  <c r="L529" i="1"/>
  <c r="P529" i="1" s="1"/>
  <c r="L536" i="1"/>
  <c r="O536" i="1" s="1"/>
  <c r="L540" i="1"/>
  <c r="P540" i="1" s="1"/>
  <c r="L545" i="1"/>
  <c r="O545" i="1" s="1"/>
  <c r="L549" i="1"/>
  <c r="P549" i="1" s="1"/>
  <c r="L554" i="1"/>
  <c r="O554" i="1" s="1"/>
  <c r="L562" i="1"/>
  <c r="P562" i="1" s="1"/>
  <c r="L566" i="1"/>
  <c r="O566" i="1" s="1"/>
  <c r="N553" i="1"/>
  <c r="N561" i="1"/>
  <c r="L572" i="1"/>
  <c r="P572" i="1" s="1"/>
  <c r="L577" i="1"/>
  <c r="P577" i="1" s="1"/>
  <c r="N577" i="1"/>
  <c r="N574" i="1"/>
  <c r="L574" i="1"/>
  <c r="O574" i="1" s="1"/>
  <c r="N579" i="1"/>
  <c r="L579" i="1"/>
  <c r="P579" i="1" s="1"/>
  <c r="N692" i="1"/>
  <c r="L692" i="1"/>
  <c r="O692" i="1" s="1"/>
  <c r="N585" i="1"/>
  <c r="L587" i="1"/>
  <c r="O587" i="1" s="1"/>
  <c r="N589" i="1"/>
  <c r="L591" i="1"/>
  <c r="P591" i="1" s="1"/>
  <c r="N597" i="1"/>
  <c r="L599" i="1"/>
  <c r="O599" i="1" s="1"/>
  <c r="N601" i="1"/>
  <c r="L603" i="1"/>
  <c r="P603" i="1" s="1"/>
  <c r="N605" i="1"/>
  <c r="L607" i="1"/>
  <c r="O607" i="1" s="1"/>
  <c r="N609" i="1"/>
  <c r="L611" i="1"/>
  <c r="P611" i="1" s="1"/>
  <c r="N613" i="1"/>
  <c r="L615" i="1"/>
  <c r="O615" i="1" s="1"/>
  <c r="N617" i="1"/>
  <c r="L622" i="1"/>
  <c r="P622" i="1" s="1"/>
  <c r="L626" i="1"/>
  <c r="O626" i="1" s="1"/>
  <c r="N631" i="1"/>
  <c r="L660" i="1"/>
  <c r="P660" i="1" s="1"/>
  <c r="N665" i="1"/>
  <c r="L676" i="1"/>
  <c r="O676" i="1" s="1"/>
  <c r="N696" i="1"/>
  <c r="L696" i="1"/>
  <c r="P696" i="1" s="1"/>
  <c r="L656" i="1"/>
  <c r="O656" i="1" s="1"/>
  <c r="N661" i="1"/>
  <c r="L672" i="1"/>
  <c r="O672" i="1" s="1"/>
  <c r="N677" i="1"/>
  <c r="N684" i="1"/>
  <c r="L684" i="1"/>
  <c r="P684" i="1" s="1"/>
  <c r="N700" i="1"/>
  <c r="L700" i="1"/>
  <c r="O700" i="1" s="1"/>
  <c r="L634" i="1"/>
  <c r="P634" i="1" s="1"/>
  <c r="L668" i="1"/>
  <c r="P668" i="1" s="1"/>
  <c r="N688" i="1"/>
  <c r="L688" i="1"/>
  <c r="P688" i="1" s="1"/>
  <c r="L704" i="1"/>
  <c r="O704" i="1" s="1"/>
  <c r="L708" i="1"/>
  <c r="P708" i="1" s="1"/>
  <c r="N708" i="1"/>
  <c r="N706" i="1"/>
  <c r="L706" i="1"/>
  <c r="O706" i="1" s="1"/>
  <c r="L710" i="1"/>
  <c r="P710" i="1" s="1"/>
  <c r="N712" i="1"/>
  <c r="L714" i="1"/>
  <c r="P714" i="1" s="1"/>
  <c r="N716" i="1"/>
  <c r="L718" i="1"/>
  <c r="P718" i="1" s="1"/>
  <c r="N721" i="1"/>
  <c r="L723" i="1"/>
  <c r="P723" i="1" s="1"/>
  <c r="N725" i="1"/>
  <c r="L728" i="1"/>
  <c r="P728" i="1" s="1"/>
  <c r="N730" i="1"/>
  <c r="L732" i="1"/>
  <c r="P732" i="1" s="1"/>
  <c r="N734" i="1"/>
  <c r="L736" i="1"/>
  <c r="P736" i="1" s="1"/>
  <c r="N738" i="1"/>
  <c r="L741" i="1"/>
  <c r="P741" i="1" s="1"/>
  <c r="N743" i="1"/>
  <c r="L745" i="1"/>
  <c r="P745" i="1" s="1"/>
  <c r="N749" i="1"/>
  <c r="L751" i="1"/>
  <c r="P751" i="1" s="1"/>
  <c r="N754" i="1"/>
  <c r="L758" i="1"/>
  <c r="P758" i="1" s="1"/>
  <c r="N760" i="1"/>
  <c r="N764" i="1"/>
  <c r="N768" i="1"/>
  <c r="L771" i="1"/>
  <c r="P771" i="1" s="1"/>
  <c r="N771" i="1"/>
  <c r="L775" i="1"/>
  <c r="P775" i="1" s="1"/>
  <c r="N775" i="1"/>
  <c r="N780" i="1"/>
  <c r="L782" i="1"/>
  <c r="O782" i="1" s="1"/>
  <c r="N784" i="1"/>
  <c r="L786" i="1"/>
  <c r="P786" i="1" s="1"/>
  <c r="N788" i="1"/>
  <c r="L791" i="1"/>
  <c r="O791" i="1" s="1"/>
  <c r="N793" i="1"/>
  <c r="L795" i="1"/>
  <c r="O795" i="1" s="1"/>
  <c r="N797" i="1"/>
  <c r="L802" i="1"/>
  <c r="O802" i="1" s="1"/>
  <c r="L807" i="1"/>
  <c r="P807" i="1" s="1"/>
  <c r="L811" i="1"/>
  <c r="O811" i="1" s="1"/>
  <c r="L815" i="1"/>
  <c r="P815" i="1" s="1"/>
  <c r="L819" i="1"/>
  <c r="O819" i="1" s="1"/>
  <c r="L825" i="1"/>
  <c r="P825" i="1" s="1"/>
  <c r="L829" i="1"/>
  <c r="O829" i="1" s="1"/>
  <c r="L835" i="1"/>
  <c r="P835" i="1" s="1"/>
  <c r="N836" i="1"/>
  <c r="N840" i="1"/>
  <c r="L840" i="1"/>
  <c r="P840" i="1" s="1"/>
  <c r="N864" i="1"/>
  <c r="L864" i="1"/>
  <c r="P864" i="1" s="1"/>
  <c r="N873" i="1"/>
  <c r="L873" i="1"/>
  <c r="P873" i="1" s="1"/>
  <c r="N877" i="1"/>
  <c r="L877" i="1"/>
  <c r="O877" i="1" s="1"/>
  <c r="N881" i="1"/>
  <c r="L881" i="1"/>
  <c r="P881" i="1" s="1"/>
  <c r="L844" i="1"/>
  <c r="P844" i="1" s="1"/>
  <c r="L850" i="1"/>
  <c r="O850" i="1" s="1"/>
  <c r="L854" i="1"/>
  <c r="P854" i="1" s="1"/>
  <c r="L858" i="1"/>
  <c r="O858" i="1" s="1"/>
  <c r="L862" i="1"/>
  <c r="P862" i="1" s="1"/>
  <c r="N862" i="1"/>
  <c r="N886" i="1"/>
  <c r="L886" i="1"/>
  <c r="O886" i="1" s="1"/>
  <c r="N860" i="1"/>
  <c r="L860" i="1"/>
  <c r="O860" i="1" s="1"/>
  <c r="N868" i="1"/>
  <c r="L868" i="1"/>
  <c r="O868" i="1" s="1"/>
  <c r="N866" i="1"/>
  <c r="N871" i="1"/>
  <c r="N875" i="1"/>
  <c r="N879" i="1"/>
  <c r="M889" i="1"/>
  <c r="P889" i="1" s="1"/>
  <c r="P720" i="1" l="1"/>
  <c r="O639" i="1"/>
  <c r="P533" i="1"/>
  <c r="P201" i="1"/>
  <c r="R201" i="1" s="1"/>
  <c r="S201" i="1" s="1"/>
  <c r="T201" i="1" s="1"/>
  <c r="P401" i="1"/>
  <c r="O461" i="1"/>
  <c r="P839" i="1"/>
  <c r="V839" i="1" s="1"/>
  <c r="O809" i="1"/>
  <c r="O389" i="1"/>
  <c r="P675" i="1"/>
  <c r="P616" i="1"/>
  <c r="V616" i="1" s="1"/>
  <c r="O231" i="1"/>
  <c r="O463" i="1"/>
  <c r="O340" i="1"/>
  <c r="P340" i="1"/>
  <c r="R340" i="1" s="1"/>
  <c r="S340" i="1" s="1"/>
  <c r="T340" i="1" s="1"/>
  <c r="P857" i="1"/>
  <c r="V857" i="1" s="1"/>
  <c r="O857" i="1"/>
  <c r="O695" i="1"/>
  <c r="P695" i="1"/>
  <c r="V695" i="1" s="1"/>
  <c r="P828" i="1"/>
  <c r="R828" i="1" s="1"/>
  <c r="S828" i="1" s="1"/>
  <c r="T828" i="1" s="1"/>
  <c r="O828" i="1"/>
  <c r="P63" i="1"/>
  <c r="P726" i="1"/>
  <c r="R726" i="1" s="1"/>
  <c r="S726" i="1" s="1"/>
  <c r="T726" i="1" s="1"/>
  <c r="P136" i="1"/>
  <c r="R136" i="1" s="1"/>
  <c r="S136" i="1" s="1"/>
  <c r="T136" i="1" s="1"/>
  <c r="P180" i="1"/>
  <c r="P304" i="1"/>
  <c r="O314" i="1"/>
  <c r="P249" i="1"/>
  <c r="R249" i="1" s="1"/>
  <c r="S249" i="1" s="1"/>
  <c r="T249" i="1" s="1"/>
  <c r="P344" i="1"/>
  <c r="P367" i="1"/>
  <c r="P414" i="1"/>
  <c r="R414" i="1" s="1"/>
  <c r="S414" i="1" s="1"/>
  <c r="T414" i="1" s="1"/>
  <c r="O486" i="1"/>
  <c r="O528" i="1"/>
  <c r="O759" i="1"/>
  <c r="O785" i="1"/>
  <c r="O794" i="1"/>
  <c r="P767" i="1"/>
  <c r="V767" i="1" s="1"/>
  <c r="O767" i="1"/>
  <c r="P872" i="1"/>
  <c r="V872" i="1" s="1"/>
  <c r="O872" i="1"/>
  <c r="P144" i="1"/>
  <c r="P67" i="1"/>
  <c r="P112" i="1"/>
  <c r="R112" i="1" s="1"/>
  <c r="S112" i="1" s="1"/>
  <c r="T112" i="1" s="1"/>
  <c r="O823" i="1"/>
  <c r="P449" i="1"/>
  <c r="P20" i="1"/>
  <c r="O43" i="1"/>
  <c r="O153" i="1"/>
  <c r="O227" i="1"/>
  <c r="O282" i="1"/>
  <c r="O358" i="1"/>
  <c r="P598" i="1"/>
  <c r="V598" i="1" s="1"/>
  <c r="P629" i="1"/>
  <c r="P781" i="1"/>
  <c r="P783" i="1"/>
  <c r="V783" i="1" s="1"/>
  <c r="P847" i="1"/>
  <c r="R847" i="1" s="1"/>
  <c r="S847" i="1" s="1"/>
  <c r="T847" i="1" s="1"/>
  <c r="O50" i="1"/>
  <c r="P242" i="1"/>
  <c r="P822" i="1"/>
  <c r="V822" i="1" s="1"/>
  <c r="P139" i="1"/>
  <c r="V139" i="1" s="1"/>
  <c r="P260" i="1"/>
  <c r="P268" i="1"/>
  <c r="P352" i="1"/>
  <c r="V352" i="1" s="1"/>
  <c r="P500" i="1"/>
  <c r="V500" i="1" s="1"/>
  <c r="P425" i="1"/>
  <c r="V425" i="1" s="1"/>
  <c r="P481" i="1"/>
  <c r="O630" i="1"/>
  <c r="O586" i="1"/>
  <c r="O703" i="1"/>
  <c r="P646" i="1"/>
  <c r="P638" i="1"/>
  <c r="R638" i="1" s="1"/>
  <c r="S638" i="1" s="1"/>
  <c r="T638" i="1" s="1"/>
  <c r="P184" i="1"/>
  <c r="V184" i="1" s="1"/>
  <c r="O624" i="1"/>
  <c r="O715" i="1"/>
  <c r="P805" i="1"/>
  <c r="O846" i="1"/>
  <c r="P859" i="1"/>
  <c r="P884" i="1"/>
  <c r="O748" i="1"/>
  <c r="O342" i="1"/>
  <c r="O90" i="1"/>
  <c r="O460" i="1"/>
  <c r="P440" i="1"/>
  <c r="V440" i="1" s="1"/>
  <c r="P654" i="1"/>
  <c r="R654" i="1" s="1"/>
  <c r="S654" i="1" s="1"/>
  <c r="T654" i="1" s="1"/>
  <c r="O146" i="1"/>
  <c r="O557" i="1"/>
  <c r="O21" i="1"/>
  <c r="O38" i="1"/>
  <c r="O55" i="1"/>
  <c r="O91" i="1"/>
  <c r="P123" i="1"/>
  <c r="V123" i="1" s="1"/>
  <c r="O157" i="1"/>
  <c r="O337" i="1"/>
  <c r="O538" i="1"/>
  <c r="P514" i="1"/>
  <c r="R514" i="1" s="1"/>
  <c r="S514" i="1" s="1"/>
  <c r="T514" i="1" s="1"/>
  <c r="P683" i="1"/>
  <c r="R683" i="1" s="1"/>
  <c r="S683" i="1" s="1"/>
  <c r="T683" i="1" s="1"/>
  <c r="P833" i="1"/>
  <c r="O843" i="1"/>
  <c r="O508" i="1"/>
  <c r="O206" i="1"/>
  <c r="P596" i="1"/>
  <c r="O187" i="1"/>
  <c r="O204" i="1"/>
  <c r="O354" i="1"/>
  <c r="P366" i="1"/>
  <c r="P735" i="1"/>
  <c r="O724" i="1"/>
  <c r="P762" i="1"/>
  <c r="R762" i="1" s="1"/>
  <c r="S762" i="1" s="1"/>
  <c r="T762" i="1" s="1"/>
  <c r="O727" i="1"/>
  <c r="O73" i="1"/>
  <c r="O369" i="1"/>
  <c r="O78" i="1"/>
  <c r="O99" i="1"/>
  <c r="O127" i="1"/>
  <c r="O305" i="1"/>
  <c r="O428" i="1"/>
  <c r="O477" i="1"/>
  <c r="O573" i="1"/>
  <c r="P515" i="1"/>
  <c r="R515" i="1" s="1"/>
  <c r="S515" i="1" s="1"/>
  <c r="T515" i="1" s="1"/>
  <c r="O787" i="1"/>
  <c r="O863" i="1"/>
  <c r="P876" i="1"/>
  <c r="R49" i="1"/>
  <c r="S49" i="1" s="1"/>
  <c r="T49" i="1" s="1"/>
  <c r="W49" i="1" s="1"/>
  <c r="V49" i="1"/>
  <c r="P140" i="1"/>
  <c r="O117" i="1"/>
  <c r="O327" i="1"/>
  <c r="P339" i="1"/>
  <c r="V339" i="1" s="1"/>
  <c r="P318" i="1"/>
  <c r="R318" i="1" s="1"/>
  <c r="S318" i="1" s="1"/>
  <c r="T318" i="1" s="1"/>
  <c r="P393" i="1"/>
  <c r="O472" i="1"/>
  <c r="P699" i="1"/>
  <c r="V699" i="1" s="1"/>
  <c r="O663" i="1"/>
  <c r="P770" i="1"/>
  <c r="O763" i="1"/>
  <c r="P834" i="1"/>
  <c r="R834" i="1" s="1"/>
  <c r="S834" i="1" s="1"/>
  <c r="T834" i="1" s="1"/>
  <c r="O838" i="1"/>
  <c r="P719" i="1"/>
  <c r="P869" i="1"/>
  <c r="R869" i="1" s="1"/>
  <c r="S869" i="1" s="1"/>
  <c r="T869" i="1" s="1"/>
  <c r="O888" i="1"/>
  <c r="P172" i="1"/>
  <c r="V172" i="1" s="1"/>
  <c r="O548" i="1"/>
  <c r="P633" i="1"/>
  <c r="R633" i="1" s="1"/>
  <c r="S633" i="1" s="1"/>
  <c r="T633" i="1" s="1"/>
  <c r="O680" i="1"/>
  <c r="O842" i="1"/>
  <c r="O852" i="1"/>
  <c r="P48" i="1"/>
  <c r="V48" i="1" s="1"/>
  <c r="O177" i="1"/>
  <c r="O166" i="1"/>
  <c r="P317" i="1"/>
  <c r="P115" i="1"/>
  <c r="O79" i="1"/>
  <c r="O212" i="1"/>
  <c r="O42" i="1"/>
  <c r="O54" i="1"/>
  <c r="O59" i="1"/>
  <c r="O238" i="1"/>
  <c r="O60" i="1"/>
  <c r="O870" i="1"/>
  <c r="P287" i="1"/>
  <c r="V287" i="1" s="1"/>
  <c r="O887" i="1"/>
  <c r="P88" i="1"/>
  <c r="O800" i="1"/>
  <c r="P559" i="1"/>
  <c r="V559" i="1" s="1"/>
  <c r="O121" i="1"/>
  <c r="O131" i="1"/>
  <c r="P168" i="1"/>
  <c r="R168" i="1" s="1"/>
  <c r="S168" i="1" s="1"/>
  <c r="T168" i="1" s="1"/>
  <c r="P239" i="1"/>
  <c r="V239" i="1" s="1"/>
  <c r="O214" i="1"/>
  <c r="P870" i="1"/>
  <c r="O217" i="1"/>
  <c r="P848" i="1"/>
  <c r="V848" i="1" s="1"/>
  <c r="O776" i="1"/>
  <c r="P177" i="1"/>
  <c r="O595" i="1"/>
  <c r="O453" i="1"/>
  <c r="O468" i="1"/>
  <c r="O643" i="1"/>
  <c r="P364" i="1"/>
  <c r="V364" i="1" s="1"/>
  <c r="O450" i="1"/>
  <c r="P746" i="1"/>
  <c r="O475" i="1"/>
  <c r="O39" i="1"/>
  <c r="P555" i="1"/>
  <c r="R555" i="1" s="1"/>
  <c r="S555" i="1" s="1"/>
  <c r="T555" i="1" s="1"/>
  <c r="O70" i="1"/>
  <c r="O116" i="1"/>
  <c r="O158" i="1"/>
  <c r="P22" i="1"/>
  <c r="R22" i="1" s="1"/>
  <c r="S22" i="1" s="1"/>
  <c r="T22" i="1" s="1"/>
  <c r="P35" i="1"/>
  <c r="P205" i="1"/>
  <c r="P283" i="1"/>
  <c r="V283" i="1" s="1"/>
  <c r="O210" i="1"/>
  <c r="O254" i="1"/>
  <c r="O288" i="1"/>
  <c r="O324" i="1"/>
  <c r="P436" i="1"/>
  <c r="R436" i="1" s="1"/>
  <c r="S436" i="1" s="1"/>
  <c r="T436" i="1" s="1"/>
  <c r="P471" i="1"/>
  <c r="O489" i="1"/>
  <c r="O521" i="1"/>
  <c r="O562" i="1"/>
  <c r="P599" i="1"/>
  <c r="R599" i="1" s="1"/>
  <c r="S599" i="1" s="1"/>
  <c r="T599" i="1" s="1"/>
  <c r="P639" i="1"/>
  <c r="V639" i="1" s="1"/>
  <c r="P508" i="1"/>
  <c r="V508" i="1" s="1"/>
  <c r="P18" i="1"/>
  <c r="V18" i="1" s="1"/>
  <c r="P455" i="1"/>
  <c r="R455" i="1" s="1"/>
  <c r="S455" i="1" s="1"/>
  <c r="T455" i="1" s="1"/>
  <c r="P570" i="1"/>
  <c r="O104" i="1"/>
  <c r="O150" i="1"/>
  <c r="P301" i="1"/>
  <c r="R301" i="1" s="1"/>
  <c r="S301" i="1" s="1"/>
  <c r="T301" i="1" s="1"/>
  <c r="O246" i="1"/>
  <c r="O279" i="1"/>
  <c r="O315" i="1"/>
  <c r="P427" i="1"/>
  <c r="V427" i="1" s="1"/>
  <c r="O512" i="1"/>
  <c r="O549" i="1"/>
  <c r="P587" i="1"/>
  <c r="V587" i="1" s="1"/>
  <c r="O143" i="1"/>
  <c r="P17" i="1"/>
  <c r="O720" i="1"/>
  <c r="O25" i="1"/>
  <c r="O640" i="1"/>
  <c r="O509" i="1"/>
  <c r="P757" i="1"/>
  <c r="V757" i="1" s="1"/>
  <c r="O325" i="1"/>
  <c r="O497" i="1"/>
  <c r="P651" i="1"/>
  <c r="P652" i="1"/>
  <c r="R652" i="1" s="1"/>
  <c r="S652" i="1" s="1"/>
  <c r="T652" i="1" s="1"/>
  <c r="O559" i="1"/>
  <c r="O94" i="1"/>
  <c r="O137" i="1"/>
  <c r="O181" i="1"/>
  <c r="P33" i="1"/>
  <c r="V33" i="1" s="1"/>
  <c r="P185" i="1"/>
  <c r="P228" i="1"/>
  <c r="P250" i="1"/>
  <c r="O336" i="1"/>
  <c r="O232" i="1"/>
  <c r="O270" i="1"/>
  <c r="O306" i="1"/>
  <c r="O579" i="1"/>
  <c r="O501" i="1"/>
  <c r="O540" i="1"/>
  <c r="P574" i="1"/>
  <c r="R574" i="1" s="1"/>
  <c r="S574" i="1" s="1"/>
  <c r="T574" i="1" s="1"/>
  <c r="P615" i="1"/>
  <c r="R615" i="1" s="1"/>
  <c r="S615" i="1" s="1"/>
  <c r="T615" i="1" s="1"/>
  <c r="O660" i="1"/>
  <c r="O786" i="1"/>
  <c r="O62" i="1"/>
  <c r="O216" i="1"/>
  <c r="P498" i="1"/>
  <c r="P535" i="1"/>
  <c r="R535" i="1" s="1"/>
  <c r="S535" i="1" s="1"/>
  <c r="T535" i="1" s="1"/>
  <c r="P462" i="1"/>
  <c r="R462" i="1" s="1"/>
  <c r="P171" i="1"/>
  <c r="V171" i="1" s="1"/>
  <c r="O82" i="1"/>
  <c r="O126" i="1"/>
  <c r="O167" i="1"/>
  <c r="P266" i="1"/>
  <c r="V266" i="1" s="1"/>
  <c r="P320" i="1"/>
  <c r="V320" i="1" s="1"/>
  <c r="O224" i="1"/>
  <c r="O262" i="1"/>
  <c r="O297" i="1"/>
  <c r="P483" i="1"/>
  <c r="V483" i="1" s="1"/>
  <c r="P480" i="1"/>
  <c r="P554" i="1"/>
  <c r="R554" i="1" s="1"/>
  <c r="O529" i="1"/>
  <c r="P607" i="1"/>
  <c r="V835" i="1"/>
  <c r="R835" i="1"/>
  <c r="S835" i="1" s="1"/>
  <c r="T835" i="1" s="1"/>
  <c r="V745" i="1"/>
  <c r="R745" i="1"/>
  <c r="S745" i="1" s="1"/>
  <c r="T745" i="1" s="1"/>
  <c r="R710" i="1"/>
  <c r="S710" i="1" s="1"/>
  <c r="T710" i="1" s="1"/>
  <c r="V710" i="1"/>
  <c r="V668" i="1"/>
  <c r="R668" i="1"/>
  <c r="S668" i="1" s="1"/>
  <c r="T668" i="1" s="1"/>
  <c r="V456" i="1"/>
  <c r="R456" i="1"/>
  <c r="S456" i="1" s="1"/>
  <c r="T456" i="1" s="1"/>
  <c r="V417" i="1"/>
  <c r="R417" i="1"/>
  <c r="S417" i="1" s="1"/>
  <c r="T417" i="1" s="1"/>
  <c r="V330" i="1"/>
  <c r="R330" i="1"/>
  <c r="S330" i="1" s="1"/>
  <c r="T330" i="1" s="1"/>
  <c r="V321" i="1"/>
  <c r="R321" i="1"/>
  <c r="S321" i="1" s="1"/>
  <c r="T321" i="1" s="1"/>
  <c r="R189" i="1"/>
  <c r="S189" i="1" s="1"/>
  <c r="T189" i="1" s="1"/>
  <c r="V189" i="1"/>
  <c r="V41" i="1"/>
  <c r="R41" i="1"/>
  <c r="S41" i="1" s="1"/>
  <c r="T41" i="1" s="1"/>
  <c r="R31" i="1"/>
  <c r="S31" i="1" s="1"/>
  <c r="T31" i="1" s="1"/>
  <c r="V31" i="1"/>
  <c r="V441" i="1"/>
  <c r="R441" i="1"/>
  <c r="S441" i="1" s="1"/>
  <c r="T441" i="1" s="1"/>
  <c r="V789" i="1"/>
  <c r="R789" i="1"/>
  <c r="S789" i="1" s="1"/>
  <c r="T789" i="1" s="1"/>
  <c r="V647" i="1"/>
  <c r="R647" i="1"/>
  <c r="S647" i="1" s="1"/>
  <c r="T647" i="1" s="1"/>
  <c r="V594" i="1"/>
  <c r="R594" i="1"/>
  <c r="S594" i="1" s="1"/>
  <c r="T594" i="1" s="1"/>
  <c r="V493" i="1"/>
  <c r="R493" i="1"/>
  <c r="S493" i="1" s="1"/>
  <c r="T493" i="1" s="1"/>
  <c r="V452" i="1"/>
  <c r="R452" i="1"/>
  <c r="S452" i="1" s="1"/>
  <c r="T452" i="1" s="1"/>
  <c r="V27" i="1"/>
  <c r="R27" i="1"/>
  <c r="S27" i="1" s="1"/>
  <c r="T27" i="1" s="1"/>
  <c r="V558" i="1"/>
  <c r="R558" i="1"/>
  <c r="S558" i="1" s="1"/>
  <c r="T558" i="1" s="1"/>
  <c r="V445" i="1"/>
  <c r="R445" i="1"/>
  <c r="S445" i="1" s="1"/>
  <c r="T445" i="1" s="1"/>
  <c r="V650" i="1"/>
  <c r="R650" i="1"/>
  <c r="S650" i="1" s="1"/>
  <c r="T650" i="1" s="1"/>
  <c r="V583" i="1"/>
  <c r="R583" i="1"/>
  <c r="S583" i="1" s="1"/>
  <c r="T583" i="1" s="1"/>
  <c r="V593" i="1"/>
  <c r="R593" i="1"/>
  <c r="S593" i="1" s="1"/>
  <c r="T593" i="1" s="1"/>
  <c r="V542" i="1"/>
  <c r="R542" i="1"/>
  <c r="S542" i="1" s="1"/>
  <c r="T542" i="1" s="1"/>
  <c r="V619" i="1"/>
  <c r="R619" i="1"/>
  <c r="S619" i="1" s="1"/>
  <c r="T619" i="1" s="1"/>
  <c r="V420" i="1"/>
  <c r="R420" i="1"/>
  <c r="S420" i="1" s="1"/>
  <c r="T420" i="1" s="1"/>
  <c r="V368" i="1"/>
  <c r="R368" i="1"/>
  <c r="S368" i="1" s="1"/>
  <c r="T368" i="1" s="1"/>
  <c r="V75" i="1"/>
  <c r="R75" i="1"/>
  <c r="S75" i="1" s="1"/>
  <c r="T75" i="1" s="1"/>
  <c r="V243" i="1"/>
  <c r="R243" i="1"/>
  <c r="S243" i="1" s="1"/>
  <c r="T243" i="1" s="1"/>
  <c r="R241" i="1"/>
  <c r="S241" i="1" s="1"/>
  <c r="T241" i="1" s="1"/>
  <c r="V241" i="1"/>
  <c r="V166" i="1"/>
  <c r="R166" i="1"/>
  <c r="S166" i="1" s="1"/>
  <c r="T166" i="1" s="1"/>
  <c r="V121" i="1"/>
  <c r="R121" i="1"/>
  <c r="S121" i="1" s="1"/>
  <c r="T121" i="1" s="1"/>
  <c r="V862" i="1"/>
  <c r="R862" i="1"/>
  <c r="S862" i="1" s="1"/>
  <c r="T862" i="1" s="1"/>
  <c r="V815" i="1"/>
  <c r="R815" i="1"/>
  <c r="S815" i="1" s="1"/>
  <c r="T815" i="1" s="1"/>
  <c r="V736" i="1"/>
  <c r="R736" i="1"/>
  <c r="S736" i="1" s="1"/>
  <c r="T736" i="1" s="1"/>
  <c r="V708" i="1"/>
  <c r="R708" i="1"/>
  <c r="S708" i="1" s="1"/>
  <c r="T708" i="1" s="1"/>
  <c r="V684" i="1"/>
  <c r="R684" i="1"/>
  <c r="S684" i="1" s="1"/>
  <c r="T684" i="1" s="1"/>
  <c r="V577" i="1"/>
  <c r="R577" i="1"/>
  <c r="S577" i="1" s="1"/>
  <c r="T577" i="1" s="1"/>
  <c r="V409" i="1"/>
  <c r="R409" i="1"/>
  <c r="S409" i="1" s="1"/>
  <c r="T409" i="1" s="1"/>
  <c r="V247" i="1"/>
  <c r="R247" i="1"/>
  <c r="S247" i="1" s="1"/>
  <c r="T247" i="1" s="1"/>
  <c r="V202" i="1"/>
  <c r="R202" i="1"/>
  <c r="S202" i="1" s="1"/>
  <c r="T202" i="1" s="1"/>
  <c r="V881" i="1"/>
  <c r="R881" i="1"/>
  <c r="S881" i="1" s="1"/>
  <c r="T881" i="1" s="1"/>
  <c r="V873" i="1"/>
  <c r="R873" i="1"/>
  <c r="S873" i="1" s="1"/>
  <c r="T873" i="1" s="1"/>
  <c r="V840" i="1"/>
  <c r="R840" i="1"/>
  <c r="S840" i="1" s="1"/>
  <c r="T840" i="1" s="1"/>
  <c r="V786" i="1"/>
  <c r="R786" i="1"/>
  <c r="S786" i="1" s="1"/>
  <c r="T786" i="1" s="1"/>
  <c r="V634" i="1"/>
  <c r="R634" i="1"/>
  <c r="S634" i="1" s="1"/>
  <c r="T634" i="1" s="1"/>
  <c r="V622" i="1"/>
  <c r="R622" i="1"/>
  <c r="S622" i="1" s="1"/>
  <c r="T622" i="1" s="1"/>
  <c r="V611" i="1"/>
  <c r="R611" i="1"/>
  <c r="S611" i="1" s="1"/>
  <c r="T611" i="1" s="1"/>
  <c r="V603" i="1"/>
  <c r="R603" i="1"/>
  <c r="S603" i="1" s="1"/>
  <c r="T603" i="1" s="1"/>
  <c r="V591" i="1"/>
  <c r="R591" i="1"/>
  <c r="S591" i="1" s="1"/>
  <c r="T591" i="1" s="1"/>
  <c r="R572" i="1"/>
  <c r="S572" i="1" s="1"/>
  <c r="T572" i="1" s="1"/>
  <c r="V572" i="1"/>
  <c r="V562" i="1"/>
  <c r="R562" i="1"/>
  <c r="S562" i="1" s="1"/>
  <c r="T562" i="1" s="1"/>
  <c r="V540" i="1"/>
  <c r="R540" i="1"/>
  <c r="S540" i="1" s="1"/>
  <c r="T540" i="1" s="1"/>
  <c r="V521" i="1"/>
  <c r="R521" i="1"/>
  <c r="S521" i="1" s="1"/>
  <c r="T521" i="1" s="1"/>
  <c r="V406" i="1"/>
  <c r="R406" i="1"/>
  <c r="S406" i="1" s="1"/>
  <c r="T406" i="1" s="1"/>
  <c r="V390" i="1"/>
  <c r="R390" i="1"/>
  <c r="S390" i="1" s="1"/>
  <c r="T390" i="1" s="1"/>
  <c r="V374" i="1"/>
  <c r="R374" i="1"/>
  <c r="S374" i="1" s="1"/>
  <c r="T374" i="1" s="1"/>
  <c r="V353" i="1"/>
  <c r="R353" i="1"/>
  <c r="S353" i="1" s="1"/>
  <c r="T353" i="1" s="1"/>
  <c r="V431" i="1"/>
  <c r="R431" i="1"/>
  <c r="S431" i="1" s="1"/>
  <c r="T431" i="1" s="1"/>
  <c r="V316" i="1"/>
  <c r="R316" i="1"/>
  <c r="S316" i="1" s="1"/>
  <c r="T316" i="1" s="1"/>
  <c r="V221" i="1"/>
  <c r="R221" i="1"/>
  <c r="S221" i="1" s="1"/>
  <c r="T221" i="1" s="1"/>
  <c r="V324" i="1"/>
  <c r="R324" i="1"/>
  <c r="S324" i="1" s="1"/>
  <c r="T324" i="1" s="1"/>
  <c r="V306" i="1"/>
  <c r="R306" i="1"/>
  <c r="S306" i="1" s="1"/>
  <c r="T306" i="1" s="1"/>
  <c r="V288" i="1"/>
  <c r="R288" i="1"/>
  <c r="S288" i="1" s="1"/>
  <c r="T288" i="1" s="1"/>
  <c r="V270" i="1"/>
  <c r="R270" i="1"/>
  <c r="S270" i="1" s="1"/>
  <c r="T270" i="1" s="1"/>
  <c r="V254" i="1"/>
  <c r="R254" i="1"/>
  <c r="S254" i="1" s="1"/>
  <c r="T254" i="1" s="1"/>
  <c r="V232" i="1"/>
  <c r="R232" i="1"/>
  <c r="S232" i="1" s="1"/>
  <c r="T232" i="1" s="1"/>
  <c r="V210" i="1"/>
  <c r="R210" i="1"/>
  <c r="S210" i="1" s="1"/>
  <c r="T210" i="1" s="1"/>
  <c r="V193" i="1"/>
  <c r="R193" i="1"/>
  <c r="S193" i="1" s="1"/>
  <c r="T193" i="1" s="1"/>
  <c r="V37" i="1"/>
  <c r="R37" i="1"/>
  <c r="S37" i="1" s="1"/>
  <c r="T37" i="1" s="1"/>
  <c r="V756" i="1"/>
  <c r="R756" i="1"/>
  <c r="S756" i="1" s="1"/>
  <c r="T756" i="1" s="1"/>
  <c r="V646" i="1"/>
  <c r="R646" i="1"/>
  <c r="S646" i="1" s="1"/>
  <c r="T646" i="1" s="1"/>
  <c r="V621" i="1"/>
  <c r="R621" i="1"/>
  <c r="S621" i="1" s="1"/>
  <c r="T621" i="1" s="1"/>
  <c r="V638" i="1"/>
  <c r="V467" i="1"/>
  <c r="R467" i="1"/>
  <c r="S467" i="1" s="1"/>
  <c r="T467" i="1" s="1"/>
  <c r="V435" i="1"/>
  <c r="R435" i="1"/>
  <c r="S435" i="1" s="1"/>
  <c r="T435" i="1" s="1"/>
  <c r="V74" i="1"/>
  <c r="R74" i="1"/>
  <c r="S74" i="1" s="1"/>
  <c r="T74" i="1" s="1"/>
  <c r="V16" i="1"/>
  <c r="R16" i="1"/>
  <c r="S16" i="1" s="1"/>
  <c r="T16" i="1" s="1"/>
  <c r="V317" i="1"/>
  <c r="R317" i="1"/>
  <c r="S317" i="1" s="1"/>
  <c r="T317" i="1" s="1"/>
  <c r="V143" i="1"/>
  <c r="R143" i="1"/>
  <c r="S143" i="1" s="1"/>
  <c r="T143" i="1" s="1"/>
  <c r="V844" i="1"/>
  <c r="R844" i="1"/>
  <c r="S844" i="1" s="1"/>
  <c r="T844" i="1" s="1"/>
  <c r="V758" i="1"/>
  <c r="R758" i="1"/>
  <c r="S758" i="1" s="1"/>
  <c r="T758" i="1" s="1"/>
  <c r="V728" i="1"/>
  <c r="R728" i="1"/>
  <c r="S728" i="1" s="1"/>
  <c r="T728" i="1" s="1"/>
  <c r="V854" i="1"/>
  <c r="R854" i="1"/>
  <c r="S854" i="1" s="1"/>
  <c r="T854" i="1" s="1"/>
  <c r="V807" i="1"/>
  <c r="R807" i="1"/>
  <c r="S807" i="1" s="1"/>
  <c r="T807" i="1" s="1"/>
  <c r="V751" i="1"/>
  <c r="R751" i="1"/>
  <c r="S751" i="1" s="1"/>
  <c r="T751" i="1" s="1"/>
  <c r="V723" i="1"/>
  <c r="R723" i="1"/>
  <c r="S723" i="1" s="1"/>
  <c r="T723" i="1" s="1"/>
  <c r="V660" i="1"/>
  <c r="R660" i="1"/>
  <c r="S660" i="1" s="1"/>
  <c r="T660" i="1" s="1"/>
  <c r="V501" i="1"/>
  <c r="R501" i="1"/>
  <c r="S501" i="1" s="1"/>
  <c r="T501" i="1" s="1"/>
  <c r="V489" i="1"/>
  <c r="R489" i="1"/>
  <c r="S489" i="1" s="1"/>
  <c r="T489" i="1" s="1"/>
  <c r="V413" i="1"/>
  <c r="R413" i="1"/>
  <c r="S413" i="1" s="1"/>
  <c r="T413" i="1" s="1"/>
  <c r="V336" i="1"/>
  <c r="R336" i="1"/>
  <c r="S336" i="1" s="1"/>
  <c r="T336" i="1" s="1"/>
  <c r="V312" i="1"/>
  <c r="R312" i="1"/>
  <c r="S312" i="1" s="1"/>
  <c r="T312" i="1" s="1"/>
  <c r="V126" i="1"/>
  <c r="R126" i="1"/>
  <c r="S126" i="1" s="1"/>
  <c r="T126" i="1" s="1"/>
  <c r="V116" i="1"/>
  <c r="R116" i="1"/>
  <c r="S116" i="1" s="1"/>
  <c r="T116" i="1" s="1"/>
  <c r="V94" i="1"/>
  <c r="R94" i="1"/>
  <c r="S94" i="1" s="1"/>
  <c r="T94" i="1" s="1"/>
  <c r="V70" i="1"/>
  <c r="R70" i="1"/>
  <c r="S70" i="1" s="1"/>
  <c r="T70" i="1" s="1"/>
  <c r="V197" i="1"/>
  <c r="R197" i="1"/>
  <c r="S197" i="1" s="1"/>
  <c r="T197" i="1" s="1"/>
  <c r="R23" i="1"/>
  <c r="S23" i="1" s="1"/>
  <c r="T23" i="1" s="1"/>
  <c r="V23" i="1"/>
  <c r="V509" i="1"/>
  <c r="R509" i="1"/>
  <c r="S509" i="1" s="1"/>
  <c r="T509" i="1" s="1"/>
  <c r="V643" i="1"/>
  <c r="R643" i="1"/>
  <c r="S643" i="1" s="1"/>
  <c r="T643" i="1" s="1"/>
  <c r="V640" i="1"/>
  <c r="R640" i="1"/>
  <c r="S640" i="1" s="1"/>
  <c r="T640" i="1" s="1"/>
  <c r="V468" i="1"/>
  <c r="R468" i="1"/>
  <c r="S468" i="1" s="1"/>
  <c r="T468" i="1" s="1"/>
  <c r="V595" i="1"/>
  <c r="R595" i="1"/>
  <c r="S595" i="1" s="1"/>
  <c r="T595" i="1" s="1"/>
  <c r="V39" i="1"/>
  <c r="R39" i="1"/>
  <c r="S39" i="1" s="1"/>
  <c r="T39" i="1" s="1"/>
  <c r="T889" i="1"/>
  <c r="S889" i="1"/>
  <c r="V889" i="1"/>
  <c r="R889" i="1"/>
  <c r="V771" i="1"/>
  <c r="R771" i="1"/>
  <c r="S771" i="1" s="1"/>
  <c r="T771" i="1" s="1"/>
  <c r="V718" i="1"/>
  <c r="R718" i="1"/>
  <c r="S718" i="1" s="1"/>
  <c r="T718" i="1" s="1"/>
  <c r="V825" i="1"/>
  <c r="R825" i="1"/>
  <c r="S825" i="1" s="1"/>
  <c r="T825" i="1" s="1"/>
  <c r="V775" i="1"/>
  <c r="R775" i="1"/>
  <c r="S775" i="1" s="1"/>
  <c r="T775" i="1" s="1"/>
  <c r="V741" i="1"/>
  <c r="R741" i="1"/>
  <c r="S741" i="1" s="1"/>
  <c r="T741" i="1" s="1"/>
  <c r="V732" i="1"/>
  <c r="R732" i="1"/>
  <c r="S732" i="1" s="1"/>
  <c r="T732" i="1" s="1"/>
  <c r="V714" i="1"/>
  <c r="R714" i="1"/>
  <c r="S714" i="1" s="1"/>
  <c r="T714" i="1" s="1"/>
  <c r="V688" i="1"/>
  <c r="R688" i="1"/>
  <c r="S688" i="1" s="1"/>
  <c r="T688" i="1" s="1"/>
  <c r="V696" i="1"/>
  <c r="R696" i="1"/>
  <c r="S696" i="1" s="1"/>
  <c r="T696" i="1" s="1"/>
  <c r="V326" i="1"/>
  <c r="R326" i="1"/>
  <c r="S326" i="1" s="1"/>
  <c r="T326" i="1" s="1"/>
  <c r="V211" i="1"/>
  <c r="R211" i="1"/>
  <c r="S211" i="1" s="1"/>
  <c r="T211" i="1" s="1"/>
  <c r="V137" i="1"/>
  <c r="R137" i="1"/>
  <c r="S137" i="1" s="1"/>
  <c r="T137" i="1" s="1"/>
  <c r="V104" i="1"/>
  <c r="R104" i="1"/>
  <c r="S104" i="1" s="1"/>
  <c r="T104" i="1" s="1"/>
  <c r="V82" i="1"/>
  <c r="R82" i="1"/>
  <c r="S82" i="1" s="1"/>
  <c r="T82" i="1" s="1"/>
  <c r="V46" i="1"/>
  <c r="R46" i="1"/>
  <c r="S46" i="1" s="1"/>
  <c r="T46" i="1" s="1"/>
  <c r="V238" i="1"/>
  <c r="R238" i="1"/>
  <c r="S238" i="1" s="1"/>
  <c r="T238" i="1" s="1"/>
  <c r="V111" i="1"/>
  <c r="R111" i="1"/>
  <c r="S111" i="1" s="1"/>
  <c r="T111" i="1" s="1"/>
  <c r="R864" i="1"/>
  <c r="S864" i="1" s="1"/>
  <c r="T864" i="1" s="1"/>
  <c r="V864" i="1"/>
  <c r="V579" i="1"/>
  <c r="R579" i="1"/>
  <c r="S579" i="1" s="1"/>
  <c r="T579" i="1" s="1"/>
  <c r="V549" i="1"/>
  <c r="R549" i="1"/>
  <c r="S549" i="1" s="1"/>
  <c r="T549" i="1" s="1"/>
  <c r="V529" i="1"/>
  <c r="R529" i="1"/>
  <c r="S529" i="1" s="1"/>
  <c r="T529" i="1" s="1"/>
  <c r="V512" i="1"/>
  <c r="R512" i="1"/>
  <c r="S512" i="1" s="1"/>
  <c r="T512" i="1" s="1"/>
  <c r="V485" i="1"/>
  <c r="R485" i="1"/>
  <c r="S485" i="1" s="1"/>
  <c r="T485" i="1" s="1"/>
  <c r="V476" i="1"/>
  <c r="R476" i="1"/>
  <c r="S476" i="1" s="1"/>
  <c r="T476" i="1" s="1"/>
  <c r="V398" i="1"/>
  <c r="R398" i="1"/>
  <c r="S398" i="1" s="1"/>
  <c r="T398" i="1" s="1"/>
  <c r="V382" i="1"/>
  <c r="R382" i="1"/>
  <c r="S382" i="1" s="1"/>
  <c r="T382" i="1" s="1"/>
  <c r="V363" i="1"/>
  <c r="R363" i="1"/>
  <c r="S363" i="1" s="1"/>
  <c r="T363" i="1" s="1"/>
  <c r="V345" i="1"/>
  <c r="R345" i="1"/>
  <c r="S345" i="1" s="1"/>
  <c r="T345" i="1" s="1"/>
  <c r="V423" i="1"/>
  <c r="R423" i="1"/>
  <c r="S423" i="1" s="1"/>
  <c r="T423" i="1" s="1"/>
  <c r="V334" i="1"/>
  <c r="R334" i="1"/>
  <c r="S334" i="1" s="1"/>
  <c r="T334" i="1" s="1"/>
  <c r="V308" i="1"/>
  <c r="R308" i="1"/>
  <c r="S308" i="1" s="1"/>
  <c r="T308" i="1" s="1"/>
  <c r="V207" i="1"/>
  <c r="R207" i="1"/>
  <c r="S207" i="1" s="1"/>
  <c r="T207" i="1" s="1"/>
  <c r="V315" i="1"/>
  <c r="R315" i="1"/>
  <c r="S315" i="1" s="1"/>
  <c r="T315" i="1" s="1"/>
  <c r="V297" i="1"/>
  <c r="R297" i="1"/>
  <c r="S297" i="1" s="1"/>
  <c r="T297" i="1" s="1"/>
  <c r="V279" i="1"/>
  <c r="R279" i="1"/>
  <c r="S279" i="1" s="1"/>
  <c r="T279" i="1" s="1"/>
  <c r="V262" i="1"/>
  <c r="R262" i="1"/>
  <c r="S262" i="1" s="1"/>
  <c r="T262" i="1" s="1"/>
  <c r="V246" i="1"/>
  <c r="R246" i="1"/>
  <c r="S246" i="1" s="1"/>
  <c r="T246" i="1" s="1"/>
  <c r="V224" i="1"/>
  <c r="R224" i="1"/>
  <c r="S224" i="1" s="1"/>
  <c r="T224" i="1" s="1"/>
  <c r="V181" i="1"/>
  <c r="R181" i="1"/>
  <c r="S181" i="1" s="1"/>
  <c r="T181" i="1" s="1"/>
  <c r="V167" i="1"/>
  <c r="R167" i="1"/>
  <c r="S167" i="1" s="1"/>
  <c r="T167" i="1" s="1"/>
  <c r="V158" i="1"/>
  <c r="R158" i="1"/>
  <c r="S158" i="1" s="1"/>
  <c r="T158" i="1" s="1"/>
  <c r="V150" i="1"/>
  <c r="R150" i="1"/>
  <c r="S150" i="1" s="1"/>
  <c r="T150" i="1" s="1"/>
  <c r="V720" i="1"/>
  <c r="R720" i="1"/>
  <c r="S720" i="1" s="1"/>
  <c r="T720" i="1" s="1"/>
  <c r="V453" i="1"/>
  <c r="R453" i="1"/>
  <c r="S453" i="1" s="1"/>
  <c r="T453" i="1" s="1"/>
  <c r="V216" i="1"/>
  <c r="R216" i="1"/>
  <c r="S216" i="1" s="1"/>
  <c r="T216" i="1" s="1"/>
  <c r="R29" i="1"/>
  <c r="S29" i="1" s="1"/>
  <c r="T29" i="1" s="1"/>
  <c r="V29" i="1"/>
  <c r="V655" i="1"/>
  <c r="R655" i="1"/>
  <c r="S655" i="1" s="1"/>
  <c r="T655" i="1" s="1"/>
  <c r="R307" i="1"/>
  <c r="S307" i="1" s="1"/>
  <c r="T307" i="1" s="1"/>
  <c r="V307" i="1"/>
  <c r="V62" i="1"/>
  <c r="R62" i="1"/>
  <c r="S62" i="1" s="1"/>
  <c r="T62" i="1" s="1"/>
  <c r="V173" i="1"/>
  <c r="R173" i="1"/>
  <c r="S173" i="1" s="1"/>
  <c r="T173" i="1" s="1"/>
  <c r="O307" i="1"/>
  <c r="V178" i="1"/>
  <c r="R178" i="1"/>
  <c r="S178" i="1" s="1"/>
  <c r="T178" i="1" s="1"/>
  <c r="V581" i="1"/>
  <c r="R581" i="1"/>
  <c r="S581" i="1" s="1"/>
  <c r="T581" i="1" s="1"/>
  <c r="V534" i="1"/>
  <c r="R534" i="1"/>
  <c r="S534" i="1" s="1"/>
  <c r="T534" i="1" s="1"/>
  <c r="V576" i="1"/>
  <c r="R576" i="1"/>
  <c r="S576" i="1" s="1"/>
  <c r="T576" i="1" s="1"/>
  <c r="V73" i="1"/>
  <c r="R73" i="1"/>
  <c r="S73" i="1" s="1"/>
  <c r="T73" i="1" s="1"/>
  <c r="R440" i="1"/>
  <c r="S440" i="1" s="1"/>
  <c r="T440" i="1" s="1"/>
  <c r="P213" i="1"/>
  <c r="P582" i="1"/>
  <c r="V849" i="1"/>
  <c r="R849" i="1"/>
  <c r="S849" i="1" s="1"/>
  <c r="T849" i="1" s="1"/>
  <c r="V30" i="1"/>
  <c r="R30" i="1"/>
  <c r="S30" i="1" s="1"/>
  <c r="T30" i="1" s="1"/>
  <c r="V55" i="1"/>
  <c r="R55" i="1"/>
  <c r="S55" i="1" s="1"/>
  <c r="T55" i="1" s="1"/>
  <c r="V109" i="1"/>
  <c r="R109" i="1"/>
  <c r="S109" i="1" s="1"/>
  <c r="T109" i="1" s="1"/>
  <c r="V163" i="1"/>
  <c r="R163" i="1"/>
  <c r="S163" i="1" s="1"/>
  <c r="T163" i="1" s="1"/>
  <c r="V44" i="1"/>
  <c r="R44" i="1"/>
  <c r="S44" i="1" s="1"/>
  <c r="T44" i="1" s="1"/>
  <c r="V113" i="1"/>
  <c r="R113" i="1"/>
  <c r="S113" i="1" s="1"/>
  <c r="T113" i="1" s="1"/>
  <c r="V156" i="1"/>
  <c r="R156" i="1"/>
  <c r="S156" i="1" s="1"/>
  <c r="T156" i="1" s="1"/>
  <c r="V187" i="1"/>
  <c r="R187" i="1"/>
  <c r="S187" i="1" s="1"/>
  <c r="T187" i="1" s="1"/>
  <c r="V556" i="1"/>
  <c r="R556" i="1"/>
  <c r="S556" i="1" s="1"/>
  <c r="T556" i="1" s="1"/>
  <c r="V510" i="1"/>
  <c r="R510" i="1"/>
  <c r="S510" i="1" s="1"/>
  <c r="T510" i="1" s="1"/>
  <c r="V538" i="1"/>
  <c r="R538" i="1"/>
  <c r="S538" i="1" s="1"/>
  <c r="T538" i="1" s="1"/>
  <c r="V573" i="1"/>
  <c r="R573" i="1"/>
  <c r="S573" i="1" s="1"/>
  <c r="T573" i="1" s="1"/>
  <c r="V659" i="1"/>
  <c r="R659" i="1"/>
  <c r="S659" i="1" s="1"/>
  <c r="T659" i="1" s="1"/>
  <c r="V599" i="1"/>
  <c r="V597" i="1"/>
  <c r="R597" i="1"/>
  <c r="S597" i="1" s="1"/>
  <c r="T597" i="1" s="1"/>
  <c r="V613" i="1"/>
  <c r="R613" i="1"/>
  <c r="S613" i="1" s="1"/>
  <c r="T613" i="1" s="1"/>
  <c r="V624" i="1"/>
  <c r="R624" i="1"/>
  <c r="S624" i="1" s="1"/>
  <c r="T624" i="1" s="1"/>
  <c r="V678" i="1"/>
  <c r="R678" i="1"/>
  <c r="S678" i="1" s="1"/>
  <c r="T678" i="1" s="1"/>
  <c r="V722" i="1"/>
  <c r="R722" i="1"/>
  <c r="S722" i="1" s="1"/>
  <c r="T722" i="1" s="1"/>
  <c r="V750" i="1"/>
  <c r="R750" i="1"/>
  <c r="S750" i="1" s="1"/>
  <c r="T750" i="1" s="1"/>
  <c r="V212" i="1"/>
  <c r="R212" i="1"/>
  <c r="S212" i="1" s="1"/>
  <c r="T212" i="1" s="1"/>
  <c r="V54" i="1"/>
  <c r="R54" i="1"/>
  <c r="S54" i="1" s="1"/>
  <c r="T54" i="1" s="1"/>
  <c r="O241" i="1"/>
  <c r="R132" i="1"/>
  <c r="S132" i="1" s="1"/>
  <c r="T132" i="1" s="1"/>
  <c r="V132" i="1"/>
  <c r="V168" i="1"/>
  <c r="O621" i="1"/>
  <c r="O467" i="1"/>
  <c r="P276" i="1"/>
  <c r="V42" i="1"/>
  <c r="R42" i="1"/>
  <c r="S42" i="1" s="1"/>
  <c r="T42" i="1" s="1"/>
  <c r="P64" i="1"/>
  <c r="V79" i="1"/>
  <c r="R79" i="1"/>
  <c r="S79" i="1" s="1"/>
  <c r="T79" i="1" s="1"/>
  <c r="R48" i="1"/>
  <c r="S48" i="1" s="1"/>
  <c r="T48" i="1" s="1"/>
  <c r="R145" i="1"/>
  <c r="S145" i="1" s="1"/>
  <c r="T145" i="1" s="1"/>
  <c r="V145" i="1"/>
  <c r="O111" i="1"/>
  <c r="V67" i="1"/>
  <c r="R67" i="1"/>
  <c r="S67" i="1" s="1"/>
  <c r="T67" i="1" s="1"/>
  <c r="P84" i="1"/>
  <c r="O452" i="1"/>
  <c r="O594" i="1"/>
  <c r="O647" i="1"/>
  <c r="O441" i="1"/>
  <c r="V26" i="1"/>
  <c r="R26" i="1"/>
  <c r="S26" i="1" s="1"/>
  <c r="T26" i="1" s="1"/>
  <c r="O243" i="1"/>
  <c r="O75" i="1"/>
  <c r="O368" i="1"/>
  <c r="O420" i="1"/>
  <c r="O619" i="1"/>
  <c r="O542" i="1"/>
  <c r="O593" i="1"/>
  <c r="O583" i="1"/>
  <c r="O650" i="1"/>
  <c r="O445" i="1"/>
  <c r="O558" i="1"/>
  <c r="O655" i="1"/>
  <c r="V19" i="1"/>
  <c r="R19" i="1"/>
  <c r="S19" i="1" s="1"/>
  <c r="T19" i="1" s="1"/>
  <c r="V32" i="1"/>
  <c r="R32" i="1"/>
  <c r="S32" i="1" s="1"/>
  <c r="T32" i="1" s="1"/>
  <c r="V506" i="1"/>
  <c r="R506" i="1"/>
  <c r="S506" i="1" s="1"/>
  <c r="T506" i="1" s="1"/>
  <c r="V644" i="1"/>
  <c r="R644" i="1"/>
  <c r="S644" i="1" s="1"/>
  <c r="T644" i="1" s="1"/>
  <c r="O16" i="1"/>
  <c r="O27" i="1"/>
  <c r="O37" i="1"/>
  <c r="O46" i="1"/>
  <c r="V57" i="1"/>
  <c r="R57" i="1"/>
  <c r="S57" i="1" s="1"/>
  <c r="T57" i="1" s="1"/>
  <c r="V81" i="1"/>
  <c r="R81" i="1"/>
  <c r="S81" i="1" s="1"/>
  <c r="T81" i="1" s="1"/>
  <c r="V93" i="1"/>
  <c r="R93" i="1"/>
  <c r="S93" i="1" s="1"/>
  <c r="T93" i="1" s="1"/>
  <c r="V101" i="1"/>
  <c r="R101" i="1"/>
  <c r="S101" i="1" s="1"/>
  <c r="T101" i="1" s="1"/>
  <c r="V114" i="1"/>
  <c r="R114" i="1"/>
  <c r="S114" i="1" s="1"/>
  <c r="T114" i="1" s="1"/>
  <c r="V125" i="1"/>
  <c r="R125" i="1"/>
  <c r="S125" i="1" s="1"/>
  <c r="T125" i="1" s="1"/>
  <c r="V136" i="1"/>
  <c r="V149" i="1"/>
  <c r="R149" i="1"/>
  <c r="S149" i="1" s="1"/>
  <c r="T149" i="1" s="1"/>
  <c r="V157" i="1"/>
  <c r="R157" i="1"/>
  <c r="S157" i="1" s="1"/>
  <c r="T157" i="1" s="1"/>
  <c r="V165" i="1"/>
  <c r="R165" i="1"/>
  <c r="S165" i="1" s="1"/>
  <c r="T165" i="1" s="1"/>
  <c r="V180" i="1"/>
  <c r="R180" i="1"/>
  <c r="S180" i="1" s="1"/>
  <c r="T180" i="1" s="1"/>
  <c r="O189" i="1"/>
  <c r="O193" i="1"/>
  <c r="O202" i="1"/>
  <c r="O211" i="1"/>
  <c r="O247" i="1"/>
  <c r="O308" i="1"/>
  <c r="O316" i="1"/>
  <c r="O326" i="1"/>
  <c r="O334" i="1"/>
  <c r="V194" i="1"/>
  <c r="R194" i="1"/>
  <c r="S194" i="1" s="1"/>
  <c r="T194" i="1" s="1"/>
  <c r="V225" i="1"/>
  <c r="R225" i="1"/>
  <c r="S225" i="1" s="1"/>
  <c r="T225" i="1" s="1"/>
  <c r="V233" i="1"/>
  <c r="R233" i="1"/>
  <c r="S233" i="1" s="1"/>
  <c r="T233" i="1" s="1"/>
  <c r="V255" i="1"/>
  <c r="R255" i="1"/>
  <c r="S255" i="1" s="1"/>
  <c r="T255" i="1" s="1"/>
  <c r="V263" i="1"/>
  <c r="R263" i="1"/>
  <c r="S263" i="1" s="1"/>
  <c r="T263" i="1" s="1"/>
  <c r="V271" i="1"/>
  <c r="R271" i="1"/>
  <c r="S271" i="1" s="1"/>
  <c r="T271" i="1" s="1"/>
  <c r="V280" i="1"/>
  <c r="R280" i="1"/>
  <c r="S280" i="1" s="1"/>
  <c r="T280" i="1" s="1"/>
  <c r="V289" i="1"/>
  <c r="R289" i="1"/>
  <c r="S289" i="1" s="1"/>
  <c r="T289" i="1" s="1"/>
  <c r="V298" i="1"/>
  <c r="R298" i="1"/>
  <c r="S298" i="1" s="1"/>
  <c r="T298" i="1" s="1"/>
  <c r="R195" i="1"/>
  <c r="S195" i="1" s="1"/>
  <c r="T195" i="1" s="1"/>
  <c r="V195" i="1"/>
  <c r="V203" i="1"/>
  <c r="R203" i="1"/>
  <c r="S203" i="1" s="1"/>
  <c r="T203" i="1" s="1"/>
  <c r="V218" i="1"/>
  <c r="R218" i="1"/>
  <c r="S218" i="1" s="1"/>
  <c r="T218" i="1" s="1"/>
  <c r="V226" i="1"/>
  <c r="R226" i="1"/>
  <c r="S226" i="1" s="1"/>
  <c r="T226" i="1" s="1"/>
  <c r="V234" i="1"/>
  <c r="R234" i="1"/>
  <c r="S234" i="1" s="1"/>
  <c r="T234" i="1" s="1"/>
  <c r="V248" i="1"/>
  <c r="R248" i="1"/>
  <c r="S248" i="1" s="1"/>
  <c r="T248" i="1" s="1"/>
  <c r="V256" i="1"/>
  <c r="R256" i="1"/>
  <c r="S256" i="1" s="1"/>
  <c r="T256" i="1" s="1"/>
  <c r="V264" i="1"/>
  <c r="R264" i="1"/>
  <c r="S264" i="1" s="1"/>
  <c r="T264" i="1" s="1"/>
  <c r="V272" i="1"/>
  <c r="R272" i="1"/>
  <c r="S272" i="1" s="1"/>
  <c r="T272" i="1" s="1"/>
  <c r="V281" i="1"/>
  <c r="R281" i="1"/>
  <c r="S281" i="1" s="1"/>
  <c r="T281" i="1" s="1"/>
  <c r="V290" i="1"/>
  <c r="R290" i="1"/>
  <c r="S290" i="1" s="1"/>
  <c r="T290" i="1" s="1"/>
  <c r="V299" i="1"/>
  <c r="R299" i="1"/>
  <c r="S299" i="1" s="1"/>
  <c r="T299" i="1" s="1"/>
  <c r="V309" i="1"/>
  <c r="R309" i="1"/>
  <c r="S309" i="1" s="1"/>
  <c r="T309" i="1" s="1"/>
  <c r="V318" i="1"/>
  <c r="V327" i="1"/>
  <c r="R327" i="1"/>
  <c r="S327" i="1" s="1"/>
  <c r="T327" i="1" s="1"/>
  <c r="R335" i="1"/>
  <c r="S335" i="1" s="1"/>
  <c r="T335" i="1" s="1"/>
  <c r="V335" i="1"/>
  <c r="V209" i="1"/>
  <c r="R209" i="1"/>
  <c r="S209" i="1" s="1"/>
  <c r="T209" i="1" s="1"/>
  <c r="V223" i="1"/>
  <c r="R223" i="1"/>
  <c r="S223" i="1" s="1"/>
  <c r="T223" i="1" s="1"/>
  <c r="V231" i="1"/>
  <c r="R231" i="1"/>
  <c r="S231" i="1" s="1"/>
  <c r="T231" i="1" s="1"/>
  <c r="V245" i="1"/>
  <c r="R245" i="1"/>
  <c r="S245" i="1" s="1"/>
  <c r="T245" i="1" s="1"/>
  <c r="V253" i="1"/>
  <c r="R253" i="1"/>
  <c r="S253" i="1" s="1"/>
  <c r="T253" i="1" s="1"/>
  <c r="V261" i="1"/>
  <c r="R261" i="1"/>
  <c r="S261" i="1" s="1"/>
  <c r="T261" i="1" s="1"/>
  <c r="V269" i="1"/>
  <c r="R269" i="1"/>
  <c r="S269" i="1" s="1"/>
  <c r="T269" i="1" s="1"/>
  <c r="V278" i="1"/>
  <c r="R278" i="1"/>
  <c r="S278" i="1" s="1"/>
  <c r="T278" i="1" s="1"/>
  <c r="V286" i="1"/>
  <c r="R286" i="1"/>
  <c r="S286" i="1" s="1"/>
  <c r="T286" i="1" s="1"/>
  <c r="V296" i="1"/>
  <c r="R296" i="1"/>
  <c r="S296" i="1" s="1"/>
  <c r="T296" i="1" s="1"/>
  <c r="V305" i="1"/>
  <c r="R305" i="1"/>
  <c r="S305" i="1" s="1"/>
  <c r="T305" i="1" s="1"/>
  <c r="V314" i="1"/>
  <c r="R314" i="1"/>
  <c r="S314" i="1" s="1"/>
  <c r="T314" i="1" s="1"/>
  <c r="V323" i="1"/>
  <c r="R323" i="1"/>
  <c r="S323" i="1" s="1"/>
  <c r="T323" i="1" s="1"/>
  <c r="V332" i="1"/>
  <c r="R332" i="1"/>
  <c r="S332" i="1" s="1"/>
  <c r="T332" i="1" s="1"/>
  <c r="O345" i="1"/>
  <c r="O353" i="1"/>
  <c r="O363" i="1"/>
  <c r="O374" i="1"/>
  <c r="O382" i="1"/>
  <c r="O390" i="1"/>
  <c r="O398" i="1"/>
  <c r="O406" i="1"/>
  <c r="P443" i="1"/>
  <c r="O456" i="1"/>
  <c r="P490" i="1"/>
  <c r="P349" i="1"/>
  <c r="P359" i="1"/>
  <c r="P370" i="1"/>
  <c r="P378" i="1"/>
  <c r="P386" i="1"/>
  <c r="P394" i="1"/>
  <c r="P402" i="1"/>
  <c r="V410" i="1"/>
  <c r="R410" i="1"/>
  <c r="S410" i="1" s="1"/>
  <c r="T410" i="1" s="1"/>
  <c r="V418" i="1"/>
  <c r="R418" i="1"/>
  <c r="S418" i="1" s="1"/>
  <c r="T418" i="1" s="1"/>
  <c r="V428" i="1"/>
  <c r="R428" i="1"/>
  <c r="S428" i="1" s="1"/>
  <c r="T428" i="1" s="1"/>
  <c r="V437" i="1"/>
  <c r="R437" i="1"/>
  <c r="S437" i="1" s="1"/>
  <c r="T437" i="1" s="1"/>
  <c r="V337" i="1"/>
  <c r="R337" i="1"/>
  <c r="S337" i="1" s="1"/>
  <c r="T337" i="1" s="1"/>
  <c r="V346" i="1"/>
  <c r="R346" i="1"/>
  <c r="S346" i="1" s="1"/>
  <c r="T346" i="1" s="1"/>
  <c r="V354" i="1"/>
  <c r="R354" i="1"/>
  <c r="S354" i="1" s="1"/>
  <c r="T354" i="1" s="1"/>
  <c r="V365" i="1"/>
  <c r="R365" i="1"/>
  <c r="S365" i="1" s="1"/>
  <c r="T365" i="1" s="1"/>
  <c r="V375" i="1"/>
  <c r="R375" i="1"/>
  <c r="S375" i="1" s="1"/>
  <c r="T375" i="1" s="1"/>
  <c r="V383" i="1"/>
  <c r="R383" i="1"/>
  <c r="S383" i="1" s="1"/>
  <c r="T383" i="1" s="1"/>
  <c r="V391" i="1"/>
  <c r="R391" i="1"/>
  <c r="S391" i="1" s="1"/>
  <c r="T391" i="1" s="1"/>
  <c r="V399" i="1"/>
  <c r="R399" i="1"/>
  <c r="S399" i="1" s="1"/>
  <c r="T399" i="1" s="1"/>
  <c r="V407" i="1"/>
  <c r="R407" i="1"/>
  <c r="S407" i="1" s="1"/>
  <c r="T407" i="1" s="1"/>
  <c r="V415" i="1"/>
  <c r="R415" i="1"/>
  <c r="S415" i="1" s="1"/>
  <c r="T415" i="1" s="1"/>
  <c r="V433" i="1"/>
  <c r="R433" i="1"/>
  <c r="S433" i="1" s="1"/>
  <c r="T433" i="1" s="1"/>
  <c r="V447" i="1"/>
  <c r="R447" i="1"/>
  <c r="S447" i="1" s="1"/>
  <c r="T447" i="1" s="1"/>
  <c r="V463" i="1"/>
  <c r="R463" i="1"/>
  <c r="S463" i="1" s="1"/>
  <c r="T463" i="1" s="1"/>
  <c r="V477" i="1"/>
  <c r="R477" i="1"/>
  <c r="S477" i="1" s="1"/>
  <c r="T477" i="1" s="1"/>
  <c r="V486" i="1"/>
  <c r="R486" i="1"/>
  <c r="S486" i="1" s="1"/>
  <c r="T486" i="1" s="1"/>
  <c r="O409" i="1"/>
  <c r="O417" i="1"/>
  <c r="V448" i="1"/>
  <c r="R448" i="1"/>
  <c r="S448" i="1" s="1"/>
  <c r="T448" i="1" s="1"/>
  <c r="V464" i="1"/>
  <c r="R464" i="1"/>
  <c r="S464" i="1" s="1"/>
  <c r="T464" i="1" s="1"/>
  <c r="V478" i="1"/>
  <c r="R478" i="1"/>
  <c r="S478" i="1" s="1"/>
  <c r="T478" i="1" s="1"/>
  <c r="V488" i="1"/>
  <c r="R488" i="1"/>
  <c r="S488" i="1" s="1"/>
  <c r="T488" i="1" s="1"/>
  <c r="P495" i="1"/>
  <c r="P505" i="1"/>
  <c r="P517" i="1"/>
  <c r="P525" i="1"/>
  <c r="P536" i="1"/>
  <c r="O577" i="1"/>
  <c r="V507" i="1"/>
  <c r="R507" i="1"/>
  <c r="S507" i="1" s="1"/>
  <c r="T507" i="1" s="1"/>
  <c r="V518" i="1"/>
  <c r="R518" i="1"/>
  <c r="S518" i="1" s="1"/>
  <c r="T518" i="1" s="1"/>
  <c r="V526" i="1"/>
  <c r="R526" i="1"/>
  <c r="S526" i="1" s="1"/>
  <c r="T526" i="1" s="1"/>
  <c r="V537" i="1"/>
  <c r="R537" i="1"/>
  <c r="S537" i="1" s="1"/>
  <c r="T537" i="1" s="1"/>
  <c r="V578" i="1"/>
  <c r="R578" i="1"/>
  <c r="S578" i="1" s="1"/>
  <c r="T578" i="1" s="1"/>
  <c r="V575" i="1"/>
  <c r="R575" i="1"/>
  <c r="S575" i="1" s="1"/>
  <c r="T575" i="1" s="1"/>
  <c r="V511" i="1"/>
  <c r="R511" i="1"/>
  <c r="S511" i="1" s="1"/>
  <c r="T511" i="1" s="1"/>
  <c r="V520" i="1"/>
  <c r="R520" i="1"/>
  <c r="S520" i="1" s="1"/>
  <c r="T520" i="1" s="1"/>
  <c r="V528" i="1"/>
  <c r="R528" i="1"/>
  <c r="S528" i="1" s="1"/>
  <c r="T528" i="1" s="1"/>
  <c r="V539" i="1"/>
  <c r="R539" i="1"/>
  <c r="S539" i="1" s="1"/>
  <c r="T539" i="1" s="1"/>
  <c r="V548" i="1"/>
  <c r="R548" i="1"/>
  <c r="S548" i="1" s="1"/>
  <c r="T548" i="1" s="1"/>
  <c r="V561" i="1"/>
  <c r="R561" i="1"/>
  <c r="S561" i="1" s="1"/>
  <c r="T561" i="1" s="1"/>
  <c r="O572" i="1"/>
  <c r="O591" i="1"/>
  <c r="O603" i="1"/>
  <c r="O611" i="1"/>
  <c r="O622" i="1"/>
  <c r="O684" i="1"/>
  <c r="O688" i="1"/>
  <c r="V588" i="1"/>
  <c r="R588" i="1"/>
  <c r="S588" i="1" s="1"/>
  <c r="T588" i="1" s="1"/>
  <c r="V600" i="1"/>
  <c r="R600" i="1"/>
  <c r="S600" i="1" s="1"/>
  <c r="T600" i="1" s="1"/>
  <c r="V608" i="1"/>
  <c r="R608" i="1"/>
  <c r="S608" i="1" s="1"/>
  <c r="T608" i="1" s="1"/>
  <c r="R616" i="1"/>
  <c r="S616" i="1" s="1"/>
  <c r="T616" i="1" s="1"/>
  <c r="V630" i="1"/>
  <c r="R630" i="1"/>
  <c r="S630" i="1" s="1"/>
  <c r="T630" i="1" s="1"/>
  <c r="V664" i="1"/>
  <c r="R664" i="1"/>
  <c r="S664" i="1" s="1"/>
  <c r="T664" i="1" s="1"/>
  <c r="V680" i="1"/>
  <c r="R680" i="1"/>
  <c r="S680" i="1" s="1"/>
  <c r="T680" i="1" s="1"/>
  <c r="P692" i="1"/>
  <c r="P700" i="1"/>
  <c r="V709" i="1"/>
  <c r="R709" i="1"/>
  <c r="S709" i="1" s="1"/>
  <c r="T709" i="1" s="1"/>
  <c r="V631" i="1"/>
  <c r="R631" i="1"/>
  <c r="S631" i="1" s="1"/>
  <c r="T631" i="1" s="1"/>
  <c r="V657" i="1"/>
  <c r="R657" i="1"/>
  <c r="S657" i="1" s="1"/>
  <c r="T657" i="1" s="1"/>
  <c r="V665" i="1"/>
  <c r="R665" i="1"/>
  <c r="S665" i="1" s="1"/>
  <c r="T665" i="1" s="1"/>
  <c r="V673" i="1"/>
  <c r="R673" i="1"/>
  <c r="S673" i="1" s="1"/>
  <c r="T673" i="1" s="1"/>
  <c r="V681" i="1"/>
  <c r="R681" i="1"/>
  <c r="S681" i="1" s="1"/>
  <c r="T681" i="1" s="1"/>
  <c r="V689" i="1"/>
  <c r="R689" i="1"/>
  <c r="S689" i="1" s="1"/>
  <c r="T689" i="1" s="1"/>
  <c r="V697" i="1"/>
  <c r="R697" i="1"/>
  <c r="S697" i="1" s="1"/>
  <c r="T697" i="1" s="1"/>
  <c r="V707" i="1"/>
  <c r="R707" i="1"/>
  <c r="S707" i="1" s="1"/>
  <c r="T707" i="1" s="1"/>
  <c r="O710" i="1"/>
  <c r="O718" i="1"/>
  <c r="O728" i="1"/>
  <c r="O736" i="1"/>
  <c r="O745" i="1"/>
  <c r="O758" i="1"/>
  <c r="O775" i="1"/>
  <c r="V766" i="1"/>
  <c r="R766" i="1"/>
  <c r="S766" i="1" s="1"/>
  <c r="T766" i="1" s="1"/>
  <c r="V779" i="1"/>
  <c r="R779" i="1"/>
  <c r="S779" i="1" s="1"/>
  <c r="T779" i="1" s="1"/>
  <c r="V719" i="1"/>
  <c r="R719" i="1"/>
  <c r="S719" i="1" s="1"/>
  <c r="T719" i="1" s="1"/>
  <c r="V730" i="1"/>
  <c r="R730" i="1"/>
  <c r="S730" i="1" s="1"/>
  <c r="T730" i="1" s="1"/>
  <c r="V738" i="1"/>
  <c r="R738" i="1"/>
  <c r="S738" i="1" s="1"/>
  <c r="T738" i="1" s="1"/>
  <c r="V749" i="1"/>
  <c r="R749" i="1"/>
  <c r="S749" i="1" s="1"/>
  <c r="T749" i="1" s="1"/>
  <c r="V760" i="1"/>
  <c r="R760" i="1"/>
  <c r="S760" i="1" s="1"/>
  <c r="T760" i="1" s="1"/>
  <c r="V768" i="1"/>
  <c r="R768" i="1"/>
  <c r="S768" i="1" s="1"/>
  <c r="T768" i="1" s="1"/>
  <c r="V777" i="1"/>
  <c r="R777" i="1"/>
  <c r="S777" i="1" s="1"/>
  <c r="T777" i="1" s="1"/>
  <c r="V785" i="1"/>
  <c r="R785" i="1"/>
  <c r="S785" i="1" s="1"/>
  <c r="T785" i="1" s="1"/>
  <c r="V794" i="1"/>
  <c r="R794" i="1"/>
  <c r="S794" i="1" s="1"/>
  <c r="T794" i="1" s="1"/>
  <c r="V805" i="1"/>
  <c r="R805" i="1"/>
  <c r="S805" i="1" s="1"/>
  <c r="T805" i="1" s="1"/>
  <c r="V778" i="1"/>
  <c r="R778" i="1"/>
  <c r="S778" i="1" s="1"/>
  <c r="T778" i="1" s="1"/>
  <c r="P795" i="1"/>
  <c r="V784" i="1"/>
  <c r="R784" i="1"/>
  <c r="S784" i="1" s="1"/>
  <c r="T784" i="1" s="1"/>
  <c r="V793" i="1"/>
  <c r="R793" i="1"/>
  <c r="S793" i="1" s="1"/>
  <c r="T793" i="1" s="1"/>
  <c r="V806" i="1"/>
  <c r="R806" i="1"/>
  <c r="S806" i="1" s="1"/>
  <c r="T806" i="1" s="1"/>
  <c r="O840" i="1"/>
  <c r="V808" i="1"/>
  <c r="R808" i="1"/>
  <c r="S808" i="1" s="1"/>
  <c r="T808" i="1" s="1"/>
  <c r="V816" i="1"/>
  <c r="R816" i="1"/>
  <c r="S816" i="1" s="1"/>
  <c r="T816" i="1" s="1"/>
  <c r="V826" i="1"/>
  <c r="R826" i="1"/>
  <c r="S826" i="1" s="1"/>
  <c r="T826" i="1" s="1"/>
  <c r="R838" i="1"/>
  <c r="S838" i="1" s="1"/>
  <c r="T838" i="1" s="1"/>
  <c r="V838" i="1"/>
  <c r="V814" i="1"/>
  <c r="R814" i="1"/>
  <c r="S814" i="1" s="1"/>
  <c r="T814" i="1" s="1"/>
  <c r="V824" i="1"/>
  <c r="R824" i="1"/>
  <c r="S824" i="1" s="1"/>
  <c r="T824" i="1" s="1"/>
  <c r="V832" i="1"/>
  <c r="R832" i="1"/>
  <c r="S832" i="1" s="1"/>
  <c r="T832" i="1" s="1"/>
  <c r="O844" i="1"/>
  <c r="O854" i="1"/>
  <c r="V863" i="1"/>
  <c r="R863" i="1"/>
  <c r="S863" i="1" s="1"/>
  <c r="T863" i="1" s="1"/>
  <c r="P850" i="1"/>
  <c r="V861" i="1"/>
  <c r="R861" i="1"/>
  <c r="S861" i="1" s="1"/>
  <c r="T861" i="1" s="1"/>
  <c r="R837" i="1"/>
  <c r="S837" i="1" s="1"/>
  <c r="T837" i="1" s="1"/>
  <c r="V837" i="1"/>
  <c r="V845" i="1"/>
  <c r="R845" i="1"/>
  <c r="S845" i="1" s="1"/>
  <c r="T845" i="1" s="1"/>
  <c r="V855" i="1"/>
  <c r="R855" i="1"/>
  <c r="S855" i="1" s="1"/>
  <c r="T855" i="1" s="1"/>
  <c r="R872" i="1"/>
  <c r="S872" i="1" s="1"/>
  <c r="T872" i="1" s="1"/>
  <c r="V880" i="1"/>
  <c r="R880" i="1"/>
  <c r="S880" i="1" s="1"/>
  <c r="T880" i="1" s="1"/>
  <c r="O862" i="1"/>
  <c r="V865" i="1"/>
  <c r="R865" i="1"/>
  <c r="S865" i="1" s="1"/>
  <c r="T865" i="1" s="1"/>
  <c r="V874" i="1"/>
  <c r="R874" i="1"/>
  <c r="S874" i="1" s="1"/>
  <c r="T874" i="1" s="1"/>
  <c r="V882" i="1"/>
  <c r="R882" i="1"/>
  <c r="S882" i="1" s="1"/>
  <c r="T882" i="1" s="1"/>
  <c r="V792" i="1"/>
  <c r="R792" i="1"/>
  <c r="S792" i="1" s="1"/>
  <c r="T792" i="1" s="1"/>
  <c r="P802" i="1"/>
  <c r="V803" i="1"/>
  <c r="R803" i="1"/>
  <c r="S803" i="1" s="1"/>
  <c r="T803" i="1" s="1"/>
  <c r="P811" i="1"/>
  <c r="P819" i="1"/>
  <c r="P829" i="1"/>
  <c r="V843" i="1"/>
  <c r="R843" i="1"/>
  <c r="S843" i="1" s="1"/>
  <c r="T843" i="1" s="1"/>
  <c r="V813" i="1"/>
  <c r="R813" i="1"/>
  <c r="S813" i="1" s="1"/>
  <c r="T813" i="1" s="1"/>
  <c r="V821" i="1"/>
  <c r="R821" i="1"/>
  <c r="S821" i="1" s="1"/>
  <c r="T821" i="1" s="1"/>
  <c r="V831" i="1"/>
  <c r="R831" i="1"/>
  <c r="S831" i="1" s="1"/>
  <c r="T831" i="1" s="1"/>
  <c r="O807" i="1"/>
  <c r="O815" i="1"/>
  <c r="O825" i="1"/>
  <c r="V833" i="1"/>
  <c r="R833" i="1"/>
  <c r="S833" i="1" s="1"/>
  <c r="T833" i="1" s="1"/>
  <c r="V847" i="1"/>
  <c r="V867" i="1"/>
  <c r="R867" i="1"/>
  <c r="S867" i="1" s="1"/>
  <c r="T867" i="1" s="1"/>
  <c r="O873" i="1"/>
  <c r="O881" i="1"/>
  <c r="V846" i="1"/>
  <c r="R846" i="1"/>
  <c r="S846" i="1" s="1"/>
  <c r="T846" i="1" s="1"/>
  <c r="V856" i="1"/>
  <c r="R856" i="1"/>
  <c r="S856" i="1" s="1"/>
  <c r="T856" i="1" s="1"/>
  <c r="V884" i="1"/>
  <c r="R884" i="1"/>
  <c r="S884" i="1" s="1"/>
  <c r="T884" i="1" s="1"/>
  <c r="P860" i="1"/>
  <c r="P868" i="1"/>
  <c r="P877" i="1"/>
  <c r="P886" i="1"/>
  <c r="V871" i="1"/>
  <c r="R871" i="1"/>
  <c r="S871" i="1" s="1"/>
  <c r="T871" i="1" s="1"/>
  <c r="V879" i="1"/>
  <c r="R879" i="1"/>
  <c r="S879" i="1" s="1"/>
  <c r="T879" i="1" s="1"/>
  <c r="T888" i="1"/>
  <c r="S888" i="1"/>
  <c r="R888" i="1"/>
  <c r="V888" i="1"/>
  <c r="R177" i="1"/>
  <c r="S177" i="1" s="1"/>
  <c r="T177" i="1" s="1"/>
  <c r="V177" i="1"/>
  <c r="V89" i="1"/>
  <c r="R89" i="1"/>
  <c r="S89" i="1" s="1"/>
  <c r="T89" i="1" s="1"/>
  <c r="R242" i="1"/>
  <c r="S242" i="1" s="1"/>
  <c r="T242" i="1" s="1"/>
  <c r="V242" i="1"/>
  <c r="V68" i="1"/>
  <c r="R68" i="1"/>
  <c r="S68" i="1" s="1"/>
  <c r="T68" i="1" s="1"/>
  <c r="V303" i="1"/>
  <c r="R303" i="1"/>
  <c r="S303" i="1" s="1"/>
  <c r="T303" i="1" s="1"/>
  <c r="V439" i="1"/>
  <c r="R439" i="1"/>
  <c r="S439" i="1" s="1"/>
  <c r="T439" i="1" s="1"/>
  <c r="V369" i="1"/>
  <c r="R369" i="1"/>
  <c r="S369" i="1" s="1"/>
  <c r="T369" i="1" s="1"/>
  <c r="V466" i="1"/>
  <c r="R466" i="1"/>
  <c r="S466" i="1" s="1"/>
  <c r="T466" i="1" s="1"/>
  <c r="V498" i="1"/>
  <c r="R498" i="1"/>
  <c r="S498" i="1" s="1"/>
  <c r="T498" i="1" s="1"/>
  <c r="V823" i="1"/>
  <c r="R823" i="1"/>
  <c r="S823" i="1" s="1"/>
  <c r="T823" i="1" s="1"/>
  <c r="O31" i="1"/>
  <c r="V746" i="1"/>
  <c r="R746" i="1"/>
  <c r="S746" i="1" s="1"/>
  <c r="T746" i="1" s="1"/>
  <c r="V38" i="1"/>
  <c r="R38" i="1"/>
  <c r="S38" i="1" s="1"/>
  <c r="T38" i="1" s="1"/>
  <c r="V20" i="1"/>
  <c r="R20" i="1"/>
  <c r="S20" i="1" s="1"/>
  <c r="T20" i="1" s="1"/>
  <c r="V40" i="1"/>
  <c r="R40" i="1"/>
  <c r="S40" i="1" s="1"/>
  <c r="T40" i="1" s="1"/>
  <c r="V52" i="1"/>
  <c r="R52" i="1"/>
  <c r="S52" i="1" s="1"/>
  <c r="T52" i="1" s="1"/>
  <c r="V190" i="1"/>
  <c r="R190" i="1"/>
  <c r="S190" i="1" s="1"/>
  <c r="T190" i="1" s="1"/>
  <c r="P53" i="1"/>
  <c r="V78" i="1"/>
  <c r="R78" i="1"/>
  <c r="S78" i="1" s="1"/>
  <c r="T78" i="1" s="1"/>
  <c r="V99" i="1"/>
  <c r="R99" i="1"/>
  <c r="S99" i="1" s="1"/>
  <c r="T99" i="1" s="1"/>
  <c r="V142" i="1"/>
  <c r="R142" i="1"/>
  <c r="S142" i="1" s="1"/>
  <c r="T142" i="1" s="1"/>
  <c r="V175" i="1"/>
  <c r="R175" i="1"/>
  <c r="S175" i="1" s="1"/>
  <c r="T175" i="1" s="1"/>
  <c r="R200" i="1"/>
  <c r="S200" i="1" s="1"/>
  <c r="T200" i="1" s="1"/>
  <c r="V200" i="1"/>
  <c r="V56" i="1"/>
  <c r="R56" i="1"/>
  <c r="S56" i="1" s="1"/>
  <c r="T56" i="1" s="1"/>
  <c r="V92" i="1"/>
  <c r="R92" i="1"/>
  <c r="S92" i="1" s="1"/>
  <c r="T92" i="1" s="1"/>
  <c r="V124" i="1"/>
  <c r="R124" i="1"/>
  <c r="S124" i="1" s="1"/>
  <c r="T124" i="1" s="1"/>
  <c r="V228" i="1"/>
  <c r="R228" i="1"/>
  <c r="S228" i="1" s="1"/>
  <c r="T228" i="1" s="1"/>
  <c r="P236" i="1"/>
  <c r="P274" i="1"/>
  <c r="V301" i="1"/>
  <c r="V329" i="1"/>
  <c r="R329" i="1"/>
  <c r="S329" i="1" s="1"/>
  <c r="T329" i="1" s="1"/>
  <c r="V348" i="1"/>
  <c r="R348" i="1"/>
  <c r="S348" i="1" s="1"/>
  <c r="T348" i="1" s="1"/>
  <c r="V367" i="1"/>
  <c r="R367" i="1"/>
  <c r="S367" i="1" s="1"/>
  <c r="T367" i="1" s="1"/>
  <c r="V385" i="1"/>
  <c r="R385" i="1"/>
  <c r="S385" i="1" s="1"/>
  <c r="T385" i="1" s="1"/>
  <c r="V401" i="1"/>
  <c r="R401" i="1"/>
  <c r="S401" i="1" s="1"/>
  <c r="T401" i="1" s="1"/>
  <c r="V436" i="1"/>
  <c r="V459" i="1"/>
  <c r="R459" i="1"/>
  <c r="S459" i="1" s="1"/>
  <c r="T459" i="1" s="1"/>
  <c r="R483" i="1"/>
  <c r="S483" i="1" s="1"/>
  <c r="T483" i="1" s="1"/>
  <c r="V480" i="1"/>
  <c r="R480" i="1"/>
  <c r="S480" i="1" s="1"/>
  <c r="T480" i="1" s="1"/>
  <c r="V343" i="1"/>
  <c r="R343" i="1"/>
  <c r="S343" i="1" s="1"/>
  <c r="T343" i="1" s="1"/>
  <c r="V361" i="1"/>
  <c r="R361" i="1"/>
  <c r="S361" i="1" s="1"/>
  <c r="T361" i="1" s="1"/>
  <c r="V380" i="1"/>
  <c r="R380" i="1"/>
  <c r="S380" i="1" s="1"/>
  <c r="T380" i="1" s="1"/>
  <c r="V396" i="1"/>
  <c r="R396" i="1"/>
  <c r="S396" i="1" s="1"/>
  <c r="T396" i="1" s="1"/>
  <c r="P545" i="1"/>
  <c r="V554" i="1"/>
  <c r="P566" i="1"/>
  <c r="V519" i="1"/>
  <c r="R519" i="1"/>
  <c r="S519" i="1" s="1"/>
  <c r="T519" i="1" s="1"/>
  <c r="V527" i="1"/>
  <c r="R527" i="1"/>
  <c r="S527" i="1" s="1"/>
  <c r="T527" i="1" s="1"/>
  <c r="V547" i="1"/>
  <c r="R547" i="1"/>
  <c r="S547" i="1" s="1"/>
  <c r="T547" i="1" s="1"/>
  <c r="V560" i="1"/>
  <c r="R560" i="1"/>
  <c r="S560" i="1" s="1"/>
  <c r="T560" i="1" s="1"/>
  <c r="V568" i="1"/>
  <c r="R568" i="1"/>
  <c r="S568" i="1" s="1"/>
  <c r="T568" i="1" s="1"/>
  <c r="R598" i="1"/>
  <c r="S598" i="1" s="1"/>
  <c r="T598" i="1" s="1"/>
  <c r="V614" i="1"/>
  <c r="R614" i="1"/>
  <c r="S614" i="1" s="1"/>
  <c r="T614" i="1" s="1"/>
  <c r="R699" i="1"/>
  <c r="S699" i="1" s="1"/>
  <c r="T699" i="1" s="1"/>
  <c r="V607" i="1"/>
  <c r="P626" i="1"/>
  <c r="R671" i="1"/>
  <c r="S671" i="1" s="1"/>
  <c r="T671" i="1" s="1"/>
  <c r="V671" i="1"/>
  <c r="V585" i="1"/>
  <c r="R585" i="1"/>
  <c r="S585" i="1" s="1"/>
  <c r="T585" i="1" s="1"/>
  <c r="V605" i="1"/>
  <c r="R605" i="1"/>
  <c r="S605" i="1" s="1"/>
  <c r="T605" i="1" s="1"/>
  <c r="R636" i="1"/>
  <c r="S636" i="1" s="1"/>
  <c r="T636" i="1" s="1"/>
  <c r="V636" i="1"/>
  <c r="V662" i="1"/>
  <c r="R662" i="1"/>
  <c r="S662" i="1" s="1"/>
  <c r="T662" i="1" s="1"/>
  <c r="V686" i="1"/>
  <c r="R686" i="1"/>
  <c r="S686" i="1" s="1"/>
  <c r="T686" i="1" s="1"/>
  <c r="R702" i="1"/>
  <c r="S702" i="1" s="1"/>
  <c r="T702" i="1" s="1"/>
  <c r="V702" i="1"/>
  <c r="V739" i="1"/>
  <c r="R739" i="1"/>
  <c r="S739" i="1" s="1"/>
  <c r="T739" i="1" s="1"/>
  <c r="V761" i="1"/>
  <c r="R761" i="1"/>
  <c r="S761" i="1" s="1"/>
  <c r="T761" i="1" s="1"/>
  <c r="V729" i="1"/>
  <c r="R729" i="1"/>
  <c r="S729" i="1" s="1"/>
  <c r="T729" i="1" s="1"/>
  <c r="V748" i="1"/>
  <c r="R748" i="1"/>
  <c r="S748" i="1" s="1"/>
  <c r="T748" i="1" s="1"/>
  <c r="V725" i="1"/>
  <c r="R725" i="1"/>
  <c r="S725" i="1" s="1"/>
  <c r="T725" i="1" s="1"/>
  <c r="O317" i="1"/>
  <c r="P66" i="1"/>
  <c r="P120" i="1"/>
  <c r="V59" i="1"/>
  <c r="R59" i="1"/>
  <c r="S59" i="1" s="1"/>
  <c r="T59" i="1" s="1"/>
  <c r="R147" i="1"/>
  <c r="S147" i="1" s="1"/>
  <c r="T147" i="1" s="1"/>
  <c r="V147" i="1"/>
  <c r="O638" i="1"/>
  <c r="O848" i="1"/>
  <c r="V28" i="1"/>
  <c r="R28" i="1"/>
  <c r="S28" i="1" s="1"/>
  <c r="T28" i="1" s="1"/>
  <c r="O74" i="1"/>
  <c r="O789" i="1"/>
  <c r="O756" i="1"/>
  <c r="V24" i="1"/>
  <c r="R24" i="1"/>
  <c r="S24" i="1" s="1"/>
  <c r="T24" i="1" s="1"/>
  <c r="V214" i="1"/>
  <c r="R214" i="1"/>
  <c r="S214" i="1" s="1"/>
  <c r="T214" i="1" s="1"/>
  <c r="V497" i="1"/>
  <c r="R497" i="1"/>
  <c r="S497" i="1" s="1"/>
  <c r="T497" i="1" s="1"/>
  <c r="V570" i="1"/>
  <c r="R570" i="1"/>
  <c r="S570" i="1" s="1"/>
  <c r="T570" i="1" s="1"/>
  <c r="V641" i="1"/>
  <c r="R641" i="1"/>
  <c r="S641" i="1" s="1"/>
  <c r="T641" i="1" s="1"/>
  <c r="V800" i="1"/>
  <c r="R800" i="1"/>
  <c r="S800" i="1" s="1"/>
  <c r="T800" i="1" s="1"/>
  <c r="V475" i="1"/>
  <c r="R475" i="1"/>
  <c r="S475" i="1" s="1"/>
  <c r="T475" i="1" s="1"/>
  <c r="P551" i="1"/>
  <c r="V21" i="1"/>
  <c r="R21" i="1"/>
  <c r="S21" i="1" s="1"/>
  <c r="T21" i="1" s="1"/>
  <c r="O41" i="1"/>
  <c r="V86" i="1"/>
  <c r="R86" i="1"/>
  <c r="S86" i="1" s="1"/>
  <c r="T86" i="1" s="1"/>
  <c r="V97" i="1"/>
  <c r="R97" i="1"/>
  <c r="S97" i="1" s="1"/>
  <c r="T97" i="1" s="1"/>
  <c r="V129" i="1"/>
  <c r="R129" i="1"/>
  <c r="S129" i="1" s="1"/>
  <c r="T129" i="1" s="1"/>
  <c r="V153" i="1"/>
  <c r="R153" i="1"/>
  <c r="S153" i="1" s="1"/>
  <c r="T153" i="1" s="1"/>
  <c r="V161" i="1"/>
  <c r="R161" i="1"/>
  <c r="S161" i="1" s="1"/>
  <c r="T161" i="1" s="1"/>
  <c r="R184" i="1"/>
  <c r="S184" i="1" s="1"/>
  <c r="T184" i="1" s="1"/>
  <c r="V192" i="1"/>
  <c r="R192" i="1"/>
  <c r="S192" i="1" s="1"/>
  <c r="T192" i="1" s="1"/>
  <c r="V69" i="1"/>
  <c r="R69" i="1"/>
  <c r="S69" i="1" s="1"/>
  <c r="T69" i="1" s="1"/>
  <c r="P87" i="1"/>
  <c r="P108" i="1"/>
  <c r="P130" i="1"/>
  <c r="P154" i="1"/>
  <c r="P174" i="1"/>
  <c r="V188" i="1"/>
  <c r="R188" i="1"/>
  <c r="S188" i="1" s="1"/>
  <c r="T188" i="1" s="1"/>
  <c r="V196" i="1"/>
  <c r="R196" i="1"/>
  <c r="S196" i="1" s="1"/>
  <c r="T196" i="1" s="1"/>
  <c r="O207" i="1"/>
  <c r="O221" i="1"/>
  <c r="O312" i="1"/>
  <c r="O321" i="1"/>
  <c r="O330" i="1"/>
  <c r="V340" i="1"/>
  <c r="V198" i="1"/>
  <c r="R198" i="1"/>
  <c r="S198" i="1" s="1"/>
  <c r="T198" i="1" s="1"/>
  <c r="V229" i="1"/>
  <c r="R229" i="1"/>
  <c r="S229" i="1" s="1"/>
  <c r="T229" i="1" s="1"/>
  <c r="V237" i="1"/>
  <c r="R237" i="1"/>
  <c r="S237" i="1" s="1"/>
  <c r="T237" i="1" s="1"/>
  <c r="V251" i="1"/>
  <c r="R251" i="1"/>
  <c r="S251" i="1" s="1"/>
  <c r="T251" i="1" s="1"/>
  <c r="V259" i="1"/>
  <c r="R259" i="1"/>
  <c r="S259" i="1" s="1"/>
  <c r="T259" i="1" s="1"/>
  <c r="V267" i="1"/>
  <c r="R267" i="1"/>
  <c r="S267" i="1" s="1"/>
  <c r="T267" i="1" s="1"/>
  <c r="V275" i="1"/>
  <c r="R275" i="1"/>
  <c r="S275" i="1" s="1"/>
  <c r="T275" i="1" s="1"/>
  <c r="V284" i="1"/>
  <c r="R284" i="1"/>
  <c r="S284" i="1" s="1"/>
  <c r="T284" i="1" s="1"/>
  <c r="V294" i="1"/>
  <c r="R294" i="1"/>
  <c r="S294" i="1" s="1"/>
  <c r="T294" i="1" s="1"/>
  <c r="V302" i="1"/>
  <c r="R302" i="1"/>
  <c r="S302" i="1" s="1"/>
  <c r="T302" i="1" s="1"/>
  <c r="V191" i="1"/>
  <c r="R191" i="1"/>
  <c r="S191" i="1" s="1"/>
  <c r="T191" i="1" s="1"/>
  <c r="R199" i="1"/>
  <c r="S199" i="1" s="1"/>
  <c r="T199" i="1" s="1"/>
  <c r="V199" i="1"/>
  <c r="V208" i="1"/>
  <c r="R208" i="1"/>
  <c r="S208" i="1" s="1"/>
  <c r="T208" i="1" s="1"/>
  <c r="V222" i="1"/>
  <c r="R222" i="1"/>
  <c r="S222" i="1" s="1"/>
  <c r="T222" i="1" s="1"/>
  <c r="V230" i="1"/>
  <c r="R230" i="1"/>
  <c r="S230" i="1" s="1"/>
  <c r="T230" i="1" s="1"/>
  <c r="V244" i="1"/>
  <c r="R244" i="1"/>
  <c r="S244" i="1" s="1"/>
  <c r="T244" i="1" s="1"/>
  <c r="V252" i="1"/>
  <c r="R252" i="1"/>
  <c r="S252" i="1" s="1"/>
  <c r="T252" i="1" s="1"/>
  <c r="V260" i="1"/>
  <c r="R260" i="1"/>
  <c r="S260" i="1" s="1"/>
  <c r="T260" i="1" s="1"/>
  <c r="V268" i="1"/>
  <c r="R268" i="1"/>
  <c r="S268" i="1" s="1"/>
  <c r="T268" i="1" s="1"/>
  <c r="V277" i="1"/>
  <c r="R277" i="1"/>
  <c r="S277" i="1" s="1"/>
  <c r="T277" i="1" s="1"/>
  <c r="V285" i="1"/>
  <c r="R285" i="1"/>
  <c r="S285" i="1" s="1"/>
  <c r="T285" i="1" s="1"/>
  <c r="V295" i="1"/>
  <c r="R295" i="1"/>
  <c r="S295" i="1" s="1"/>
  <c r="T295" i="1" s="1"/>
  <c r="V304" i="1"/>
  <c r="R304" i="1"/>
  <c r="S304" i="1" s="1"/>
  <c r="T304" i="1" s="1"/>
  <c r="V313" i="1"/>
  <c r="R313" i="1"/>
  <c r="S313" i="1" s="1"/>
  <c r="T313" i="1" s="1"/>
  <c r="V322" i="1"/>
  <c r="R322" i="1"/>
  <c r="S322" i="1" s="1"/>
  <c r="T322" i="1" s="1"/>
  <c r="V331" i="1"/>
  <c r="R331" i="1"/>
  <c r="S331" i="1" s="1"/>
  <c r="T331" i="1" s="1"/>
  <c r="V204" i="1"/>
  <c r="R204" i="1"/>
  <c r="S204" i="1" s="1"/>
  <c r="T204" i="1" s="1"/>
  <c r="V219" i="1"/>
  <c r="R219" i="1"/>
  <c r="S219" i="1" s="1"/>
  <c r="T219" i="1" s="1"/>
  <c r="V227" i="1"/>
  <c r="R227" i="1"/>
  <c r="S227" i="1" s="1"/>
  <c r="T227" i="1" s="1"/>
  <c r="V235" i="1"/>
  <c r="R235" i="1"/>
  <c r="S235" i="1" s="1"/>
  <c r="T235" i="1" s="1"/>
  <c r="V257" i="1"/>
  <c r="R257" i="1"/>
  <c r="S257" i="1" s="1"/>
  <c r="T257" i="1" s="1"/>
  <c r="V265" i="1"/>
  <c r="R265" i="1"/>
  <c r="S265" i="1" s="1"/>
  <c r="T265" i="1" s="1"/>
  <c r="V273" i="1"/>
  <c r="R273" i="1"/>
  <c r="S273" i="1" s="1"/>
  <c r="T273" i="1" s="1"/>
  <c r="V282" i="1"/>
  <c r="R282" i="1"/>
  <c r="S282" i="1" s="1"/>
  <c r="T282" i="1" s="1"/>
  <c r="V291" i="1"/>
  <c r="R291" i="1"/>
  <c r="S291" i="1" s="1"/>
  <c r="T291" i="1" s="1"/>
  <c r="V300" i="1"/>
  <c r="R300" i="1"/>
  <c r="S300" i="1" s="1"/>
  <c r="T300" i="1" s="1"/>
  <c r="V310" i="1"/>
  <c r="R310" i="1"/>
  <c r="S310" i="1" s="1"/>
  <c r="T310" i="1" s="1"/>
  <c r="V319" i="1"/>
  <c r="R319" i="1"/>
  <c r="S319" i="1" s="1"/>
  <c r="T319" i="1" s="1"/>
  <c r="V328" i="1"/>
  <c r="R328" i="1"/>
  <c r="S328" i="1" s="1"/>
  <c r="T328" i="1" s="1"/>
  <c r="O476" i="1"/>
  <c r="O485" i="1"/>
  <c r="V414" i="1"/>
  <c r="V424" i="1"/>
  <c r="R424" i="1"/>
  <c r="S424" i="1" s="1"/>
  <c r="T424" i="1" s="1"/>
  <c r="V432" i="1"/>
  <c r="R432" i="1"/>
  <c r="S432" i="1" s="1"/>
  <c r="T432" i="1" s="1"/>
  <c r="V341" i="1"/>
  <c r="R341" i="1"/>
  <c r="S341" i="1" s="1"/>
  <c r="T341" i="1" s="1"/>
  <c r="V350" i="1"/>
  <c r="R350" i="1"/>
  <c r="S350" i="1" s="1"/>
  <c r="T350" i="1" s="1"/>
  <c r="V360" i="1"/>
  <c r="R360" i="1"/>
  <c r="S360" i="1" s="1"/>
  <c r="T360" i="1" s="1"/>
  <c r="V371" i="1"/>
  <c r="R371" i="1"/>
  <c r="S371" i="1" s="1"/>
  <c r="T371" i="1" s="1"/>
  <c r="V379" i="1"/>
  <c r="R379" i="1"/>
  <c r="S379" i="1" s="1"/>
  <c r="T379" i="1" s="1"/>
  <c r="V387" i="1"/>
  <c r="R387" i="1"/>
  <c r="S387" i="1" s="1"/>
  <c r="T387" i="1" s="1"/>
  <c r="V395" i="1"/>
  <c r="R395" i="1"/>
  <c r="S395" i="1" s="1"/>
  <c r="T395" i="1" s="1"/>
  <c r="V403" i="1"/>
  <c r="R403" i="1"/>
  <c r="S403" i="1" s="1"/>
  <c r="T403" i="1" s="1"/>
  <c r="V411" i="1"/>
  <c r="R411" i="1"/>
  <c r="S411" i="1"/>
  <c r="T411" i="1" s="1"/>
  <c r="V419" i="1"/>
  <c r="R419" i="1"/>
  <c r="S419" i="1" s="1"/>
  <c r="T419" i="1" s="1"/>
  <c r="V429" i="1"/>
  <c r="R429" i="1"/>
  <c r="S429" i="1" s="1"/>
  <c r="T429" i="1" s="1"/>
  <c r="V438" i="1"/>
  <c r="R438" i="1"/>
  <c r="S438" i="1" s="1"/>
  <c r="T438" i="1" s="1"/>
  <c r="V457" i="1"/>
  <c r="R457" i="1"/>
  <c r="S457" i="1" s="1"/>
  <c r="T457" i="1" s="1"/>
  <c r="V472" i="1"/>
  <c r="R472" i="1"/>
  <c r="S472" i="1" s="1"/>
  <c r="T472" i="1" s="1"/>
  <c r="V481" i="1"/>
  <c r="R481" i="1"/>
  <c r="S481" i="1" s="1"/>
  <c r="T481" i="1" s="1"/>
  <c r="V496" i="1"/>
  <c r="R496" i="1"/>
  <c r="S496" i="1" s="1"/>
  <c r="T496" i="1" s="1"/>
  <c r="O413" i="1"/>
  <c r="O423" i="1"/>
  <c r="O431" i="1"/>
  <c r="V458" i="1"/>
  <c r="R458" i="1"/>
  <c r="S458" i="1" s="1"/>
  <c r="T458" i="1" s="1"/>
  <c r="V473" i="1"/>
  <c r="R473" i="1"/>
  <c r="S473" i="1" s="1"/>
  <c r="T473" i="1" s="1"/>
  <c r="V482" i="1"/>
  <c r="R482" i="1"/>
  <c r="S482" i="1" s="1"/>
  <c r="T482" i="1" s="1"/>
  <c r="V502" i="1"/>
  <c r="R502" i="1"/>
  <c r="S502" i="1" s="1"/>
  <c r="T502" i="1" s="1"/>
  <c r="V513" i="1"/>
  <c r="R513" i="1"/>
  <c r="S513" i="1" s="1"/>
  <c r="T513" i="1" s="1"/>
  <c r="V522" i="1"/>
  <c r="R522" i="1"/>
  <c r="S522" i="1" s="1"/>
  <c r="T522" i="1" s="1"/>
  <c r="V530" i="1"/>
  <c r="R530" i="1"/>
  <c r="S530" i="1" s="1"/>
  <c r="T530" i="1" s="1"/>
  <c r="V541" i="1"/>
  <c r="R541" i="1"/>
  <c r="S541" i="1" s="1"/>
  <c r="T541" i="1" s="1"/>
  <c r="V586" i="1"/>
  <c r="R586" i="1"/>
  <c r="S586" i="1" s="1"/>
  <c r="T586" i="1" s="1"/>
  <c r="R569" i="1"/>
  <c r="S569" i="1" s="1"/>
  <c r="T569" i="1" s="1"/>
  <c r="V569" i="1"/>
  <c r="V504" i="1"/>
  <c r="R504" i="1"/>
  <c r="S504" i="1" s="1"/>
  <c r="T504" i="1" s="1"/>
  <c r="V515" i="1"/>
  <c r="V524" i="1"/>
  <c r="R524" i="1"/>
  <c r="S524" i="1" s="1"/>
  <c r="T524" i="1" s="1"/>
  <c r="V532" i="1"/>
  <c r="R532" i="1"/>
  <c r="S532" i="1" s="1"/>
  <c r="T532" i="1" s="1"/>
  <c r="V544" i="1"/>
  <c r="R544" i="1"/>
  <c r="S544" i="1" s="1"/>
  <c r="T544" i="1" s="1"/>
  <c r="V553" i="1"/>
  <c r="R553" i="1"/>
  <c r="S553" i="1" s="1"/>
  <c r="T553" i="1" s="1"/>
  <c r="V565" i="1"/>
  <c r="R565" i="1"/>
  <c r="S565" i="1" s="1"/>
  <c r="T565" i="1" s="1"/>
  <c r="P676" i="1"/>
  <c r="P656" i="1"/>
  <c r="P672" i="1"/>
  <c r="V580" i="1"/>
  <c r="R580" i="1"/>
  <c r="S580" i="1" s="1"/>
  <c r="T580" i="1" s="1"/>
  <c r="V592" i="1"/>
  <c r="R592" i="1"/>
  <c r="S592" i="1" s="1"/>
  <c r="T592" i="1" s="1"/>
  <c r="V604" i="1"/>
  <c r="R604" i="1"/>
  <c r="S604" i="1" s="1"/>
  <c r="T604" i="1" s="1"/>
  <c r="V612" i="1"/>
  <c r="R612" i="1"/>
  <c r="S612" i="1" s="1"/>
  <c r="T612" i="1" s="1"/>
  <c r="V623" i="1"/>
  <c r="R623" i="1"/>
  <c r="S623" i="1" s="1"/>
  <c r="T623" i="1" s="1"/>
  <c r="R667" i="1"/>
  <c r="S667" i="1" s="1"/>
  <c r="T667" i="1" s="1"/>
  <c r="V667" i="1"/>
  <c r="O696" i="1"/>
  <c r="P704" i="1"/>
  <c r="R627" i="1"/>
  <c r="S627" i="1" s="1"/>
  <c r="T627" i="1" s="1"/>
  <c r="V627" i="1"/>
  <c r="V635" i="1"/>
  <c r="R635" i="1"/>
  <c r="S635" i="1" s="1"/>
  <c r="T635" i="1" s="1"/>
  <c r="V661" i="1"/>
  <c r="R661" i="1"/>
  <c r="S661" i="1" s="1"/>
  <c r="T661" i="1" s="1"/>
  <c r="V669" i="1"/>
  <c r="R669" i="1"/>
  <c r="S669" i="1" s="1"/>
  <c r="T669" i="1" s="1"/>
  <c r="V677" i="1"/>
  <c r="R677" i="1"/>
  <c r="S677" i="1" s="1"/>
  <c r="T677" i="1" s="1"/>
  <c r="V685" i="1"/>
  <c r="R685" i="1"/>
  <c r="S685" i="1" s="1"/>
  <c r="T685" i="1" s="1"/>
  <c r="V693" i="1"/>
  <c r="R693" i="1"/>
  <c r="S693" i="1" s="1"/>
  <c r="T693" i="1" s="1"/>
  <c r="V701" i="1"/>
  <c r="R701" i="1"/>
  <c r="S701" i="1" s="1"/>
  <c r="T701" i="1" s="1"/>
  <c r="V703" i="1"/>
  <c r="R703" i="1"/>
  <c r="S703" i="1" s="1"/>
  <c r="T703" i="1" s="1"/>
  <c r="O714" i="1"/>
  <c r="O723" i="1"/>
  <c r="O732" i="1"/>
  <c r="O741" i="1"/>
  <c r="O751" i="1"/>
  <c r="O771" i="1"/>
  <c r="P706" i="1"/>
  <c r="V762" i="1"/>
  <c r="V715" i="1"/>
  <c r="R715" i="1"/>
  <c r="S715" i="1" s="1"/>
  <c r="T715" i="1" s="1"/>
  <c r="V724" i="1"/>
  <c r="R724" i="1"/>
  <c r="S724" i="1" s="1"/>
  <c r="T724" i="1" s="1"/>
  <c r="V801" i="1"/>
  <c r="R801" i="1"/>
  <c r="S801" i="1" s="1"/>
  <c r="T801" i="1" s="1"/>
  <c r="V740" i="1"/>
  <c r="R740" i="1"/>
  <c r="S740" i="1" s="1"/>
  <c r="T740" i="1" s="1"/>
  <c r="V734" i="1"/>
  <c r="R734" i="1"/>
  <c r="S734" i="1" s="1"/>
  <c r="T734" i="1" s="1"/>
  <c r="V743" i="1"/>
  <c r="R743" i="1"/>
  <c r="S743" i="1" s="1"/>
  <c r="T743" i="1" s="1"/>
  <c r="V754" i="1"/>
  <c r="R754" i="1"/>
  <c r="S754" i="1" s="1"/>
  <c r="T754" i="1" s="1"/>
  <c r="V764" i="1"/>
  <c r="R764" i="1"/>
  <c r="S764" i="1" s="1"/>
  <c r="T764" i="1" s="1"/>
  <c r="V772" i="1"/>
  <c r="R772" i="1"/>
  <c r="S772" i="1" s="1"/>
  <c r="T772" i="1" s="1"/>
  <c r="V781" i="1"/>
  <c r="R781" i="1"/>
  <c r="S781" i="1" s="1"/>
  <c r="T781" i="1" s="1"/>
  <c r="V790" i="1"/>
  <c r="R790" i="1"/>
  <c r="S790" i="1" s="1"/>
  <c r="T790" i="1" s="1"/>
  <c r="V798" i="1"/>
  <c r="R798" i="1"/>
  <c r="S798" i="1" s="1"/>
  <c r="T798" i="1" s="1"/>
  <c r="R773" i="1"/>
  <c r="S773" i="1" s="1"/>
  <c r="T773" i="1" s="1"/>
  <c r="V773" i="1"/>
  <c r="P782" i="1"/>
  <c r="P791" i="1"/>
  <c r="V780" i="1"/>
  <c r="R780" i="1"/>
  <c r="S780" i="1" s="1"/>
  <c r="T780" i="1" s="1"/>
  <c r="V788" i="1"/>
  <c r="R788" i="1"/>
  <c r="S788" i="1" s="1"/>
  <c r="T788" i="1" s="1"/>
  <c r="V797" i="1"/>
  <c r="R797" i="1"/>
  <c r="S797" i="1" s="1"/>
  <c r="T797" i="1" s="1"/>
  <c r="V804" i="1"/>
  <c r="R804" i="1"/>
  <c r="S804" i="1" s="1"/>
  <c r="T804" i="1" s="1"/>
  <c r="V812" i="1"/>
  <c r="R812" i="1"/>
  <c r="S812" i="1" s="1"/>
  <c r="T812" i="1" s="1"/>
  <c r="V820" i="1"/>
  <c r="R820" i="1"/>
  <c r="S820" i="1" s="1"/>
  <c r="T820" i="1" s="1"/>
  <c r="V830" i="1"/>
  <c r="R830" i="1"/>
  <c r="S830" i="1" s="1"/>
  <c r="T830" i="1" s="1"/>
  <c r="V810" i="1"/>
  <c r="R810" i="1"/>
  <c r="S810" i="1" s="1"/>
  <c r="T810" i="1" s="1"/>
  <c r="V818" i="1"/>
  <c r="R818" i="1"/>
  <c r="S818" i="1" s="1"/>
  <c r="T818" i="1" s="1"/>
  <c r="V828" i="1"/>
  <c r="P858" i="1"/>
  <c r="V836" i="1"/>
  <c r="R836" i="1"/>
  <c r="S836" i="1" s="1"/>
  <c r="T836" i="1"/>
  <c r="V841" i="1"/>
  <c r="R841" i="1"/>
  <c r="S841" i="1" s="1"/>
  <c r="T841" i="1" s="1"/>
  <c r="V851" i="1"/>
  <c r="R851" i="1"/>
  <c r="S851" i="1" s="1"/>
  <c r="T851" i="1" s="1"/>
  <c r="V859" i="1"/>
  <c r="R859" i="1"/>
  <c r="S859" i="1" s="1"/>
  <c r="T859" i="1" s="1"/>
  <c r="V876" i="1"/>
  <c r="R876" i="1"/>
  <c r="S876" i="1" s="1"/>
  <c r="T876" i="1" s="1"/>
  <c r="V869" i="1"/>
  <c r="V878" i="1"/>
  <c r="R878" i="1"/>
  <c r="S878" i="1" s="1"/>
  <c r="T878" i="1" s="1"/>
  <c r="V887" i="1"/>
  <c r="R887" i="1"/>
  <c r="S887" i="1" s="1"/>
  <c r="T887" i="1" s="1"/>
  <c r="O889" i="1"/>
  <c r="V63" i="1"/>
  <c r="R63" i="1"/>
  <c r="S63" i="1" s="1"/>
  <c r="T63" i="1" s="1"/>
  <c r="V50" i="1"/>
  <c r="R50" i="1"/>
  <c r="S50" i="1" s="1"/>
  <c r="T50" i="1" s="1"/>
  <c r="V17" i="1"/>
  <c r="R17" i="1"/>
  <c r="S17" i="1" s="1"/>
  <c r="T17" i="1" s="1"/>
  <c r="V144" i="1"/>
  <c r="R144" i="1"/>
  <c r="S144" i="1" s="1"/>
  <c r="T144" i="1" s="1"/>
  <c r="R287" i="1"/>
  <c r="S287" i="1" s="1"/>
  <c r="T287" i="1" s="1"/>
  <c r="V293" i="1"/>
  <c r="R293" i="1"/>
  <c r="S293" i="1" s="1"/>
  <c r="T293" i="1" s="1"/>
  <c r="V454" i="1"/>
  <c r="R454" i="1"/>
  <c r="S454" i="1" s="1"/>
  <c r="T454" i="1" s="1"/>
  <c r="V484" i="1"/>
  <c r="R484" i="1"/>
  <c r="S484" i="1" s="1"/>
  <c r="T484" i="1" s="1"/>
  <c r="V645" i="1"/>
  <c r="R645" i="1"/>
  <c r="S645" i="1" s="1"/>
  <c r="T645" i="1" s="1"/>
  <c r="V649" i="1"/>
  <c r="R649" i="1"/>
  <c r="S649" i="1" s="1"/>
  <c r="T649" i="1" s="1"/>
  <c r="V516" i="1"/>
  <c r="R516" i="1"/>
  <c r="S516" i="1" s="1"/>
  <c r="T516" i="1" s="1"/>
  <c r="V870" i="1"/>
  <c r="R870" i="1"/>
  <c r="S870" i="1" s="1"/>
  <c r="T870" i="1" s="1"/>
  <c r="V215" i="1"/>
  <c r="R215" i="1"/>
  <c r="S215" i="1" s="1"/>
  <c r="T215" i="1" s="1"/>
  <c r="V533" i="1"/>
  <c r="R533" i="1"/>
  <c r="S533" i="1" s="1"/>
  <c r="T533" i="1" s="1"/>
  <c r="V747" i="1"/>
  <c r="R747" i="1"/>
  <c r="S747" i="1" s="1"/>
  <c r="T747" i="1" s="1"/>
  <c r="R239" i="1"/>
  <c r="S239" i="1" s="1"/>
  <c r="T239" i="1" s="1"/>
  <c r="V455" i="1"/>
  <c r="V651" i="1"/>
  <c r="R651" i="1"/>
  <c r="S651" i="1" s="1"/>
  <c r="T651" i="1" s="1"/>
  <c r="V654" i="1"/>
  <c r="V25" i="1"/>
  <c r="R25" i="1"/>
  <c r="S25" i="1" s="1"/>
  <c r="T25" i="1" s="1"/>
  <c r="V201" i="1"/>
  <c r="V91" i="1"/>
  <c r="R91" i="1"/>
  <c r="S91" i="1" s="1"/>
  <c r="T91" i="1" s="1"/>
  <c r="V134" i="1"/>
  <c r="R134" i="1"/>
  <c r="S134" i="1" s="1"/>
  <c r="T134" i="1" s="1"/>
  <c r="V155" i="1"/>
  <c r="R155" i="1"/>
  <c r="S155" i="1" s="1"/>
  <c r="T155" i="1" s="1"/>
  <c r="V186" i="1"/>
  <c r="R186" i="1"/>
  <c r="S186" i="1" s="1"/>
  <c r="T186" i="1" s="1"/>
  <c r="V35" i="1"/>
  <c r="R35" i="1"/>
  <c r="S35" i="1" s="1"/>
  <c r="T35" i="1" s="1"/>
  <c r="V80" i="1"/>
  <c r="R80" i="1"/>
  <c r="S80" i="1" s="1"/>
  <c r="T80" i="1" s="1"/>
  <c r="V100" i="1"/>
  <c r="R100" i="1"/>
  <c r="S100" i="1" s="1"/>
  <c r="T100" i="1" s="1"/>
  <c r="V135" i="1"/>
  <c r="R135" i="1"/>
  <c r="S135" i="1" s="1"/>
  <c r="T135" i="1" s="1"/>
  <c r="V148" i="1"/>
  <c r="R148" i="1"/>
  <c r="S148" i="1" s="1"/>
  <c r="T148" i="1" s="1"/>
  <c r="V164" i="1"/>
  <c r="R164" i="1"/>
  <c r="S164" i="1" s="1"/>
  <c r="T164" i="1" s="1"/>
  <c r="V176" i="1"/>
  <c r="R176" i="1"/>
  <c r="S176" i="1" s="1"/>
  <c r="T176" i="1" s="1"/>
  <c r="V205" i="1"/>
  <c r="R205" i="1"/>
  <c r="S205" i="1" s="1"/>
  <c r="T205" i="1" s="1"/>
  <c r="P220" i="1"/>
  <c r="V250" i="1"/>
  <c r="R250" i="1"/>
  <c r="S250" i="1" s="1"/>
  <c r="T250" i="1" s="1"/>
  <c r="P258" i="1"/>
  <c r="R283" i="1"/>
  <c r="S283" i="1" s="1"/>
  <c r="T283" i="1" s="1"/>
  <c r="P292" i="1"/>
  <c r="P311" i="1"/>
  <c r="R320" i="1"/>
  <c r="S320" i="1" s="1"/>
  <c r="T320" i="1" s="1"/>
  <c r="V358" i="1"/>
  <c r="R358" i="1"/>
  <c r="S358" i="1" s="1"/>
  <c r="T358" i="1" s="1"/>
  <c r="V377" i="1"/>
  <c r="R377" i="1"/>
  <c r="S377" i="1" s="1"/>
  <c r="T377" i="1" s="1"/>
  <c r="V393" i="1"/>
  <c r="R393" i="1"/>
  <c r="S393" i="1" s="1"/>
  <c r="T393" i="1" s="1"/>
  <c r="R427" i="1"/>
  <c r="S427" i="1" s="1"/>
  <c r="T427" i="1" s="1"/>
  <c r="V469" i="1"/>
  <c r="R469" i="1"/>
  <c r="S469" i="1" s="1"/>
  <c r="T469" i="1" s="1"/>
  <c r="V474" i="1"/>
  <c r="R474" i="1"/>
  <c r="S474" i="1" s="1"/>
  <c r="T474" i="1" s="1"/>
  <c r="V444" i="1"/>
  <c r="R444" i="1"/>
  <c r="S444" i="1" s="1"/>
  <c r="T444" i="1" s="1"/>
  <c r="V471" i="1"/>
  <c r="R471" i="1"/>
  <c r="S471" i="1" s="1"/>
  <c r="T471" i="1" s="1"/>
  <c r="V351" i="1"/>
  <c r="R351" i="1"/>
  <c r="S351" i="1" s="1"/>
  <c r="T351" i="1" s="1"/>
  <c r="V372" i="1"/>
  <c r="R372" i="1"/>
  <c r="S372" i="1" s="1"/>
  <c r="T372" i="1" s="1"/>
  <c r="V388" i="1"/>
  <c r="R388" i="1"/>
  <c r="S388" i="1" s="1"/>
  <c r="T388" i="1" s="1"/>
  <c r="V404" i="1"/>
  <c r="R404" i="1"/>
  <c r="S404" i="1" s="1"/>
  <c r="T404" i="1" s="1"/>
  <c r="V412" i="1"/>
  <c r="R412" i="1"/>
  <c r="S412" i="1" s="1"/>
  <c r="T412" i="1" s="1"/>
  <c r="V422" i="1"/>
  <c r="R422" i="1"/>
  <c r="S422" i="1" s="1"/>
  <c r="T422" i="1" s="1"/>
  <c r="V430" i="1"/>
  <c r="R430" i="1"/>
  <c r="S430" i="1" s="1"/>
  <c r="T430" i="1" s="1"/>
  <c r="V442" i="1"/>
  <c r="R442" i="1"/>
  <c r="S442" i="1" s="1"/>
  <c r="T442" i="1" s="1"/>
  <c r="V546" i="1"/>
  <c r="R546" i="1"/>
  <c r="S546" i="1" s="1"/>
  <c r="T546" i="1" s="1"/>
  <c r="V567" i="1"/>
  <c r="R567" i="1"/>
  <c r="S567" i="1" s="1"/>
  <c r="T567" i="1" s="1"/>
  <c r="V499" i="1"/>
  <c r="R499" i="1"/>
  <c r="S499" i="1" s="1"/>
  <c r="T499" i="1" s="1"/>
  <c r="V606" i="1"/>
  <c r="R606" i="1"/>
  <c r="S606" i="1" s="1"/>
  <c r="T606" i="1" s="1"/>
  <c r="V625" i="1"/>
  <c r="R625" i="1"/>
  <c r="S625" i="1" s="1"/>
  <c r="T625" i="1" s="1"/>
  <c r="V675" i="1"/>
  <c r="R675" i="1"/>
  <c r="S675" i="1" s="1"/>
  <c r="T675" i="1" s="1"/>
  <c r="V574" i="1"/>
  <c r="V615" i="1"/>
  <c r="R637" i="1"/>
  <c r="S637" i="1" s="1"/>
  <c r="T637" i="1" s="1"/>
  <c r="V637" i="1"/>
  <c r="O708" i="1"/>
  <c r="V691" i="1"/>
  <c r="R691" i="1"/>
  <c r="S691" i="1" s="1"/>
  <c r="T691" i="1" s="1"/>
  <c r="V711" i="1"/>
  <c r="R711" i="1"/>
  <c r="S711" i="1" s="1"/>
  <c r="T711" i="1" s="1"/>
  <c r="V628" i="1"/>
  <c r="R628" i="1"/>
  <c r="S628" i="1" s="1"/>
  <c r="T628" i="1" s="1"/>
  <c r="R670" i="1"/>
  <c r="S670" i="1" s="1"/>
  <c r="T670" i="1" s="1"/>
  <c r="V670" i="1"/>
  <c r="V694" i="1"/>
  <c r="R694" i="1"/>
  <c r="S694" i="1" s="1"/>
  <c r="T694" i="1" s="1"/>
  <c r="V713" i="1"/>
  <c r="R713" i="1"/>
  <c r="S713" i="1" s="1"/>
  <c r="T713" i="1" s="1"/>
  <c r="V731" i="1"/>
  <c r="R731" i="1"/>
  <c r="S731" i="1" s="1"/>
  <c r="T731" i="1" s="1"/>
  <c r="V770" i="1"/>
  <c r="R770" i="1"/>
  <c r="S770" i="1" s="1"/>
  <c r="T770" i="1" s="1"/>
  <c r="V737" i="1"/>
  <c r="R737" i="1"/>
  <c r="S737" i="1" s="1"/>
  <c r="T737" i="1" s="1"/>
  <c r="V759" i="1"/>
  <c r="R759" i="1"/>
  <c r="S759" i="1" s="1"/>
  <c r="T759" i="1" s="1"/>
  <c r="V716" i="1"/>
  <c r="R716" i="1"/>
  <c r="S716" i="1" s="1"/>
  <c r="T716" i="1" s="1"/>
  <c r="V115" i="1"/>
  <c r="R115" i="1"/>
  <c r="S115" i="1" s="1"/>
  <c r="T115" i="1" s="1"/>
  <c r="V60" i="1"/>
  <c r="R60" i="1"/>
  <c r="S60" i="1" s="1"/>
  <c r="T60" i="1" s="1"/>
  <c r="V131" i="1"/>
  <c r="R131" i="1"/>
  <c r="S131" i="1" s="1"/>
  <c r="T131" i="1" s="1"/>
  <c r="O493" i="1"/>
  <c r="O646" i="1"/>
  <c r="O435" i="1"/>
  <c r="V34" i="1"/>
  <c r="R34" i="1"/>
  <c r="S34" i="1" s="1"/>
  <c r="T34" i="1" s="1"/>
  <c r="V325" i="1"/>
  <c r="R325" i="1"/>
  <c r="S325" i="1" s="1"/>
  <c r="T325" i="1" s="1"/>
  <c r="V217" i="1"/>
  <c r="R217" i="1"/>
  <c r="S217" i="1" s="1"/>
  <c r="T217" i="1" s="1"/>
  <c r="V450" i="1"/>
  <c r="R450" i="1"/>
  <c r="S450" i="1" s="1"/>
  <c r="T450" i="1" s="1"/>
  <c r="V555" i="1"/>
  <c r="V648" i="1"/>
  <c r="R648" i="1"/>
  <c r="S648" i="1" s="1"/>
  <c r="T648" i="1" s="1"/>
  <c r="V652" i="1"/>
  <c r="V885" i="1"/>
  <c r="R885" i="1"/>
  <c r="S885" i="1" s="1"/>
  <c r="T885" i="1" s="1"/>
  <c r="V43" i="1"/>
  <c r="R43" i="1"/>
  <c r="S43" i="1" s="1"/>
  <c r="T43" i="1" s="1"/>
  <c r="V76" i="1"/>
  <c r="R76" i="1"/>
  <c r="S76" i="1" s="1"/>
  <c r="T76" i="1" s="1"/>
  <c r="V107" i="1"/>
  <c r="R107" i="1"/>
  <c r="S107" i="1" s="1"/>
  <c r="T107" i="1" s="1"/>
  <c r="V119" i="1"/>
  <c r="R119" i="1"/>
  <c r="S119" i="1" s="1"/>
  <c r="T119" i="1" s="1"/>
  <c r="V140" i="1"/>
  <c r="R140" i="1"/>
  <c r="S140" i="1" s="1"/>
  <c r="T140" i="1" s="1"/>
  <c r="P77" i="1"/>
  <c r="P98" i="1"/>
  <c r="P122" i="1"/>
  <c r="P141" i="1"/>
  <c r="P162" i="1"/>
  <c r="V185" i="1"/>
  <c r="R185" i="1"/>
  <c r="S185" i="1" s="1"/>
  <c r="T185" i="1" s="1"/>
  <c r="V103" i="1"/>
  <c r="R103" i="1"/>
  <c r="S103" i="1" s="1"/>
  <c r="T103" i="1" s="1"/>
  <c r="V65" i="1"/>
  <c r="R65" i="1"/>
  <c r="S65" i="1" s="1"/>
  <c r="T65" i="1" s="1"/>
  <c r="V206" i="1"/>
  <c r="R206" i="1"/>
  <c r="S206" i="1" s="1"/>
  <c r="T206" i="1" s="1"/>
  <c r="V102" i="1"/>
  <c r="R102" i="1"/>
  <c r="S102" i="1" s="1"/>
  <c r="T102" i="1" s="1"/>
  <c r="V342" i="1"/>
  <c r="R342" i="1"/>
  <c r="S342" i="1" s="1"/>
  <c r="T342" i="1" s="1"/>
  <c r="P110" i="1"/>
  <c r="P61" i="1"/>
  <c r="P58" i="1"/>
  <c r="V133" i="1"/>
  <c r="R133" i="1"/>
  <c r="S133" i="1" s="1"/>
  <c r="T133" i="1" s="1"/>
  <c r="V240" i="1"/>
  <c r="R240" i="1"/>
  <c r="S240" i="1" s="1"/>
  <c r="T240" i="1" s="1"/>
  <c r="R146" i="1"/>
  <c r="S146" i="1" s="1"/>
  <c r="T146" i="1" s="1"/>
  <c r="V146" i="1"/>
  <c r="V112" i="1"/>
  <c r="V355" i="1"/>
  <c r="R355" i="1"/>
  <c r="S355" i="1" s="1"/>
  <c r="T355" i="1" s="1"/>
  <c r="V356" i="1"/>
  <c r="R356" i="1"/>
  <c r="S356" i="1" s="1"/>
  <c r="T356" i="1" s="1"/>
  <c r="V557" i="1"/>
  <c r="R557" i="1"/>
  <c r="S557" i="1" s="1"/>
  <c r="T557" i="1" s="1"/>
  <c r="V487" i="1"/>
  <c r="R487" i="1"/>
  <c r="S487" i="1" s="1"/>
  <c r="T487" i="1" s="1"/>
  <c r="V571" i="1"/>
  <c r="R571" i="1"/>
  <c r="S571" i="1" s="1"/>
  <c r="T571" i="1" s="1"/>
  <c r="V620" i="1"/>
  <c r="R620" i="1"/>
  <c r="S620" i="1" s="1"/>
  <c r="T620" i="1" s="1"/>
  <c r="V642" i="1"/>
  <c r="R642" i="1"/>
  <c r="S642" i="1" s="1"/>
  <c r="T642" i="1" s="1"/>
  <c r="V494" i="1"/>
  <c r="R494" i="1"/>
  <c r="S494" i="1" s="1"/>
  <c r="T494" i="1" s="1"/>
  <c r="R822" i="1"/>
  <c r="S822" i="1" s="1"/>
  <c r="T822" i="1" s="1"/>
  <c r="V653" i="1"/>
  <c r="R653" i="1"/>
  <c r="S653" i="1" s="1"/>
  <c r="T653" i="1" s="1"/>
  <c r="P421" i="1"/>
  <c r="P776" i="1"/>
  <c r="V179" i="1"/>
  <c r="R179" i="1"/>
  <c r="S179" i="1" s="1"/>
  <c r="T179" i="1" s="1"/>
  <c r="V90" i="1"/>
  <c r="R90" i="1"/>
  <c r="S90" i="1" s="1"/>
  <c r="T90" i="1" s="1"/>
  <c r="V465" i="1"/>
  <c r="R465" i="1"/>
  <c r="S465" i="1" s="1"/>
  <c r="T465" i="1" s="1"/>
  <c r="V460" i="1"/>
  <c r="R460" i="1"/>
  <c r="S460" i="1" s="1"/>
  <c r="T460" i="1" s="1"/>
  <c r="V726" i="1"/>
  <c r="V449" i="1"/>
  <c r="R449" i="1"/>
  <c r="S449" i="1" s="1"/>
  <c r="T449" i="1" s="1"/>
  <c r="O23" i="1"/>
  <c r="V752" i="1"/>
  <c r="R752" i="1"/>
  <c r="S752" i="1" s="1"/>
  <c r="T752" i="1" s="1"/>
  <c r="V596" i="1"/>
  <c r="R596" i="1"/>
  <c r="S596" i="1" s="1"/>
  <c r="T596" i="1" s="1"/>
  <c r="O29" i="1"/>
  <c r="V15" i="1"/>
  <c r="R15" i="1"/>
  <c r="S15" i="1" s="1"/>
  <c r="T15" i="1" s="1"/>
  <c r="V36" i="1"/>
  <c r="R36" i="1"/>
  <c r="S36" i="1" s="1"/>
  <c r="T36" i="1" s="1"/>
  <c r="V45" i="1"/>
  <c r="R45" i="1"/>
  <c r="S45" i="1" s="1"/>
  <c r="T45" i="1" s="1"/>
  <c r="V47" i="1"/>
  <c r="R47" i="1"/>
  <c r="S47" i="1" s="1"/>
  <c r="T47" i="1" s="1"/>
  <c r="V71" i="1"/>
  <c r="R71" i="1"/>
  <c r="S71" i="1" s="1"/>
  <c r="T71" i="1" s="1"/>
  <c r="V83" i="1"/>
  <c r="R83" i="1"/>
  <c r="S83" i="1" s="1"/>
  <c r="T83" i="1" s="1"/>
  <c r="V95" i="1"/>
  <c r="R95" i="1"/>
  <c r="S95" i="1" s="1"/>
  <c r="T95" i="1" s="1"/>
  <c r="V105" i="1"/>
  <c r="R105" i="1"/>
  <c r="S105" i="1" s="1"/>
  <c r="T105" i="1" s="1"/>
  <c r="V117" i="1"/>
  <c r="R117" i="1"/>
  <c r="S117" i="1" s="1"/>
  <c r="T117" i="1" s="1"/>
  <c r="V127" i="1"/>
  <c r="R127" i="1"/>
  <c r="S127" i="1" s="1"/>
  <c r="T127" i="1" s="1"/>
  <c r="V138" i="1"/>
  <c r="R138" i="1"/>
  <c r="S138" i="1" s="1"/>
  <c r="T138" i="1" s="1"/>
  <c r="V151" i="1"/>
  <c r="R151" i="1"/>
  <c r="S151" i="1" s="1"/>
  <c r="T151" i="1" s="1"/>
  <c r="V159" i="1"/>
  <c r="R159" i="1"/>
  <c r="S159" i="1" s="1"/>
  <c r="T159" i="1" s="1"/>
  <c r="V169" i="1"/>
  <c r="R169" i="1"/>
  <c r="S169" i="1" s="1"/>
  <c r="T169" i="1" s="1"/>
  <c r="V182" i="1"/>
  <c r="R182" i="1"/>
  <c r="S182" i="1" s="1"/>
  <c r="T182" i="1" s="1"/>
  <c r="O197" i="1"/>
  <c r="V51" i="1"/>
  <c r="R51" i="1"/>
  <c r="S51" i="1" s="1"/>
  <c r="T51" i="1" s="1"/>
  <c r="V72" i="1"/>
  <c r="R72" i="1"/>
  <c r="S72" i="1" s="1"/>
  <c r="T72" i="1" s="1"/>
  <c r="V85" i="1"/>
  <c r="R85" i="1"/>
  <c r="S85" i="1" s="1"/>
  <c r="T85" i="1" s="1"/>
  <c r="V96" i="1"/>
  <c r="R96" i="1"/>
  <c r="S96" i="1" s="1"/>
  <c r="T96" i="1" s="1"/>
  <c r="V106" i="1"/>
  <c r="R106" i="1"/>
  <c r="S106" i="1" s="1"/>
  <c r="T106" i="1" s="1"/>
  <c r="V118" i="1"/>
  <c r="R118" i="1"/>
  <c r="S118" i="1" s="1"/>
  <c r="T118" i="1" s="1"/>
  <c r="V128" i="1"/>
  <c r="R128" i="1"/>
  <c r="S128" i="1" s="1"/>
  <c r="T128" i="1" s="1"/>
  <c r="R139" i="1"/>
  <c r="S139" i="1" s="1"/>
  <c r="T139" i="1" s="1"/>
  <c r="V152" i="1"/>
  <c r="R152" i="1"/>
  <c r="S152" i="1" s="1"/>
  <c r="T152" i="1" s="1"/>
  <c r="V160" i="1"/>
  <c r="R160" i="1"/>
  <c r="S160" i="1" s="1"/>
  <c r="T160" i="1" s="1"/>
  <c r="V170" i="1"/>
  <c r="R170" i="1"/>
  <c r="S170" i="1" s="1"/>
  <c r="T170" i="1" s="1"/>
  <c r="V183" i="1"/>
  <c r="R183" i="1"/>
  <c r="S183" i="1" s="1"/>
  <c r="T183" i="1" s="1"/>
  <c r="V333" i="1"/>
  <c r="R333" i="1"/>
  <c r="S333" i="1" s="1"/>
  <c r="T333" i="1" s="1"/>
  <c r="V344" i="1"/>
  <c r="R344" i="1"/>
  <c r="S344" i="1" s="1"/>
  <c r="T344" i="1" s="1"/>
  <c r="V362" i="1"/>
  <c r="R362" i="1"/>
  <c r="S362" i="1" s="1"/>
  <c r="T362" i="1" s="1"/>
  <c r="V373" i="1"/>
  <c r="R373" i="1"/>
  <c r="S373" i="1" s="1"/>
  <c r="T373" i="1" s="1"/>
  <c r="V381" i="1"/>
  <c r="R381" i="1"/>
  <c r="S381" i="1" s="1"/>
  <c r="T381" i="1" s="1"/>
  <c r="V389" i="1"/>
  <c r="R389" i="1"/>
  <c r="S389" i="1" s="1"/>
  <c r="T389" i="1" s="1"/>
  <c r="V397" i="1"/>
  <c r="R397" i="1"/>
  <c r="S397" i="1" s="1"/>
  <c r="T397" i="1" s="1"/>
  <c r="V405" i="1"/>
  <c r="R405" i="1"/>
  <c r="S405" i="1" s="1"/>
  <c r="T405" i="1" s="1"/>
  <c r="V451" i="1"/>
  <c r="R451" i="1"/>
  <c r="S451" i="1" s="1"/>
  <c r="T451" i="1" s="1"/>
  <c r="V470" i="1"/>
  <c r="R470" i="1"/>
  <c r="S470" i="1" s="1"/>
  <c r="T470" i="1" s="1"/>
  <c r="V479" i="1"/>
  <c r="R479" i="1"/>
  <c r="S479" i="1" s="1"/>
  <c r="T479" i="1" s="1"/>
  <c r="V446" i="1"/>
  <c r="R446" i="1"/>
  <c r="S446" i="1" s="1"/>
  <c r="T446" i="1" s="1"/>
  <c r="V461" i="1"/>
  <c r="R461" i="1"/>
  <c r="S461" i="1" s="1"/>
  <c r="T461" i="1" s="1"/>
  <c r="R338" i="1"/>
  <c r="S338" i="1" s="1"/>
  <c r="T338" i="1" s="1"/>
  <c r="V338" i="1"/>
  <c r="V347" i="1"/>
  <c r="R347" i="1"/>
  <c r="S347" i="1" s="1"/>
  <c r="T347" i="1" s="1"/>
  <c r="V357" i="1"/>
  <c r="R357" i="1"/>
  <c r="S357" i="1" s="1"/>
  <c r="T357" i="1" s="1"/>
  <c r="V366" i="1"/>
  <c r="R366" i="1"/>
  <c r="S366" i="1" s="1"/>
  <c r="T366" i="1" s="1"/>
  <c r="V376" i="1"/>
  <c r="R376" i="1"/>
  <c r="S376" i="1" s="1"/>
  <c r="T376" i="1" s="1"/>
  <c r="V384" i="1"/>
  <c r="R384" i="1"/>
  <c r="S384" i="1" s="1"/>
  <c r="T384" i="1" s="1"/>
  <c r="V392" i="1"/>
  <c r="R392" i="1"/>
  <c r="S392" i="1" s="1"/>
  <c r="T392" i="1" s="1"/>
  <c r="V400" i="1"/>
  <c r="R400" i="1"/>
  <c r="S400" i="1" s="1"/>
  <c r="T400" i="1" s="1"/>
  <c r="V408" i="1"/>
  <c r="R408" i="1"/>
  <c r="S408" i="1" s="1"/>
  <c r="T408" i="1" s="1"/>
  <c r="V416" i="1"/>
  <c r="R416" i="1"/>
  <c r="S416" i="1" s="1"/>
  <c r="T416" i="1" s="1"/>
  <c r="V426" i="1"/>
  <c r="R426" i="1"/>
  <c r="S426" i="1" s="1"/>
  <c r="T426" i="1" s="1"/>
  <c r="V434" i="1"/>
  <c r="R434" i="1"/>
  <c r="S434" i="1" s="1"/>
  <c r="T434" i="1" s="1"/>
  <c r="V492" i="1"/>
  <c r="R492" i="1"/>
  <c r="S492" i="1" s="1"/>
  <c r="T492" i="1" s="1"/>
  <c r="V584" i="1"/>
  <c r="R584" i="1"/>
  <c r="S584" i="1" s="1"/>
  <c r="T584" i="1" s="1"/>
  <c r="V550" i="1"/>
  <c r="R550" i="1"/>
  <c r="S550" i="1" s="1"/>
  <c r="T550" i="1" s="1"/>
  <c r="V563" i="1"/>
  <c r="R563" i="1"/>
  <c r="S563" i="1" s="1"/>
  <c r="T563" i="1" s="1"/>
  <c r="R491" i="1"/>
  <c r="S491" i="1" s="1"/>
  <c r="T491" i="1" s="1"/>
  <c r="V491" i="1"/>
  <c r="V503" i="1"/>
  <c r="R503" i="1"/>
  <c r="S503" i="1" s="1"/>
  <c r="T503" i="1" s="1"/>
  <c r="V514" i="1"/>
  <c r="V523" i="1"/>
  <c r="R523" i="1"/>
  <c r="S523" i="1" s="1"/>
  <c r="T523" i="1" s="1"/>
  <c r="V531" i="1"/>
  <c r="R531" i="1"/>
  <c r="S531" i="1" s="1"/>
  <c r="T531" i="1" s="1"/>
  <c r="V543" i="1"/>
  <c r="R543" i="1"/>
  <c r="S543" i="1" s="1"/>
  <c r="T543" i="1" s="1"/>
  <c r="V552" i="1"/>
  <c r="R552" i="1"/>
  <c r="S552" i="1" s="1"/>
  <c r="T552" i="1" s="1"/>
  <c r="V564" i="1"/>
  <c r="R564" i="1"/>
  <c r="S564" i="1" s="1"/>
  <c r="T564" i="1" s="1"/>
  <c r="V590" i="1"/>
  <c r="R590" i="1"/>
  <c r="S590" i="1" s="1"/>
  <c r="T590" i="1" s="1"/>
  <c r="V602" i="1"/>
  <c r="R602" i="1"/>
  <c r="S602" i="1" s="1"/>
  <c r="T602" i="1" s="1"/>
  <c r="V610" i="1"/>
  <c r="R610" i="1"/>
  <c r="S610" i="1" s="1"/>
  <c r="T610" i="1" s="1"/>
  <c r="V618" i="1"/>
  <c r="R618" i="1"/>
  <c r="S618" i="1" s="1"/>
  <c r="T618" i="1" s="1"/>
  <c r="V683" i="1"/>
  <c r="O634" i="1"/>
  <c r="O668" i="1"/>
  <c r="V687" i="1"/>
  <c r="R687" i="1"/>
  <c r="S687" i="1" s="1"/>
  <c r="T687" i="1" s="1"/>
  <c r="V589" i="1"/>
  <c r="R589" i="1"/>
  <c r="S589" i="1" s="1"/>
  <c r="T589" i="1" s="1"/>
  <c r="V601" i="1"/>
  <c r="R601" i="1"/>
  <c r="S601" i="1" s="1"/>
  <c r="T601" i="1" s="1"/>
  <c r="V609" i="1"/>
  <c r="R609" i="1"/>
  <c r="S609" i="1" s="1"/>
  <c r="T609" i="1" s="1"/>
  <c r="V617" i="1"/>
  <c r="R617" i="1"/>
  <c r="S617" i="1" s="1"/>
  <c r="T617" i="1" s="1"/>
  <c r="V629" i="1"/>
  <c r="R629" i="1"/>
  <c r="S629" i="1" s="1"/>
  <c r="T629" i="1" s="1"/>
  <c r="V663" i="1"/>
  <c r="R663" i="1"/>
  <c r="S663" i="1" s="1"/>
  <c r="T663" i="1" s="1"/>
  <c r="V679" i="1"/>
  <c r="R679" i="1"/>
  <c r="S679" i="1" s="1"/>
  <c r="T679" i="1" s="1"/>
  <c r="R632" i="1"/>
  <c r="S632" i="1" s="1"/>
  <c r="T632" i="1" s="1"/>
  <c r="V632" i="1"/>
  <c r="V658" i="1"/>
  <c r="R658" i="1"/>
  <c r="S658" i="1" s="1"/>
  <c r="T658" i="1" s="1"/>
  <c r="R666" i="1"/>
  <c r="S666" i="1" s="1"/>
  <c r="T666" i="1" s="1"/>
  <c r="V666" i="1"/>
  <c r="V674" i="1"/>
  <c r="R674" i="1"/>
  <c r="S674" i="1" s="1"/>
  <c r="T674" i="1" s="1"/>
  <c r="R682" i="1"/>
  <c r="S682" i="1" s="1"/>
  <c r="T682" i="1" s="1"/>
  <c r="V682" i="1"/>
  <c r="V690" i="1"/>
  <c r="R690" i="1"/>
  <c r="S690" i="1" s="1"/>
  <c r="T690" i="1" s="1"/>
  <c r="R698" i="1"/>
  <c r="S698" i="1" s="1"/>
  <c r="T698" i="1" s="1"/>
  <c r="V698" i="1"/>
  <c r="V705" i="1"/>
  <c r="R705" i="1"/>
  <c r="S705" i="1" s="1"/>
  <c r="T705" i="1" s="1"/>
  <c r="V717" i="1"/>
  <c r="R717" i="1"/>
  <c r="S717" i="1" s="1"/>
  <c r="T717" i="1" s="1"/>
  <c r="V727" i="1"/>
  <c r="R727" i="1"/>
  <c r="S727" i="1" s="1"/>
  <c r="T727" i="1" s="1"/>
  <c r="V735" i="1"/>
  <c r="R735" i="1"/>
  <c r="S735" i="1" s="1"/>
  <c r="T735" i="1" s="1"/>
  <c r="V744" i="1"/>
  <c r="R744" i="1"/>
  <c r="S744" i="1" s="1"/>
  <c r="T744" i="1" s="1"/>
  <c r="V755" i="1"/>
  <c r="R755" i="1"/>
  <c r="S755" i="1" s="1"/>
  <c r="T755" i="1" s="1"/>
  <c r="V765" i="1"/>
  <c r="R765" i="1"/>
  <c r="S765" i="1" s="1"/>
  <c r="T765" i="1" s="1"/>
  <c r="V774" i="1"/>
  <c r="R774" i="1"/>
  <c r="S774" i="1" s="1"/>
  <c r="T774" i="1" s="1"/>
  <c r="R769" i="1"/>
  <c r="S769" i="1" s="1"/>
  <c r="T769" i="1" s="1"/>
  <c r="V769" i="1"/>
  <c r="V733" i="1"/>
  <c r="R733" i="1"/>
  <c r="S733" i="1" s="1"/>
  <c r="T733" i="1" s="1"/>
  <c r="V742" i="1"/>
  <c r="R742" i="1"/>
  <c r="S742" i="1" s="1"/>
  <c r="T742" i="1" s="1"/>
  <c r="V753" i="1"/>
  <c r="R753" i="1"/>
  <c r="S753" i="1" s="1"/>
  <c r="T753" i="1" s="1"/>
  <c r="V763" i="1"/>
  <c r="R763" i="1"/>
  <c r="S763" i="1" s="1"/>
  <c r="T763" i="1" s="1"/>
  <c r="V712" i="1"/>
  <c r="R712" i="1"/>
  <c r="S712" i="1" s="1"/>
  <c r="T712" i="1" s="1"/>
  <c r="V721" i="1"/>
  <c r="R721" i="1"/>
  <c r="S721" i="1" s="1"/>
  <c r="T721" i="1" s="1"/>
  <c r="R799" i="1"/>
  <c r="S799" i="1" s="1"/>
  <c r="T799" i="1" s="1"/>
  <c r="V799" i="1"/>
  <c r="V787" i="1"/>
  <c r="R787" i="1"/>
  <c r="S787" i="1" s="1"/>
  <c r="T787" i="1" s="1"/>
  <c r="V796" i="1"/>
  <c r="R796" i="1"/>
  <c r="S796" i="1" s="1"/>
  <c r="T796" i="1" s="1"/>
  <c r="R839" i="1"/>
  <c r="S839" i="1" s="1"/>
  <c r="T839" i="1" s="1"/>
  <c r="V809" i="1"/>
  <c r="R809" i="1"/>
  <c r="S809" i="1" s="1"/>
  <c r="T809" i="1" s="1"/>
  <c r="V817" i="1"/>
  <c r="R817" i="1"/>
  <c r="S817" i="1" s="1"/>
  <c r="T817" i="1" s="1"/>
  <c r="V827" i="1"/>
  <c r="R827" i="1"/>
  <c r="S827" i="1" s="1"/>
  <c r="T827" i="1" s="1"/>
  <c r="O835" i="1"/>
  <c r="V853" i="1"/>
  <c r="R853" i="1"/>
  <c r="S853" i="1" s="1"/>
  <c r="T853" i="1" s="1"/>
  <c r="O864" i="1"/>
  <c r="V842" i="1"/>
  <c r="R842" i="1"/>
  <c r="S842" i="1" s="1"/>
  <c r="T842" i="1" s="1"/>
  <c r="V852" i="1"/>
  <c r="R852" i="1"/>
  <c r="S852" i="1" s="1"/>
  <c r="T852" i="1" s="1"/>
  <c r="S890" i="1"/>
  <c r="V890" i="1"/>
  <c r="R890" i="1"/>
  <c r="T890" i="1"/>
  <c r="R866" i="1"/>
  <c r="S866" i="1" s="1"/>
  <c r="T866" i="1" s="1"/>
  <c r="V866" i="1"/>
  <c r="V875" i="1"/>
  <c r="R875" i="1"/>
  <c r="S875" i="1" s="1"/>
  <c r="T875" i="1" s="1"/>
  <c r="V883" i="1"/>
  <c r="R883" i="1"/>
  <c r="S883" i="1" s="1"/>
  <c r="T883" i="1" s="1"/>
  <c r="R33" i="1" l="1"/>
  <c r="S33" i="1" s="1"/>
  <c r="T33" i="1" s="1"/>
  <c r="R18" i="1"/>
  <c r="S18" i="1" s="1"/>
  <c r="T18" i="1" s="1"/>
  <c r="R857" i="1"/>
  <c r="S857" i="1" s="1"/>
  <c r="T857" i="1" s="1"/>
  <c r="R500" i="1"/>
  <c r="S500" i="1" s="1"/>
  <c r="T500" i="1" s="1"/>
  <c r="W500" i="1" s="1"/>
  <c r="R352" i="1"/>
  <c r="S352" i="1" s="1"/>
  <c r="T352" i="1" s="1"/>
  <c r="R757" i="1"/>
  <c r="S757" i="1" s="1"/>
  <c r="T757" i="1" s="1"/>
  <c r="R508" i="1"/>
  <c r="S508" i="1" s="1"/>
  <c r="T508" i="1" s="1"/>
  <c r="R559" i="1"/>
  <c r="S559" i="1" s="1"/>
  <c r="T559" i="1" s="1"/>
  <c r="W559" i="1" s="1"/>
  <c r="V834" i="1"/>
  <c r="V633" i="1"/>
  <c r="V249" i="1"/>
  <c r="R123" i="1"/>
  <c r="S123" i="1" s="1"/>
  <c r="T123" i="1" s="1"/>
  <c r="U123" i="1" s="1"/>
  <c r="R783" i="1"/>
  <c r="S783" i="1" s="1"/>
  <c r="T783" i="1" s="1"/>
  <c r="R695" i="1"/>
  <c r="S695" i="1" s="1"/>
  <c r="T695" i="1" s="1"/>
  <c r="U49" i="1"/>
  <c r="R587" i="1"/>
  <c r="S587" i="1" s="1"/>
  <c r="T587" i="1" s="1"/>
  <c r="W587" i="1" s="1"/>
  <c r="V462" i="1"/>
  <c r="R339" i="1"/>
  <c r="S339" i="1" s="1"/>
  <c r="T339" i="1" s="1"/>
  <c r="R172" i="1"/>
  <c r="S172" i="1" s="1"/>
  <c r="T172" i="1" s="1"/>
  <c r="R171" i="1"/>
  <c r="S171" i="1" s="1"/>
  <c r="T171" i="1" s="1"/>
  <c r="U171" i="1" s="1"/>
  <c r="R767" i="1"/>
  <c r="S767" i="1" s="1"/>
  <c r="T767" i="1" s="1"/>
  <c r="R266" i="1"/>
  <c r="S266" i="1" s="1"/>
  <c r="T266" i="1" s="1"/>
  <c r="U266" i="1" s="1"/>
  <c r="R425" i="1"/>
  <c r="S425" i="1" s="1"/>
  <c r="T425" i="1" s="1"/>
  <c r="R848" i="1"/>
  <c r="S848" i="1" s="1"/>
  <c r="T848" i="1" s="1"/>
  <c r="W848" i="1" s="1"/>
  <c r="R607" i="1"/>
  <c r="S607" i="1" s="1"/>
  <c r="T607" i="1" s="1"/>
  <c r="V535" i="1"/>
  <c r="V88" i="1"/>
  <c r="R88" i="1"/>
  <c r="S88" i="1" s="1"/>
  <c r="T88" i="1" s="1"/>
  <c r="R639" i="1"/>
  <c r="S639" i="1" s="1"/>
  <c r="T639" i="1" s="1"/>
  <c r="W639" i="1" s="1"/>
  <c r="S554" i="1"/>
  <c r="T554" i="1" s="1"/>
  <c r="S462" i="1"/>
  <c r="T462" i="1" s="1"/>
  <c r="W462" i="1" s="1"/>
  <c r="R364" i="1"/>
  <c r="S364" i="1" s="1"/>
  <c r="T364" i="1" s="1"/>
  <c r="W364" i="1" s="1"/>
  <c r="W653" i="1"/>
  <c r="U653" i="1"/>
  <c r="W494" i="1"/>
  <c r="U494" i="1"/>
  <c r="W620" i="1"/>
  <c r="U620" i="1"/>
  <c r="W487" i="1"/>
  <c r="U487" i="1"/>
  <c r="W356" i="1"/>
  <c r="U356" i="1"/>
  <c r="W112" i="1"/>
  <c r="U112" i="1"/>
  <c r="U146" i="1"/>
  <c r="W146" i="1"/>
  <c r="W342" i="1"/>
  <c r="U342" i="1"/>
  <c r="U206" i="1"/>
  <c r="W206" i="1"/>
  <c r="U103" i="1"/>
  <c r="W103" i="1"/>
  <c r="W131" i="1"/>
  <c r="U131" i="1"/>
  <c r="W115" i="1"/>
  <c r="U115" i="1"/>
  <c r="U570" i="1"/>
  <c r="W570" i="1"/>
  <c r="U462" i="1"/>
  <c r="W498" i="1"/>
  <c r="U498" i="1"/>
  <c r="U644" i="1"/>
  <c r="W644" i="1"/>
  <c r="U48" i="1"/>
  <c r="W48" i="1"/>
  <c r="W132" i="1"/>
  <c r="U132" i="1"/>
  <c r="U54" i="1"/>
  <c r="W54" i="1"/>
  <c r="U849" i="1"/>
  <c r="W849" i="1"/>
  <c r="W535" i="1"/>
  <c r="U535" i="1"/>
  <c r="W440" i="1"/>
  <c r="U440" i="1"/>
  <c r="W576" i="1"/>
  <c r="U576" i="1"/>
  <c r="W581" i="1"/>
  <c r="U581" i="1"/>
  <c r="W307" i="1"/>
  <c r="U307" i="1"/>
  <c r="U509" i="1"/>
  <c r="W509" i="1"/>
  <c r="W638" i="1"/>
  <c r="U638" i="1"/>
  <c r="W646" i="1"/>
  <c r="U646" i="1"/>
  <c r="U241" i="1"/>
  <c r="W241" i="1"/>
  <c r="U75" i="1"/>
  <c r="W75" i="1"/>
  <c r="U420" i="1"/>
  <c r="W420" i="1"/>
  <c r="U542" i="1"/>
  <c r="W542" i="1"/>
  <c r="U583" i="1"/>
  <c r="W583" i="1"/>
  <c r="U445" i="1"/>
  <c r="W445" i="1"/>
  <c r="W493" i="1"/>
  <c r="U493" i="1"/>
  <c r="U647" i="1"/>
  <c r="W647" i="1"/>
  <c r="W240" i="1"/>
  <c r="U240" i="1"/>
  <c r="U652" i="1"/>
  <c r="W652" i="1"/>
  <c r="U555" i="1"/>
  <c r="W555" i="1"/>
  <c r="U217" i="1"/>
  <c r="W217" i="1"/>
  <c r="U651" i="1"/>
  <c r="W651" i="1"/>
  <c r="U239" i="1"/>
  <c r="W239" i="1"/>
  <c r="W747" i="1"/>
  <c r="U747" i="1"/>
  <c r="W533" i="1"/>
  <c r="U533" i="1"/>
  <c r="W870" i="1"/>
  <c r="U870" i="1"/>
  <c r="W516" i="1"/>
  <c r="U516" i="1"/>
  <c r="W645" i="1"/>
  <c r="U645" i="1"/>
  <c r="W454" i="1"/>
  <c r="U454" i="1"/>
  <c r="U50" i="1"/>
  <c r="W50" i="1"/>
  <c r="U641" i="1"/>
  <c r="W641" i="1"/>
  <c r="U746" i="1"/>
  <c r="W746" i="1"/>
  <c r="W823" i="1"/>
  <c r="U823" i="1"/>
  <c r="W303" i="1"/>
  <c r="U303" i="1"/>
  <c r="W177" i="1"/>
  <c r="U177" i="1"/>
  <c r="W67" i="1"/>
  <c r="U67" i="1"/>
  <c r="U145" i="1"/>
  <c r="W145" i="1"/>
  <c r="U79" i="1"/>
  <c r="W79" i="1"/>
  <c r="U173" i="1"/>
  <c r="W173" i="1"/>
  <c r="W62" i="1"/>
  <c r="U62" i="1"/>
  <c r="U216" i="1"/>
  <c r="W216" i="1"/>
  <c r="U643" i="1"/>
  <c r="W643" i="1"/>
  <c r="W317" i="1"/>
  <c r="U317" i="1"/>
  <c r="U467" i="1"/>
  <c r="W467" i="1"/>
  <c r="W166" i="1"/>
  <c r="U166" i="1"/>
  <c r="U243" i="1"/>
  <c r="W243" i="1"/>
  <c r="U594" i="1"/>
  <c r="W594" i="1"/>
  <c r="W822" i="1"/>
  <c r="U822" i="1"/>
  <c r="W642" i="1"/>
  <c r="U642" i="1"/>
  <c r="W571" i="1"/>
  <c r="U571" i="1"/>
  <c r="W557" i="1"/>
  <c r="U557" i="1"/>
  <c r="W355" i="1"/>
  <c r="U355" i="1"/>
  <c r="U102" i="1"/>
  <c r="W102" i="1"/>
  <c r="U65" i="1"/>
  <c r="W65" i="1"/>
  <c r="W60" i="1"/>
  <c r="U60" i="1"/>
  <c r="W144" i="1"/>
  <c r="U144" i="1"/>
  <c r="U800" i="1"/>
  <c r="W800" i="1"/>
  <c r="U214" i="1"/>
  <c r="W214" i="1"/>
  <c r="W369" i="1"/>
  <c r="U369" i="1"/>
  <c r="U242" i="1"/>
  <c r="W242" i="1"/>
  <c r="U506" i="1"/>
  <c r="W506" i="1"/>
  <c r="U42" i="1"/>
  <c r="W42" i="1"/>
  <c r="U639" i="1"/>
  <c r="W73" i="1"/>
  <c r="U73" i="1"/>
  <c r="W534" i="1"/>
  <c r="U534" i="1"/>
  <c r="W178" i="1"/>
  <c r="U178" i="1"/>
  <c r="W111" i="1"/>
  <c r="U111" i="1"/>
  <c r="U640" i="1"/>
  <c r="W640" i="1"/>
  <c r="U435" i="1"/>
  <c r="W435" i="1"/>
  <c r="W621" i="1"/>
  <c r="U621" i="1"/>
  <c r="U756" i="1"/>
  <c r="W756" i="1"/>
  <c r="U368" i="1"/>
  <c r="W368" i="1"/>
  <c r="U619" i="1"/>
  <c r="W619" i="1"/>
  <c r="U593" i="1"/>
  <c r="W593" i="1"/>
  <c r="U650" i="1"/>
  <c r="W650" i="1"/>
  <c r="U558" i="1"/>
  <c r="W558" i="1"/>
  <c r="U441" i="1"/>
  <c r="W441" i="1"/>
  <c r="W133" i="1"/>
  <c r="U133" i="1"/>
  <c r="U885" i="1"/>
  <c r="W885" i="1"/>
  <c r="U648" i="1"/>
  <c r="W648" i="1"/>
  <c r="U450" i="1"/>
  <c r="W450" i="1"/>
  <c r="U325" i="1"/>
  <c r="W325" i="1"/>
  <c r="U654" i="1"/>
  <c r="W654" i="1"/>
  <c r="U455" i="1"/>
  <c r="W455" i="1"/>
  <c r="W757" i="1"/>
  <c r="U757" i="1"/>
  <c r="W508" i="1"/>
  <c r="U508" i="1"/>
  <c r="W215" i="1"/>
  <c r="U215" i="1"/>
  <c r="W649" i="1"/>
  <c r="U649" i="1"/>
  <c r="W484" i="1"/>
  <c r="U484" i="1"/>
  <c r="W293" i="1"/>
  <c r="U293" i="1"/>
  <c r="W287" i="1"/>
  <c r="U287" i="1"/>
  <c r="W17" i="1"/>
  <c r="U17" i="1"/>
  <c r="U63" i="1"/>
  <c r="W63" i="1"/>
  <c r="U475" i="1"/>
  <c r="W475" i="1"/>
  <c r="U497" i="1"/>
  <c r="W497" i="1"/>
  <c r="W171" i="1"/>
  <c r="W147" i="1"/>
  <c r="U147" i="1"/>
  <c r="W466" i="1"/>
  <c r="U466" i="1"/>
  <c r="W439" i="1"/>
  <c r="U439" i="1"/>
  <c r="W68" i="1"/>
  <c r="U68" i="1"/>
  <c r="U212" i="1"/>
  <c r="W212" i="1"/>
  <c r="U453" i="1"/>
  <c r="W453" i="1"/>
  <c r="W720" i="1"/>
  <c r="U720" i="1"/>
  <c r="U238" i="1"/>
  <c r="W238" i="1"/>
  <c r="U468" i="1"/>
  <c r="W468" i="1"/>
  <c r="W143" i="1"/>
  <c r="U143" i="1"/>
  <c r="U74" i="1"/>
  <c r="W74" i="1"/>
  <c r="W121" i="1"/>
  <c r="U121" i="1"/>
  <c r="U452" i="1"/>
  <c r="W452" i="1"/>
  <c r="U789" i="1"/>
  <c r="W789" i="1"/>
  <c r="U799" i="1"/>
  <c r="W799" i="1"/>
  <c r="U712" i="1"/>
  <c r="W712" i="1"/>
  <c r="W755" i="1"/>
  <c r="U755" i="1"/>
  <c r="W735" i="1"/>
  <c r="U735" i="1"/>
  <c r="W717" i="1"/>
  <c r="U717" i="1"/>
  <c r="U698" i="1"/>
  <c r="W698" i="1"/>
  <c r="U682" i="1"/>
  <c r="W682" i="1"/>
  <c r="U666" i="1"/>
  <c r="W666" i="1"/>
  <c r="U632" i="1"/>
  <c r="W632" i="1"/>
  <c r="W663" i="1"/>
  <c r="U663" i="1"/>
  <c r="U617" i="1"/>
  <c r="W617" i="1"/>
  <c r="U601" i="1"/>
  <c r="W601" i="1"/>
  <c r="W687" i="1"/>
  <c r="U687" i="1"/>
  <c r="U564" i="1"/>
  <c r="W564" i="1"/>
  <c r="U543" i="1"/>
  <c r="W543" i="1"/>
  <c r="U523" i="1"/>
  <c r="W523" i="1"/>
  <c r="U503" i="1"/>
  <c r="W503" i="1"/>
  <c r="V58" i="1"/>
  <c r="R58" i="1"/>
  <c r="S58" i="1" s="1"/>
  <c r="T58" i="1" s="1"/>
  <c r="U759" i="1"/>
  <c r="W759" i="1"/>
  <c r="W770" i="1"/>
  <c r="U770" i="1"/>
  <c r="W711" i="1"/>
  <c r="U711" i="1"/>
  <c r="W615" i="1"/>
  <c r="U615" i="1"/>
  <c r="W567" i="1"/>
  <c r="U567" i="1"/>
  <c r="W471" i="1"/>
  <c r="U471" i="1"/>
  <c r="V311" i="1"/>
  <c r="R311" i="1"/>
  <c r="S311" i="1" s="1"/>
  <c r="T311" i="1" s="1"/>
  <c r="W876" i="1"/>
  <c r="U876" i="1"/>
  <c r="W762" i="1"/>
  <c r="U762" i="1"/>
  <c r="R706" i="1"/>
  <c r="S706" i="1" s="1"/>
  <c r="T706" i="1" s="1"/>
  <c r="V706" i="1"/>
  <c r="W633" i="1"/>
  <c r="U633" i="1"/>
  <c r="W541" i="1"/>
  <c r="U541" i="1"/>
  <c r="U481" i="1"/>
  <c r="W481" i="1"/>
  <c r="U457" i="1"/>
  <c r="W457" i="1"/>
  <c r="U429" i="1"/>
  <c r="W429" i="1"/>
  <c r="U411" i="1"/>
  <c r="W411" i="1"/>
  <c r="U387" i="1"/>
  <c r="W387" i="1"/>
  <c r="U310" i="1"/>
  <c r="W310" i="1"/>
  <c r="U291" i="1"/>
  <c r="W291" i="1"/>
  <c r="U273" i="1"/>
  <c r="W273" i="1"/>
  <c r="U257" i="1"/>
  <c r="W257" i="1"/>
  <c r="U235" i="1"/>
  <c r="W235" i="1"/>
  <c r="U219" i="1"/>
  <c r="W219" i="1"/>
  <c r="U199" i="1"/>
  <c r="W199" i="1"/>
  <c r="U191" i="1"/>
  <c r="W191" i="1"/>
  <c r="U59" i="1"/>
  <c r="W59" i="1"/>
  <c r="W699" i="1"/>
  <c r="U699" i="1"/>
  <c r="W598" i="1"/>
  <c r="U598" i="1"/>
  <c r="W228" i="1"/>
  <c r="U228" i="1"/>
  <c r="U92" i="1"/>
  <c r="W92" i="1"/>
  <c r="W200" i="1"/>
  <c r="U200" i="1"/>
  <c r="W847" i="1"/>
  <c r="U847" i="1"/>
  <c r="U182" i="1"/>
  <c r="W182" i="1"/>
  <c r="U169" i="1"/>
  <c r="W169" i="1"/>
  <c r="U159" i="1"/>
  <c r="W159" i="1"/>
  <c r="U151" i="1"/>
  <c r="W151" i="1"/>
  <c r="U138" i="1"/>
  <c r="W138" i="1"/>
  <c r="U127" i="1"/>
  <c r="W127" i="1"/>
  <c r="U117" i="1"/>
  <c r="W117" i="1"/>
  <c r="U105" i="1"/>
  <c r="W105" i="1"/>
  <c r="U95" i="1"/>
  <c r="W95" i="1"/>
  <c r="U83" i="1"/>
  <c r="W83" i="1"/>
  <c r="U71" i="1"/>
  <c r="W71" i="1"/>
  <c r="U47" i="1"/>
  <c r="W47" i="1"/>
  <c r="V61" i="1"/>
  <c r="R61" i="1"/>
  <c r="S61" i="1" s="1"/>
  <c r="T61" i="1" s="1"/>
  <c r="V122" i="1"/>
  <c r="R122" i="1"/>
  <c r="S122" i="1" s="1"/>
  <c r="T122" i="1" s="1"/>
  <c r="W43" i="1"/>
  <c r="U43" i="1"/>
  <c r="W34" i="1"/>
  <c r="U34" i="1"/>
  <c r="V292" i="1"/>
  <c r="R292" i="1"/>
  <c r="S292" i="1" s="1"/>
  <c r="T292" i="1" s="1"/>
  <c r="W283" i="1"/>
  <c r="U283" i="1"/>
  <c r="U186" i="1"/>
  <c r="W186" i="1"/>
  <c r="U155" i="1"/>
  <c r="W155" i="1"/>
  <c r="U134" i="1"/>
  <c r="W134" i="1"/>
  <c r="U91" i="1"/>
  <c r="W91" i="1"/>
  <c r="W25" i="1"/>
  <c r="U25" i="1"/>
  <c r="U836" i="1"/>
  <c r="W836" i="1"/>
  <c r="R858" i="1"/>
  <c r="S858" i="1" s="1"/>
  <c r="T858" i="1" s="1"/>
  <c r="V858" i="1"/>
  <c r="W834" i="1"/>
  <c r="U834" i="1"/>
  <c r="U828" i="1"/>
  <c r="W828" i="1"/>
  <c r="U818" i="1"/>
  <c r="W818" i="1"/>
  <c r="U810" i="1"/>
  <c r="W810" i="1"/>
  <c r="U804" i="1"/>
  <c r="W804" i="1"/>
  <c r="U797" i="1"/>
  <c r="W797" i="1"/>
  <c r="U788" i="1"/>
  <c r="W788" i="1"/>
  <c r="U780" i="1"/>
  <c r="W780" i="1"/>
  <c r="U801" i="1"/>
  <c r="W801" i="1"/>
  <c r="U724" i="1"/>
  <c r="W724" i="1"/>
  <c r="U715" i="1"/>
  <c r="W715" i="1"/>
  <c r="V672" i="1"/>
  <c r="R672" i="1"/>
  <c r="S672" i="1" s="1"/>
  <c r="T672" i="1" s="1"/>
  <c r="W302" i="1"/>
  <c r="U302" i="1"/>
  <c r="W294" i="1"/>
  <c r="U294" i="1"/>
  <c r="W284" i="1"/>
  <c r="U284" i="1"/>
  <c r="W275" i="1"/>
  <c r="U275" i="1"/>
  <c r="W267" i="1"/>
  <c r="U267" i="1"/>
  <c r="W259" i="1"/>
  <c r="U259" i="1"/>
  <c r="W251" i="1"/>
  <c r="U251" i="1"/>
  <c r="W237" i="1"/>
  <c r="U237" i="1"/>
  <c r="W229" i="1"/>
  <c r="U229" i="1"/>
  <c r="U198" i="1"/>
  <c r="W198" i="1"/>
  <c r="W340" i="1"/>
  <c r="U340" i="1"/>
  <c r="W196" i="1"/>
  <c r="U196" i="1"/>
  <c r="U188" i="1"/>
  <c r="W188" i="1"/>
  <c r="V174" i="1"/>
  <c r="R174" i="1"/>
  <c r="S174" i="1" s="1"/>
  <c r="T174" i="1" s="1"/>
  <c r="V87" i="1"/>
  <c r="R87" i="1"/>
  <c r="S87" i="1" s="1"/>
  <c r="T87" i="1" s="1"/>
  <c r="W192" i="1"/>
  <c r="U192" i="1"/>
  <c r="W184" i="1"/>
  <c r="U184" i="1"/>
  <c r="W172" i="1"/>
  <c r="U172" i="1"/>
  <c r="W161" i="1"/>
  <c r="U161" i="1"/>
  <c r="W153" i="1"/>
  <c r="U153" i="1"/>
  <c r="W129" i="1"/>
  <c r="U129" i="1"/>
  <c r="W97" i="1"/>
  <c r="U97" i="1"/>
  <c r="W86" i="1"/>
  <c r="U86" i="1"/>
  <c r="V120" i="1"/>
  <c r="R120" i="1"/>
  <c r="S120" i="1" s="1"/>
  <c r="T120" i="1" s="1"/>
  <c r="U767" i="1"/>
  <c r="W767" i="1"/>
  <c r="U748" i="1"/>
  <c r="W748" i="1"/>
  <c r="U729" i="1"/>
  <c r="W729" i="1"/>
  <c r="V566" i="1"/>
  <c r="R566" i="1"/>
  <c r="S566" i="1" s="1"/>
  <c r="T566" i="1" s="1"/>
  <c r="V53" i="1"/>
  <c r="R53" i="1"/>
  <c r="S53" i="1" s="1"/>
  <c r="T53" i="1" s="1"/>
  <c r="W52" i="1"/>
  <c r="U52" i="1"/>
  <c r="U40" i="1"/>
  <c r="W40" i="1"/>
  <c r="U20" i="1"/>
  <c r="W20" i="1"/>
  <c r="V868" i="1"/>
  <c r="R868" i="1"/>
  <c r="S868" i="1" s="1"/>
  <c r="T868" i="1" s="1"/>
  <c r="U831" i="1"/>
  <c r="W831" i="1"/>
  <c r="U821" i="1"/>
  <c r="W821" i="1"/>
  <c r="U813" i="1"/>
  <c r="W813" i="1"/>
  <c r="V819" i="1"/>
  <c r="R819" i="1"/>
  <c r="S819" i="1" s="1"/>
  <c r="T819" i="1" s="1"/>
  <c r="U792" i="1"/>
  <c r="W792" i="1"/>
  <c r="U783" i="1"/>
  <c r="W783" i="1"/>
  <c r="U882" i="1"/>
  <c r="W882" i="1"/>
  <c r="U874" i="1"/>
  <c r="W874" i="1"/>
  <c r="U865" i="1"/>
  <c r="W865" i="1"/>
  <c r="V850" i="1"/>
  <c r="R850" i="1"/>
  <c r="S850" i="1" s="1"/>
  <c r="T850" i="1" s="1"/>
  <c r="W863" i="1"/>
  <c r="U863" i="1"/>
  <c r="V795" i="1"/>
  <c r="R795" i="1"/>
  <c r="S795" i="1" s="1"/>
  <c r="T795" i="1" s="1"/>
  <c r="W805" i="1"/>
  <c r="U805" i="1"/>
  <c r="W794" i="1"/>
  <c r="U794" i="1"/>
  <c r="W785" i="1"/>
  <c r="U785" i="1"/>
  <c r="U777" i="1"/>
  <c r="W777" i="1"/>
  <c r="U768" i="1"/>
  <c r="W768" i="1"/>
  <c r="U760" i="1"/>
  <c r="W760" i="1"/>
  <c r="U749" i="1"/>
  <c r="W749" i="1"/>
  <c r="U738" i="1"/>
  <c r="W738" i="1"/>
  <c r="U730" i="1"/>
  <c r="W730" i="1"/>
  <c r="U665" i="1"/>
  <c r="W665" i="1"/>
  <c r="U631" i="1"/>
  <c r="W631" i="1"/>
  <c r="V700" i="1"/>
  <c r="R700" i="1"/>
  <c r="S700" i="1" s="1"/>
  <c r="T700" i="1" s="1"/>
  <c r="U561" i="1"/>
  <c r="W561" i="1"/>
  <c r="U548" i="1"/>
  <c r="W548" i="1"/>
  <c r="U539" i="1"/>
  <c r="W539" i="1"/>
  <c r="U528" i="1"/>
  <c r="W528" i="1"/>
  <c r="U520" i="1"/>
  <c r="W520" i="1"/>
  <c r="U511" i="1"/>
  <c r="W511" i="1"/>
  <c r="W578" i="1"/>
  <c r="U578" i="1"/>
  <c r="V517" i="1"/>
  <c r="R517" i="1"/>
  <c r="S517" i="1" s="1"/>
  <c r="T517" i="1" s="1"/>
  <c r="V378" i="1"/>
  <c r="R378" i="1"/>
  <c r="S378" i="1" s="1"/>
  <c r="T378" i="1" s="1"/>
  <c r="V490" i="1"/>
  <c r="R490" i="1"/>
  <c r="S490" i="1" s="1"/>
  <c r="T490" i="1" s="1"/>
  <c r="U327" i="1"/>
  <c r="W327" i="1"/>
  <c r="U318" i="1"/>
  <c r="W318" i="1"/>
  <c r="U309" i="1"/>
  <c r="W309" i="1"/>
  <c r="U299" i="1"/>
  <c r="W299" i="1"/>
  <c r="U290" i="1"/>
  <c r="W290" i="1"/>
  <c r="U281" i="1"/>
  <c r="W281" i="1"/>
  <c r="U272" i="1"/>
  <c r="W272" i="1"/>
  <c r="U264" i="1"/>
  <c r="W264" i="1"/>
  <c r="U256" i="1"/>
  <c r="W256" i="1"/>
  <c r="U248" i="1"/>
  <c r="W248" i="1"/>
  <c r="U234" i="1"/>
  <c r="W234" i="1"/>
  <c r="U226" i="1"/>
  <c r="W226" i="1"/>
  <c r="U218" i="1"/>
  <c r="W218" i="1"/>
  <c r="U203" i="1"/>
  <c r="W203" i="1"/>
  <c r="U194" i="1"/>
  <c r="W194" i="1"/>
  <c r="V84" i="1"/>
  <c r="R84" i="1"/>
  <c r="S84" i="1" s="1"/>
  <c r="T84" i="1" s="1"/>
  <c r="U538" i="1"/>
  <c r="W538" i="1"/>
  <c r="U510" i="1"/>
  <c r="W510" i="1"/>
  <c r="U163" i="1"/>
  <c r="W163" i="1"/>
  <c r="U109" i="1"/>
  <c r="W109" i="1"/>
  <c r="U55" i="1"/>
  <c r="W55" i="1"/>
  <c r="W30" i="1"/>
  <c r="U30" i="1"/>
  <c r="V213" i="1"/>
  <c r="R213" i="1"/>
  <c r="S213" i="1" s="1"/>
  <c r="T213" i="1" s="1"/>
  <c r="W413" i="1"/>
  <c r="U413" i="1"/>
  <c r="W489" i="1"/>
  <c r="U489" i="1"/>
  <c r="W501" i="1"/>
  <c r="U501" i="1"/>
  <c r="W807" i="1"/>
  <c r="U807" i="1"/>
  <c r="W16" i="1"/>
  <c r="U16" i="1"/>
  <c r="W210" i="1"/>
  <c r="U210" i="1"/>
  <c r="W232" i="1"/>
  <c r="U232" i="1"/>
  <c r="W254" i="1"/>
  <c r="U254" i="1"/>
  <c r="W270" i="1"/>
  <c r="U270" i="1"/>
  <c r="W288" i="1"/>
  <c r="U288" i="1"/>
  <c r="W306" i="1"/>
  <c r="U306" i="1"/>
  <c r="W324" i="1"/>
  <c r="U324" i="1"/>
  <c r="W431" i="1"/>
  <c r="U431" i="1"/>
  <c r="W521" i="1"/>
  <c r="U521" i="1"/>
  <c r="W540" i="1"/>
  <c r="U540" i="1"/>
  <c r="W562" i="1"/>
  <c r="U562" i="1"/>
  <c r="W409" i="1"/>
  <c r="U409" i="1"/>
  <c r="W815" i="1"/>
  <c r="U815" i="1"/>
  <c r="W321" i="1"/>
  <c r="U321" i="1"/>
  <c r="W330" i="1"/>
  <c r="U330" i="1"/>
  <c r="W456" i="1"/>
  <c r="U456" i="1"/>
  <c r="W668" i="1"/>
  <c r="U668" i="1"/>
  <c r="W745" i="1"/>
  <c r="U745" i="1"/>
  <c r="W835" i="1"/>
  <c r="U835" i="1"/>
  <c r="U875" i="1"/>
  <c r="W875" i="1"/>
  <c r="U842" i="1"/>
  <c r="W842" i="1"/>
  <c r="U827" i="1"/>
  <c r="W827" i="1"/>
  <c r="U809" i="1"/>
  <c r="W809" i="1"/>
  <c r="U796" i="1"/>
  <c r="W796" i="1"/>
  <c r="U753" i="1"/>
  <c r="W753" i="1"/>
  <c r="U733" i="1"/>
  <c r="W733" i="1"/>
  <c r="W774" i="1"/>
  <c r="U774" i="1"/>
  <c r="W618" i="1"/>
  <c r="U618" i="1"/>
  <c r="W602" i="1"/>
  <c r="U602" i="1"/>
  <c r="W590" i="1"/>
  <c r="U590" i="1"/>
  <c r="W492" i="1"/>
  <c r="U492" i="1"/>
  <c r="U426" i="1"/>
  <c r="W426" i="1"/>
  <c r="U408" i="1"/>
  <c r="W408" i="1"/>
  <c r="U392" i="1"/>
  <c r="W392" i="1"/>
  <c r="U384" i="1"/>
  <c r="W384" i="1"/>
  <c r="U366" i="1"/>
  <c r="W366" i="1"/>
  <c r="U347" i="1"/>
  <c r="W347" i="1"/>
  <c r="W470" i="1"/>
  <c r="U470" i="1"/>
  <c r="W405" i="1"/>
  <c r="U405" i="1"/>
  <c r="W389" i="1"/>
  <c r="U389" i="1"/>
  <c r="W373" i="1"/>
  <c r="U373" i="1"/>
  <c r="W352" i="1"/>
  <c r="U352" i="1"/>
  <c r="W333" i="1"/>
  <c r="U333" i="1"/>
  <c r="U183" i="1"/>
  <c r="W183" i="1"/>
  <c r="U160" i="1"/>
  <c r="W160" i="1"/>
  <c r="U139" i="1"/>
  <c r="W139" i="1"/>
  <c r="U118" i="1"/>
  <c r="W118" i="1"/>
  <c r="U96" i="1"/>
  <c r="W96" i="1"/>
  <c r="U72" i="1"/>
  <c r="W72" i="1"/>
  <c r="U596" i="1"/>
  <c r="W596" i="1"/>
  <c r="W449" i="1"/>
  <c r="U449" i="1"/>
  <c r="W460" i="1"/>
  <c r="U460" i="1"/>
  <c r="W90" i="1"/>
  <c r="U90" i="1"/>
  <c r="W179" i="1"/>
  <c r="U179" i="1"/>
  <c r="W713" i="1"/>
  <c r="U713" i="1"/>
  <c r="U670" i="1"/>
  <c r="W670" i="1"/>
  <c r="W574" i="1"/>
  <c r="U574" i="1"/>
  <c r="W250" i="1"/>
  <c r="U250" i="1"/>
  <c r="U887" i="1"/>
  <c r="W887" i="1"/>
  <c r="U869" i="1"/>
  <c r="W869" i="1"/>
  <c r="U841" i="1"/>
  <c r="W841" i="1"/>
  <c r="W830" i="1"/>
  <c r="U830" i="1"/>
  <c r="W812" i="1"/>
  <c r="U812" i="1"/>
  <c r="W773" i="1"/>
  <c r="U773" i="1"/>
  <c r="U623" i="1"/>
  <c r="W623" i="1"/>
  <c r="U604" i="1"/>
  <c r="W604" i="1"/>
  <c r="V656" i="1"/>
  <c r="R656" i="1"/>
  <c r="S656" i="1" s="1"/>
  <c r="T656" i="1" s="1"/>
  <c r="U322" i="1"/>
  <c r="W322" i="1"/>
  <c r="U304" i="1"/>
  <c r="W304" i="1"/>
  <c r="U285" i="1"/>
  <c r="W285" i="1"/>
  <c r="U268" i="1"/>
  <c r="W268" i="1"/>
  <c r="U260" i="1"/>
  <c r="W260" i="1"/>
  <c r="U244" i="1"/>
  <c r="W244" i="1"/>
  <c r="U222" i="1"/>
  <c r="W222" i="1"/>
  <c r="V154" i="1"/>
  <c r="R154" i="1"/>
  <c r="S154" i="1" s="1"/>
  <c r="T154" i="1" s="1"/>
  <c r="W28" i="1"/>
  <c r="U28" i="1"/>
  <c r="V66" i="1"/>
  <c r="R66" i="1"/>
  <c r="S66" i="1" s="1"/>
  <c r="T66" i="1" s="1"/>
  <c r="U560" i="1"/>
  <c r="W560" i="1"/>
  <c r="U547" i="1"/>
  <c r="W547" i="1"/>
  <c r="U519" i="1"/>
  <c r="W519" i="1"/>
  <c r="U396" i="1"/>
  <c r="W396" i="1"/>
  <c r="U361" i="1"/>
  <c r="W361" i="1"/>
  <c r="W459" i="1"/>
  <c r="U459" i="1"/>
  <c r="W401" i="1"/>
  <c r="U401" i="1"/>
  <c r="W367" i="1"/>
  <c r="U367" i="1"/>
  <c r="W348" i="1"/>
  <c r="U348" i="1"/>
  <c r="W301" i="1"/>
  <c r="U301" i="1"/>
  <c r="U175" i="1"/>
  <c r="W175" i="1"/>
  <c r="U78" i="1"/>
  <c r="W78" i="1"/>
  <c r="U888" i="1"/>
  <c r="W888" i="1"/>
  <c r="A888" i="1"/>
  <c r="U879" i="1"/>
  <c r="W879" i="1"/>
  <c r="U871" i="1"/>
  <c r="W871" i="1"/>
  <c r="V860" i="1"/>
  <c r="R860" i="1"/>
  <c r="S860" i="1" s="1"/>
  <c r="T860" i="1" s="1"/>
  <c r="W884" i="1"/>
  <c r="U884" i="1"/>
  <c r="U856" i="1"/>
  <c r="W856" i="1"/>
  <c r="U846" i="1"/>
  <c r="W846" i="1"/>
  <c r="V811" i="1"/>
  <c r="R811" i="1"/>
  <c r="S811" i="1" s="1"/>
  <c r="T811" i="1" s="1"/>
  <c r="U855" i="1"/>
  <c r="W855" i="1"/>
  <c r="U845" i="1"/>
  <c r="W845" i="1"/>
  <c r="U861" i="1"/>
  <c r="W861" i="1"/>
  <c r="W766" i="1"/>
  <c r="U766" i="1"/>
  <c r="W707" i="1"/>
  <c r="U707" i="1"/>
  <c r="U697" i="1"/>
  <c r="W697" i="1"/>
  <c r="U689" i="1"/>
  <c r="W689" i="1"/>
  <c r="U681" i="1"/>
  <c r="W681" i="1"/>
  <c r="U673" i="1"/>
  <c r="W673" i="1"/>
  <c r="U657" i="1"/>
  <c r="W657" i="1"/>
  <c r="V692" i="1"/>
  <c r="R692" i="1"/>
  <c r="S692" i="1" s="1"/>
  <c r="T692" i="1" s="1"/>
  <c r="W537" i="1"/>
  <c r="U537" i="1"/>
  <c r="W526" i="1"/>
  <c r="U526" i="1"/>
  <c r="W518" i="1"/>
  <c r="U518" i="1"/>
  <c r="W507" i="1"/>
  <c r="U507" i="1"/>
  <c r="V505" i="1"/>
  <c r="R505" i="1"/>
  <c r="S505" i="1" s="1"/>
  <c r="T505" i="1" s="1"/>
  <c r="W437" i="1"/>
  <c r="U437" i="1"/>
  <c r="W428" i="1"/>
  <c r="U428" i="1"/>
  <c r="W418" i="1"/>
  <c r="U418" i="1"/>
  <c r="W410" i="1"/>
  <c r="U410" i="1"/>
  <c r="V402" i="1"/>
  <c r="R402" i="1"/>
  <c r="S402" i="1" s="1"/>
  <c r="T402" i="1" s="1"/>
  <c r="V370" i="1"/>
  <c r="R370" i="1"/>
  <c r="S370" i="1" s="1"/>
  <c r="T370" i="1" s="1"/>
  <c r="U19" i="1"/>
  <c r="W19" i="1"/>
  <c r="U26" i="1"/>
  <c r="W26" i="1"/>
  <c r="U655" i="1"/>
  <c r="W655" i="1"/>
  <c r="W224" i="1"/>
  <c r="U224" i="1"/>
  <c r="W246" i="1"/>
  <c r="U246" i="1"/>
  <c r="W262" i="1"/>
  <c r="U262" i="1"/>
  <c r="W279" i="1"/>
  <c r="U279" i="1"/>
  <c r="W297" i="1"/>
  <c r="U297" i="1"/>
  <c r="W315" i="1"/>
  <c r="U315" i="1"/>
  <c r="W423" i="1"/>
  <c r="U423" i="1"/>
  <c r="W512" i="1"/>
  <c r="U512" i="1"/>
  <c r="W529" i="1"/>
  <c r="U529" i="1"/>
  <c r="W549" i="1"/>
  <c r="U549" i="1"/>
  <c r="W825" i="1"/>
  <c r="U825" i="1"/>
  <c r="W889" i="1"/>
  <c r="A889" i="1"/>
  <c r="U889" i="1"/>
  <c r="U39" i="1"/>
  <c r="W39" i="1"/>
  <c r="W595" i="1"/>
  <c r="U595" i="1"/>
  <c r="W197" i="1"/>
  <c r="U197" i="1"/>
  <c r="W70" i="1"/>
  <c r="U70" i="1"/>
  <c r="W94" i="1"/>
  <c r="U94" i="1"/>
  <c r="W116" i="1"/>
  <c r="U116" i="1"/>
  <c r="W126" i="1"/>
  <c r="U126" i="1"/>
  <c r="W312" i="1"/>
  <c r="U312" i="1"/>
  <c r="W660" i="1"/>
  <c r="U660" i="1"/>
  <c r="W723" i="1"/>
  <c r="U723" i="1"/>
  <c r="W751" i="1"/>
  <c r="U751" i="1"/>
  <c r="W854" i="1"/>
  <c r="U854" i="1"/>
  <c r="W728" i="1"/>
  <c r="U728" i="1"/>
  <c r="W758" i="1"/>
  <c r="U758" i="1"/>
  <c r="W844" i="1"/>
  <c r="U844" i="1"/>
  <c r="W193" i="1"/>
  <c r="U193" i="1"/>
  <c r="W221" i="1"/>
  <c r="U221" i="1"/>
  <c r="W316" i="1"/>
  <c r="U316" i="1"/>
  <c r="W353" i="1"/>
  <c r="U353" i="1"/>
  <c r="W374" i="1"/>
  <c r="U374" i="1"/>
  <c r="W390" i="1"/>
  <c r="U390" i="1"/>
  <c r="W406" i="1"/>
  <c r="U406" i="1"/>
  <c r="W591" i="1"/>
  <c r="U591" i="1"/>
  <c r="W603" i="1"/>
  <c r="U603" i="1"/>
  <c r="W611" i="1"/>
  <c r="U611" i="1"/>
  <c r="W622" i="1"/>
  <c r="U622" i="1"/>
  <c r="W634" i="1"/>
  <c r="U634" i="1"/>
  <c r="W786" i="1"/>
  <c r="U786" i="1"/>
  <c r="W840" i="1"/>
  <c r="U840" i="1"/>
  <c r="W873" i="1"/>
  <c r="U873" i="1"/>
  <c r="W881" i="1"/>
  <c r="U881" i="1"/>
  <c r="W202" i="1"/>
  <c r="U202" i="1"/>
  <c r="W247" i="1"/>
  <c r="U247" i="1"/>
  <c r="W684" i="1"/>
  <c r="U684" i="1"/>
  <c r="W736" i="1"/>
  <c r="U736" i="1"/>
  <c r="U27" i="1"/>
  <c r="W27" i="1"/>
  <c r="U883" i="1"/>
  <c r="W883" i="1"/>
  <c r="U866" i="1"/>
  <c r="W866" i="1"/>
  <c r="U852" i="1"/>
  <c r="W852" i="1"/>
  <c r="U817" i="1"/>
  <c r="W817" i="1"/>
  <c r="U787" i="1"/>
  <c r="W787" i="1"/>
  <c r="U763" i="1"/>
  <c r="W763" i="1"/>
  <c r="U742" i="1"/>
  <c r="W742" i="1"/>
  <c r="W683" i="1"/>
  <c r="U683" i="1"/>
  <c r="W610" i="1"/>
  <c r="U610" i="1"/>
  <c r="U434" i="1"/>
  <c r="W434" i="1"/>
  <c r="U416" i="1"/>
  <c r="W416" i="1"/>
  <c r="U400" i="1"/>
  <c r="W400" i="1"/>
  <c r="U376" i="1"/>
  <c r="W376" i="1"/>
  <c r="U357" i="1"/>
  <c r="W357" i="1"/>
  <c r="U338" i="1"/>
  <c r="W338" i="1"/>
  <c r="W479" i="1"/>
  <c r="U479" i="1"/>
  <c r="W451" i="1"/>
  <c r="U451" i="1"/>
  <c r="W397" i="1"/>
  <c r="U397" i="1"/>
  <c r="W381" i="1"/>
  <c r="U381" i="1"/>
  <c r="W362" i="1"/>
  <c r="U362" i="1"/>
  <c r="W344" i="1"/>
  <c r="U344" i="1"/>
  <c r="U170" i="1"/>
  <c r="W170" i="1"/>
  <c r="U152" i="1"/>
  <c r="W152" i="1"/>
  <c r="U128" i="1"/>
  <c r="W128" i="1"/>
  <c r="U106" i="1"/>
  <c r="W106" i="1"/>
  <c r="U85" i="1"/>
  <c r="W85" i="1"/>
  <c r="U51" i="1"/>
  <c r="W51" i="1"/>
  <c r="U752" i="1"/>
  <c r="W752" i="1"/>
  <c r="W726" i="1"/>
  <c r="U726" i="1"/>
  <c r="W465" i="1"/>
  <c r="U465" i="1"/>
  <c r="V776" i="1"/>
  <c r="R776" i="1"/>
  <c r="S776" i="1" s="1"/>
  <c r="T776" i="1" s="1"/>
  <c r="V110" i="1"/>
  <c r="R110" i="1"/>
  <c r="S110" i="1" s="1"/>
  <c r="T110" i="1" s="1"/>
  <c r="V98" i="1"/>
  <c r="R98" i="1"/>
  <c r="S98" i="1" s="1"/>
  <c r="T98" i="1" s="1"/>
  <c r="U716" i="1"/>
  <c r="W716" i="1"/>
  <c r="W731" i="1"/>
  <c r="U731" i="1"/>
  <c r="U694" i="1"/>
  <c r="W694" i="1"/>
  <c r="U628" i="1"/>
  <c r="W628" i="1"/>
  <c r="W691" i="1"/>
  <c r="U691" i="1"/>
  <c r="V258" i="1"/>
  <c r="R258" i="1"/>
  <c r="S258" i="1" s="1"/>
  <c r="T258" i="1" s="1"/>
  <c r="U878" i="1"/>
  <c r="W878" i="1"/>
  <c r="U851" i="1"/>
  <c r="W851" i="1"/>
  <c r="W820" i="1"/>
  <c r="U820" i="1"/>
  <c r="V791" i="1"/>
  <c r="R791" i="1"/>
  <c r="S791" i="1" s="1"/>
  <c r="T791" i="1" s="1"/>
  <c r="U703" i="1"/>
  <c r="W703" i="1"/>
  <c r="U612" i="1"/>
  <c r="W612" i="1"/>
  <c r="U592" i="1"/>
  <c r="W592" i="1"/>
  <c r="U580" i="1"/>
  <c r="W580" i="1"/>
  <c r="U331" i="1"/>
  <c r="W331" i="1"/>
  <c r="U313" i="1"/>
  <c r="W313" i="1"/>
  <c r="U295" i="1"/>
  <c r="W295" i="1"/>
  <c r="U277" i="1"/>
  <c r="W277" i="1"/>
  <c r="U252" i="1"/>
  <c r="W252" i="1"/>
  <c r="U230" i="1"/>
  <c r="W230" i="1"/>
  <c r="U208" i="1"/>
  <c r="W208" i="1"/>
  <c r="W69" i="1"/>
  <c r="U69" i="1"/>
  <c r="U21" i="1"/>
  <c r="W21" i="1"/>
  <c r="U568" i="1"/>
  <c r="W568" i="1"/>
  <c r="U527" i="1"/>
  <c r="W527" i="1"/>
  <c r="V545" i="1"/>
  <c r="R545" i="1"/>
  <c r="S545" i="1" s="1"/>
  <c r="T545" i="1" s="1"/>
  <c r="U380" i="1"/>
  <c r="W380" i="1"/>
  <c r="U343" i="1"/>
  <c r="W343" i="1"/>
  <c r="W483" i="1"/>
  <c r="U483" i="1"/>
  <c r="W436" i="1"/>
  <c r="U436" i="1"/>
  <c r="W385" i="1"/>
  <c r="U385" i="1"/>
  <c r="W329" i="1"/>
  <c r="U329" i="1"/>
  <c r="U142" i="1"/>
  <c r="W142" i="1"/>
  <c r="U99" i="1"/>
  <c r="W99" i="1"/>
  <c r="W890" i="1"/>
  <c r="A890" i="1"/>
  <c r="U890" i="1"/>
  <c r="W853" i="1"/>
  <c r="U853" i="1"/>
  <c r="W769" i="1"/>
  <c r="U769" i="1"/>
  <c r="U491" i="1"/>
  <c r="W491" i="1"/>
  <c r="W563" i="1"/>
  <c r="U563" i="1"/>
  <c r="W550" i="1"/>
  <c r="U550" i="1"/>
  <c r="W584" i="1"/>
  <c r="U584" i="1"/>
  <c r="W461" i="1"/>
  <c r="U461" i="1"/>
  <c r="W446" i="1"/>
  <c r="U446" i="1"/>
  <c r="W45" i="1"/>
  <c r="U45" i="1"/>
  <c r="U36" i="1"/>
  <c r="W36" i="1"/>
  <c r="U15" i="1"/>
  <c r="W15" i="1"/>
  <c r="V421" i="1"/>
  <c r="R421" i="1"/>
  <c r="S421" i="1" s="1"/>
  <c r="T421" i="1" s="1"/>
  <c r="W185" i="1"/>
  <c r="U185" i="1"/>
  <c r="V162" i="1"/>
  <c r="R162" i="1"/>
  <c r="S162" i="1" s="1"/>
  <c r="T162" i="1" s="1"/>
  <c r="V77" i="1"/>
  <c r="R77" i="1"/>
  <c r="S77" i="1" s="1"/>
  <c r="T77" i="1" s="1"/>
  <c r="W140" i="1"/>
  <c r="U140" i="1"/>
  <c r="W119" i="1"/>
  <c r="U119" i="1"/>
  <c r="W107" i="1"/>
  <c r="U107" i="1"/>
  <c r="W76" i="1"/>
  <c r="U76" i="1"/>
  <c r="W637" i="1"/>
  <c r="U637" i="1"/>
  <c r="W675" i="1"/>
  <c r="U675" i="1"/>
  <c r="W625" i="1"/>
  <c r="U625" i="1"/>
  <c r="W606" i="1"/>
  <c r="U606" i="1"/>
  <c r="U499" i="1"/>
  <c r="W499" i="1"/>
  <c r="U442" i="1"/>
  <c r="W442" i="1"/>
  <c r="U430" i="1"/>
  <c r="W430" i="1"/>
  <c r="U422" i="1"/>
  <c r="W422" i="1"/>
  <c r="U412" i="1"/>
  <c r="W412" i="1"/>
  <c r="U404" i="1"/>
  <c r="W404" i="1"/>
  <c r="U388" i="1"/>
  <c r="W388" i="1"/>
  <c r="U372" i="1"/>
  <c r="W372" i="1"/>
  <c r="U351" i="1"/>
  <c r="W351" i="1"/>
  <c r="W474" i="1"/>
  <c r="U474" i="1"/>
  <c r="W469" i="1"/>
  <c r="U469" i="1"/>
  <c r="W427" i="1"/>
  <c r="U427" i="1"/>
  <c r="W393" i="1"/>
  <c r="U393" i="1"/>
  <c r="W377" i="1"/>
  <c r="U377" i="1"/>
  <c r="W358" i="1"/>
  <c r="U358" i="1"/>
  <c r="W320" i="1"/>
  <c r="U320" i="1"/>
  <c r="V220" i="1"/>
  <c r="R220" i="1"/>
  <c r="S220" i="1" s="1"/>
  <c r="T220" i="1" s="1"/>
  <c r="W205" i="1"/>
  <c r="U205" i="1"/>
  <c r="U176" i="1"/>
  <c r="W176" i="1"/>
  <c r="U164" i="1"/>
  <c r="W164" i="1"/>
  <c r="U148" i="1"/>
  <c r="W148" i="1"/>
  <c r="U135" i="1"/>
  <c r="W135" i="1"/>
  <c r="U100" i="1"/>
  <c r="W100" i="1"/>
  <c r="U80" i="1"/>
  <c r="W80" i="1"/>
  <c r="W201" i="1"/>
  <c r="U201" i="1"/>
  <c r="V782" i="1"/>
  <c r="R782" i="1"/>
  <c r="S782" i="1" s="1"/>
  <c r="T782" i="1" s="1"/>
  <c r="W798" i="1"/>
  <c r="U798" i="1"/>
  <c r="W790" i="1"/>
  <c r="U790" i="1"/>
  <c r="W781" i="1"/>
  <c r="U781" i="1"/>
  <c r="U772" i="1"/>
  <c r="W772" i="1"/>
  <c r="U764" i="1"/>
  <c r="W764" i="1"/>
  <c r="U754" i="1"/>
  <c r="W754" i="1"/>
  <c r="U743" i="1"/>
  <c r="W743" i="1"/>
  <c r="U734" i="1"/>
  <c r="W734" i="1"/>
  <c r="U740" i="1"/>
  <c r="W740" i="1"/>
  <c r="U627" i="1"/>
  <c r="W627" i="1"/>
  <c r="R704" i="1"/>
  <c r="S704" i="1" s="1"/>
  <c r="T704" i="1" s="1"/>
  <c r="V704" i="1"/>
  <c r="V676" i="1"/>
  <c r="R676" i="1"/>
  <c r="S676" i="1" s="1"/>
  <c r="T676" i="1" s="1"/>
  <c r="U565" i="1"/>
  <c r="W565" i="1"/>
  <c r="U553" i="1"/>
  <c r="W553" i="1"/>
  <c r="U544" i="1"/>
  <c r="W544" i="1"/>
  <c r="U532" i="1"/>
  <c r="W532" i="1"/>
  <c r="U524" i="1"/>
  <c r="W524" i="1"/>
  <c r="U515" i="1"/>
  <c r="W515" i="1"/>
  <c r="U504" i="1"/>
  <c r="W504" i="1"/>
  <c r="W569" i="1"/>
  <c r="U569" i="1"/>
  <c r="W586" i="1"/>
  <c r="U586" i="1"/>
  <c r="U482" i="1"/>
  <c r="W482" i="1"/>
  <c r="U473" i="1"/>
  <c r="W473" i="1"/>
  <c r="U458" i="1"/>
  <c r="W458" i="1"/>
  <c r="W432" i="1"/>
  <c r="U432" i="1"/>
  <c r="W424" i="1"/>
  <c r="U424" i="1"/>
  <c r="W414" i="1"/>
  <c r="U414" i="1"/>
  <c r="U22" i="1"/>
  <c r="W22" i="1"/>
  <c r="V130" i="1"/>
  <c r="R130" i="1"/>
  <c r="S130" i="1" s="1"/>
  <c r="T130" i="1" s="1"/>
  <c r="V551" i="1"/>
  <c r="R551" i="1"/>
  <c r="S551" i="1" s="1"/>
  <c r="T551" i="1" s="1"/>
  <c r="W24" i="1"/>
  <c r="U24" i="1"/>
  <c r="U725" i="1"/>
  <c r="W725" i="1"/>
  <c r="W761" i="1"/>
  <c r="U761" i="1"/>
  <c r="W739" i="1"/>
  <c r="U739" i="1"/>
  <c r="U702" i="1"/>
  <c r="W702" i="1"/>
  <c r="U686" i="1"/>
  <c r="W686" i="1"/>
  <c r="U662" i="1"/>
  <c r="W662" i="1"/>
  <c r="U636" i="1"/>
  <c r="W636" i="1"/>
  <c r="U605" i="1"/>
  <c r="W605" i="1"/>
  <c r="U585" i="1"/>
  <c r="W585" i="1"/>
  <c r="W671" i="1"/>
  <c r="U671" i="1"/>
  <c r="W480" i="1"/>
  <c r="U480" i="1"/>
  <c r="V274" i="1"/>
  <c r="R274" i="1"/>
  <c r="S274" i="1" s="1"/>
  <c r="T274" i="1" s="1"/>
  <c r="W266" i="1"/>
  <c r="W33" i="1"/>
  <c r="U33" i="1"/>
  <c r="U190" i="1"/>
  <c r="W190" i="1"/>
  <c r="W38" i="1"/>
  <c r="U38" i="1"/>
  <c r="W18" i="1"/>
  <c r="U18" i="1"/>
  <c r="V886" i="1"/>
  <c r="R886" i="1"/>
  <c r="S886" i="1" s="1"/>
  <c r="T886" i="1" s="1"/>
  <c r="W843" i="1"/>
  <c r="U843" i="1"/>
  <c r="V802" i="1"/>
  <c r="R802" i="1"/>
  <c r="S802" i="1" s="1"/>
  <c r="T802" i="1" s="1"/>
  <c r="U832" i="1"/>
  <c r="W832" i="1"/>
  <c r="U824" i="1"/>
  <c r="W824" i="1"/>
  <c r="U814" i="1"/>
  <c r="W814" i="1"/>
  <c r="W838" i="1"/>
  <c r="U838" i="1"/>
  <c r="U719" i="1"/>
  <c r="W719" i="1"/>
  <c r="W779" i="1"/>
  <c r="U779" i="1"/>
  <c r="W680" i="1"/>
  <c r="U680" i="1"/>
  <c r="W664" i="1"/>
  <c r="U664" i="1"/>
  <c r="W630" i="1"/>
  <c r="U630" i="1"/>
  <c r="W575" i="1"/>
  <c r="U575" i="1"/>
  <c r="V536" i="1"/>
  <c r="R536" i="1"/>
  <c r="S536" i="1" s="1"/>
  <c r="T536" i="1" s="1"/>
  <c r="R495" i="1"/>
  <c r="S495" i="1" s="1"/>
  <c r="T495" i="1" s="1"/>
  <c r="V495" i="1"/>
  <c r="U488" i="1"/>
  <c r="W488" i="1"/>
  <c r="U478" i="1"/>
  <c r="W478" i="1"/>
  <c r="U464" i="1"/>
  <c r="W464" i="1"/>
  <c r="U448" i="1"/>
  <c r="W448" i="1"/>
  <c r="U486" i="1"/>
  <c r="W486" i="1"/>
  <c r="U477" i="1"/>
  <c r="W477" i="1"/>
  <c r="U463" i="1"/>
  <c r="W463" i="1"/>
  <c r="U447" i="1"/>
  <c r="W447" i="1"/>
  <c r="U433" i="1"/>
  <c r="W433" i="1"/>
  <c r="U425" i="1"/>
  <c r="W425" i="1"/>
  <c r="U415" i="1"/>
  <c r="W415" i="1"/>
  <c r="U407" i="1"/>
  <c r="W407" i="1"/>
  <c r="U399" i="1"/>
  <c r="W399" i="1"/>
  <c r="U391" i="1"/>
  <c r="W391" i="1"/>
  <c r="U383" i="1"/>
  <c r="W383" i="1"/>
  <c r="U375" i="1"/>
  <c r="W375" i="1"/>
  <c r="U365" i="1"/>
  <c r="W365" i="1"/>
  <c r="U354" i="1"/>
  <c r="W354" i="1"/>
  <c r="U346" i="1"/>
  <c r="W346" i="1"/>
  <c r="U337" i="1"/>
  <c r="W337" i="1"/>
  <c r="V394" i="1"/>
  <c r="R394" i="1"/>
  <c r="S394" i="1" s="1"/>
  <c r="T394" i="1" s="1"/>
  <c r="V359" i="1"/>
  <c r="R359" i="1"/>
  <c r="S359" i="1" s="1"/>
  <c r="T359" i="1" s="1"/>
  <c r="V443" i="1"/>
  <c r="R443" i="1"/>
  <c r="S443" i="1" s="1"/>
  <c r="T443" i="1" s="1"/>
  <c r="U332" i="1"/>
  <c r="W332" i="1"/>
  <c r="U323" i="1"/>
  <c r="W323" i="1"/>
  <c r="U314" i="1"/>
  <c r="W314" i="1"/>
  <c r="U305" i="1"/>
  <c r="W305" i="1"/>
  <c r="U296" i="1"/>
  <c r="W296" i="1"/>
  <c r="U286" i="1"/>
  <c r="W286" i="1"/>
  <c r="U278" i="1"/>
  <c r="W278" i="1"/>
  <c r="U269" i="1"/>
  <c r="W269" i="1"/>
  <c r="U261" i="1"/>
  <c r="W261" i="1"/>
  <c r="U253" i="1"/>
  <c r="W253" i="1"/>
  <c r="U245" i="1"/>
  <c r="W245" i="1"/>
  <c r="U231" i="1"/>
  <c r="W231" i="1"/>
  <c r="U223" i="1"/>
  <c r="W223" i="1"/>
  <c r="U209" i="1"/>
  <c r="W209" i="1"/>
  <c r="U195" i="1"/>
  <c r="W195" i="1"/>
  <c r="W339" i="1"/>
  <c r="U339" i="1"/>
  <c r="V64" i="1"/>
  <c r="R64" i="1"/>
  <c r="S64" i="1" s="1"/>
  <c r="T64" i="1" s="1"/>
  <c r="W750" i="1"/>
  <c r="U750" i="1"/>
  <c r="W722" i="1"/>
  <c r="U722" i="1"/>
  <c r="U678" i="1"/>
  <c r="W678" i="1"/>
  <c r="W695" i="1"/>
  <c r="U695" i="1"/>
  <c r="U624" i="1"/>
  <c r="W624" i="1"/>
  <c r="U613" i="1"/>
  <c r="W613" i="1"/>
  <c r="U597" i="1"/>
  <c r="W597" i="1"/>
  <c r="W659" i="1"/>
  <c r="U659" i="1"/>
  <c r="W573" i="1"/>
  <c r="U573" i="1"/>
  <c r="U187" i="1"/>
  <c r="W187" i="1"/>
  <c r="U156" i="1"/>
  <c r="W156" i="1"/>
  <c r="U113" i="1"/>
  <c r="W113" i="1"/>
  <c r="U44" i="1"/>
  <c r="W44" i="1"/>
  <c r="W29" i="1"/>
  <c r="U29" i="1"/>
  <c r="W150" i="1"/>
  <c r="U150" i="1"/>
  <c r="W158" i="1"/>
  <c r="U158" i="1"/>
  <c r="W167" i="1"/>
  <c r="U167" i="1"/>
  <c r="W181" i="1"/>
  <c r="U181" i="1"/>
  <c r="W207" i="1"/>
  <c r="U207" i="1"/>
  <c r="W308" i="1"/>
  <c r="U308" i="1"/>
  <c r="W334" i="1"/>
  <c r="U334" i="1"/>
  <c r="W345" i="1"/>
  <c r="U345" i="1"/>
  <c r="W363" i="1"/>
  <c r="U363" i="1"/>
  <c r="W382" i="1"/>
  <c r="U382" i="1"/>
  <c r="W398" i="1"/>
  <c r="U398" i="1"/>
  <c r="W476" i="1"/>
  <c r="U476" i="1"/>
  <c r="W485" i="1"/>
  <c r="U485" i="1"/>
  <c r="W579" i="1"/>
  <c r="U579" i="1"/>
  <c r="W864" i="1"/>
  <c r="U864" i="1"/>
  <c r="W46" i="1"/>
  <c r="U46" i="1"/>
  <c r="W82" i="1"/>
  <c r="U82" i="1"/>
  <c r="W104" i="1"/>
  <c r="U104" i="1"/>
  <c r="W137" i="1"/>
  <c r="U137" i="1"/>
  <c r="W211" i="1"/>
  <c r="U211" i="1"/>
  <c r="W326" i="1"/>
  <c r="U326" i="1"/>
  <c r="W696" i="1"/>
  <c r="U696" i="1"/>
  <c r="W688" i="1"/>
  <c r="U688" i="1"/>
  <c r="W714" i="1"/>
  <c r="U714" i="1"/>
  <c r="W732" i="1"/>
  <c r="U732" i="1"/>
  <c r="W741" i="1"/>
  <c r="U741" i="1"/>
  <c r="U775" i="1"/>
  <c r="W775" i="1"/>
  <c r="W718" i="1"/>
  <c r="U718" i="1"/>
  <c r="U771" i="1"/>
  <c r="W771" i="1"/>
  <c r="W336" i="1"/>
  <c r="U336" i="1"/>
  <c r="U577" i="1"/>
  <c r="W577" i="1"/>
  <c r="U708" i="1"/>
  <c r="W708" i="1"/>
  <c r="U862" i="1"/>
  <c r="W862" i="1"/>
  <c r="U31" i="1"/>
  <c r="W31" i="1"/>
  <c r="W41" i="1"/>
  <c r="U41" i="1"/>
  <c r="W189" i="1"/>
  <c r="U189" i="1"/>
  <c r="W710" i="1"/>
  <c r="U710" i="1"/>
  <c r="W839" i="1"/>
  <c r="U839" i="1"/>
  <c r="U721" i="1"/>
  <c r="W721" i="1"/>
  <c r="W765" i="1"/>
  <c r="U765" i="1"/>
  <c r="W744" i="1"/>
  <c r="U744" i="1"/>
  <c r="W727" i="1"/>
  <c r="U727" i="1"/>
  <c r="W705" i="1"/>
  <c r="U705" i="1"/>
  <c r="U690" i="1"/>
  <c r="W690" i="1"/>
  <c r="U674" i="1"/>
  <c r="W674" i="1"/>
  <c r="U658" i="1"/>
  <c r="W658" i="1"/>
  <c r="W679" i="1"/>
  <c r="U679" i="1"/>
  <c r="W629" i="1"/>
  <c r="U629" i="1"/>
  <c r="U609" i="1"/>
  <c r="W609" i="1"/>
  <c r="U589" i="1"/>
  <c r="W589" i="1"/>
  <c r="U552" i="1"/>
  <c r="W552" i="1"/>
  <c r="U531" i="1"/>
  <c r="W531" i="1"/>
  <c r="U514" i="1"/>
  <c r="W514" i="1"/>
  <c r="V141" i="1"/>
  <c r="R141" i="1"/>
  <c r="S141" i="1" s="1"/>
  <c r="T141" i="1" s="1"/>
  <c r="U737" i="1"/>
  <c r="W737" i="1"/>
  <c r="W546" i="1"/>
  <c r="U546" i="1"/>
  <c r="W444" i="1"/>
  <c r="U444" i="1"/>
  <c r="U35" i="1"/>
  <c r="W35" i="1"/>
  <c r="W859" i="1"/>
  <c r="U859" i="1"/>
  <c r="U701" i="1"/>
  <c r="W701" i="1"/>
  <c r="U693" i="1"/>
  <c r="W693" i="1"/>
  <c r="U685" i="1"/>
  <c r="W685" i="1"/>
  <c r="U677" i="1"/>
  <c r="W677" i="1"/>
  <c r="U669" i="1"/>
  <c r="W669" i="1"/>
  <c r="U661" i="1"/>
  <c r="W661" i="1"/>
  <c r="U635" i="1"/>
  <c r="W635" i="1"/>
  <c r="W667" i="1"/>
  <c r="U667" i="1"/>
  <c r="W530" i="1"/>
  <c r="U530" i="1"/>
  <c r="W522" i="1"/>
  <c r="U522" i="1"/>
  <c r="W513" i="1"/>
  <c r="U513" i="1"/>
  <c r="W502" i="1"/>
  <c r="U502" i="1"/>
  <c r="W496" i="1"/>
  <c r="U496" i="1"/>
  <c r="U472" i="1"/>
  <c r="W472" i="1"/>
  <c r="U438" i="1"/>
  <c r="W438" i="1"/>
  <c r="U419" i="1"/>
  <c r="W419" i="1"/>
  <c r="U403" i="1"/>
  <c r="W403" i="1"/>
  <c r="U395" i="1"/>
  <c r="W395" i="1"/>
  <c r="U379" i="1"/>
  <c r="W379" i="1"/>
  <c r="U371" i="1"/>
  <c r="W371" i="1"/>
  <c r="U360" i="1"/>
  <c r="W360" i="1"/>
  <c r="U350" i="1"/>
  <c r="W350" i="1"/>
  <c r="U341" i="1"/>
  <c r="W341" i="1"/>
  <c r="U328" i="1"/>
  <c r="W328" i="1"/>
  <c r="U319" i="1"/>
  <c r="W319" i="1"/>
  <c r="U300" i="1"/>
  <c r="W300" i="1"/>
  <c r="U282" i="1"/>
  <c r="W282" i="1"/>
  <c r="U265" i="1"/>
  <c r="W265" i="1"/>
  <c r="U249" i="1"/>
  <c r="W249" i="1"/>
  <c r="U227" i="1"/>
  <c r="W227" i="1"/>
  <c r="U204" i="1"/>
  <c r="W204" i="1"/>
  <c r="V108" i="1"/>
  <c r="R108" i="1"/>
  <c r="S108" i="1" s="1"/>
  <c r="T108" i="1" s="1"/>
  <c r="V626" i="1"/>
  <c r="R626" i="1"/>
  <c r="S626" i="1" s="1"/>
  <c r="T626" i="1" s="1"/>
  <c r="W614" i="1"/>
  <c r="U614" i="1"/>
  <c r="V236" i="1"/>
  <c r="R236" i="1"/>
  <c r="S236" i="1" s="1"/>
  <c r="T236" i="1" s="1"/>
  <c r="U124" i="1"/>
  <c r="W124" i="1"/>
  <c r="U56" i="1"/>
  <c r="W56" i="1"/>
  <c r="U89" i="1"/>
  <c r="W89" i="1"/>
  <c r="V877" i="1"/>
  <c r="R877" i="1"/>
  <c r="S877" i="1" s="1"/>
  <c r="T877" i="1" s="1"/>
  <c r="W867" i="1"/>
  <c r="U867" i="1"/>
  <c r="W857" i="1"/>
  <c r="U857" i="1"/>
  <c r="U833" i="1"/>
  <c r="W833" i="1"/>
  <c r="V829" i="1"/>
  <c r="R829" i="1"/>
  <c r="S829" i="1" s="1"/>
  <c r="T829" i="1" s="1"/>
  <c r="U803" i="1"/>
  <c r="W803" i="1"/>
  <c r="W880" i="1"/>
  <c r="U880" i="1"/>
  <c r="W872" i="1"/>
  <c r="U872" i="1"/>
  <c r="U837" i="1"/>
  <c r="W837" i="1"/>
  <c r="W826" i="1"/>
  <c r="U826" i="1"/>
  <c r="W816" i="1"/>
  <c r="U816" i="1"/>
  <c r="W808" i="1"/>
  <c r="U808" i="1"/>
  <c r="W806" i="1"/>
  <c r="U806" i="1"/>
  <c r="U793" i="1"/>
  <c r="W793" i="1"/>
  <c r="U784" i="1"/>
  <c r="W784" i="1"/>
  <c r="W778" i="1"/>
  <c r="U778" i="1"/>
  <c r="U709" i="1"/>
  <c r="W709" i="1"/>
  <c r="U616" i="1"/>
  <c r="W616" i="1"/>
  <c r="U608" i="1"/>
  <c r="W608" i="1"/>
  <c r="U600" i="1"/>
  <c r="W600" i="1"/>
  <c r="U588" i="1"/>
  <c r="W588" i="1"/>
  <c r="V525" i="1"/>
  <c r="R525" i="1"/>
  <c r="S525" i="1" s="1"/>
  <c r="T525" i="1" s="1"/>
  <c r="V386" i="1"/>
  <c r="R386" i="1"/>
  <c r="S386" i="1" s="1"/>
  <c r="T386" i="1" s="1"/>
  <c r="V349" i="1"/>
  <c r="R349" i="1"/>
  <c r="S349" i="1" s="1"/>
  <c r="T349" i="1" s="1"/>
  <c r="W335" i="1"/>
  <c r="U335" i="1"/>
  <c r="W298" i="1"/>
  <c r="U298" i="1"/>
  <c r="W289" i="1"/>
  <c r="U289" i="1"/>
  <c r="W280" i="1"/>
  <c r="U280" i="1"/>
  <c r="W271" i="1"/>
  <c r="U271" i="1"/>
  <c r="W263" i="1"/>
  <c r="U263" i="1"/>
  <c r="W255" i="1"/>
  <c r="U255" i="1"/>
  <c r="W233" i="1"/>
  <c r="U233" i="1"/>
  <c r="W225" i="1"/>
  <c r="U225" i="1"/>
  <c r="W180" i="1"/>
  <c r="U180" i="1"/>
  <c r="W165" i="1"/>
  <c r="U165" i="1"/>
  <c r="W157" i="1"/>
  <c r="U157" i="1"/>
  <c r="W149" i="1"/>
  <c r="U149" i="1"/>
  <c r="W136" i="1"/>
  <c r="U136" i="1"/>
  <c r="W125" i="1"/>
  <c r="U125" i="1"/>
  <c r="W114" i="1"/>
  <c r="U114" i="1"/>
  <c r="W101" i="1"/>
  <c r="U101" i="1"/>
  <c r="W93" i="1"/>
  <c r="U93" i="1"/>
  <c r="W81" i="1"/>
  <c r="U81" i="1"/>
  <c r="W57" i="1"/>
  <c r="U57" i="1"/>
  <c r="W32" i="1"/>
  <c r="U32" i="1"/>
  <c r="V276" i="1"/>
  <c r="R276" i="1"/>
  <c r="S276" i="1" s="1"/>
  <c r="T276" i="1" s="1"/>
  <c r="U168" i="1"/>
  <c r="W168" i="1"/>
  <c r="W599" i="1"/>
  <c r="U599" i="1"/>
  <c r="W556" i="1"/>
  <c r="U556" i="1"/>
  <c r="V582" i="1"/>
  <c r="R582" i="1"/>
  <c r="S582" i="1" s="1"/>
  <c r="T582" i="1" s="1"/>
  <c r="U23" i="1"/>
  <c r="W23" i="1"/>
  <c r="W37" i="1"/>
  <c r="U37" i="1"/>
  <c r="W572" i="1"/>
  <c r="U572" i="1"/>
  <c r="W417" i="1"/>
  <c r="U417" i="1"/>
  <c r="W123" i="1" l="1"/>
  <c r="U500" i="1"/>
  <c r="U587" i="1"/>
  <c r="U559" i="1"/>
  <c r="U848" i="1"/>
  <c r="U364" i="1"/>
  <c r="W554" i="1"/>
  <c r="U554" i="1"/>
  <c r="U607" i="1"/>
  <c r="W607" i="1"/>
  <c r="U88" i="1"/>
  <c r="W88" i="1"/>
  <c r="U582" i="1"/>
  <c r="W582" i="1"/>
  <c r="U276" i="1"/>
  <c r="W276" i="1"/>
  <c r="U64" i="1"/>
  <c r="W64" i="1"/>
  <c r="U66" i="1"/>
  <c r="W66" i="1"/>
  <c r="W61" i="1"/>
  <c r="U61" i="1"/>
  <c r="W421" i="1"/>
  <c r="U421" i="1"/>
  <c r="U551" i="1"/>
  <c r="W551" i="1"/>
  <c r="W110" i="1"/>
  <c r="U110" i="1"/>
  <c r="U120" i="1"/>
  <c r="W120" i="1"/>
  <c r="W58" i="1"/>
  <c r="U58" i="1"/>
  <c r="W877" i="1"/>
  <c r="U877" i="1"/>
  <c r="W236" i="1"/>
  <c r="U236" i="1"/>
  <c r="W626" i="1"/>
  <c r="U626" i="1"/>
  <c r="W108" i="1"/>
  <c r="U108" i="1"/>
  <c r="W141" i="1"/>
  <c r="U141" i="1"/>
  <c r="W443" i="1"/>
  <c r="U443" i="1"/>
  <c r="W536" i="1"/>
  <c r="U536" i="1"/>
  <c r="W274" i="1"/>
  <c r="U274" i="1"/>
  <c r="W154" i="1"/>
  <c r="U154" i="1"/>
  <c r="W378" i="1"/>
  <c r="U378" i="1"/>
  <c r="W566" i="1"/>
  <c r="U566" i="1"/>
  <c r="W87" i="1"/>
  <c r="U87" i="1"/>
  <c r="W174" i="1"/>
  <c r="U174" i="1"/>
  <c r="W292" i="1"/>
  <c r="U292" i="1"/>
  <c r="W359" i="1"/>
  <c r="U359" i="1"/>
  <c r="W394" i="1"/>
  <c r="U394" i="1"/>
  <c r="W130" i="1"/>
  <c r="U130" i="1"/>
  <c r="W676" i="1"/>
  <c r="U676" i="1"/>
  <c r="W545" i="1"/>
  <c r="U545" i="1"/>
  <c r="W505" i="1"/>
  <c r="U505" i="1"/>
  <c r="W656" i="1"/>
  <c r="U656" i="1"/>
  <c r="U490" i="1"/>
  <c r="W490" i="1"/>
  <c r="W700" i="1"/>
  <c r="U700" i="1"/>
  <c r="W850" i="1"/>
  <c r="U850" i="1"/>
  <c r="W868" i="1"/>
  <c r="U868" i="1"/>
  <c r="W829" i="1"/>
  <c r="U829" i="1"/>
  <c r="W886" i="1"/>
  <c r="U886" i="1"/>
  <c r="W220" i="1"/>
  <c r="U220" i="1"/>
  <c r="W776" i="1"/>
  <c r="U776" i="1"/>
  <c r="W370" i="1"/>
  <c r="U370" i="1"/>
  <c r="W402" i="1"/>
  <c r="U402" i="1"/>
  <c r="W692" i="1"/>
  <c r="U692" i="1"/>
  <c r="W860" i="1"/>
  <c r="U860" i="1"/>
  <c r="U213" i="1"/>
  <c r="W213" i="1"/>
  <c r="W84" i="1"/>
  <c r="U84" i="1"/>
  <c r="W795" i="1"/>
  <c r="U795" i="1"/>
  <c r="W53" i="1"/>
  <c r="U53" i="1"/>
  <c r="W858" i="1"/>
  <c r="U858" i="1"/>
  <c r="W311" i="1"/>
  <c r="U311" i="1"/>
  <c r="W525" i="1"/>
  <c r="U525" i="1"/>
  <c r="W349" i="1"/>
  <c r="U349" i="1"/>
  <c r="W386" i="1"/>
  <c r="U386" i="1"/>
  <c r="W495" i="1"/>
  <c r="U495" i="1"/>
  <c r="W802" i="1"/>
  <c r="U802" i="1"/>
  <c r="W704" i="1"/>
  <c r="U704" i="1"/>
  <c r="W782" i="1"/>
  <c r="U782" i="1"/>
  <c r="W77" i="1"/>
  <c r="U77" i="1"/>
  <c r="W162" i="1"/>
  <c r="U162" i="1"/>
  <c r="W791" i="1"/>
  <c r="U791" i="1"/>
  <c r="W258" i="1"/>
  <c r="U258" i="1"/>
  <c r="W98" i="1"/>
  <c r="U98" i="1"/>
  <c r="W811" i="1"/>
  <c r="U811" i="1"/>
  <c r="W517" i="1"/>
  <c r="U517" i="1"/>
  <c r="W819" i="1"/>
  <c r="U819" i="1"/>
  <c r="W672" i="1"/>
  <c r="U672" i="1"/>
  <c r="W122" i="1"/>
  <c r="U122" i="1"/>
  <c r="W706" i="1"/>
  <c r="U706" i="1"/>
  <c r="A782" i="1" l="1"/>
  <c r="A819" i="1"/>
  <c r="A858" i="1"/>
  <c r="A98" i="1"/>
  <c r="A692" i="1"/>
  <c r="A220" i="1"/>
  <c r="A505" i="1"/>
  <c r="A292" i="1"/>
  <c r="A791" i="1"/>
  <c r="A77" i="1"/>
  <c r="A71" i="1"/>
  <c r="A536" i="1"/>
  <c r="A676" i="1"/>
  <c r="A704" i="1"/>
  <c r="A349" i="1"/>
  <c r="A311" i="1"/>
  <c r="A877" i="1"/>
  <c r="A860" i="1"/>
  <c r="A402" i="1"/>
  <c r="A850" i="1"/>
  <c r="A258" i="1"/>
  <c r="A495" i="1"/>
  <c r="A386" i="1"/>
  <c r="A672" i="1"/>
  <c r="A490" i="1"/>
  <c r="A829" i="1"/>
  <c r="A394" i="1"/>
  <c r="A87" i="1"/>
  <c r="A378" i="1"/>
  <c r="A274" i="1"/>
  <c r="A443" i="1"/>
  <c r="A108" i="1"/>
  <c r="A236" i="1"/>
  <c r="A868" i="1"/>
  <c r="A174" i="1"/>
  <c r="A141" i="1"/>
  <c r="A275" i="1"/>
  <c r="A844" i="1"/>
  <c r="A122" i="1"/>
  <c r="A162" i="1"/>
  <c r="A802" i="1"/>
  <c r="A795" i="1"/>
  <c r="A370" i="1"/>
  <c r="A700" i="1"/>
  <c r="A359" i="1"/>
  <c r="A566" i="1"/>
  <c r="A626" i="1"/>
  <c r="A283" i="1"/>
  <c r="A186" i="1"/>
  <c r="A818" i="1"/>
  <c r="A788" i="1"/>
  <c r="A715" i="1"/>
  <c r="A284" i="1"/>
  <c r="A251" i="1"/>
  <c r="A340" i="1"/>
  <c r="A184" i="1"/>
  <c r="A129" i="1"/>
  <c r="A767" i="1"/>
  <c r="A607" i="1"/>
  <c r="A20" i="1"/>
  <c r="A792" i="1"/>
  <c r="A794" i="1"/>
  <c r="A749" i="1"/>
  <c r="A528" i="1"/>
  <c r="A327" i="1"/>
  <c r="A290" i="1"/>
  <c r="A256" i="1"/>
  <c r="A218" i="1"/>
  <c r="A109" i="1"/>
  <c r="A501" i="1"/>
  <c r="A232" i="1"/>
  <c r="A306" i="1"/>
  <c r="A540" i="1"/>
  <c r="A321" i="1"/>
  <c r="A745" i="1"/>
  <c r="A809" i="1"/>
  <c r="A590" i="1"/>
  <c r="A384" i="1"/>
  <c r="A500" i="1"/>
  <c r="A373" i="1"/>
  <c r="A682" i="1"/>
  <c r="A663" i="1"/>
  <c r="A617" i="1"/>
  <c r="A543" i="1"/>
  <c r="A711" i="1"/>
  <c r="A876" i="1"/>
  <c r="A457" i="1"/>
  <c r="A310" i="1"/>
  <c r="A235" i="1"/>
  <c r="A598" i="1"/>
  <c r="A847" i="1"/>
  <c r="A182" i="1"/>
  <c r="A138" i="1"/>
  <c r="A95" i="1"/>
  <c r="A91" i="1"/>
  <c r="A834" i="1"/>
  <c r="A828" i="1"/>
  <c r="A797" i="1"/>
  <c r="A724" i="1"/>
  <c r="A294" i="1"/>
  <c r="A259" i="1"/>
  <c r="A192" i="1"/>
  <c r="A153" i="1"/>
  <c r="A52" i="1"/>
  <c r="A40" i="1"/>
  <c r="A813" i="1"/>
  <c r="A874" i="1"/>
  <c r="A805" i="1"/>
  <c r="A799" i="1"/>
  <c r="A712" i="1"/>
  <c r="A717" i="1"/>
  <c r="A698" i="1"/>
  <c r="A687" i="1"/>
  <c r="A564" i="1"/>
  <c r="A770" i="1"/>
  <c r="A471" i="1"/>
  <c r="A541" i="1"/>
  <c r="A481" i="1"/>
  <c r="A387" i="1"/>
  <c r="A257" i="1"/>
  <c r="A199" i="1"/>
  <c r="A191" i="1"/>
  <c r="A699" i="1"/>
  <c r="A200" i="1"/>
  <c r="A151" i="1"/>
  <c r="A105" i="1"/>
  <c r="A47" i="1"/>
  <c r="A43" i="1"/>
  <c r="A34" i="1"/>
  <c r="A134" i="1"/>
  <c r="A836" i="1"/>
  <c r="A302" i="1"/>
  <c r="A267" i="1"/>
  <c r="A229" i="1"/>
  <c r="A188" i="1"/>
  <c r="A161" i="1"/>
  <c r="A86" i="1"/>
  <c r="A729" i="1"/>
  <c r="A554" i="1"/>
  <c r="A821" i="1"/>
  <c r="A863" i="1"/>
  <c r="A539" i="1"/>
  <c r="A264" i="1"/>
  <c r="A194" i="1"/>
  <c r="A510" i="1"/>
  <c r="A16" i="1"/>
  <c r="A431" i="1"/>
  <c r="A456" i="1"/>
  <c r="A827" i="1"/>
  <c r="A160" i="1"/>
  <c r="A96" i="1"/>
  <c r="A304" i="1"/>
  <c r="A260" i="1"/>
  <c r="A28" i="1"/>
  <c r="A78" i="1"/>
  <c r="A846" i="1"/>
  <c r="A707" i="1"/>
  <c r="A697" i="1"/>
  <c r="A30" i="1"/>
  <c r="A489" i="1"/>
  <c r="A288" i="1"/>
  <c r="A815" i="1"/>
  <c r="A602" i="1"/>
  <c r="A841" i="1"/>
  <c r="A773" i="1"/>
  <c r="A623" i="1"/>
  <c r="A361" i="1"/>
  <c r="A367" i="1"/>
  <c r="A845" i="1"/>
  <c r="A262" i="1"/>
  <c r="A116" i="1"/>
  <c r="A406" i="1"/>
  <c r="A69" i="1"/>
  <c r="A606" i="1"/>
  <c r="A351" i="1"/>
  <c r="A135" i="1"/>
  <c r="A764" i="1"/>
  <c r="A504" i="1"/>
  <c r="A473" i="1"/>
  <c r="A702" i="1"/>
  <c r="A480" i="1"/>
  <c r="A38" i="1"/>
  <c r="A779" i="1"/>
  <c r="A575" i="1"/>
  <c r="A486" i="1"/>
  <c r="A399" i="1"/>
  <c r="A332" i="1"/>
  <c r="A261" i="1"/>
  <c r="A339" i="1"/>
  <c r="A678" i="1"/>
  <c r="A156" i="1"/>
  <c r="A29" i="1"/>
  <c r="A476" i="1"/>
  <c r="A46" i="1"/>
  <c r="A760" i="1"/>
  <c r="A578" i="1"/>
  <c r="A299" i="1"/>
  <c r="A226" i="1"/>
  <c r="A413" i="1"/>
  <c r="A270" i="1"/>
  <c r="A409" i="1"/>
  <c r="A733" i="1"/>
  <c r="A618" i="1"/>
  <c r="A392" i="1"/>
  <c r="A389" i="1"/>
  <c r="A812" i="1"/>
  <c r="A222" i="1"/>
  <c r="A560" i="1"/>
  <c r="A396" i="1"/>
  <c r="A401" i="1"/>
  <c r="A301" i="1"/>
  <c r="A175" i="1"/>
  <c r="A879" i="1"/>
  <c r="A855" i="1"/>
  <c r="A689" i="1"/>
  <c r="A681" i="1"/>
  <c r="A537" i="1"/>
  <c r="A246" i="1"/>
  <c r="A297" i="1"/>
  <c r="A94" i="1"/>
  <c r="A312" i="1"/>
  <c r="A316" i="1"/>
  <c r="A390" i="1"/>
  <c r="A603" i="1"/>
  <c r="A684" i="1"/>
  <c r="A883" i="1"/>
  <c r="A400" i="1"/>
  <c r="A381" i="1"/>
  <c r="A128" i="1"/>
  <c r="A731" i="1"/>
  <c r="A694" i="1"/>
  <c r="A851" i="1"/>
  <c r="A592" i="1"/>
  <c r="A295" i="1"/>
  <c r="A208" i="1"/>
  <c r="A527" i="1"/>
  <c r="A483" i="1"/>
  <c r="A99" i="1"/>
  <c r="A769" i="1"/>
  <c r="A491" i="1"/>
  <c r="A185" i="1"/>
  <c r="A76" i="1"/>
  <c r="A499" i="1"/>
  <c r="A412" i="1"/>
  <c r="A427" i="1"/>
  <c r="A320" i="1"/>
  <c r="A201" i="1"/>
  <c r="A544" i="1"/>
  <c r="A424" i="1"/>
  <c r="A739" i="1"/>
  <c r="A605" i="1"/>
  <c r="A814" i="1"/>
  <c r="A488" i="1"/>
  <c r="A433" i="1"/>
  <c r="A365" i="1"/>
  <c r="A296" i="1"/>
  <c r="A223" i="1"/>
  <c r="A722" i="1"/>
  <c r="A597" i="1"/>
  <c r="A181" i="1"/>
  <c r="A345" i="1"/>
  <c r="A211" i="1"/>
  <c r="A882" i="1"/>
  <c r="A777" i="1"/>
  <c r="A768" i="1"/>
  <c r="A163" i="1"/>
  <c r="A210" i="1"/>
  <c r="A521" i="1"/>
  <c r="A668" i="1"/>
  <c r="A139" i="1"/>
  <c r="A285" i="1"/>
  <c r="A418" i="1"/>
  <c r="A825" i="1"/>
  <c r="A758" i="1"/>
  <c r="A873" i="1"/>
  <c r="A329" i="1"/>
  <c r="A142" i="1"/>
  <c r="A853" i="1"/>
  <c r="A550" i="1"/>
  <c r="A584" i="1"/>
  <c r="A45" i="1"/>
  <c r="A107" i="1"/>
  <c r="A625" i="1"/>
  <c r="A422" i="1"/>
  <c r="A372" i="1"/>
  <c r="A358" i="1"/>
  <c r="A148" i="1"/>
  <c r="A781" i="1"/>
  <c r="A772" i="1"/>
  <c r="A734" i="1"/>
  <c r="A553" i="1"/>
  <c r="A515" i="1"/>
  <c r="A586" i="1"/>
  <c r="A482" i="1"/>
  <c r="A432" i="1"/>
  <c r="A761" i="1"/>
  <c r="A636" i="1"/>
  <c r="A723" i="1"/>
  <c r="A763" i="1"/>
  <c r="A716" i="1"/>
  <c r="A820" i="1"/>
  <c r="A252" i="1"/>
  <c r="A343" i="1"/>
  <c r="A563" i="1"/>
  <c r="A388" i="1"/>
  <c r="A790" i="1"/>
  <c r="A743" i="1"/>
  <c r="A22" i="1"/>
  <c r="A662" i="1"/>
  <c r="A671" i="1"/>
  <c r="A824" i="1"/>
  <c r="A448" i="1"/>
  <c r="A407" i="1"/>
  <c r="A305" i="1"/>
  <c r="A231" i="1"/>
  <c r="A334" i="1"/>
  <c r="A864" i="1"/>
  <c r="A765" i="1"/>
  <c r="A35" i="1"/>
  <c r="A685" i="1"/>
  <c r="A661" i="1"/>
  <c r="A341" i="1"/>
  <c r="A808" i="1"/>
  <c r="A289" i="1"/>
  <c r="A81" i="1"/>
  <c r="A518" i="1"/>
  <c r="A85" i="1"/>
  <c r="A580" i="1"/>
  <c r="A843" i="1"/>
  <c r="A463" i="1"/>
  <c r="A613" i="1"/>
  <c r="A158" i="1"/>
  <c r="A714" i="1"/>
  <c r="A472" i="1"/>
  <c r="A227" i="1"/>
  <c r="A608" i="1"/>
  <c r="A180" i="1"/>
  <c r="A556" i="1"/>
  <c r="A657" i="1"/>
  <c r="A202" i="1"/>
  <c r="A852" i="1"/>
  <c r="A451" i="1"/>
  <c r="A446" i="1"/>
  <c r="A565" i="1"/>
  <c r="A630" i="1"/>
  <c r="A750" i="1"/>
  <c r="A189" i="1"/>
  <c r="A514" i="1"/>
  <c r="A444" i="1"/>
  <c r="A379" i="1"/>
  <c r="A857" i="1"/>
  <c r="A833" i="1"/>
  <c r="A872" i="1"/>
  <c r="A588" i="1"/>
  <c r="A125" i="1"/>
  <c r="A395" i="1"/>
  <c r="A867" i="1"/>
  <c r="A880" i="1"/>
  <c r="A778" i="1"/>
  <c r="A600" i="1"/>
  <c r="A165" i="1"/>
  <c r="A423" i="1"/>
  <c r="A728" i="1"/>
  <c r="A357" i="1"/>
  <c r="A331" i="1"/>
  <c r="A430" i="1"/>
  <c r="A377" i="1"/>
  <c r="A659" i="1"/>
  <c r="A382" i="1"/>
  <c r="A708" i="1"/>
  <c r="A552" i="1"/>
  <c r="A496" i="1"/>
  <c r="A282" i="1"/>
  <c r="A428" i="1"/>
  <c r="A549" i="1"/>
  <c r="A193" i="1"/>
  <c r="A840" i="1"/>
  <c r="A610" i="1"/>
  <c r="A434" i="1"/>
  <c r="A344" i="1"/>
  <c r="A170" i="1"/>
  <c r="A385" i="1"/>
  <c r="A119" i="1"/>
  <c r="A474" i="1"/>
  <c r="A164" i="1"/>
  <c r="A524" i="1"/>
  <c r="A33" i="1"/>
  <c r="A190" i="1"/>
  <c r="A664" i="1"/>
  <c r="A447" i="1"/>
  <c r="A375" i="1"/>
  <c r="A269" i="1"/>
  <c r="A187" i="1"/>
  <c r="A167" i="1"/>
  <c r="A398" i="1"/>
  <c r="A137" i="1"/>
  <c r="A718" i="1"/>
  <c r="A771" i="1"/>
  <c r="A862" i="1"/>
  <c r="A41" i="1"/>
  <c r="A839" i="1"/>
  <c r="A721" i="1"/>
  <c r="A629" i="1"/>
  <c r="A609" i="1"/>
  <c r="A531" i="1"/>
  <c r="A859" i="1"/>
  <c r="A701" i="1"/>
  <c r="A677" i="1"/>
  <c r="A438" i="1"/>
  <c r="A360" i="1"/>
  <c r="A204" i="1"/>
  <c r="A826" i="1"/>
  <c r="A709" i="1"/>
  <c r="A136" i="1"/>
  <c r="A101" i="1"/>
  <c r="A622" i="1"/>
  <c r="A675" i="1"/>
  <c r="A80" i="1"/>
  <c r="A383" i="1"/>
  <c r="A278" i="1"/>
  <c r="A104" i="1"/>
  <c r="A674" i="1"/>
  <c r="A522" i="1"/>
  <c r="A403" i="1"/>
  <c r="A56" i="1"/>
  <c r="A255" i="1"/>
  <c r="A573" i="1"/>
  <c r="A679" i="1"/>
  <c r="A803" i="1"/>
  <c r="A149" i="1"/>
  <c r="A37" i="1"/>
  <c r="A159" i="1"/>
  <c r="A783" i="1"/>
  <c r="A574" i="1"/>
  <c r="A196" i="1"/>
  <c r="A492" i="1"/>
  <c r="A632" i="1"/>
  <c r="A127" i="1"/>
  <c r="A706" i="1"/>
  <c r="A517" i="1"/>
  <c r="A53" i="1"/>
  <c r="A429" i="1"/>
  <c r="A117" i="1"/>
  <c r="A785" i="1"/>
  <c r="A796" i="1"/>
  <c r="A547" i="1"/>
  <c r="A780" i="1"/>
  <c r="A172" i="1"/>
  <c r="A807" i="1"/>
  <c r="A118" i="1"/>
  <c r="A39" i="1"/>
  <c r="A503" i="1"/>
  <c r="A273" i="1"/>
  <c r="A83" i="1"/>
  <c r="A738" i="1"/>
  <c r="A875" i="1"/>
  <c r="A507" i="1"/>
  <c r="A817" i="1"/>
  <c r="A228" i="1"/>
  <c r="A587" i="1"/>
  <c r="A254" i="1"/>
  <c r="A604" i="1"/>
  <c r="A126" i="1"/>
  <c r="A333" i="1"/>
  <c r="A315" i="1"/>
  <c r="A611" i="1"/>
  <c r="A106" i="1"/>
  <c r="A637" i="1"/>
  <c r="A205" i="1"/>
  <c r="A477" i="1"/>
  <c r="A150" i="1"/>
  <c r="A589" i="1"/>
  <c r="A157" i="1"/>
  <c r="A176" i="1"/>
  <c r="A72" i="1"/>
  <c r="A19" i="1"/>
  <c r="A338" i="1"/>
  <c r="A277" i="1"/>
  <c r="A754" i="1"/>
  <c r="A18" i="1"/>
  <c r="A265" i="1"/>
  <c r="A328" i="1"/>
  <c r="A730" i="1"/>
  <c r="A347" i="1"/>
  <c r="A26" i="1"/>
  <c r="A362" i="1"/>
  <c r="A680" i="1"/>
  <c r="A511" i="1"/>
  <c r="A673" i="1"/>
  <c r="A742" i="1"/>
  <c r="A568" i="1"/>
  <c r="A24" i="1"/>
  <c r="A354" i="1"/>
  <c r="A207" i="1"/>
  <c r="A335" i="1"/>
  <c r="A183" i="1"/>
  <c r="A529" i="1"/>
  <c r="A737" i="1"/>
  <c r="A415" i="1"/>
  <c r="A775" i="1"/>
  <c r="A124" i="1"/>
  <c r="A696" i="1"/>
  <c r="A693" i="1"/>
  <c r="A225" i="1"/>
  <c r="A245" i="1"/>
  <c r="A530" i="1"/>
  <c r="A719" i="1"/>
  <c r="A319" i="1"/>
  <c r="A263" i="1"/>
  <c r="A656" i="1"/>
  <c r="A666" i="1"/>
  <c r="A755" i="1"/>
  <c r="A324" i="1"/>
  <c r="A92" i="1"/>
  <c r="A561" i="1"/>
  <c r="A512" i="1"/>
  <c r="A155" i="1"/>
  <c r="A562" i="1"/>
  <c r="A591" i="1"/>
  <c r="A854" i="1"/>
  <c r="A878" i="1"/>
  <c r="A391" i="1"/>
  <c r="A419" i="1"/>
  <c r="A569" i="1"/>
  <c r="A197" i="1"/>
  <c r="A380" i="1"/>
  <c r="A793" i="1"/>
  <c r="A272" i="1"/>
  <c r="A670" i="1"/>
  <c r="A70" i="1"/>
  <c r="A337" i="1"/>
  <c r="A250" i="1"/>
  <c r="A224" i="1"/>
  <c r="A479" i="1"/>
  <c r="A461" i="1"/>
  <c r="A585" i="1"/>
  <c r="A323" i="1"/>
  <c r="A485" i="1"/>
  <c r="A309" i="1"/>
  <c r="A869" i="1"/>
  <c r="A247" i="1"/>
  <c r="A371" i="1"/>
  <c r="A346" i="1"/>
  <c r="A577" i="1"/>
  <c r="A695" i="1"/>
  <c r="A741" i="1"/>
  <c r="A350" i="1"/>
  <c r="A32" i="1"/>
  <c r="A195" i="1"/>
  <c r="A614" i="1"/>
  <c r="A688" i="1"/>
  <c r="A249" i="1"/>
  <c r="A93" i="1"/>
  <c r="A154" i="1"/>
  <c r="A291" i="1"/>
  <c r="A520" i="1"/>
  <c r="A97" i="1"/>
  <c r="A759" i="1"/>
  <c r="A198" i="1"/>
  <c r="A366" i="1"/>
  <c r="A735" i="1"/>
  <c r="A865" i="1"/>
  <c r="A348" i="1"/>
  <c r="A713" i="1"/>
  <c r="A416" i="1"/>
  <c r="A442" i="1"/>
  <c r="A100" i="1"/>
  <c r="A363" i="1"/>
  <c r="A397" i="1"/>
  <c r="A887" i="1"/>
  <c r="A51" i="1"/>
  <c r="A414" i="1"/>
  <c r="A732" i="1"/>
  <c r="A806" i="1"/>
  <c r="A691" i="1"/>
  <c r="A601" i="1"/>
  <c r="A219" i="1"/>
  <c r="A25" i="1"/>
  <c r="A318" i="1"/>
  <c r="A470" i="1"/>
  <c r="A567" i="1"/>
  <c r="A237" i="1"/>
  <c r="A631" i="1"/>
  <c r="A330" i="1"/>
  <c r="A856" i="1"/>
  <c r="A881" i="1"/>
  <c r="A762" i="1"/>
  <c r="A169" i="1"/>
  <c r="A748" i="1"/>
  <c r="A281" i="1"/>
  <c r="A352" i="1"/>
  <c r="A751" i="1"/>
  <c r="A615" i="1"/>
  <c r="A804" i="1"/>
  <c r="A665" i="1"/>
  <c r="A835" i="1"/>
  <c r="A861" i="1"/>
  <c r="A27" i="1"/>
  <c r="A871" i="1"/>
  <c r="A221" i="1"/>
  <c r="A376" i="1"/>
  <c r="A21" i="1"/>
  <c r="A469" i="1"/>
  <c r="A740" i="1"/>
  <c r="A286" i="1"/>
  <c r="A82" i="1"/>
  <c r="A837" i="1"/>
  <c r="A436" i="1"/>
  <c r="A710" i="1"/>
  <c r="A244" i="1"/>
  <c r="A660" i="1"/>
  <c r="A703" i="1"/>
  <c r="A404" i="1"/>
  <c r="A725" i="1"/>
  <c r="A658" i="1"/>
  <c r="A233" i="1"/>
  <c r="A280" i="1"/>
  <c r="A234" i="1"/>
  <c r="A322" i="1"/>
  <c r="A786" i="1"/>
  <c r="A532" i="1"/>
  <c r="A114" i="1"/>
  <c r="A830" i="1"/>
  <c r="A374" i="1"/>
  <c r="A628" i="1"/>
  <c r="A36" i="1"/>
  <c r="A478" i="1"/>
  <c r="A253" i="1"/>
  <c r="A326" i="1"/>
  <c r="A842" i="1"/>
  <c r="A766" i="1"/>
  <c r="A683" i="1"/>
  <c r="A838" i="1"/>
  <c r="A624" i="1"/>
  <c r="A667" i="1"/>
  <c r="A308" i="1"/>
  <c r="A336" i="1"/>
  <c r="A300" i="1"/>
  <c r="A23" i="1"/>
  <c r="A690" i="1"/>
  <c r="A816" i="1"/>
  <c r="A705" i="1"/>
  <c r="A784" i="1"/>
  <c r="A599" i="1"/>
  <c r="A130" i="1"/>
  <c r="A426" i="1"/>
  <c r="A268" i="1"/>
  <c r="A811" i="1"/>
  <c r="A776" i="1"/>
  <c r="A525" i="1"/>
  <c r="A886" i="1"/>
  <c r="A545" i="1"/>
  <c r="A523" i="1"/>
  <c r="A248" i="1"/>
  <c r="A810" i="1"/>
  <c r="A538" i="1"/>
  <c r="A410" i="1"/>
  <c r="A411" i="1"/>
  <c r="A831" i="1"/>
  <c r="A203" i="1"/>
  <c r="A884" i="1"/>
  <c r="A634" i="1"/>
  <c r="A633" i="1"/>
  <c r="A801" i="1"/>
  <c r="A55" i="1"/>
  <c r="A774" i="1"/>
  <c r="A279" i="1"/>
  <c r="A405" i="1"/>
  <c r="A526" i="1"/>
  <c r="A353" i="1"/>
  <c r="A152" i="1"/>
  <c r="A15" i="1"/>
  <c r="A393" i="1"/>
  <c r="A458" i="1"/>
  <c r="A209" i="1"/>
  <c r="A31" i="1"/>
  <c r="A616" i="1"/>
  <c r="A140" i="1"/>
  <c r="A635" i="1"/>
  <c r="A519" i="1"/>
  <c r="A787" i="1"/>
  <c r="A313" i="1"/>
  <c r="A798" i="1"/>
  <c r="A686" i="1"/>
  <c r="A513" i="1"/>
  <c r="A572" i="1"/>
  <c r="A57" i="1"/>
  <c r="A753" i="1"/>
  <c r="A123" i="1"/>
  <c r="A736" i="1"/>
  <c r="A266" i="1"/>
  <c r="A548" i="1"/>
  <c r="A459" i="1"/>
  <c r="A866" i="1"/>
  <c r="A230" i="1"/>
  <c r="A627" i="1"/>
  <c r="A425" i="1"/>
  <c r="A113" i="1"/>
  <c r="A744" i="1"/>
  <c r="A408" i="1"/>
  <c r="A437" i="1"/>
  <c r="A612" i="1"/>
  <c r="A464" i="1"/>
  <c r="A44" i="1"/>
  <c r="A502" i="1"/>
  <c r="A579" i="1"/>
  <c r="A727" i="1"/>
  <c r="A271" i="1"/>
  <c r="A314" i="1"/>
  <c r="A546" i="1"/>
  <c r="A832" i="1"/>
  <c r="A669" i="1"/>
  <c r="A298" i="1"/>
  <c r="A417" i="1"/>
  <c r="A643" i="1"/>
  <c r="A75" i="1"/>
  <c r="A460" i="1"/>
  <c r="A110" i="1"/>
  <c r="A421" i="1"/>
  <c r="A293" i="1"/>
  <c r="A61" i="1"/>
  <c r="A756" i="1"/>
  <c r="A870" i="1"/>
  <c r="A650" i="1"/>
  <c r="A17" i="1"/>
  <c r="A206" i="1"/>
  <c r="A581" i="1"/>
  <c r="A651" i="1"/>
  <c r="A823" i="1"/>
  <c r="A166" i="1"/>
  <c r="A214" i="1"/>
  <c r="A848" i="1"/>
  <c r="A287" i="1"/>
  <c r="A59" i="1"/>
  <c r="A242" i="1"/>
  <c r="A356" i="1"/>
  <c r="A638" i="1"/>
  <c r="A67" i="1"/>
  <c r="A144" i="1"/>
  <c r="A535" i="1"/>
  <c r="A120" i="1"/>
  <c r="A726" i="1"/>
  <c r="A551" i="1"/>
  <c r="A54" i="1"/>
  <c r="A467" i="1"/>
  <c r="A885" i="1"/>
  <c r="A364" i="1"/>
  <c r="A449" i="1"/>
  <c r="A494" i="1"/>
  <c r="A516" i="1"/>
  <c r="A369" i="1"/>
  <c r="A508" i="1"/>
  <c r="A121" i="1"/>
  <c r="A66" i="1"/>
  <c r="A64" i="1"/>
  <c r="A276" i="1"/>
  <c r="A644" i="1"/>
  <c r="A217" i="1"/>
  <c r="A506" i="1"/>
  <c r="A455" i="1"/>
  <c r="A789" i="1"/>
  <c r="A239" i="1"/>
  <c r="A445" i="1"/>
  <c r="A594" i="1"/>
  <c r="A88" i="1"/>
  <c r="A307" i="1"/>
  <c r="A240" i="1"/>
  <c r="A641" i="1"/>
  <c r="A571" i="1"/>
  <c r="A325" i="1"/>
  <c r="A63" i="1"/>
  <c r="A84" i="1"/>
  <c r="A115" i="1"/>
  <c r="A646" i="1"/>
  <c r="A533" i="1"/>
  <c r="A145" i="1"/>
  <c r="A243" i="1"/>
  <c r="A42" i="1"/>
  <c r="A441" i="1"/>
  <c r="A466" i="1"/>
  <c r="A131" i="1"/>
  <c r="A493" i="1"/>
  <c r="A62" i="1"/>
  <c r="A73" i="1"/>
  <c r="A420" i="1"/>
  <c r="A640" i="1"/>
  <c r="A654" i="1"/>
  <c r="A212" i="1"/>
  <c r="A90" i="1"/>
  <c r="A112" i="1"/>
  <c r="A177" i="1"/>
  <c r="A639" i="1"/>
  <c r="A484" i="1"/>
  <c r="A849" i="1"/>
  <c r="A216" i="1"/>
  <c r="A435" i="1"/>
  <c r="A497" i="1"/>
  <c r="A178" i="1"/>
  <c r="A649" i="1"/>
  <c r="A49" i="1"/>
  <c r="A509" i="1"/>
  <c r="A652" i="1"/>
  <c r="A303" i="1"/>
  <c r="A621" i="1"/>
  <c r="A757" i="1"/>
  <c r="A439" i="1"/>
  <c r="A487" i="1"/>
  <c r="A570" i="1"/>
  <c r="A241" i="1"/>
  <c r="A454" i="1"/>
  <c r="A79" i="1"/>
  <c r="A642" i="1"/>
  <c r="A534" i="1"/>
  <c r="A450" i="1"/>
  <c r="A143" i="1"/>
  <c r="A620" i="1"/>
  <c r="A498" i="1"/>
  <c r="A747" i="1"/>
  <c r="A822" i="1"/>
  <c r="A215" i="1"/>
  <c r="A58" i="1"/>
  <c r="A555" i="1"/>
  <c r="A368" i="1"/>
  <c r="A475" i="1"/>
  <c r="A468" i="1"/>
  <c r="A655" i="1"/>
  <c r="A132" i="1"/>
  <c r="A317" i="1"/>
  <c r="A111" i="1"/>
  <c r="A147" i="1"/>
  <c r="A103" i="1"/>
  <c r="A542" i="1"/>
  <c r="A102" i="1"/>
  <c r="A619" i="1"/>
  <c r="A453" i="1"/>
  <c r="A173" i="1"/>
  <c r="A720" i="1"/>
  <c r="A213" i="1"/>
  <c r="A342" i="1"/>
  <c r="A48" i="1"/>
  <c r="A583" i="1"/>
  <c r="A50" i="1"/>
  <c r="A65" i="1"/>
  <c r="A593" i="1"/>
  <c r="A559" i="1"/>
  <c r="A74" i="1"/>
  <c r="A60" i="1"/>
  <c r="A653" i="1"/>
  <c r="A576" i="1"/>
  <c r="A645" i="1"/>
  <c r="A355" i="1"/>
  <c r="A179" i="1"/>
  <c r="A596" i="1"/>
  <c r="A146" i="1"/>
  <c r="A746" i="1"/>
  <c r="A558" i="1"/>
  <c r="A171" i="1"/>
  <c r="A452" i="1"/>
  <c r="A595" i="1"/>
  <c r="A168" i="1"/>
  <c r="A440" i="1"/>
  <c r="A557" i="1"/>
  <c r="A133" i="1"/>
  <c r="A68" i="1"/>
  <c r="A465" i="1"/>
  <c r="A89" i="1"/>
  <c r="A582" i="1"/>
  <c r="A462" i="1"/>
  <c r="A647" i="1"/>
  <c r="A800" i="1"/>
  <c r="A648" i="1"/>
  <c r="A238" i="1"/>
  <c r="A752" i="1"/>
</calcChain>
</file>

<file path=xl/sharedStrings.xml><?xml version="1.0" encoding="utf-8"?>
<sst xmlns="http://schemas.openxmlformats.org/spreadsheetml/2006/main" count="4878" uniqueCount="1777">
  <si>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</si>
  <si>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</si>
  <si>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</si>
  <si>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</si>
  <si>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</si>
  <si>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</si>
  <si>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</si>
  <si>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</si>
  <si>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</si>
  <si>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</si>
  <si>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</si>
  <si>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</si>
  <si>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</si>
  <si>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</si>
  <si>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</si>
  <si>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</si>
  <si>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</si>
  <si>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</si>
  <si>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</si>
  <si>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</si>
  <si>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</si>
  <si>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</si>
  <si>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</si>
  <si>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</si>
  <si>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</si>
  <si>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</si>
  <si>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</si>
  <si>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</si>
  <si>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</si>
  <si>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</si>
  <si>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</si>
  <si>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</si>
  <si>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</si>
  <si>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</si>
  <si>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</si>
  <si>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</si>
  <si>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</si>
  <si>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</si>
  <si>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</si>
  <si>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</si>
  <si>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</si>
  <si>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</si>
  <si>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</si>
  <si>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</si>
  <si>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㈜다모아주유소</t>
  </si>
  <si>
    <t>HD현대오일뱅크</t>
  </si>
  <si>
    <t>충남 공주시 금벽로 809</t>
  </si>
  <si>
    <t>Y</t>
  </si>
  <si>
    <t>㈜삼화에너지 아산</t>
  </si>
  <si>
    <t>충남 아산시 온천대로 1169</t>
  </si>
  <si>
    <t>지에스칼텍스(주) GS사이언스주유소</t>
  </si>
  <si>
    <t>GS칼텍스</t>
  </si>
  <si>
    <t>대전 유성구 대덕대로 539</t>
  </si>
  <si>
    <t>지에스칼텍스(주)정다운주유소</t>
  </si>
  <si>
    <t>대전 유성구 북유성대로 51(노은동)</t>
  </si>
  <si>
    <t>유한회사 우진에너지</t>
  </si>
  <si>
    <t>알뜰주유소</t>
  </si>
  <si>
    <t>충남 보령시 대해로 294</t>
  </si>
  <si>
    <t>미라클에너지㈜</t>
  </si>
  <si>
    <t>충남 아산시 음봉면 아산온천로 240</t>
  </si>
  <si>
    <t>지에스칼텍스(주)충대앞주유소</t>
  </si>
  <si>
    <t>대전 유성구 대학로 85 (궁동)</t>
  </si>
  <si>
    <t>지에스칼텍스(주)대덕밸리주유소</t>
  </si>
  <si>
    <t>일반</t>
  </si>
  <si>
    <t>대전 유성구 대덕대로 938</t>
  </si>
  <si>
    <t>지에스칼텍스㈜ 북유성IC주유소</t>
  </si>
  <si>
    <t>대전 유성구 북유성대로 408 (외삼동)</t>
  </si>
  <si>
    <t>지에스칼텍스㈜ 덕명주유소</t>
  </si>
  <si>
    <t>대전 유성구 현충원로 283 (덕명동)</t>
  </si>
  <si>
    <t>신연금스테이션 ㈜제이에이치대성</t>
  </si>
  <si>
    <t>대전 유성구 북유성대로 155 (지족동)</t>
  </si>
  <si>
    <t>장대주유소</t>
  </si>
  <si>
    <t>대전 유성구 유성대로 768 (장대동)</t>
  </si>
  <si>
    <t>중도석유(주)오정동주유소</t>
  </si>
  <si>
    <t>대전 대덕구 대전로 1144 (오정동)</t>
  </si>
  <si>
    <t>주식회사대동현대셀프</t>
  </si>
  <si>
    <t>대전 동구 계족로 126</t>
  </si>
  <si>
    <t>HD현대오일뱅크㈜직영 동원주유소</t>
  </si>
  <si>
    <t>대전 동구 옥천로 355-3</t>
  </si>
  <si>
    <t>상서현대셀프</t>
  </si>
  <si>
    <t>대전 대덕구 신탄진로 519 (상서동)</t>
  </si>
  <si>
    <t>지에스칼텍스㈜구봉산셀프주유소</t>
  </si>
  <si>
    <t>대전 서구 구봉로 208</t>
  </si>
  <si>
    <t>첨단셀프주유소</t>
  </si>
  <si>
    <t>대전 유성구 가정로 27</t>
  </si>
  <si>
    <t>대양석유㈜ 엑스포주유소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</si>
  <si>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</si>
  <si>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대전 유성구 대덕대로 542</t>
  </si>
  <si>
    <t>현대오일뱅크㈜직영 대덕산단주유소</t>
  </si>
  <si>
    <t>대전 대덕구 문평동로 2</t>
  </si>
  <si>
    <t>㈜연정 농수산주유소</t>
  </si>
  <si>
    <t>대전 대덕구 한밭대로 1014</t>
  </si>
  <si>
    <t>화암동셀프주유소</t>
  </si>
  <si>
    <t>대전 유성구 대덕대로 804 (화암동)</t>
  </si>
  <si>
    <t>구도일태전주유소</t>
  </si>
  <si>
    <t>S-OIL</t>
  </si>
  <si>
    <t>대전 유성구 엑스포로 259 (원촌동)</t>
  </si>
  <si>
    <t>중도석유(주) 대덕주유소</t>
  </si>
  <si>
    <t>대전 서구 월평북로 84 (월평동)</t>
  </si>
  <si>
    <t>중도석유(주)월드컵주유소</t>
  </si>
  <si>
    <t>대전 서구 문정로 12 (탄방동)</t>
  </si>
  <si>
    <t>HD현대오일뱅크㈜직영 충무주유소</t>
  </si>
  <si>
    <t>대전 중구 충무로 141 (부사동)</t>
  </si>
  <si>
    <t>동부주유소</t>
  </si>
  <si>
    <t>충남 보령시 대천방조제로 42</t>
  </si>
  <si>
    <t>신관주유소</t>
  </si>
  <si>
    <t>충남 공주시 관골1길 34-1</t>
  </si>
  <si>
    <t>HD현대오일뱅크㈜직영 세종관문셀프주유소</t>
  </si>
  <si>
    <t>대전 유성구 북유성대로 288 (하기동)</t>
  </si>
  <si>
    <t>주산주유소</t>
  </si>
  <si>
    <t>충남 보령시 주산면 충서로 616</t>
  </si>
  <si>
    <t>HD현대오일뱅크㈜직영 송강주유소</t>
  </si>
  <si>
    <t>대전 유성구 대덕대로 1131 (송강동)</t>
  </si>
  <si>
    <t>HD현대오일뱅크㈜직영 스마트셀프주유소</t>
  </si>
  <si>
    <t>대전 유성구 엑스포로 222 (원촌동)</t>
  </si>
  <si>
    <t>HD현대오일뱅크㈜직영 럭키셀프주유소</t>
  </si>
  <si>
    <t>대전 대덕구 한밭대로 1007 (오정동)</t>
  </si>
  <si>
    <t>판암하늘셀프주유소</t>
  </si>
  <si>
    <t>대전 동구 옥천로 77</t>
  </si>
  <si>
    <t>오월드주유소</t>
  </si>
  <si>
    <t>대전 중구 대둔산로 359 (사정동)</t>
  </si>
  <si>
    <t>KH에너지㈜직영 둔산주유소</t>
  </si>
  <si>
    <t>대전 서구 둔산로 139</t>
  </si>
  <si>
    <t>HD현대오일뱅크㈜직영 노은주유소</t>
  </si>
  <si>
    <t>대전 유성구 노은동로 79</t>
  </si>
  <si>
    <t>㈜진성 가람Self주유소</t>
  </si>
  <si>
    <t>세종특별자치시 금송로 589</t>
  </si>
  <si>
    <t>(유)용명에너지 신대전셀프주유소</t>
  </si>
  <si>
    <t>대전 서구 도산로 213</t>
  </si>
  <si>
    <t>㈜서대전 IC self 주유소</t>
  </si>
  <si>
    <t>대전 유성구 계백로 476 (방동)</t>
  </si>
  <si>
    <t>서원경주유소</t>
  </si>
  <si>
    <t>충북 청주시 흥덕구 직지대로 579 (봉명동)</t>
  </si>
  <si>
    <t>대양석유㈜ 덕성셀프주유소</t>
  </si>
  <si>
    <t>대전 동구 대전로 287</t>
  </si>
  <si>
    <t>금빛주유소</t>
  </si>
  <si>
    <t>세종특별자치시 조치원읍 새내로 182</t>
  </si>
  <si>
    <t>하나로주유소</t>
  </si>
  <si>
    <t>대전 중구 대둔산로 211 (안영동)</t>
  </si>
  <si>
    <t>햇빛주유소</t>
  </si>
  <si>
    <t>대전 유성구 계백로 87 (송정동)</t>
  </si>
  <si>
    <t>신일주유소</t>
  </si>
  <si>
    <t>대전 대덕구 산업단지로 112</t>
  </si>
  <si>
    <t>외암로셀프주유소</t>
  </si>
  <si>
    <t>충청남도 아산시 외암로 1279 (장존동)</t>
  </si>
  <si>
    <t>그린주유소</t>
  </si>
  <si>
    <t>세종 조치원읍 세종로 2706</t>
  </si>
  <si>
    <t>아원주유소</t>
  </si>
  <si>
    <t>대전 동구 계족로 326</t>
  </si>
  <si>
    <t>대전북부새마을금고주유소</t>
  </si>
  <si>
    <t>대전 대덕구 신탄진로 792</t>
  </si>
  <si>
    <t>㈜상익 유성주유소</t>
  </si>
  <si>
    <t>대전 유성구 현충원로 342</t>
  </si>
  <si>
    <t>대평주유소</t>
  </si>
  <si>
    <t>세종특별자치시 금남면 용포로 109</t>
  </si>
  <si>
    <t>(주)문의IC주유소</t>
  </si>
  <si>
    <t>충북 청주시 상당구 문의면 미천고은로 63</t>
  </si>
  <si>
    <t>동일석유㈜테크노밸리주유소</t>
  </si>
  <si>
    <t>대전 유성구 테크노중앙로 139 (용산동)</t>
  </si>
  <si>
    <t>㈜서부탑주유소</t>
  </si>
  <si>
    <t>충남 천안시 서북구 서부대로 596</t>
  </si>
  <si>
    <t>스마일오일뱅크</t>
  </si>
  <si>
    <t>충남 아산시 외암로 1379</t>
  </si>
  <si>
    <t>장모님셀프주유소</t>
  </si>
  <si>
    <t>충남 천안시 동남구 서부대로 69</t>
  </si>
  <si>
    <t>KK㈜ 천안중앙1주유소</t>
  </si>
  <si>
    <t>충남 천안시 서북구 서부대로 422</t>
  </si>
  <si>
    <t>KK㈜ 천안중앙2주유소</t>
  </si>
  <si>
    <t>충남 천안시 서북구 쌍용대로 215 (성정동)</t>
  </si>
  <si>
    <t>서남부주유소</t>
  </si>
  <si>
    <t>대전 유성구 유성대로 44 (원내동)</t>
  </si>
  <si>
    <t>호원셀프주유소</t>
  </si>
  <si>
    <t>대전 동구 한밭대로 1315 (용전동)</t>
  </si>
  <si>
    <t>KK㈜ 대전중앙주유소</t>
  </si>
  <si>
    <t>대전 유성구 유성대로 1647</t>
  </si>
  <si>
    <t>㈜삼성대로주유소</t>
  </si>
  <si>
    <t>충남 천안시 서북구 번영로 446</t>
  </si>
  <si>
    <t>용전셀프주유소</t>
  </si>
  <si>
    <t>대전 동구 동서대로 1627(홍도동)</t>
  </si>
  <si>
    <t>신흥주유소</t>
  </si>
  <si>
    <t>충북 청주시 청원구 2순환로 96 (율량동)</t>
  </si>
  <si>
    <t>(주)에너비즈 명품주유소</t>
  </si>
  <si>
    <t>대전 서구 배재로 218 (도마동)</t>
  </si>
  <si>
    <t>신가오주유소</t>
  </si>
  <si>
    <t>대전 동구 은어송로 38 (가오동)</t>
  </si>
  <si>
    <t>진영주유가스충전소</t>
  </si>
  <si>
    <t>충북 청주시 상당구 미천고은로 152</t>
  </si>
  <si>
    <t>대성셀프주유소</t>
  </si>
  <si>
    <t>대전 동구 대전로 292 (대성동)</t>
  </si>
  <si>
    <t>㈜남강 중앙로셀프주유소</t>
  </si>
  <si>
    <t>대전 중구 중앙로 64</t>
  </si>
  <si>
    <t>푸른주유소</t>
  </si>
  <si>
    <t>충남 아산시 아산로 82 (온천동)</t>
  </si>
  <si>
    <t>㈜학하 목상셀프주유소</t>
  </si>
  <si>
    <t>대전 대덕구 대덕대로 1500 (목상동)</t>
  </si>
  <si>
    <t>은성주유소</t>
  </si>
  <si>
    <t>충남 천안시 서북구 성거읍 망향로 819</t>
  </si>
  <si>
    <t>죽림주유소</t>
  </si>
  <si>
    <t>충북 청주시 서원구 대림로 451 (죽림동)</t>
  </si>
  <si>
    <t>골든벨주유소</t>
  </si>
  <si>
    <t>충북 청주시 상당구 용담동 산성로183</t>
  </si>
  <si>
    <t>지에스칼텍스(주)21세기주유소</t>
  </si>
  <si>
    <t>대전 유성구 유성대로 845</t>
  </si>
  <si>
    <t>지에스칼텍스(주)바이오주유소</t>
  </si>
  <si>
    <t>충북 청주시 청원구 오창읍 과학산업3로 202-12</t>
  </si>
  <si>
    <t>지에스칼텍스㈜ 동양주유소</t>
  </si>
  <si>
    <t>충북 청주시 청원구 공항로 156</t>
  </si>
  <si>
    <t>지에스칼텍스(주) 대청주유소</t>
  </si>
  <si>
    <t>충북 청주시 상당구 단재로196번길 8 (용암동)</t>
  </si>
  <si>
    <t>지에스칼텍스㈜ 글로벌주유소</t>
  </si>
  <si>
    <t>충북 청주시 청원구 오창읍 양청송대길 4</t>
  </si>
  <si>
    <t>㈜비타민셀프주유소</t>
  </si>
  <si>
    <t>충남 천안시 동남구 망향로 53</t>
  </si>
  <si>
    <t>KK㈜ 청주중앙1주유소</t>
  </si>
  <si>
    <t>충북 청주시 상당구 중고개로 295</t>
  </si>
  <si>
    <t>신성주유소</t>
  </si>
  <si>
    <t>대전 유성구 가정북로 163</t>
  </si>
  <si>
    <t>지에스칼텍스㈜ 톨게이트주유소</t>
  </si>
  <si>
    <t>대전 대덕구 동서대로 1762</t>
  </si>
  <si>
    <t>HD현대오일뱅크㈜직영 대일주유소</t>
  </si>
  <si>
    <t>세종특별자치시 연서면 세종로 2137</t>
  </si>
  <si>
    <t>HD현대오일뱅크㈜직영 불당현대셀프주유소</t>
  </si>
  <si>
    <t>충남 천안시 서북구 불당19로 1</t>
  </si>
  <si>
    <t>서천안 ㈜오일컴퍼니</t>
  </si>
  <si>
    <t>충남 천안시 동남구 풍세로 689</t>
  </si>
  <si>
    <t>HD현대오일뱅크㈜직영 오창산단셀프주유소</t>
  </si>
  <si>
    <t>충북 청주시 청원구 오창읍 중부로 1005</t>
  </si>
  <si>
    <t>HD현대오일뱅크㈜직영 천안현대셀프주유소</t>
  </si>
  <si>
    <t>충남 천안시 서북구 삼성대로 346</t>
  </si>
  <si>
    <t>HD현대오일뱅크㈜직영 청사셀프주유소</t>
  </si>
  <si>
    <t>세종특별자치시 다솜로 38 (어진동)</t>
  </si>
  <si>
    <t>SK에너지(주) 황금주유소</t>
  </si>
  <si>
    <t>충북 청주시 청원구 공항로 222 (주중동)</t>
  </si>
  <si>
    <t>HD현대오일뱅크㈜직영 보라매주유소</t>
  </si>
  <si>
    <t>충북 청주시 상당구 단재로 332 (방서동)</t>
  </si>
  <si>
    <t>HD현대오일뱅크㈜직영 직지셀프주유소</t>
  </si>
  <si>
    <t>충북 청주시 흥덕구 직지대로 677</t>
  </si>
  <si>
    <t>중도석유(주)중도행복주유소</t>
  </si>
  <si>
    <t>충남 아산시 배방읍 고속철대로 171</t>
  </si>
  <si>
    <t>창현주유소</t>
  </si>
  <si>
    <t>충북 청주시 흥덕구 강내면 가로수로 567-9</t>
  </si>
  <si>
    <t>복대동 관문주유소</t>
  </si>
  <si>
    <t>충북 청주시 흥덕구 가로수로 1353 (복대동)</t>
  </si>
  <si>
    <t>중도석유㈜ 꽃마을주유소</t>
  </si>
  <si>
    <t>충북 청주시 흥덕구  진재로 85-11 (복대동)</t>
  </si>
  <si>
    <t>HD현대오일뱅크㈜직영 청주현대주유소</t>
  </si>
  <si>
    <t>충북 청주시 흥덕구 가로수로 1174 (강서동)</t>
  </si>
  <si>
    <t>지에스칼텍스㈜ KTX주유소(아산)</t>
  </si>
  <si>
    <t>충남 아산시 배방읍 이순신대로 832</t>
  </si>
  <si>
    <t>카(Car)놀라유주유소</t>
  </si>
  <si>
    <t>충북 청주시 흥덕구 1순환로 615 (봉명동)</t>
  </si>
  <si>
    <t>공간에너지주유소/충전소</t>
  </si>
  <si>
    <t>충북 청주시 흥덕구 옥산면 중부로 301</t>
  </si>
  <si>
    <t>충북석유(주)충북주유소</t>
  </si>
  <si>
    <t>충북 청주시 서원구 사직대로 89 (사창동)</t>
  </si>
  <si>
    <t>신광명주유소</t>
  </si>
  <si>
    <t>충남 천안시 동남구 천안대로 220 (삼룡동)</t>
  </si>
  <si>
    <t>SK에너지(주) 소담self주유소</t>
  </si>
  <si>
    <t>세종특별자치시 소담로 40</t>
  </si>
  <si>
    <t>SK에너지㈜ 유공셀프주유소</t>
  </si>
  <si>
    <t>대전 유성구 유성대로 614 (구암동)</t>
  </si>
  <si>
    <t>서청주주유소</t>
  </si>
  <si>
    <t>충북 청주시 흥덕구 1순환로 572 (봉명동)</t>
  </si>
  <si>
    <t>충북석유(주) 방고개주유소</t>
  </si>
  <si>
    <t>충북 청주시 청원구 공항로 8 (내덕동)</t>
  </si>
  <si>
    <t>주식회사 가수원주유소</t>
  </si>
  <si>
    <t>대전 서구 계백로 1176 (가수원동)</t>
  </si>
  <si>
    <t>SK에너지㈜직영 불당행복주유소</t>
  </si>
  <si>
    <t>충남 천안시 서북구 불당19로 92</t>
  </si>
  <si>
    <t>지에스칼텍스㈜직영GS아산스타주유소</t>
  </si>
  <si>
    <t>충남 아산시 온천대로 1282</t>
  </si>
  <si>
    <t>필(Feel)충만주유소</t>
  </si>
  <si>
    <t>충남 천안시 동남구 광풍로 1795 (청당동)</t>
  </si>
  <si>
    <t>(주)청주시멘트직영마트주유소</t>
  </si>
  <si>
    <t>충북 청주시 서원구 남이면 청남로 1827-4</t>
  </si>
  <si>
    <t>명품주유소</t>
  </si>
  <si>
    <t>충북 청주시 서원구 산미로 39 (미평동)</t>
  </si>
  <si>
    <t>코리아에너지(주)</t>
  </si>
  <si>
    <t>충북 청주시 청원구 공항로 235</t>
  </si>
  <si>
    <t>(유)그린 주유소</t>
  </si>
  <si>
    <t>충북 청주시 서원구 서부로 1409 (개신동)</t>
  </si>
  <si>
    <t>(주)동인청사 구도일주유소 세종</t>
  </si>
  <si>
    <t>세종 시청대로 669</t>
  </si>
  <si>
    <t>㈜바이미 아름셀프주유소</t>
  </si>
  <si>
    <t>세종특별자치시 세종로 1328</t>
  </si>
  <si>
    <t>고운self주유소</t>
  </si>
  <si>
    <t>세종특별자치시 마음안로 136  (고운동)</t>
  </si>
  <si>
    <t>대양석유㈜ SK행복주유소</t>
  </si>
  <si>
    <t>세종특별자치시 연기면 정안세종로 1573</t>
  </si>
  <si>
    <t>대성</t>
  </si>
  <si>
    <t>충북 청주시 상당구 용담로 101</t>
  </si>
  <si>
    <t>HD현대오일뱅크㈜직영 교대셀프주유소</t>
  </si>
  <si>
    <t>충북 청주시 서원구 청남로 2005번길 2</t>
  </si>
  <si>
    <t>망향주유소 경부고속(부산방향)</t>
  </si>
  <si>
    <t>알뜰(ex)</t>
  </si>
  <si>
    <t>충남 천안시 서북구 성거읍 석문길 98</t>
  </si>
  <si>
    <t>강남셀프주유소</t>
  </si>
  <si>
    <t>충남 공주시 우금티로 745 (옥룡동)</t>
  </si>
  <si>
    <t>대양셀프주유소</t>
  </si>
  <si>
    <t>충남 천안시 서북구 충무로 166 (쌍용동)</t>
  </si>
  <si>
    <t>㈜신화에너지 오해피주유소</t>
  </si>
  <si>
    <t>충북 청주시 서원구 구룡산로 217</t>
  </si>
  <si>
    <t>천안삼거리(서울방향)주유소/충전소 ㈜광동석유</t>
  </si>
  <si>
    <t>충남 천안시 동남구 쉼1길 40</t>
  </si>
  <si>
    <t>24시 대천주유소</t>
  </si>
  <si>
    <t>충남 보령시 중앙로 172 (대천동)</t>
  </si>
  <si>
    <t>영보주유소</t>
  </si>
  <si>
    <t>충남 보령시 대천로 97,  (대천동)</t>
  </si>
  <si>
    <t>SK에너지㈜ 예성주유소</t>
  </si>
  <si>
    <t>대전 유성구 도안동로 488</t>
  </si>
  <si>
    <t>(주)행복주유소</t>
  </si>
  <si>
    <t>충북 청주시 청원구 충청대로 258</t>
  </si>
  <si>
    <t>Sh수협주유소</t>
  </si>
  <si>
    <t>충남 보령시 신평로 22 (대천3동)</t>
  </si>
  <si>
    <t>SK에너지(주) 글로벌주유소</t>
  </si>
  <si>
    <t>충남 천안시 서북구 동서대로 27 (백석동)</t>
  </si>
  <si>
    <t>대천서부수협주유소</t>
  </si>
  <si>
    <t>충남 보령시 대해로 791 (신흑동)</t>
  </si>
  <si>
    <t>장암주유소</t>
  </si>
  <si>
    <t>충남 공주시 금벽로 1083</t>
  </si>
  <si>
    <t>지에스칼텍스(주)우리네주유소</t>
  </si>
  <si>
    <t>충남 천안시 동남구 서부대로 235</t>
  </si>
  <si>
    <t>HD현대오일뱅크㈜직영 동부주유소</t>
  </si>
  <si>
    <t>충남 아산시 문화로 317 (모종동)</t>
  </si>
  <si>
    <t>㈜해우 동세종주유소</t>
  </si>
  <si>
    <t>세종 부강면 세종청주로 205</t>
  </si>
  <si>
    <t>CJ대한통운㈜ 제스에너지</t>
  </si>
  <si>
    <t>충남 아산시 탕정면 새아산로 356</t>
  </si>
  <si>
    <t>행복주유소</t>
  </si>
  <si>
    <t>충북 청주시 흥덕구 엘지로 11</t>
  </si>
  <si>
    <t>강서행복주유소</t>
  </si>
  <si>
    <t>충북 청주시 흥덕구 서현로 16 (가경동)</t>
  </si>
  <si>
    <t>(합)도원주유소 LPG충전소 수소충전소</t>
  </si>
  <si>
    <t>충북 청주시 청원구 내수읍 충청대로 771</t>
  </si>
  <si>
    <t>SK에너지㈜ 훼미리주유소</t>
  </si>
  <si>
    <t>충남 천안시 서북구 망향로 244</t>
  </si>
  <si>
    <t>왕대박셀프주유소</t>
  </si>
  <si>
    <t>충남 천안시 서북구 성정9길 23-29 (성정동)</t>
  </si>
  <si>
    <t>(주)대운주유소</t>
  </si>
  <si>
    <t>충남 천안시 서북구 천안대로 1307 (신당동)</t>
  </si>
  <si>
    <t>쌍용셀프주유소</t>
  </si>
  <si>
    <t>충남 천안시 서북구 불당대로 294</t>
  </si>
  <si>
    <t>두정탑주유소</t>
  </si>
  <si>
    <t>충남 천안시 서북구 동서대로 61</t>
  </si>
  <si>
    <t>계룡주유소</t>
  </si>
  <si>
    <t>대전 유성구 현충원로 177</t>
  </si>
  <si>
    <t>(주)청주관문주유소</t>
  </si>
  <si>
    <t>충북 청주시 서원구 청남로 1894</t>
  </si>
  <si>
    <t>삼미상사㈜ 대원셀프주유소</t>
  </si>
  <si>
    <t>대전 대덕구 동서대로 1772 (비래동)</t>
  </si>
  <si>
    <t>삼미상사㈜ 진잠셀프주유소</t>
  </si>
  <si>
    <t>대전 유성구 계백로 899 (원내동)</t>
  </si>
  <si>
    <t>만수르기름창고㈜</t>
  </si>
  <si>
    <t>충남 아산시 음봉면 음봉로 315</t>
  </si>
  <si>
    <t>드림Self주유소</t>
  </si>
  <si>
    <t>충남 공주시 정안면 차령로 3600</t>
  </si>
  <si>
    <t>성진주유소</t>
  </si>
  <si>
    <t>충북 청주시 서원구 남이면 대림로 325</t>
  </si>
  <si>
    <t>동신셀프주유소</t>
  </si>
  <si>
    <t>충남 천안시 동남구 풍세로 907 (다가동)</t>
  </si>
  <si>
    <t>극동유화(주) 만수르주유소</t>
  </si>
  <si>
    <t>충남 아산시 배방읍 이순신대로 817</t>
  </si>
  <si>
    <t>양궁장주유소</t>
  </si>
  <si>
    <t>충북 청주시 상당구 1순환로 1500 (용정동)</t>
  </si>
  <si>
    <t>우리주유소</t>
  </si>
  <si>
    <t>충남 아산시 온천대로 1793</t>
  </si>
  <si>
    <t>호서대주유소</t>
  </si>
  <si>
    <t>충남 아산시 배방읍 온천대로 2236</t>
  </si>
  <si>
    <t>HD현대오일뱅크㈜직영 종합운동장셀프주유소</t>
  </si>
  <si>
    <t>충남 천안시 서북구 백석로 42 (백석동)</t>
  </si>
  <si>
    <t>맘모스주유소</t>
  </si>
  <si>
    <t>충남 천안시 동남구 만남로 126 (신부동)</t>
  </si>
  <si>
    <t>HD현대오일뱅크㈜직영 공주현대주유소</t>
  </si>
  <si>
    <t>충남 공주시 계룡면 차령로 867</t>
  </si>
  <si>
    <t>금영주유소</t>
  </si>
  <si>
    <t>충남 공주시 소학동길 125</t>
  </si>
  <si>
    <t>한옥마을주유소</t>
  </si>
  <si>
    <t>충남 공주시 전진배길 283</t>
  </si>
  <si>
    <t>천지주유소</t>
  </si>
  <si>
    <t>충남 공주시 정안면 차령로 3270</t>
  </si>
  <si>
    <t>갑사주유소</t>
  </si>
  <si>
    <t>충남 공주시 계룡면 영규대사로 585</t>
  </si>
  <si>
    <t>신영주유소</t>
  </si>
  <si>
    <t>충남 공주시 유구읍 금계산로 424</t>
  </si>
  <si>
    <t>여로주유소</t>
  </si>
  <si>
    <t>충남 공주시  전진배길 413 (소학동)</t>
  </si>
  <si>
    <t>고마셀프주유소</t>
  </si>
  <si>
    <t>충남 공주시 우금티로 327 (주미동)</t>
  </si>
  <si>
    <t>공주VIP주유소</t>
  </si>
  <si>
    <t>자가상표</t>
  </si>
  <si>
    <t>충남 공주시 소학동길 179</t>
  </si>
  <si>
    <t>오성주유소</t>
  </si>
  <si>
    <t>충남 공주시 우금티로 424 (금학동)</t>
  </si>
  <si>
    <t>신풍주유소</t>
  </si>
  <si>
    <t>충남 공주시 신풍면 차동로 2144</t>
  </si>
  <si>
    <t>동천주유소</t>
  </si>
  <si>
    <t>충남 공주시 정안면 차령로 2948</t>
  </si>
  <si>
    <t>현대신원주유소</t>
  </si>
  <si>
    <t>충남 공주시 계룡면 영규대사로 143</t>
  </si>
  <si>
    <t>송선셀프주유소</t>
  </si>
  <si>
    <t>충남 공주시 송선농공단지길 6 (송선동)</t>
  </si>
  <si>
    <t>이인주유소</t>
  </si>
  <si>
    <t>충남 공주시 이인면 검바위로 205</t>
  </si>
  <si>
    <t>삼진self주유소</t>
  </si>
  <si>
    <t>충남 공주시 의당면 의당로 287</t>
  </si>
  <si>
    <t>청기와주유소</t>
  </si>
  <si>
    <t>충남 공주시 신기안길 142</t>
  </si>
  <si>
    <t>솔티주유소</t>
  </si>
  <si>
    <t>충남 공주시 충의로 2092</t>
  </si>
  <si>
    <t>차사랑주유소</t>
  </si>
  <si>
    <t>충남 공주시 정안면 차령로 3133</t>
  </si>
  <si>
    <t>월미공단주유소</t>
  </si>
  <si>
    <t>충남 공주시 차동로 239</t>
  </si>
  <si>
    <t>학봉주유소</t>
  </si>
  <si>
    <t>충남 공주시 반포면 동학사1로 105</t>
  </si>
  <si>
    <t>자연주유소</t>
  </si>
  <si>
    <t>충남 공주시 계룡면 차령로 1064</t>
  </si>
  <si>
    <t>현대에너지</t>
  </si>
  <si>
    <t>충남 아산시 음봉면 음봉면로 192</t>
  </si>
  <si>
    <t>아리랑주유소</t>
  </si>
  <si>
    <t>충남 공주시 우금티로 475 (금학동)</t>
  </si>
  <si>
    <t>청송주유소</t>
  </si>
  <si>
    <t>충남 공주시 신풍면 충의로 2317</t>
  </si>
  <si>
    <t>동건셀프주유소</t>
  </si>
  <si>
    <t>충남 공주시 무령로 492</t>
  </si>
  <si>
    <t>신사주유소</t>
  </si>
  <si>
    <t>충남 공주시 사곡면 차동로 1431</t>
  </si>
  <si>
    <t>아산만 오일뱅크</t>
  </si>
  <si>
    <t>충남 아산시 영인면 아산호로 772</t>
  </si>
  <si>
    <t>중부제3셀프주유소</t>
  </si>
  <si>
    <t>충남 공주시 무령로 466 (신관동)</t>
  </si>
  <si>
    <t>유구셀프주유소</t>
  </si>
  <si>
    <t>충남 공주시 유구읍 중앙1길 66</t>
  </si>
  <si>
    <t>설성주유소</t>
  </si>
  <si>
    <t>충남 공주시 탄천면 통산로 137</t>
  </si>
  <si>
    <t>중부주유소</t>
  </si>
  <si>
    <t>충남 공주시 우성면 우성길 112</t>
  </si>
  <si>
    <t>덕원주유소</t>
  </si>
  <si>
    <t>충남 보령시 청소면 충서로 4063</t>
  </si>
  <si>
    <t>녹천주유소</t>
  </si>
  <si>
    <t>충남 공주시 유구읍 유구외곽로 34</t>
  </si>
  <si>
    <t>세종시 부강면 시목부강로 423</t>
  </si>
  <si>
    <t>현대오일뱅크㈜직영 4공단주유소</t>
  </si>
  <si>
    <t>대전 대덕구 대덕대로 1412</t>
  </si>
  <si>
    <t>세일주유소</t>
  </si>
  <si>
    <t>충남 천안시 서북구 천안대로 1201</t>
  </si>
  <si>
    <t>비타민 스테이션 ㈜제이메시비타민지점</t>
  </si>
  <si>
    <t>충남 천안시 서북구  쌍용대로 220</t>
  </si>
  <si>
    <t>진우11주유소</t>
  </si>
  <si>
    <t>충남 천안시 동남구 쌍용대로 175</t>
  </si>
  <si>
    <t>원성깨비셀프</t>
  </si>
  <si>
    <t>충남 천안시 동남구 천안대로 653</t>
  </si>
  <si>
    <t>SK자운셀프주유소</t>
  </si>
  <si>
    <t>대전 유성구 자운로157번길 122</t>
  </si>
  <si>
    <t>소망주유소</t>
  </si>
  <si>
    <t>대전 중구 보문산로 307 (문화동)</t>
  </si>
  <si>
    <t>아성주유소</t>
  </si>
  <si>
    <t>충남 공주시 무령로 424 (신관동)</t>
  </si>
  <si>
    <t>서공주IC주유소</t>
  </si>
  <si>
    <t>충청남도 공주시 우성면 공수원로 251</t>
  </si>
  <si>
    <t>현대보령셀프주유소</t>
  </si>
  <si>
    <t>충남 보령시 대해로 176 (내항동)</t>
  </si>
  <si>
    <t>도서관셀프주유소</t>
  </si>
  <si>
    <t>대전 광역시 중구 보문산로 353</t>
  </si>
  <si>
    <t>중도석유(주) 도마동주유소</t>
  </si>
  <si>
    <t>대전 서구 계백로 1371 (도마동)</t>
  </si>
  <si>
    <t>(주)대성주유소</t>
  </si>
  <si>
    <t>충남 천안시 서북구 성거읍 망향로 697</t>
  </si>
  <si>
    <t>정림주유소</t>
  </si>
  <si>
    <t>충북 청주시 청원구 북이면 충청대로 1517</t>
  </si>
  <si>
    <t>두바이주유소 도안씨티㈜</t>
  </si>
  <si>
    <t>대전 중구 보문로 117</t>
  </si>
  <si>
    <t>보령머드주유소</t>
  </si>
  <si>
    <t>충남 보령시 대청로 379 (화산동)</t>
  </si>
  <si>
    <t>동일석유㈜대전주유소</t>
  </si>
  <si>
    <t>대전 동구 계족로 436 (용전동)</t>
  </si>
  <si>
    <t>천지인주유소</t>
  </si>
  <si>
    <t>대전 중구 대종로 44</t>
  </si>
  <si>
    <t>(주)황제주유소</t>
  </si>
  <si>
    <t>대전 유성구 대덕대로 934 (화암동)</t>
  </si>
  <si>
    <t>대전 대덕구 동서대로 1756</t>
  </si>
  <si>
    <t>재하주유소</t>
  </si>
  <si>
    <t>대전 동구 동서대로 1664 (성남동)</t>
  </si>
  <si>
    <t>신창주유소</t>
  </si>
  <si>
    <t>충남 아산시 신창면 온천대로 725</t>
  </si>
  <si>
    <t>(주)석교주유소</t>
  </si>
  <si>
    <t>대전 중구 대종로 207 (석교동)</t>
  </si>
  <si>
    <t>에이스주유소</t>
  </si>
  <si>
    <t>대전 동구 동대전로 253</t>
  </si>
  <si>
    <t>케이피에스 서대전IC 롯데마트 주유소</t>
  </si>
  <si>
    <t>대전 유성구 유성대로 26-37 (원내동)</t>
  </si>
  <si>
    <t>중촌셀프주유소</t>
  </si>
  <si>
    <t>대전 중구 동서대로 1434 (선화동)</t>
  </si>
  <si>
    <t>대림주유소</t>
  </si>
  <si>
    <t>대전 서구 계백로 1290 (정림동)</t>
  </si>
  <si>
    <t>(주)농협대전유통 하나로주유소</t>
  </si>
  <si>
    <t>NH-OIL</t>
  </si>
  <si>
    <t>대전 중구 대둔산로199번길 43</t>
  </si>
  <si>
    <t>㈜용운주유소</t>
  </si>
  <si>
    <t>대전 동구 백룡로 77 (용운동)</t>
  </si>
  <si>
    <t>동물원주유소</t>
  </si>
  <si>
    <t>대전 중구 대둔산로 270 (사정동)</t>
  </si>
  <si>
    <t>안영IC주유소</t>
  </si>
  <si>
    <t>대전 중구 대둔산로 188 (안영동)</t>
  </si>
  <si>
    <t>우리셋주유소</t>
  </si>
  <si>
    <t>대전 중구 대둔산로 150</t>
  </si>
  <si>
    <t>(주)이선 광장셀프주유소</t>
  </si>
  <si>
    <t>대전 동구 계족로 305</t>
  </si>
  <si>
    <t>유성IC메가허브점</t>
  </si>
  <si>
    <t>대전 유성구 현충원로 545</t>
  </si>
  <si>
    <t>서해안주유소</t>
  </si>
  <si>
    <t>두현주유소</t>
  </si>
  <si>
    <t>충남 아산시 송악면 외암로 239</t>
  </si>
  <si>
    <t>음봉농협주유소</t>
  </si>
  <si>
    <t>충남 아산시 음봉면 연암율금로 78</t>
  </si>
  <si>
    <t>남동주유소</t>
  </si>
  <si>
    <t>충남 아산시 순천향로 1035 (남동)</t>
  </si>
  <si>
    <t>지에스칼텍스㈜현암주유소</t>
  </si>
  <si>
    <t>대전 동구 동서대로 1494 (삼성동)</t>
  </si>
  <si>
    <t>남청주동자주유소</t>
  </si>
  <si>
    <t>충북 청주시 서원구 남이면 청남로 1040</t>
  </si>
  <si>
    <t>씨앤에스유통㈜ 호수공원주유소</t>
  </si>
  <si>
    <t>대전 서구 계백로 1259 (정림동)</t>
  </si>
  <si>
    <t>도마진실주유소</t>
  </si>
  <si>
    <t>대전 서구 도산로 123</t>
  </si>
  <si>
    <t>(주)퍼스트오일</t>
  </si>
  <si>
    <t>대전 유성구 현충원로 213 (갑동)</t>
  </si>
  <si>
    <t>남선석유㈜ 계백셀프주유소</t>
  </si>
  <si>
    <t>대전 서구 계백로 1327</t>
  </si>
  <si>
    <t>신탄진(상)주유소/충전소</t>
  </si>
  <si>
    <t>대전 대덕구 산업단지로 27</t>
  </si>
  <si>
    <t>조이오토주유소</t>
  </si>
  <si>
    <t>충남 공주시  우금티로 157 (태봉동)</t>
  </si>
  <si>
    <t>대전 서구 동서대로 953</t>
  </si>
  <si>
    <t>동아주유소</t>
  </si>
  <si>
    <t>대전 동구 동대전로 118 (대동)</t>
  </si>
  <si>
    <t>우리하나셀프주유소</t>
  </si>
  <si>
    <t>대전 서구 동서대로 1120</t>
  </si>
  <si>
    <t>유원주유소</t>
  </si>
  <si>
    <t>대전 동구 계족로 513 ``</t>
  </si>
  <si>
    <t>우리원셀프주유소</t>
  </si>
  <si>
    <t>대전 대덕구 신탄진로 383</t>
  </si>
  <si>
    <t>동대주유소</t>
  </si>
  <si>
    <t>충남 보령시 대청로 142 (동대동)</t>
  </si>
  <si>
    <t>㈜행복가득셀프</t>
  </si>
  <si>
    <t>대전 유성구 대덕대로 887  (화암동)</t>
  </si>
  <si>
    <t>계림주유소</t>
  </si>
  <si>
    <t>대전 유성구 현충원로 201 (갑동)</t>
  </si>
  <si>
    <t>탄방주유소</t>
  </si>
  <si>
    <t>대전 서구 유등로 659</t>
  </si>
  <si>
    <t>현대셀프주유소</t>
  </si>
  <si>
    <t>대전 서구 변동로 114 (변동)</t>
  </si>
  <si>
    <t>황금주유소</t>
  </si>
  <si>
    <t>대전 서구 동서대로 1081</t>
  </si>
  <si>
    <t>금정주유소</t>
  </si>
  <si>
    <t>충남 보령시 성주면 성주산로 667</t>
  </si>
  <si>
    <t>충남 보령시 청소면 청소큰길 22</t>
  </si>
  <si>
    <t>소태산주유소</t>
  </si>
  <si>
    <t>대전 대덕구 신탄진로 163 (신대동)</t>
  </si>
  <si>
    <t>쌍용주유소 선인에너지</t>
  </si>
  <si>
    <t>대전 대덕구 신탄진로 83 (연축동)</t>
  </si>
  <si>
    <t>으뜸회덕주유소</t>
  </si>
  <si>
    <t>대전 대덕구 신탄진로 222</t>
  </si>
  <si>
    <t>KH에너지㈜직영 하이웨이주유소</t>
  </si>
  <si>
    <t>대전 유성구 현충원로 531</t>
  </si>
  <si>
    <t>㈜대성바이오</t>
  </si>
  <si>
    <t>대전 대덕구 한밭대로 1180</t>
  </si>
  <si>
    <t>세종예운주유소</t>
  </si>
  <si>
    <t>세종 부강면 부강외천로 301</t>
  </si>
  <si>
    <t>삼흥주유소</t>
  </si>
  <si>
    <t>충남 천안시 동남구 충절로 395 (삼룡동)</t>
  </si>
  <si>
    <t>(주)혜천셀프주유소</t>
  </si>
  <si>
    <t>대전 서구 혜천로 28</t>
  </si>
  <si>
    <t>서대전농협주유소</t>
  </si>
  <si>
    <t>대전 중구 계백로 1555 (유천동)</t>
  </si>
  <si>
    <t>(주)에너비즈 둔산주유소</t>
  </si>
  <si>
    <t>대전 서구 유등로 667 (탄방동)</t>
  </si>
  <si>
    <t>(주)에스엘 성림주유소</t>
  </si>
  <si>
    <t>대전 유성구 유성대로752번길 2 (장대동)</t>
  </si>
  <si>
    <t>㈜연정 에스에스주유소</t>
  </si>
  <si>
    <t>대전 대덕구 한밭대로 1020</t>
  </si>
  <si>
    <t>㈜제트에너지서대전주유소</t>
  </si>
  <si>
    <t>대전 유성구 계백로 212(방동)</t>
  </si>
  <si>
    <t>신탄진알뜰주유소</t>
  </si>
  <si>
    <t>대전 대덕구 대덕대로1527번길 374</t>
  </si>
  <si>
    <t>씨앤에스유통(주)회덕아이씨주유소</t>
  </si>
  <si>
    <t>대전광역시 대덕구  갑천도시고속도로 1084 (회덕동)</t>
  </si>
  <si>
    <t>주홍셀프</t>
  </si>
  <si>
    <t>대전 서구 도산로 475 (탄방동)</t>
  </si>
  <si>
    <t>중동주유소</t>
  </si>
  <si>
    <t>대전 서구 계룡로 344 (갈마동)</t>
  </si>
  <si>
    <t>대성주유소</t>
  </si>
  <si>
    <t>대전 유성구 아리랑로 12</t>
  </si>
  <si>
    <t>두두림주유소</t>
  </si>
  <si>
    <t>충남 천안시 서북구 번영로 525</t>
  </si>
  <si>
    <t>태성주유소</t>
  </si>
  <si>
    <t>충북 청주시 상당구 미원면 구방5길 2</t>
  </si>
  <si>
    <t>신탄진농협주유소</t>
  </si>
  <si>
    <t>대전 대덕구 덕암로 164</t>
  </si>
  <si>
    <t>영광Self주유소</t>
  </si>
  <si>
    <t>충남 공주시 정안면 정안중앙길 198</t>
  </si>
  <si>
    <t>형제복지주유소</t>
  </si>
  <si>
    <t>충청남도 공주시 이인면 백제큰길 1178</t>
  </si>
  <si>
    <t>영남문셀프주유소</t>
  </si>
  <si>
    <t>충남 천안시 동남구 충절로 488 (청룡동)</t>
  </si>
  <si>
    <t>(주)스마트셀프주유소</t>
  </si>
  <si>
    <t>충남 천안시 동남구 쌍용대로 142 (봉명동)</t>
  </si>
  <si>
    <t>대양석유㈜ 나누리self주유소</t>
  </si>
  <si>
    <t>충남 천안시 서북구 번영로 563 (성성동)</t>
  </si>
  <si>
    <t>KH에너지㈜직영 태양주유소</t>
  </si>
  <si>
    <t>대전 동구 한밭대로 1258 (용전동)</t>
  </si>
  <si>
    <t>대덕주유소</t>
  </si>
  <si>
    <t>대전 대덕구 동서대로 1811</t>
  </si>
  <si>
    <t>대전IC주유소 ㈜동서로</t>
  </si>
  <si>
    <t>대전 대덕구 동서대로 1787</t>
  </si>
  <si>
    <t>산내제일주유소</t>
  </si>
  <si>
    <t>대전 동구 대전로 269 (대성동)</t>
  </si>
  <si>
    <t>가양셀프주유소</t>
  </si>
  <si>
    <t>대전 동구 우암로 365 (가양동)</t>
  </si>
  <si>
    <t>굿모닝주유소</t>
  </si>
  <si>
    <t>대전 서구 계백로 1376</t>
  </si>
  <si>
    <t>대전알찬주유소</t>
  </si>
  <si>
    <t>대전 동구 우암로 316 (가양동)</t>
  </si>
  <si>
    <t>선인에너지㈜강변주유소</t>
  </si>
  <si>
    <t>대전 유성구 엑스포로 293</t>
  </si>
  <si>
    <t>씨앤에스유통㈜도안신도시주유소</t>
  </si>
  <si>
    <t>대전 서구 도안동로 277</t>
  </si>
  <si>
    <t>원촌주유소</t>
  </si>
  <si>
    <t>대전 대덕구 아리랑로 55 (읍내동)</t>
  </si>
  <si>
    <t>은빛주유소</t>
  </si>
  <si>
    <t>대전 대덕구 아리랑로 70 (읍내동)</t>
  </si>
  <si>
    <t>흥진셀프주유소</t>
  </si>
  <si>
    <t>세종시 조치원읍 세종로 2563</t>
  </si>
  <si>
    <t>마스터셀프주유소</t>
  </si>
  <si>
    <t>충남 천안시 서북구 성거읍 망향로 251</t>
  </si>
  <si>
    <t>공단주유소</t>
  </si>
  <si>
    <t>충북 청주시 흥덕구 가로수로 1315</t>
  </si>
  <si>
    <t>일등주유소</t>
  </si>
  <si>
    <t>대전 대덕구 신탄진로 636 (평촌동)</t>
  </si>
  <si>
    <t>금강주유소</t>
  </si>
  <si>
    <t>대전 대덕구 신탄진로 536</t>
  </si>
  <si>
    <t>대전 대덕구 신탄진로 470</t>
  </si>
  <si>
    <t>대전 대덕구 덕암로 219</t>
  </si>
  <si>
    <t>신탄진IC주유소</t>
  </si>
  <si>
    <t>대전 대덕구 신탄진로 665</t>
  </si>
  <si>
    <t>용은주유소</t>
  </si>
  <si>
    <t>대전 대덕구 신탄진로 559 (상서동)</t>
  </si>
  <si>
    <t>GS4공단주유소</t>
  </si>
  <si>
    <t>충남 천안시 서북구 직산읍 4산단3로 69</t>
  </si>
  <si>
    <t>동일주유소</t>
  </si>
  <si>
    <t>충남 보령시 보령남로 100</t>
  </si>
  <si>
    <t>강변셀프주유소</t>
  </si>
  <si>
    <t>충남 아산시 곡교천로 288</t>
  </si>
  <si>
    <t>세종감성셀프주유소</t>
  </si>
  <si>
    <t>세종특별자치시 금남면 안금로 581</t>
  </si>
  <si>
    <t>(주)제트 동서로주유소</t>
  </si>
  <si>
    <t>대전 중구 동서대로 1293</t>
  </si>
  <si>
    <t>성찬셀프주유소</t>
  </si>
  <si>
    <t>대전 대덕구 신탄진로 764 (신탄진동)</t>
  </si>
  <si>
    <t>스마일주유소</t>
  </si>
  <si>
    <t>대전 대덕구 신탄진로 622 (상서동)</t>
  </si>
  <si>
    <t>sk대동주유소</t>
  </si>
  <si>
    <t>대전 동구 계족로140번길 73 (용운동)</t>
  </si>
  <si>
    <t>충남주유소</t>
  </si>
  <si>
    <t>대전 중구 대흥로 80 (대흥동)</t>
  </si>
  <si>
    <t>대명주유소</t>
  </si>
  <si>
    <t>충북 청주시 흥덕구 직지대로 674</t>
  </si>
  <si>
    <t>(주)학하 삼성셀프주유소</t>
  </si>
  <si>
    <t>대전 동구 대전로 908 (삼성동)</t>
  </si>
  <si>
    <t>(주)학하 학하셀프주유소</t>
  </si>
  <si>
    <t>대전 유성구 학하로 189 (복용동)</t>
  </si>
  <si>
    <t>㈜뉴월드에너지</t>
  </si>
  <si>
    <t>대전 서구 배재로 205</t>
  </si>
  <si>
    <t>갈마주유소</t>
  </si>
  <si>
    <t>대전 서구 신갈마로 130</t>
  </si>
  <si>
    <t>갑천주유소</t>
  </si>
  <si>
    <t>대전 대덕구 아리랑로55번길 189 (신대동)</t>
  </si>
  <si>
    <t>거북이주유소</t>
  </si>
  <si>
    <t>대전 중구 문화로 35</t>
  </si>
  <si>
    <t>금성주유소</t>
  </si>
  <si>
    <t>대전 중구 동서대로 1183 (태평동)</t>
  </si>
  <si>
    <t>대도주유소</t>
  </si>
  <si>
    <t>대전 대덕구 신탄진로756번길 2 (신탄진동)</t>
  </si>
  <si>
    <t>동광장주유소</t>
  </si>
  <si>
    <t>대전 동구 중앙로 280</t>
  </si>
  <si>
    <t>디에스주유소</t>
  </si>
  <si>
    <t>대전 서구 배재로 210 (도마동)</t>
  </si>
  <si>
    <t>배재주유소</t>
  </si>
  <si>
    <t>대전 서구 도솔로 57 (도마동)</t>
  </si>
  <si>
    <t>중리셀프주유소</t>
  </si>
  <si>
    <t>대전 대덕구 한밭대로 1186</t>
  </si>
  <si>
    <t>대원주유소</t>
  </si>
  <si>
    <t>충남 천안시 동남구 충절로 261 (구성동)</t>
  </si>
  <si>
    <t>충북 청주시 상당구 낭성면 단재로 2079</t>
  </si>
  <si>
    <t>탑주유소</t>
  </si>
  <si>
    <t>충북 청주시 상당구 대성로 169-1</t>
  </si>
  <si>
    <t>행운주유소</t>
  </si>
  <si>
    <t>충북 청주시 상당구 낭성면 단재로 1778</t>
  </si>
  <si>
    <t>매봉주유소</t>
  </si>
  <si>
    <t>대전 동구 우암로 247 (가양동)</t>
  </si>
  <si>
    <t>세종Self주유소</t>
  </si>
  <si>
    <t>대전 대덕구 대덕대로 1494 (목상동)</t>
  </si>
  <si>
    <t>만세보령주유소</t>
  </si>
  <si>
    <t>충남 보령시 보령남로 140</t>
  </si>
  <si>
    <t>성주주유소</t>
  </si>
  <si>
    <t>충남 보령시 성주면 성주산로 420</t>
  </si>
  <si>
    <t>위성주유소</t>
  </si>
  <si>
    <t>대전 유성구 현충원로 489</t>
  </si>
  <si>
    <t>(주)유성 하나로셀프주유소</t>
  </si>
  <si>
    <t>대전 유성구 한밭대로 295 (장대동)</t>
  </si>
  <si>
    <t>한밭대로주유소</t>
  </si>
  <si>
    <t>대전 유성구 한밭대로 305 (장대동)</t>
  </si>
  <si>
    <t>이화주유소</t>
  </si>
  <si>
    <t>대전 중구 대종로 166</t>
  </si>
  <si>
    <t>(주)에너비즈 삼성주유소</t>
  </si>
  <si>
    <t>대전 중구 계룡로 778 (오류동)</t>
  </si>
  <si>
    <t>(주)하나주유소</t>
  </si>
  <si>
    <t>대전 유성구 유성대로 1127 (하기동)</t>
  </si>
  <si>
    <t>방동제일주유소</t>
  </si>
  <si>
    <t>대전 유성구 계백로 324</t>
  </si>
  <si>
    <t>안영셀프주유소</t>
  </si>
  <si>
    <t>대전 중구 대둔산로 241 (안영동)</t>
  </si>
  <si>
    <t>주식회사 방동주유소</t>
  </si>
  <si>
    <t>대전 유성구 계백로 139</t>
  </si>
  <si>
    <t>대전 중구 동서대로 1459 (중촌동)</t>
  </si>
  <si>
    <t>세종주유소</t>
  </si>
  <si>
    <t>세종 소정면 세종로 4313</t>
  </si>
  <si>
    <t>서천안IC주유소</t>
  </si>
  <si>
    <t>충남 천안시 동남구 광풍로 1687</t>
  </si>
  <si>
    <t>송정주유소</t>
  </si>
  <si>
    <t>충청남도 천안시 동남구 병천면 매봉로 244</t>
  </si>
  <si>
    <t>친절한주유소</t>
  </si>
  <si>
    <t>충남 천안시 동남구 중앙로 289</t>
  </si>
  <si>
    <t>㈜동림에너지 동명주유소</t>
  </si>
  <si>
    <t>충북 청주시 흥덕구 1순환로 514</t>
  </si>
  <si>
    <t>등고개주유소</t>
  </si>
  <si>
    <t>충북 청주시 상당구 남일면 교육원로 9</t>
  </si>
  <si>
    <t>미래주유소</t>
  </si>
  <si>
    <t>충북 청주시 서원구 성봉로 234-2</t>
  </si>
  <si>
    <t>충북 청주시 서원구 사운로180번길 32</t>
  </si>
  <si>
    <t>약수주유소</t>
  </si>
  <si>
    <t>충북 청주시 상당구 미원면 단재로 2864</t>
  </si>
  <si>
    <t>형제주유소</t>
  </si>
  <si>
    <t>충북 청주시 서원구 직지대로 738 (사직동)</t>
  </si>
  <si>
    <t>충북 청주시 상당구 대성로 92</t>
  </si>
  <si>
    <t>오정동SM셀프주유소</t>
  </si>
  <si>
    <t>대전 대덕구 오정로 123 (오정동)</t>
  </si>
  <si>
    <t>기령주유소</t>
  </si>
  <si>
    <t>충북 청주시 상당구 남일면 단재로 1009</t>
  </si>
  <si>
    <t>대전이데아주유소</t>
  </si>
  <si>
    <t>대전 대덕구 한밭대로 1145 (중리동)</t>
  </si>
  <si>
    <t>베스트주유소</t>
  </si>
  <si>
    <t>충남 아산시 선장면 아산만로 582</t>
  </si>
  <si>
    <t>홍대셀프주유소</t>
  </si>
  <si>
    <t>세종특별자치시 조치원읍 세종로 2654</t>
  </si>
  <si>
    <t>(주)소나무 음봉주유소(Self)</t>
  </si>
  <si>
    <t>충남 아산시 음봉면 음봉로 655</t>
  </si>
  <si>
    <t>㈜광장 대천톨게이트주유소</t>
  </si>
  <si>
    <t>충남 보령시 대해로 216 (내항동)</t>
  </si>
  <si>
    <t>합동주유소</t>
  </si>
  <si>
    <t>충남 보령시 주교면 울개길 490</t>
  </si>
  <si>
    <t>우진주유소</t>
  </si>
  <si>
    <t>대전 유성구 유성대로654번길 1</t>
  </si>
  <si>
    <t>구성주유소</t>
  </si>
  <si>
    <t>충남 아산시 영인면 아산호로 496</t>
  </si>
  <si>
    <t>송남주유소</t>
  </si>
  <si>
    <t>충남 아산시 외암로 641</t>
  </si>
  <si>
    <t>장기주유소</t>
  </si>
  <si>
    <t>세종특별자치시 장군면 장척로 408-7</t>
  </si>
  <si>
    <t>성일주유소</t>
  </si>
  <si>
    <t>충북 청주시 서원구 남이면 청남로 871</t>
  </si>
  <si>
    <t>괴정주유소</t>
  </si>
  <si>
    <t>대전 서구 괴정로 113</t>
  </si>
  <si>
    <t>행복가득주유소</t>
  </si>
  <si>
    <t>대전광역시 중구 보문산로 86</t>
  </si>
  <si>
    <t>삼보주유소</t>
  </si>
  <si>
    <t>충북 청주시 청원구 북이면 충청대로 1524</t>
  </si>
  <si>
    <t>대월주유소</t>
  </si>
  <si>
    <t>충남 보령시 남포면 남포방조제로 677</t>
  </si>
  <si>
    <t>좋은차주유소</t>
  </si>
  <si>
    <t>충남 아산시 염치읍 현대로 152</t>
  </si>
  <si>
    <t>제일주유소</t>
  </si>
  <si>
    <t>충남 보령시 흑포1길 4 (신흑동)</t>
  </si>
  <si>
    <t>다복주유소</t>
  </si>
  <si>
    <t>충북 청주시 서원구 현도면 시목부강로 199</t>
  </si>
  <si>
    <t>극동유화(주) 한밭주유소</t>
  </si>
  <si>
    <t>대전 서구 문정로 3 (둔산2동)</t>
  </si>
  <si>
    <t>코끼리셀프주유소</t>
  </si>
  <si>
    <t>대전 서구 도산로 446 (용문동)</t>
  </si>
  <si>
    <t>북대전주유소</t>
  </si>
  <si>
    <t>대전 유성구 유성대로 1495</t>
  </si>
  <si>
    <t>순우리주유소</t>
  </si>
  <si>
    <t>대전 대덕구 신탄진로 533 (상서동)</t>
  </si>
  <si>
    <t>내판주유소</t>
  </si>
  <si>
    <t>세종특별자치시 연동면 청연로 639</t>
  </si>
  <si>
    <t>한밭대앞Self주유소</t>
  </si>
  <si>
    <t>대전 유성구 학하서로 111 (덕명동)</t>
  </si>
  <si>
    <t>보람self주유소</t>
  </si>
  <si>
    <t>세종시 금남구즉로 19 (대평동)</t>
  </si>
  <si>
    <t>라자로주유소</t>
  </si>
  <si>
    <t>대전 대덕구 대전로 1390</t>
  </si>
  <si>
    <t>(주)동건에너지 만년교셀프주유소</t>
  </si>
  <si>
    <t>대전 서구 계룡로 202</t>
  </si>
  <si>
    <t>연일주유소</t>
  </si>
  <si>
    <t>충북 청주시 상당구 남일면 단재로 515</t>
  </si>
  <si>
    <t>중앙주유소</t>
  </si>
  <si>
    <t>세종 조치원읍 새내로 201</t>
  </si>
  <si>
    <t>신화주유소</t>
  </si>
  <si>
    <t>충북 청주시 청원구 오창읍 호죽성재로 284</t>
  </si>
  <si>
    <t>성환셀프주유소</t>
  </si>
  <si>
    <t>충남 천안시 서북구 성환읍 천안대로 1781 (성환읍)</t>
  </si>
  <si>
    <t>명진주유소</t>
  </si>
  <si>
    <t>충남 보령시 미산면 만수로 1124</t>
  </si>
  <si>
    <t>인주셀프주유소</t>
  </si>
  <si>
    <t>충남 아산시 아산만로 1504</t>
  </si>
  <si>
    <t>대지주유소</t>
  </si>
  <si>
    <t>충남 아산시 신창면 온천대로 953</t>
  </si>
  <si>
    <t>㈜강청셀프주유소</t>
  </si>
  <si>
    <t>충남 아산시 염치읍 현대로 340</t>
  </si>
  <si>
    <t>충북 청주시 흥덕구 강내면 저산태성로 289-4</t>
  </si>
  <si>
    <t>고향주유소</t>
  </si>
  <si>
    <t>대전 동구 산내로 562</t>
  </si>
  <si>
    <t>내트럭(주)남대전사업소</t>
  </si>
  <si>
    <t>대전 동구 대전로 15</t>
  </si>
  <si>
    <t>명화제일주유소</t>
  </si>
  <si>
    <t>세종특별자치시 전동면 운주산로 224</t>
  </si>
  <si>
    <t>영당주유소</t>
  </si>
  <si>
    <t>세종 전의면 의당전의로 718</t>
  </si>
  <si>
    <t>충북 청주시 서원구 현도면 청남로 193</t>
  </si>
  <si>
    <t>대광주유소</t>
  </si>
  <si>
    <t>대전 유성구 금남구즉로 1355 (봉산동)</t>
  </si>
  <si>
    <t>송학주유소</t>
  </si>
  <si>
    <t>세종특별자치시 장군면 의당전의로 677</t>
  </si>
  <si>
    <t>은광주유소</t>
  </si>
  <si>
    <t>충남 천안시 동남구 풍세면 풍세로 477</t>
  </si>
  <si>
    <t>송악주유소</t>
  </si>
  <si>
    <t>충남 아산시 송악면 송악로 832</t>
  </si>
  <si>
    <t>(주)이아이디 천안대로주유소 지점</t>
  </si>
  <si>
    <t>충남 천안시 서북구 성환읍 천안대로 2230</t>
  </si>
  <si>
    <t>신계주유소</t>
  </si>
  <si>
    <t>충남 천안시 동남구 목천읍 충절로 833</t>
  </si>
  <si>
    <t>원에너지주유소</t>
  </si>
  <si>
    <t>충남 아산시 둔포면 충무로 1213</t>
  </si>
  <si>
    <t>중암주유소</t>
  </si>
  <si>
    <t>충남 아산시 둔포면 충무로 1222-1</t>
  </si>
  <si>
    <t>대박주유소</t>
  </si>
  <si>
    <t>충북 청주시 상당구  쇠내로 133 (금천동)</t>
  </si>
  <si>
    <t>충남 천안시 동남구 목천읍 충절로 779</t>
  </si>
  <si>
    <t>청솔주유소</t>
  </si>
  <si>
    <t>충남 천안시 동남구 성남면 성남로 413</t>
  </si>
  <si>
    <t>가산주유소</t>
  </si>
  <si>
    <t>충남 아산시 선장면 아산만로 971</t>
  </si>
  <si>
    <t>신인주유소</t>
  </si>
  <si>
    <t>충남 아산시 순천향로 530</t>
  </si>
  <si>
    <t>청정주유소</t>
  </si>
  <si>
    <t>대전 중구 오류로 120 (오류동)</t>
  </si>
  <si>
    <t>2공단주유소</t>
  </si>
  <si>
    <t>충남 천안시 서북구  2공단4로 34</t>
  </si>
  <si>
    <t>세원주유소</t>
  </si>
  <si>
    <t>충남 아산시 송악면 송악로 243</t>
  </si>
  <si>
    <t>(주)구암상사주유소</t>
  </si>
  <si>
    <t>대전 유성구 유성대로654번길 32</t>
  </si>
  <si>
    <t>삼미상사(주)북천안주유소</t>
  </si>
  <si>
    <t>충남 천안 서북구 직산읍 군삼길 81</t>
  </si>
  <si>
    <t>세종특별자치시 부강면 청연로 71</t>
  </si>
  <si>
    <t>삼육주유소</t>
  </si>
  <si>
    <t>대전 중구 대전천서로 757</t>
  </si>
  <si>
    <t>조은기름주유소</t>
  </si>
  <si>
    <t>충남 천안시 서북구 입장면 망향로 1237</t>
  </si>
  <si>
    <t>서해주유소</t>
  </si>
  <si>
    <t>충남 보령시 미산면 만수로 957</t>
  </si>
  <si>
    <t>광명주유소</t>
  </si>
  <si>
    <t>충남 보령시 웅천읍 장터중앙길 164</t>
  </si>
  <si>
    <t>대창주유소</t>
  </si>
  <si>
    <t>충남 보령시 웅천읍 장터중앙길 69</t>
  </si>
  <si>
    <t>천북주유소</t>
  </si>
  <si>
    <t>충남 보령시 천북면 홍보로 437</t>
  </si>
  <si>
    <t>북천안IC주유소</t>
  </si>
  <si>
    <t>충남 천안시 서북구 직산읍 직산로 214</t>
  </si>
  <si>
    <t>호반주유소</t>
  </si>
  <si>
    <t>충북 청주시 상당구 가덕면 미천고은로 118</t>
  </si>
  <si>
    <t>삼성테크노주유소</t>
  </si>
  <si>
    <t>충남 아산시 탕정면 삼성로 350</t>
  </si>
  <si>
    <t>행복한주유소</t>
  </si>
  <si>
    <t>충남 아산시 신창면 서부북로 331</t>
  </si>
  <si>
    <t>아름셀프주유소</t>
  </si>
  <si>
    <t>충남 아산시 온천대로 1616</t>
  </si>
  <si>
    <t>진양주유소</t>
  </si>
  <si>
    <t>충남 아산시 온천대로 1735 (모종동)</t>
  </si>
  <si>
    <t>화랑주유소</t>
  </si>
  <si>
    <t>충남 아산시 외암로 1568 (풍기동)</t>
  </si>
  <si>
    <t>5공단셀프주유소</t>
  </si>
  <si>
    <t>충남 천안시 동남구 수신면 5산단로 196</t>
  </si>
  <si>
    <t>삼정주유소</t>
  </si>
  <si>
    <t>세종 조치원읍 충현로 53</t>
  </si>
  <si>
    <t>입장주유소</t>
  </si>
  <si>
    <t>충남 천안시 서북구 입장면 망향로 1082</t>
  </si>
  <si>
    <t>GS목천IC주유소</t>
  </si>
  <si>
    <t>충남 천안시 동남구 목천읍 남부대로 983</t>
  </si>
  <si>
    <t>전동주유소</t>
  </si>
  <si>
    <t>세종특별자치시 전동면 운주산로 355</t>
  </si>
  <si>
    <t>옥녀봉주유소</t>
  </si>
  <si>
    <t>충북 청주시 청원구 북이면 충청대로 1376</t>
  </si>
  <si>
    <t>삼거리주유소</t>
  </si>
  <si>
    <t>충남 아산시 음봉면 아산온천로 528-8</t>
  </si>
  <si>
    <t>상록주유소</t>
  </si>
  <si>
    <t>충남 천안시 동남구 수신면 수신로 642</t>
  </si>
  <si>
    <t>매봉셀프주유소</t>
  </si>
  <si>
    <t>충남 천안시 동남구 병천면 충절로 1532</t>
  </si>
  <si>
    <t>효성주유소</t>
  </si>
  <si>
    <t>충남 보령시 오천면 도미항로 375</t>
  </si>
  <si>
    <t>신은성주유소</t>
  </si>
  <si>
    <t>충남 천안시 동남구 병천면 매봉로 243</t>
  </si>
  <si>
    <t>경민주유소</t>
  </si>
  <si>
    <t>충남 아산시 선장면 아산만로 697</t>
  </si>
  <si>
    <t>기산주유소</t>
  </si>
  <si>
    <t>충남 아산시 순천향로 408</t>
  </si>
  <si>
    <t>(주)광명주유소</t>
  </si>
  <si>
    <t>충남 천안시 동남구 충절로 451</t>
  </si>
  <si>
    <t>동유주유소</t>
  </si>
  <si>
    <t>세종시 조치원읍 새내로 142</t>
  </si>
  <si>
    <t>남일주유소</t>
  </si>
  <si>
    <t>충북 청주시 상당구 남일면 단재로 828</t>
  </si>
  <si>
    <t>주성주유소</t>
  </si>
  <si>
    <t>충북 청주시 청원구 충청대로 295</t>
  </si>
  <si>
    <t>백제주유소</t>
  </si>
  <si>
    <t>세종 소정면 차령고개로 1087</t>
  </si>
  <si>
    <t>평산주유소</t>
  </si>
  <si>
    <t>세종특별자치시 조치원읍 허만석로 84</t>
  </si>
  <si>
    <t>가덕주유소</t>
  </si>
  <si>
    <t>충북 청주시 상당구 가덕면 상장인차로 570</t>
  </si>
  <si>
    <t>개나리주유소오일뱅크</t>
  </si>
  <si>
    <t>대전 대덕구 오정로 53 (오정동)</t>
  </si>
  <si>
    <t>태산주유소</t>
  </si>
  <si>
    <t>세종특별자치시 소정면 세종로 4274</t>
  </si>
  <si>
    <t>평강주유소</t>
  </si>
  <si>
    <t>충북 청주시 서원구 사운로145번길 4 (사직동)</t>
  </si>
  <si>
    <t>충북 청주시 청원구 오창읍 두릉유리로 1129</t>
  </si>
  <si>
    <t>대전 중구 문화로 97</t>
  </si>
  <si>
    <t>충북 청주시 흥덕구 월명로48번길 3</t>
  </si>
  <si>
    <t>황용주유소</t>
  </si>
  <si>
    <t>세종 금남면 황용1길 40</t>
  </si>
  <si>
    <t>충남 천안시 서북구 성거읍 성진로 588</t>
  </si>
  <si>
    <t>보성주유소</t>
  </si>
  <si>
    <t>충남 천안시 동남구 풍세면 광풍로 1333</t>
  </si>
  <si>
    <t>우정주유소</t>
  </si>
  <si>
    <t>대전 동구 옥천로 418 (삼정동)</t>
  </si>
  <si>
    <t>선명주유소</t>
  </si>
  <si>
    <t>충북 청주시 상당구 미원면 단재로 2670</t>
  </si>
  <si>
    <t>충남 아산시 인주면 아산만로 1368</t>
  </si>
  <si>
    <t>무지개주유소</t>
  </si>
  <si>
    <t>충남 아산시 염치읍 충무로 381</t>
  </si>
  <si>
    <t>대전 대덕구 대전로 1285 (대화동)</t>
  </si>
  <si>
    <t>테크노주유소</t>
  </si>
  <si>
    <t>충북 청주시 흥덕구 옥산면 중부로 532</t>
  </si>
  <si>
    <t>신촌주유소</t>
  </si>
  <si>
    <t>충북 청주시 흥덕구 옥산면 오송가락로 545</t>
  </si>
  <si>
    <t>㈜백마주유소</t>
  </si>
  <si>
    <t>충남 천안시 동남구 신방남부길 87-1 (신방동)</t>
  </si>
  <si>
    <t>석화주유소</t>
  </si>
  <si>
    <t>충북 청주시 청원구 내수읍 충청대로 849-5</t>
  </si>
  <si>
    <t>아산주유소</t>
  </si>
  <si>
    <t>충남 아산시 염치읍 서원길 14</t>
  </si>
  <si>
    <t>보산원주유소</t>
  </si>
  <si>
    <t>충남 천안시 동남구 광덕면 보산원로 55</t>
  </si>
  <si>
    <t>청룡셀프주유소</t>
  </si>
  <si>
    <t>충남 천안시 동남구 대흥로 22</t>
  </si>
  <si>
    <t>관저주유소</t>
  </si>
  <si>
    <t>대전 유성구 계백로 975  (원내동)</t>
  </si>
  <si>
    <t>진터벌주유소</t>
  </si>
  <si>
    <t>대전 유성구 유성대로654번길 168 (봉명동)</t>
  </si>
  <si>
    <t>미평주유소</t>
  </si>
  <si>
    <t>충북 청주시 서원구 청남로 1911</t>
  </si>
  <si>
    <t>남산주유소</t>
  </si>
  <si>
    <t>충남 아산시 시민로221 (용화동)</t>
  </si>
  <si>
    <t>태호건설㈜ 천안지점</t>
  </si>
  <si>
    <t>충남 천안시 서북구 천안대로 1685</t>
  </si>
  <si>
    <t>선진에너지(주) 테크노빌주유소</t>
  </si>
  <si>
    <t>충북 청주시 청원구 팔결로 9 (주중동)</t>
  </si>
  <si>
    <t>광덕셀프주유소</t>
  </si>
  <si>
    <t>충남 천안시 동남구 광덕면 광풍로 240</t>
  </si>
  <si>
    <t>성환주유소</t>
  </si>
  <si>
    <t>충남 천안시 서북구 성환읍 연암율금로 103</t>
  </si>
  <si>
    <t>대전 서구 대덕대로 384 (만년동)</t>
  </si>
  <si>
    <t>도림주유소</t>
  </si>
  <si>
    <t>충남 천안시 서북구 입장면 성진로 1123</t>
  </si>
  <si>
    <t>초정주유소</t>
  </si>
  <si>
    <t>충북 청주시 청원구 내수읍 청암로 457</t>
  </si>
  <si>
    <t>흥인주유소</t>
  </si>
  <si>
    <t>충북 청주시 청원구 오창읍 두릉유리로 755</t>
  </si>
  <si>
    <t>미니주유소</t>
  </si>
  <si>
    <t>충남 천안시 동남구 다가7길 18 (다가동)</t>
  </si>
  <si>
    <t>신나라주유소</t>
  </si>
  <si>
    <t>충북 청주시 청원구 새터로 53 (내덕동)</t>
  </si>
  <si>
    <t>운암주유소</t>
  </si>
  <si>
    <t>충북 청주시 상당구 미원면 남부로 6605</t>
  </si>
  <si>
    <t>당산주유소</t>
  </si>
  <si>
    <t>대전 대덕구 아리랑로 135 (읍내동)</t>
  </si>
  <si>
    <t>승덕주유소</t>
  </si>
  <si>
    <t>세종특별자치시 소정면 세종로 4317</t>
  </si>
  <si>
    <t>EM톨게이트주유소</t>
  </si>
  <si>
    <t>충남 천안시 동남구 목천읍 남부대로 950</t>
  </si>
  <si>
    <t>스마트주유소</t>
  </si>
  <si>
    <t>충북 청주시 흥덕구 청주역로 563</t>
  </si>
  <si>
    <t>태양주유소</t>
  </si>
  <si>
    <t>충북 청주시 청원구 오창읍 중부로 1559</t>
  </si>
  <si>
    <t>목천톨게이트주유소</t>
  </si>
  <si>
    <t>충남 천안시 동남구 목천읍 충절로 952</t>
  </si>
  <si>
    <t>충남 천안시 동남구 성황로 93 (원성동)</t>
  </si>
  <si>
    <t>동찬주유소</t>
  </si>
  <si>
    <t>충북 청주시 흥덕구 오송읍 서평길 22-1</t>
  </si>
  <si>
    <t>옻샘주유소</t>
  </si>
  <si>
    <t>충북 청주시 상당구 미원면 남부로 6864</t>
  </si>
  <si>
    <t>남양주유소</t>
  </si>
  <si>
    <t>충남 천안시 동남구 광덕면 광풍로 987</t>
  </si>
  <si>
    <t>목천IC주유소</t>
  </si>
  <si>
    <t>충청남도 천안시 동남구 목천읍 남부대로 829 (목천읍)</t>
  </si>
  <si>
    <t>SK오창주유소</t>
  </si>
  <si>
    <t>충북 청주시 청원구 오창읍 팔결로 579</t>
  </si>
  <si>
    <t>천안동남주유소</t>
  </si>
  <si>
    <t>충남 천안시 동남구 동면 충절로 2720</t>
  </si>
  <si>
    <t>삼원주유소</t>
  </si>
  <si>
    <t>충남 천안시 서북구 4산단로 217</t>
  </si>
  <si>
    <t>유진주유소</t>
  </si>
  <si>
    <t>충북 청주시 서원구 남이면 남석로 402</t>
  </si>
  <si>
    <t>팔봉주유소</t>
  </si>
  <si>
    <t>충북 청주시 서원구 남이면 남석로 239</t>
  </si>
  <si>
    <t>대율주유소</t>
  </si>
  <si>
    <t>충북 청주시 청원구 북이면 신대석성로 163</t>
  </si>
  <si>
    <t>충북 청주시 흥덕구 사운로 392-2 (신봉동)</t>
  </si>
  <si>
    <t>오대주유소</t>
  </si>
  <si>
    <t>충북 청주시 청원구 내수읍 초정약수로 813</t>
  </si>
  <si>
    <t>오미주유소(유공)</t>
  </si>
  <si>
    <t>충북 청주시 흥덕구 옥산면 청주역로 626</t>
  </si>
  <si>
    <t>민들레주유소</t>
  </si>
  <si>
    <t>충남 아산시 염치읍 은행나무길 183</t>
  </si>
  <si>
    <t>지산주유소</t>
  </si>
  <si>
    <t>충북 청주시 상당구 낭성면 산성로 1143</t>
  </si>
  <si>
    <t>오천농협원산도지점주유소</t>
  </si>
  <si>
    <t>충남 보령시 오천면 원산도3길 66</t>
  </si>
  <si>
    <t>아람주유소</t>
  </si>
  <si>
    <t>충남 천안시 동남구 풍세면 풍세로 161</t>
  </si>
  <si>
    <t>HD현대오일뱅크㈜직영 청주역주유소</t>
  </si>
  <si>
    <t>충북 청주시 흥덕구 청주역로 353</t>
  </si>
  <si>
    <t>비전운수(주)산업단지주유소</t>
  </si>
  <si>
    <t>대전 대덕구 산업단지로 107</t>
  </si>
  <si>
    <t>태조산주유소</t>
  </si>
  <si>
    <t>충남 천안시 동남구 각원사길 111 (안서동)</t>
  </si>
  <si>
    <t>충남 천안시 동남구 천안천공원3길 27-10</t>
  </si>
  <si>
    <t>이포에너지㈜ 금강주유소</t>
  </si>
  <si>
    <t>충북 청주시 서원구 청남로 2145</t>
  </si>
  <si>
    <t>봉암주유소</t>
  </si>
  <si>
    <t>세종시 연서면 세종로 1899</t>
  </si>
  <si>
    <t>(주)차세대주유소</t>
  </si>
  <si>
    <t>대전광역시 대덕구  아리랑로 73</t>
  </si>
  <si>
    <t>HD현대오일뱅크㈜직영 학천주유소</t>
  </si>
  <si>
    <t>충북 청주시 청원구 오창읍 중부로 1265</t>
  </si>
  <si>
    <t>주식회사 월드홀딩스</t>
  </si>
  <si>
    <t>충남 천안시 서북구 서부대로 421</t>
  </si>
  <si>
    <t>천안대로셀프</t>
  </si>
  <si>
    <t>충남 천안시 동남구 천안대로 727</t>
  </si>
  <si>
    <t>동성주유소</t>
  </si>
  <si>
    <t>충남 천안시 서북구 차돌로 14</t>
  </si>
  <si>
    <t>태평양셀프주유소</t>
  </si>
  <si>
    <t>충남 천안시 동남구  서부대로 520 (봉명동)</t>
  </si>
  <si>
    <t>충북 청주시 청원구 북이면 팔결신대로 517</t>
  </si>
  <si>
    <t>지에스칼텍스㈜ 미호주유소</t>
  </si>
  <si>
    <t>충북 청주시 흥덕구 강내면 가로수로 516</t>
  </si>
  <si>
    <t>세종대왕주유소</t>
  </si>
  <si>
    <t>세종 전의면 세종로 3907</t>
  </si>
  <si>
    <t>세종로주유소</t>
  </si>
  <si>
    <t>세종 전의면 세종로 3880</t>
  </si>
  <si>
    <t>충청에너지주유소</t>
  </si>
  <si>
    <t>세종특별자치시 전의면 세종로 3894</t>
  </si>
  <si>
    <t>태양셀프주유소</t>
  </si>
  <si>
    <t>충남 공주시 정안면 차령로 3737</t>
  </si>
  <si>
    <t>(주)대성제2주유소</t>
  </si>
  <si>
    <t>충남 천안시 동남구 가마골1길 10 (신부동)</t>
  </si>
  <si>
    <t>아평주유소</t>
  </si>
  <si>
    <t>충남 천안시 동남구 천안대로 784</t>
  </si>
  <si>
    <t>OK주유소</t>
  </si>
  <si>
    <t>대전 대덕구 대전로 1312 (읍내동)</t>
  </si>
  <si>
    <t>㈜기인개발 중부제1주유소</t>
  </si>
  <si>
    <t>충남 공주시 정안면 차령로 3337-39</t>
  </si>
  <si>
    <t>㈜삼화에너지 일월</t>
  </si>
  <si>
    <t>충남 공주시 정안면 차령로 3953</t>
  </si>
  <si>
    <t>청룡휴게주유소</t>
  </si>
  <si>
    <t>충남 공주시 의당면 차령로 2218</t>
  </si>
  <si>
    <t>신창에너지㈜직영 천안셀프주유소</t>
  </si>
  <si>
    <t>충남 천안시 서북구 성거읍 망향로 485</t>
  </si>
  <si>
    <t>디오티디아산멍멍이주유소</t>
  </si>
  <si>
    <t>충남 아산시 인주면 서해로 525</t>
  </si>
  <si>
    <t>카카오스테이션 ㈜오일컴퍼니</t>
  </si>
  <si>
    <t>충남 아산시 인주면 서해로 492</t>
  </si>
  <si>
    <t>성거농협클린주유소</t>
  </si>
  <si>
    <t>충남 천안시 서북구 성거읍 성거길 88</t>
  </si>
  <si>
    <t>신천안스테이션</t>
  </si>
  <si>
    <t>충남 천안시 동남구 목천읍 삼성4길 43</t>
  </si>
  <si>
    <t>동일석유㈜천안동일주유소</t>
  </si>
  <si>
    <t>충남 천안시 동남구 천안대로 536 (구성동)</t>
  </si>
  <si>
    <t>명진에너지</t>
  </si>
  <si>
    <t>충남 천안시 동남구 망향로 52 (신부동)</t>
  </si>
  <si>
    <t>신광주유소</t>
  </si>
  <si>
    <t>충남 천안시 동남구 망향로 42</t>
  </si>
  <si>
    <t>(주)디오티디 아산꿀꿀이주유소</t>
  </si>
  <si>
    <t>충남 아산시 영인면 장영실로 684</t>
  </si>
  <si>
    <t>디오티디 아산부엉이주유소 (주)다휘</t>
  </si>
  <si>
    <t>충남 아산시 영인면 장영실로 430</t>
  </si>
  <si>
    <t>옥계주유소</t>
  </si>
  <si>
    <t>대전 중구 대종로 103</t>
  </si>
  <si>
    <t>지에스칼텍스㈜ 석곡셀프주유소</t>
  </si>
  <si>
    <t>세종 전동면 하석곡길 64-10</t>
  </si>
  <si>
    <t>천안IC주유소</t>
  </si>
  <si>
    <t>충남 천안시 동남구 만남로 150 (신부동)</t>
  </si>
  <si>
    <t>사랑셀프주유소</t>
  </si>
  <si>
    <t>충남 아산시 충무로 152</t>
  </si>
  <si>
    <t>(유) 대명케이에프 차에너지주유소</t>
  </si>
  <si>
    <t>충청남도 공주시 차령로 1856 (동현동)</t>
  </si>
  <si>
    <t>동현주유소</t>
  </si>
  <si>
    <t>충남 공주시 장기면 차령로 1851</t>
  </si>
  <si>
    <t>㈜상일주유소</t>
  </si>
  <si>
    <t>충청북도 청주시 서원구 남이면 청남로 1164</t>
  </si>
  <si>
    <t>(주)김여사네 대전지점</t>
  </si>
  <si>
    <t>대전 중구 대종로 558 (선화동)</t>
  </si>
  <si>
    <t>남청주농협주유소</t>
  </si>
  <si>
    <t>충북 청주시 서원구 남이면 청남로 1228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</si>
  <si>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</si>
  <si>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</si>
  <si>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</si>
  <si>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</si>
  <si>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</si>
  <si>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</si>
  <si>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지에스칼텍스㈜ 세종청사주유소</t>
  </si>
  <si>
    <t>세종특별자치시 보듬5로 6</t>
  </si>
  <si>
    <t>창성주유소</t>
  </si>
  <si>
    <t>충남 천안시 서북구 성환읍 성환1로 201</t>
  </si>
  <si>
    <t>강녕주유소</t>
  </si>
  <si>
    <t>충남 공주시 금벽로 1004-49</t>
  </si>
  <si>
    <t>엔젤주유소</t>
  </si>
  <si>
    <t>충남 공주시 무령로 345  (옥룡동)</t>
  </si>
  <si>
    <t>㈜에코위너스 신영셀프주유소</t>
  </si>
  <si>
    <t>충북 청주시 서원구 모충로 71</t>
  </si>
  <si>
    <t>모충주유소</t>
  </si>
  <si>
    <t>충북 청주시 서원구 모충로 112 (모충동)</t>
  </si>
  <si>
    <t>장성주유소</t>
  </si>
  <si>
    <t>충북 청주시 서원구 남이면 양촌4길 3</t>
  </si>
  <si>
    <t>(주)신창에너지 공주대주유소</t>
  </si>
  <si>
    <t>충남 공주시 무령로 435 (신관동)</t>
  </si>
  <si>
    <t>(주)에스엘 반포주유소</t>
  </si>
  <si>
    <t>충남 공주시 반포면 금벽로 1330</t>
  </si>
  <si>
    <t>온천주유소</t>
  </si>
  <si>
    <t>충남 공주시 반포면 온천사기소길 17</t>
  </si>
  <si>
    <t>충남 공주시 반포면 금벽로 1749</t>
  </si>
  <si>
    <t>제일셀프주유소</t>
  </si>
  <si>
    <t>충남 공주시 미나리1길 18-10 (금성동)</t>
  </si>
  <si>
    <t>(주)대연 우리주유소</t>
  </si>
  <si>
    <t>충북 청주시 서원구 남이면 청남로 1465</t>
  </si>
  <si>
    <t>오창(통영)주유소</t>
  </si>
  <si>
    <t>충북 청주시 청원구 오창읍 중부고속도로 19</t>
  </si>
  <si>
    <t>두성유통(주)문의휴게소(영덕방향)</t>
  </si>
  <si>
    <t>충청북도 청주시 상당구 문의면 당진영덕고속도로 124</t>
  </si>
  <si>
    <t>두성유통(주)문의휴게소(청주방향)</t>
  </si>
  <si>
    <t>충청북도 청주시 상당구 문의면 당진영덕고속도로 123</t>
  </si>
  <si>
    <t>신창에너지㈜직영 내덕셀프주유소</t>
  </si>
  <si>
    <t>충북 청주시 청원구 충청대로 71</t>
  </si>
  <si>
    <t>중도석유(주)금성주유소</t>
  </si>
  <si>
    <t>충북 청주시 흥덕구 직지대로 650</t>
  </si>
  <si>
    <t>자이언트에너지</t>
  </si>
  <si>
    <t>충남 천안시 서북구 성거읍 망향로 904</t>
  </si>
  <si>
    <t>㈜신화에너지 번개1셀프주유소</t>
  </si>
  <si>
    <t>충북 청주시 상당구 제1순환로 1202-2 (방서동)</t>
  </si>
  <si>
    <t>자유에너지(주)황제주유소</t>
  </si>
  <si>
    <t>충북 청주시 상당구 1순환로 1249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</si>
  <si>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</si>
  <si>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</si>
  <si>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</si>
  <si>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</si>
  <si>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신창에너지㈜직영 청주셀프주유소</t>
  </si>
  <si>
    <t>충북 청주시 서원구 청남로 1917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</si>
  <si>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</si>
  <si>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</si>
  <si>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</si>
  <si>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</si>
  <si>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용문주유소</t>
  </si>
  <si>
    <t>충북 청주시 서원구 현도면 청남로 457</t>
  </si>
  <si>
    <t>다온주유소</t>
  </si>
  <si>
    <t>충남 천안시 동남구 풍세로 930</t>
  </si>
  <si>
    <t>㈜삼화에너지 차령</t>
  </si>
  <si>
    <t>충남 공주시 정안면 차령로 3952-18</t>
  </si>
  <si>
    <t>토지주유소</t>
  </si>
  <si>
    <t>대전 동구 계족로 249</t>
  </si>
  <si>
    <t>이루다셀프주유소</t>
  </si>
  <si>
    <t>충남 아산시 온천대로 1291 (방축동)</t>
  </si>
  <si>
    <t>아산테크노주유소</t>
  </si>
  <si>
    <t>충남 아산시 영인면 아산로 1338</t>
  </si>
  <si>
    <t>햇님주유소</t>
  </si>
  <si>
    <t>충남 천안시 동남구 충절로 461</t>
  </si>
  <si>
    <t>㈜케이알산업 입장(상)주유소/충전소</t>
  </si>
  <si>
    <t>충남 천안시 서북구 입장면 연곡길 407</t>
  </si>
  <si>
    <t>(주)썬엘 청주(서울)주유소</t>
  </si>
  <si>
    <t>충북 청주시 흥덕구 옥산면 경부고속도로 318</t>
  </si>
  <si>
    <t>중도석유(주)옥산주유소/충전소</t>
  </si>
  <si>
    <t>충북 청주시 흥덕구 옥산면 경부고속도로 309-1</t>
  </si>
  <si>
    <t>㈜남영전구 천안(부산)주유소</t>
  </si>
  <si>
    <t>충남 천안시 동남구 수신면 성남로 793-40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</si>
  <si>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</si>
  <si>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</si>
  <si>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</si>
  <si>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</si>
  <si>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주식회사 만수르에너지</t>
  </si>
  <si>
    <t>충남 아산시 음봉면 음봉로 319</t>
  </si>
  <si>
    <t>농협하나로 주유소</t>
  </si>
  <si>
    <t>충남 공주시 미나리2길 4 (금성동)</t>
  </si>
  <si>
    <t>㈜오일마스터 도안대로주유소 유성지점</t>
  </si>
  <si>
    <t>대전 유성구 유성대로 142 (교촌동)</t>
  </si>
  <si>
    <t>오창주유소</t>
  </si>
  <si>
    <t>충북 청주시 청원구 오창읍 두릉유리로 974</t>
  </si>
  <si>
    <t>나인투㈜ 아산지점</t>
  </si>
  <si>
    <t>충남 아산시 아산로 146 (온천동)</t>
  </si>
  <si>
    <t>기성농협주유소</t>
  </si>
  <si>
    <t>대전 서구 세점길 7</t>
  </si>
  <si>
    <t>대전 대덕구  동서대로 1750 (비래동)</t>
  </si>
  <si>
    <t>㈜에스제이에너지뱅크 오창선녀주유소</t>
  </si>
  <si>
    <t>충북 청주시 청원구 오창읍 공항로 1076</t>
  </si>
  <si>
    <t>복대동주유소</t>
  </si>
  <si>
    <t>충북 청주시 흥덕구 복대로 206</t>
  </si>
  <si>
    <t>청주주유소</t>
  </si>
  <si>
    <t>충북 청주시 청원구 직지대로 830</t>
  </si>
  <si>
    <t>케이피에스 서청주 롯데마트 주유소</t>
  </si>
  <si>
    <t>충북 청주시 흥덕구  직지대로240번길 25</t>
  </si>
  <si>
    <t>평양주유소</t>
  </si>
  <si>
    <t>충북 청주시 서원구  사운로 69 (사직동)</t>
  </si>
  <si>
    <t>세종부강농협주유소</t>
  </si>
  <si>
    <t>세종특별자치시 부강면 부강외천로 10</t>
  </si>
  <si>
    <t>공원주유소</t>
  </si>
  <si>
    <t>충남 천안시 동남구 광덕면 광덕로 225</t>
  </si>
  <si>
    <t>세종전의농협주유소</t>
  </si>
  <si>
    <t>세종 전의면 매실로 6</t>
  </si>
  <si>
    <t>강내농협주유소</t>
  </si>
  <si>
    <t>충북 청주시 흥덕구 강내면 가로수로 570</t>
  </si>
  <si>
    <t>(유)대성주유소</t>
  </si>
  <si>
    <t>충남 보령시 대천로 254 (죽정동)</t>
  </si>
  <si>
    <t>명해로주유소</t>
  </si>
  <si>
    <t>충남 보령시 명해로 111 (궁촌동)</t>
  </si>
  <si>
    <t>백두산주유소</t>
  </si>
  <si>
    <t>충남 보령시 대해로 498 (요암동)</t>
  </si>
  <si>
    <t>오창(하남)주유소</t>
  </si>
  <si>
    <t>충북 청주시 청원구 오창읍 중부고속도로 22</t>
  </si>
  <si>
    <t>세종특별자치시 조치원읍 세종로 2712</t>
  </si>
  <si>
    <t>신안주유소</t>
  </si>
  <si>
    <t>세종특별자치시 조치원읍 세종로 2678</t>
  </si>
  <si>
    <t>명성self주유소</t>
  </si>
  <si>
    <t>세종 조치원읍 세종로 2210</t>
  </si>
  <si>
    <t>(주)신진에너지프라임오에스</t>
  </si>
  <si>
    <t>충남 천안시 서북구 쌍용대로 269 (성정동)</t>
  </si>
  <si>
    <t>프렌즈스테이션㈜제이에이치에스</t>
  </si>
  <si>
    <t>대전 서구 계백로 838</t>
  </si>
  <si>
    <t>지에스칼텍스(주)직영 삼융만남의주유소</t>
  </si>
  <si>
    <t>충남 천안시 서북구 직산읍 군삼길 105</t>
  </si>
  <si>
    <t>지에프에너지㈜ 나들목주유소</t>
  </si>
  <si>
    <t>충남 천안시 서북구 입장면 삼사로 1880</t>
  </si>
  <si>
    <t>(주)하늘셀프주유소</t>
  </si>
  <si>
    <t>대전 동구 대전로 549</t>
  </si>
  <si>
    <t>충남 천안시 서북구 봉정로 246</t>
  </si>
  <si>
    <t>선영셀프주유소</t>
  </si>
  <si>
    <t>충남 천안시 서북구 백석로 248</t>
  </si>
  <si>
    <t>신원주유소</t>
  </si>
  <si>
    <t>충남 천안시 동남구 충무로 60 (신방동)</t>
  </si>
  <si>
    <t>남양대영주유소</t>
  </si>
  <si>
    <t>세종시 장군면 장기로 842</t>
  </si>
  <si>
    <t>CJ대한통운㈜ 대전지사주유소</t>
  </si>
  <si>
    <t>대전 대덕구 신탄진로 1 (읍내동)</t>
  </si>
  <si>
    <t>순천향셀프주유소</t>
  </si>
  <si>
    <t>충남 아산시 신창면 온천대로 846</t>
  </si>
  <si>
    <t>대성제5주유소</t>
  </si>
  <si>
    <t>충남 천안시 동남구 청수로 135</t>
  </si>
  <si>
    <t>와동셀프주유소</t>
  </si>
  <si>
    <t>대전 대덕구 신탄진로 386 (와동)</t>
  </si>
  <si>
    <t>신원self주유소</t>
  </si>
  <si>
    <t>세종특별자치시 조치원읍 세종로 2562</t>
  </si>
  <si>
    <t>삼미상사(주)탕정셀프주유소</t>
  </si>
  <si>
    <t>충남 아산시 탕정면 이순신대로 612</t>
  </si>
  <si>
    <t>CJ대한통운㈜  입장주유소</t>
  </si>
  <si>
    <t>충남 천안시 서북구 입장면 시장리1길 3-14</t>
  </si>
  <si>
    <t>충남 천안시 동남구 풍세로 895 (다가동)</t>
  </si>
  <si>
    <t>선경셀프주유소</t>
  </si>
  <si>
    <t>충북 청주시 흥덕구 강내면 서부로 106</t>
  </si>
  <si>
    <t>오송신도시주유소</t>
  </si>
  <si>
    <t>충북 청주시 흥덕구 오송읍 가로수로 126-5</t>
  </si>
  <si>
    <t>충북석유(주)동문주유소</t>
  </si>
  <si>
    <t>충북 청주시 상당구 가덕면 단재로 1542</t>
  </si>
  <si>
    <t>세종 조치원읍 세종로 2749</t>
  </si>
  <si>
    <t>북면주유소</t>
  </si>
  <si>
    <t>충청남도 천안시 동남구 북면 위례성로 715</t>
  </si>
  <si>
    <t>신고개주유소</t>
  </si>
  <si>
    <t>대전 동구 새울로 38 (용운동)</t>
  </si>
  <si>
    <t>㈜같이오름</t>
  </si>
  <si>
    <t>충북 청주시 서원구 현도면 청남로 502</t>
  </si>
  <si>
    <t>(주)대륙주유소</t>
  </si>
  <si>
    <t>충남 천안시 동남구 천안대로 782</t>
  </si>
  <si>
    <t>세종강남농협주유소</t>
  </si>
  <si>
    <t>세종특별자치시 금남면 성덕영곡길 15</t>
  </si>
  <si>
    <t>유계주유소</t>
  </si>
  <si>
    <t>충남 공주시 의당면 의당전의로 467</t>
  </si>
  <si>
    <t>진영주유소</t>
  </si>
  <si>
    <t>세종 소정면 세종로 4732</t>
  </si>
  <si>
    <t>(주)오일마스터아산지점 송촌주유소</t>
  </si>
  <si>
    <t>충남 아산시 음봉면 음봉로 336</t>
  </si>
  <si>
    <t>거북선에너지</t>
  </si>
  <si>
    <t>충남 아산시 염치읍 이순신대로 210-2</t>
  </si>
  <si>
    <t>SK에너지(주) 현진</t>
  </si>
  <si>
    <t>충남 천안시 동남구 남부대로 112 (신방동)</t>
  </si>
  <si>
    <t>지에스칼텍스㈜ 길목주유소</t>
  </si>
  <si>
    <t>충북 청주시 청원구 새터로 248</t>
  </si>
  <si>
    <t>SK에너지㈜신세계주유소</t>
  </si>
  <si>
    <t>충북 청주시 서원구 청남로 2125 (모충동)</t>
  </si>
  <si>
    <t>도고온천주유소</t>
  </si>
  <si>
    <t>충남 아산시 도고면 온천대로 342</t>
  </si>
  <si>
    <t>학성주유소</t>
  </si>
  <si>
    <t>충남 아산시 신창면 온천대로 798</t>
  </si>
  <si>
    <t>희망찬주유소</t>
  </si>
  <si>
    <t>충남 아산시 도고면 온천대로 476</t>
  </si>
  <si>
    <t>직산농협 클린주유소</t>
  </si>
  <si>
    <t>충남 천안시 서북구 직산읍 천안밸리로15</t>
  </si>
  <si>
    <t>판정주유소</t>
  </si>
  <si>
    <t>충남 천안시 서북구 직산읍 성진로 328</t>
  </si>
  <si>
    <t>CJ대한통운㈜ 운수대통주유소</t>
  </si>
  <si>
    <t>충북 청주시 서원구 남이면 청남로 1309-18</t>
  </si>
  <si>
    <t>실광주유소</t>
  </si>
  <si>
    <t>세종특별자치시 연기면 당산로 239</t>
  </si>
  <si>
    <t>남부주유소</t>
  </si>
  <si>
    <t>충남 천안시 동남구 남부대로 84 (신방동)</t>
  </si>
  <si>
    <t>부성에너지</t>
  </si>
  <si>
    <t>충남 천안시 서북구 업성2길 21 (업성동)</t>
  </si>
  <si>
    <t>미원주유소</t>
  </si>
  <si>
    <t>충북 청주시 상당구 미원면 단재로 2360</t>
  </si>
  <si>
    <t>오창공단IC주유소</t>
  </si>
  <si>
    <t>충북 청주시 청원구 오창읍 농소길 6-3</t>
  </si>
  <si>
    <t>옥화대주유소</t>
  </si>
  <si>
    <t>충북 청주시 상당구 미원면 남부로 6705</t>
  </si>
  <si>
    <t>플러스주유소  ㈜다우피앤지</t>
  </si>
  <si>
    <t>충북 청주시 서원구 무심서로 451</t>
  </si>
  <si>
    <t>프라이드에너지주식회사</t>
  </si>
  <si>
    <t>충청남도 공주시 계룡면 차령로 824 (계룡면)</t>
  </si>
  <si>
    <t>㈜굿에너지</t>
  </si>
  <si>
    <t>충북 청주시 청원구 오창읍 두릉유리로 18</t>
  </si>
  <si>
    <t>청주IC주유소</t>
  </si>
  <si>
    <t>충북 청주시 흥덕구 강내면 가로수로 668</t>
  </si>
  <si>
    <t>영운동셀프주유소</t>
  </si>
  <si>
    <t>충청북도 청주시 상당구  단재로 118-1 (영운동)</t>
  </si>
  <si>
    <t>수동셀프주유소 대왕석유무역㈜</t>
  </si>
  <si>
    <t>충북 청주시 상당구 상당로 192</t>
  </si>
  <si>
    <t>묵방내수셀프주유소</t>
  </si>
  <si>
    <t>충북 청주시 청원구 내수읍 충청대로 513</t>
  </si>
  <si>
    <t>주식회사 지우스타에너지</t>
  </si>
  <si>
    <t>충남 아산시 염치읍 아산로 807</t>
  </si>
  <si>
    <t>송곡주유소</t>
  </si>
  <si>
    <t>충남 공주시 반포면 송곡로 217</t>
  </si>
  <si>
    <t>천안호두 오일러스</t>
  </si>
  <si>
    <t>충남 천안시 동남구 천안대로 223 (삼룡동)</t>
  </si>
  <si>
    <t>(주)충무공에너지</t>
  </si>
  <si>
    <t>충남 아산시 염치읍 이순신대로 206</t>
  </si>
  <si>
    <t>남이주유소 제이에너지(주)</t>
  </si>
  <si>
    <t>충북 청주시 서원구 남이면 청남로 1625-3</t>
  </si>
  <si>
    <t>제이에너지(주) 신봉주유소</t>
  </si>
  <si>
    <t>충북 청주시 흥덕구 1순환로 400 (신봉동)</t>
  </si>
  <si>
    <t>신달주유소</t>
  </si>
  <si>
    <t>충남 공주시 유구읍 금계산로 687</t>
  </si>
  <si>
    <t>정안농협주유소</t>
  </si>
  <si>
    <t>충남 공주시 정안면 활원길 48-10</t>
  </si>
  <si>
    <t>㈜오일마스터 킹콩주유소 대전지점</t>
  </si>
  <si>
    <t>대전 대덕구 아리랑로 107 (읍내동)</t>
  </si>
  <si>
    <t>푸디스트㈜대천(상)주유소</t>
  </si>
  <si>
    <t>충남 보령시 주교면 서해안고속도로 200-1</t>
  </si>
  <si>
    <t>푸디스트㈜대천(하)주유소</t>
  </si>
  <si>
    <t>충남 보령시 주교면 서해안고속도로 199-1</t>
  </si>
  <si>
    <t>대양석유㈜ 세종대평주유소</t>
  </si>
  <si>
    <t>세종특별자치시 종합운동장로 29</t>
  </si>
  <si>
    <t>도담알뜰주유소</t>
  </si>
  <si>
    <t>세종 갈매로 596</t>
  </si>
  <si>
    <t>동세종농협주유소</t>
  </si>
  <si>
    <t>세종특별자치시 연동면 청연로 490</t>
  </si>
  <si>
    <t>새롬주유소</t>
  </si>
  <si>
    <t>세종시 어울로 77 (새롬동)</t>
  </si>
  <si>
    <t>세종반곡주유소</t>
  </si>
  <si>
    <t>세종특별자치시 국책연구원3로 9</t>
  </si>
  <si>
    <t>세종중앙농협주유소</t>
  </si>
  <si>
    <t>세종특별자치시 연기면 잣띠길 4</t>
  </si>
  <si>
    <t>씨앤에스유통(주)세종셀프주유소</t>
  </si>
  <si>
    <t>세종시 다정북로 221(다정동)</t>
  </si>
  <si>
    <t>아주알뜰주유소 ㈜아주</t>
  </si>
  <si>
    <t>세종특별자치시 다정북로 40</t>
  </si>
  <si>
    <t>CJ대한통운㈜ 아산탕정주유소</t>
  </si>
  <si>
    <t>충남 아산시 탕정면 새아산로 354</t>
  </si>
  <si>
    <t>CJ대한통운㈜ 호산주유소</t>
  </si>
  <si>
    <t>충남 아산시 탕정면 새아산로 352</t>
  </si>
  <si>
    <t>㈜아산구도일</t>
  </si>
  <si>
    <t>충남 아산시 영인면 장영실로 714</t>
  </si>
  <si>
    <t>아산미그린주식회사</t>
  </si>
  <si>
    <t>충남 아산시 탕정면 이순신대로 695-5</t>
  </si>
  <si>
    <t>염치농협주유소</t>
  </si>
  <si>
    <t>충남 아산시 염치읍 아산로 321</t>
  </si>
  <si>
    <t>김여사주유소</t>
  </si>
  <si>
    <t>충남 천안시 서북구 성거읍 봉주로 202</t>
  </si>
  <si>
    <t>(유)주유나라주유소</t>
  </si>
  <si>
    <t>충북 청주시 청원구 율천북로 175 (율량동)</t>
  </si>
  <si>
    <t>(주)국영에너지 하나주유소</t>
  </si>
  <si>
    <t>충북 청주시 흥덕구 직지대로 584</t>
  </si>
  <si>
    <t>KH에너지㈜직영 제이주유소</t>
  </si>
  <si>
    <t>충북 청주시 흥덕구 1순환로 531</t>
  </si>
  <si>
    <t>㈜신화에너지 서울 오창지점 오창관문주유소</t>
  </si>
  <si>
    <t>충북 청주시 청원구 오창읍 양청농소길 102</t>
  </si>
  <si>
    <t>가경주유소</t>
  </si>
  <si>
    <t>충북 청주시 서원구 서부로 1355</t>
  </si>
  <si>
    <t>강산주유소</t>
  </si>
  <si>
    <t>충북 청주시 상당구 가덕면 단재로 1377</t>
  </si>
  <si>
    <t>남청주 양지주유소</t>
  </si>
  <si>
    <t>충북 청주시 서원구 현도면 청남로 80</t>
  </si>
  <si>
    <t>단비주유소</t>
  </si>
  <si>
    <t>충북 청주시 청원구 상당로 281 (내덕동)</t>
  </si>
  <si>
    <t>룰루랄라셀프 (주)JY에너지 직영</t>
  </si>
  <si>
    <t>충청북도 청주시 서원구  1순환로 850</t>
  </si>
  <si>
    <t>무궁화주유소</t>
  </si>
  <si>
    <t>충북 청주시 흥덕구 가로수로 1372 (복대동)</t>
  </si>
  <si>
    <t>번개셀프2주유소</t>
  </si>
  <si>
    <t>충북 청주시 상당구 단재로 391 (지북동)</t>
  </si>
  <si>
    <t>부자주유소</t>
  </si>
  <si>
    <t>충북 청주시 흥덕구 1순환로 391</t>
  </si>
  <si>
    <t>새빛주유소</t>
  </si>
  <si>
    <t>충북 청주시 상당구 남일면 단재로 466-5</t>
  </si>
  <si>
    <t>서청주IC주유소</t>
  </si>
  <si>
    <t>충북 청주시 흥덕구 직지대로 183</t>
  </si>
  <si>
    <t>신정현주유소</t>
  </si>
  <si>
    <t>충북 청주시 서원구 사운로 118</t>
  </si>
  <si>
    <t>충북 청주시 흥덕구 1순환로 582 (봉명동)</t>
  </si>
  <si>
    <t>정현2주유소</t>
  </si>
  <si>
    <t>충북 청주시 청원구 1순환로 350</t>
  </si>
  <si>
    <t>청주농협북부주유소</t>
  </si>
  <si>
    <t>충북 청주시 청원구 공항로 97</t>
  </si>
  <si>
    <t>청주농협주유소</t>
  </si>
  <si>
    <t>충북 청주시 상당구 월평로184번길 136</t>
  </si>
  <si>
    <t>충북석유(주) 새터주유소</t>
  </si>
  <si>
    <t>충북 청주시 청원구 새터로 203</t>
  </si>
  <si>
    <t>충북석유(주)성화주유소</t>
  </si>
  <si>
    <t>충청북도 청주시 서원구 서부로 1354</t>
  </si>
  <si>
    <t>흥진주유소</t>
  </si>
  <si>
    <t>충북 청주시 청원구 북이면 충청대로 1293</t>
  </si>
  <si>
    <t>역전주유소</t>
  </si>
  <si>
    <t>충남 보령시 대해로 141 (내항동)</t>
  </si>
  <si>
    <t>여천주유소</t>
  </si>
  <si>
    <t>충북 청주시 청원구 오창읍 여천3길 257</t>
  </si>
  <si>
    <t>충북 청주시 흥덕구 강내면 태성탑연로 68</t>
  </si>
  <si>
    <t>이인농협주유소</t>
  </si>
  <si>
    <t>충남 공주시 이인면 검바위로 434</t>
  </si>
  <si>
    <t>내수농업협동조합</t>
  </si>
  <si>
    <t>충북 청주시 청원구 내수읍 내수로 751</t>
  </si>
  <si>
    <t>주산농협주유소</t>
  </si>
  <si>
    <t>충남 보령시 주산면 충서로 430</t>
  </si>
  <si>
    <t>세종연서농협주유소</t>
  </si>
  <si>
    <t>세종 연서면 함박로 122</t>
  </si>
  <si>
    <t>선녀주유소</t>
  </si>
  <si>
    <t>충남 천안시 서북구 천안대로 1394 (신당동)</t>
  </si>
  <si>
    <t>스타홀딩스 주식회사</t>
  </si>
  <si>
    <t>충남 천안시 서북구 천안대로 1207 (신당동)</t>
  </si>
  <si>
    <t>우성주유소</t>
  </si>
  <si>
    <t>충남 공주시 우성면 동대리길 93</t>
  </si>
  <si>
    <t>구도일주유소 자영에너지㈜</t>
  </si>
  <si>
    <t>충북 청주시 서원구 남이면 청남로 926</t>
  </si>
  <si>
    <t>HD현대오일뱅크㈜직영 천안푸른주유소</t>
  </si>
  <si>
    <t>충남 천안시 동남구 서부대로 555</t>
  </si>
  <si>
    <t>의당농협주유소</t>
  </si>
  <si>
    <t>충남 공주시 의당면 의당전의로 9</t>
  </si>
  <si>
    <t>사곡농협주유소</t>
  </si>
  <si>
    <t>충남 공주시 사곡면 마곡사로 89</t>
  </si>
  <si>
    <t>우성농협주유소</t>
  </si>
  <si>
    <t>충남 공주시 우성면 차동로 471</t>
  </si>
  <si>
    <t>오창농협주유소</t>
  </si>
  <si>
    <t>충북 청주시 청원구 오창읍 중부로 1022</t>
  </si>
  <si>
    <t>웅천농협(내평지점)주유소</t>
  </si>
  <si>
    <t>충남 보령시 미산면 내평봉성길 4</t>
  </si>
  <si>
    <t>웅천농협주유소</t>
  </si>
  <si>
    <t>충남 보령시 웅천읍 독산로 10</t>
  </si>
  <si>
    <t>백룡주유소</t>
  </si>
  <si>
    <t>충남 공주시 신풍면 차동로 1789</t>
  </si>
  <si>
    <t>루트40주유소</t>
  </si>
  <si>
    <t>충남 공주시 이인면 잣골길 52-11 (이인면)</t>
  </si>
  <si>
    <t>씨앤에스유통(주)목천주유소</t>
  </si>
  <si>
    <t>충남 천안시 동남구 목천읍 학수소사길 213</t>
  </si>
  <si>
    <t>상봉주유소</t>
  </si>
  <si>
    <t>충북 청주시 흥덕구 오송읍 세종로 2880</t>
  </si>
  <si>
    <t>월선주유소</t>
  </si>
  <si>
    <t>충남 아산시 영인면 월선길 82</t>
  </si>
  <si>
    <t>(주) 크로스로지텍 남청주주유소</t>
  </si>
  <si>
    <t>충북 청주시 서원구 남이면 청남로 991</t>
  </si>
  <si>
    <t>극동유화(주) 충청주유소</t>
  </si>
  <si>
    <t>충남 천안시 서북구 성거읍 봉주로 279</t>
  </si>
  <si>
    <t>극동유화(주) 역전주유소</t>
  </si>
  <si>
    <t>충북 청주시 흥덕구 청주역로 314 (정봉동)</t>
  </si>
  <si>
    <t>럭키셀프주유소</t>
  </si>
  <si>
    <t>충남 천안시 서북구 성환읍 천안대로 1846</t>
  </si>
  <si>
    <t>(주)소모 아산둔포주유소</t>
  </si>
  <si>
    <t>충남 아산시 둔포면 장영실로 1292</t>
  </si>
  <si>
    <t>자유주유소</t>
  </si>
  <si>
    <t>충남 아산시 외암로 1380</t>
  </si>
  <si>
    <t>대천농협주유소</t>
  </si>
  <si>
    <t>충남 보령시 대천방조제로 84  (대천동)</t>
  </si>
  <si>
    <t>소양주유소</t>
  </si>
  <si>
    <t>충남 보령시 청라면 대청로 1100</t>
  </si>
  <si>
    <t>광신2주유소</t>
  </si>
  <si>
    <t>충남 보령시 보령북로 250 (대천동)</t>
  </si>
  <si>
    <t>영인산주유소</t>
  </si>
  <si>
    <t>충남 아산시 영인면 아산로 987</t>
  </si>
  <si>
    <t>스타홀딩스㈜ 아산선녀주유소</t>
  </si>
  <si>
    <t>충남 아산시 염치읍 아산로 625</t>
  </si>
  <si>
    <t>㈜삼화에너지 태우주유소</t>
  </si>
  <si>
    <t>충남 천안시 동남구 목천읍 남부대로 1006</t>
  </si>
  <si>
    <t>성원에너지</t>
  </si>
  <si>
    <t>충북 청주시 서원구 남이면 연청로 1288-7</t>
  </si>
  <si>
    <t>해오름셀프주유소</t>
  </si>
  <si>
    <t>충남 천안시 동남구 목천읍 남부대로 949</t>
  </si>
  <si>
    <t>흑성주유소</t>
  </si>
  <si>
    <t>충남 천안시 동남구 목천읍 충절로 1175</t>
  </si>
  <si>
    <t>신광셀프주유소</t>
  </si>
  <si>
    <t>충북 청주시 청원구 오창읍 두릉유리로 345</t>
  </si>
  <si>
    <t>정안(상)주유소</t>
  </si>
  <si>
    <t>충남 공주시 정안면 논산천안고속도로 58-1</t>
  </si>
  <si>
    <t>그랜드주유소</t>
  </si>
  <si>
    <t>충북 청주시 청원구 오창읍 꽃화산1길 126-33</t>
  </si>
  <si>
    <t>평온주유소</t>
  </si>
  <si>
    <t>충남 천안시 서북구 성환18길 11-124</t>
  </si>
  <si>
    <t>워터파크주유소</t>
  </si>
  <si>
    <t>충남 천안시 동남구 목천읍 충절로 1140</t>
  </si>
  <si>
    <t>메이저주유소</t>
  </si>
  <si>
    <t>충북 청주시 청원구 오창읍 두릉유리로 207</t>
  </si>
  <si>
    <t>충북 청주시 청원구 오창읍 두릉유리로 204</t>
  </si>
  <si>
    <t>홍익주유소</t>
  </si>
  <si>
    <t>충남 천안시 서북구 직산읍 상덕로 155</t>
  </si>
  <si>
    <t>HD현대오일뱅크㈜직영 번영주유소</t>
  </si>
  <si>
    <t>충남 천안시 서북구 2공단1로 10 (성성동)</t>
  </si>
  <si>
    <t>HD현대오일뱅크㈜직영 협신주유소</t>
  </si>
  <si>
    <t>충남 천안시 동남구 풍세로 583</t>
  </si>
  <si>
    <t>계룡농협주유소</t>
  </si>
  <si>
    <t>충남 공주시 계룡면 영규대사로 365</t>
  </si>
  <si>
    <t>가로수주유소</t>
  </si>
  <si>
    <t>충북 청주시 흥덕구 가로수로 797 (석소동)</t>
  </si>
  <si>
    <t>유구농협주유소/충전소</t>
  </si>
  <si>
    <t>충남 공주시 유구읍 금계산로 477</t>
  </si>
  <si>
    <t>신보령주유소</t>
  </si>
  <si>
    <t>충남 보령시 청소면 충서로 3610</t>
  </si>
  <si>
    <t>현도주유소</t>
  </si>
  <si>
    <t>충북 청주시 서원구 현도면 청남로 264</t>
  </si>
  <si>
    <t>석곡주유소</t>
  </si>
  <si>
    <t>충북 청주시 흥덕구 남석로 615</t>
  </si>
  <si>
    <t>장원주유소</t>
  </si>
  <si>
    <t>충남 아산시 음봉면 음봉로 195</t>
  </si>
  <si>
    <t>청소농협협동조합</t>
  </si>
  <si>
    <t>충남 보령시 청소면 청소큰길 192</t>
  </si>
  <si>
    <t>㈜노랑오일 아산IC주유소</t>
  </si>
  <si>
    <t>충남 아산시 영인면 아산로 854-2</t>
  </si>
  <si>
    <t>아산호주유소</t>
  </si>
  <si>
    <t>충남 아산시 염치읍 아산로 770</t>
  </si>
  <si>
    <t>충남 아산시 영인면 장영실로 687</t>
  </si>
  <si>
    <t>동방주유소</t>
  </si>
  <si>
    <t>충남 천안시 동남구 성남면 5산단로 236</t>
  </si>
  <si>
    <t>행복셀프주유소</t>
  </si>
  <si>
    <t>충남 보령시 대청로 209</t>
  </si>
  <si>
    <t>청주여객터미널주유소</t>
  </si>
  <si>
    <t>충북 청주시 흥덕구 풍산로 6 (가경동)</t>
  </si>
  <si>
    <t>충남 아산시 신창면 서부북로 691</t>
  </si>
  <si>
    <t>봉명셀프주유소</t>
  </si>
  <si>
    <t>충남 천안시 동남구 차돌로 97</t>
  </si>
  <si>
    <t>남선석유(주) 백석셀프주유소</t>
  </si>
  <si>
    <t>충남 천안시 서북구 백석로 161 (백석동)</t>
  </si>
  <si>
    <t>세종 부강면 부강외천로 271</t>
  </si>
  <si>
    <t>하나주유소</t>
  </si>
  <si>
    <t>충남 천안시 동남구 성남면 성남로 260</t>
  </si>
  <si>
    <t>삼원소재㈜대풍주유소</t>
  </si>
  <si>
    <t>충남 아산시 도고면 도고면로 2</t>
  </si>
  <si>
    <t>입장농협주유소</t>
  </si>
  <si>
    <t>충남 천안시 서북구 입장면 입장로 113</t>
  </si>
  <si>
    <t>SK에너지(주)직영 공영주유소</t>
  </si>
  <si>
    <t>충북 청주시 흥덕구 직지대로 387</t>
  </si>
  <si>
    <t>둔포농협주유소</t>
  </si>
  <si>
    <t>충남 아산시 둔포면 충무로 1759</t>
  </si>
  <si>
    <t>선도농협주유소</t>
  </si>
  <si>
    <t>충남 아산시 선장면 아산만로 603</t>
  </si>
  <si>
    <t>성환농협북부지점 주유소</t>
  </si>
  <si>
    <t>충남 천안시 서북구 성환읍 천안대로 2436</t>
  </si>
  <si>
    <t>동광에너지</t>
  </si>
  <si>
    <t>충북 청주시 흥덕구 직지대로 52 (지동동)</t>
  </si>
  <si>
    <t>이수에너지</t>
  </si>
  <si>
    <t>충남 보령시 주교면 보령북로 469</t>
  </si>
  <si>
    <t>온양농협주유소</t>
  </si>
  <si>
    <t>충남 아산시 신창면 서부북로 906</t>
  </si>
  <si>
    <t>동천안농협주유소</t>
  </si>
  <si>
    <t>충남 천안시 동남구 목천읍 남부대로 1155</t>
  </si>
  <si>
    <t>배방농협주유소</t>
  </si>
  <si>
    <t>충남 아산시 배방읍 호서로 429</t>
  </si>
  <si>
    <t>오천농협주유소</t>
  </si>
  <si>
    <t>충남 보령시 오천면 충청수영로 564-5</t>
  </si>
  <si>
    <t>초원주유소</t>
  </si>
  <si>
    <t>충남 아산시 실옥로 67</t>
  </si>
  <si>
    <t>은포주유소</t>
  </si>
  <si>
    <t>충남 보령시 주교면 토정로 690</t>
  </si>
  <si>
    <t>남포농협주유소</t>
  </si>
  <si>
    <t>충남 보령시 남포면 월전로 9</t>
  </si>
  <si>
    <t>중부화물터미널주유소</t>
  </si>
  <si>
    <t>충남 천안시 동남구 청당산업길 33 (구룡동)</t>
  </si>
  <si>
    <t>신방주유소</t>
  </si>
  <si>
    <t>충남 천안시 서북구 성환읍 신방로 41</t>
  </si>
  <si>
    <t>현대오일뱅크 정원주유소</t>
  </si>
  <si>
    <t>충남 천안시 서북구 성환읍 신방로 376</t>
  </si>
  <si>
    <t>터미널주유소</t>
  </si>
  <si>
    <t>충북 청주시 흥덕구 가로수로1086번길 1</t>
  </si>
  <si>
    <t>고룡산주유소</t>
  </si>
  <si>
    <t>충남 아산시 영인면 장영실로 619</t>
  </si>
  <si>
    <t>가은주유소</t>
  </si>
  <si>
    <t>충남 천안시 서북구 성환읍 천안대로 1899</t>
  </si>
  <si>
    <t>둔포주유소</t>
  </si>
  <si>
    <t>충남 아산시 둔포면 아산호로 1004</t>
  </si>
  <si>
    <t>SK에너지(주) 삼성OK주유소</t>
  </si>
  <si>
    <t>충남 천안시 서북구 3공단5로 78 (성성동)</t>
  </si>
  <si>
    <t>청주관문주유소 화물터미널점</t>
  </si>
  <si>
    <t>충북 청주시 흥덕구 직지대로240번길 38</t>
  </si>
  <si>
    <t>삼화1주유소</t>
  </si>
  <si>
    <t>충남 아산시 둔포면 충무로 1576</t>
  </si>
  <si>
    <t>해암주유소</t>
  </si>
  <si>
    <t>충남 아산시 인주면 현대로 855</t>
  </si>
  <si>
    <t>오송햇살주유소</t>
  </si>
  <si>
    <t>충북 청주시 흥덕구 강외면 오송생명로 201</t>
  </si>
  <si>
    <t>정안(하)주유소</t>
  </si>
  <si>
    <t>충남 공주시 정안면 논산천안고속도로 57-1</t>
  </si>
  <si>
    <t>(주)한유에너지 중부주유소</t>
  </si>
  <si>
    <t>세종시 조치원읍 세종로 2167</t>
  </si>
  <si>
    <t>한마음주유소</t>
  </si>
  <si>
    <t>충청남도 아산시 염치읍 아산로 602</t>
  </si>
  <si>
    <t>달산주유소</t>
  </si>
  <si>
    <t>충남 공주시 이인면 검바위로 71</t>
  </si>
  <si>
    <t>백석주유소</t>
  </si>
  <si>
    <t>충남 아산시 영인면 아산호로 318</t>
  </si>
  <si>
    <t>㈜제스 현대조은주유소</t>
  </si>
  <si>
    <t>충남 아산시 인주면 현대로 1088</t>
  </si>
  <si>
    <t>대길주유소</t>
  </si>
  <si>
    <t>충남 공주시 백제큰길 1384 (검상동)</t>
  </si>
  <si>
    <t>탄천농협주유소</t>
  </si>
  <si>
    <t>충남 공주시 탄천면 통산로 232</t>
  </si>
  <si>
    <t>주식회사 경부에너지</t>
  </si>
  <si>
    <t>충남 천안시 서북구 성환읍 연암로 194</t>
  </si>
  <si>
    <t>정다운주유소</t>
  </si>
  <si>
    <t>충남 아산시 영인면 아산호로 191</t>
  </si>
  <si>
    <t>그린이에스</t>
  </si>
  <si>
    <t>충북 청주시 흥덕구 청주역로 284 (정봉동)</t>
  </si>
  <si>
    <t>대천IC셀프주유소</t>
  </si>
  <si>
    <t>충남 보령시 대해로 423</t>
  </si>
  <si>
    <t>성남주유소</t>
  </si>
  <si>
    <t>충북 청주시 상당구 문의면 미천고은로 153</t>
  </si>
  <si>
    <t>오송우리주유소</t>
  </si>
  <si>
    <t>충북 청주시 흥덕구 오송읍 가로수로 171-2</t>
  </si>
  <si>
    <t>단재 셀프주유소</t>
  </si>
  <si>
    <t>충북 청주시 상당구 영운로 71 (영운동)</t>
  </si>
  <si>
    <t>CJ대한통운㈜ 중부화물터미널주유소</t>
  </si>
  <si>
    <t>세종특별자치시 부강면 연청로 745-46</t>
  </si>
  <si>
    <t>대홍주유소</t>
  </si>
  <si>
    <t>충남 천안시 서북구 성환읍 천안대로 2356</t>
  </si>
  <si>
    <t>㈜구룡에너지</t>
  </si>
  <si>
    <t>충북 청주시 청원구 오창읍 오창대로 149</t>
  </si>
  <si>
    <t>해양주유소</t>
  </si>
  <si>
    <t>충남 보령시 대해로 386</t>
  </si>
  <si>
    <t>신화상사(주)성원주유소</t>
  </si>
  <si>
    <t>충남 아산시 순천향로 998 (좌부동)</t>
  </si>
  <si>
    <t>동인석유 주식회사</t>
  </si>
  <si>
    <t>충남 아산시 순천향로 738 (장존동)</t>
  </si>
  <si>
    <t>자원주유소</t>
  </si>
  <si>
    <t>충남 아산시 둔포면 장영실로 1101</t>
  </si>
  <si>
    <t>오창IC만남주유소(SELF)</t>
  </si>
  <si>
    <t>충북 청주시 청원구 오창읍 오창대로 415</t>
  </si>
  <si>
    <t>삼성GOOD주유소</t>
  </si>
  <si>
    <t>충청남도 아산시 탕정면 436-2</t>
  </si>
  <si>
    <t>대현주유소</t>
  </si>
  <si>
    <t>충북 청주시 청원구 오창읍 농소길 17-1</t>
  </si>
  <si>
    <t>통일에너지(주)</t>
  </si>
  <si>
    <t>충남 아산시 온천대로 1705 (모종동)</t>
  </si>
  <si>
    <t>행복날개주유소</t>
  </si>
  <si>
    <t>충남 아산시 배방읍 온천대로 1829</t>
  </si>
  <si>
    <t>동학사주유소</t>
  </si>
  <si>
    <t>충남 공주시 반포면 금벽로 1963</t>
  </si>
  <si>
    <t>연흥2주유소</t>
  </si>
  <si>
    <t>충북 청주시 청원구 내수읍 내수로 293</t>
  </si>
  <si>
    <t>병천주유소</t>
  </si>
  <si>
    <t>충남 천안시 동남구 목천읍 충절로 1758</t>
  </si>
  <si>
    <t>현암주유소</t>
  </si>
  <si>
    <t>충북 청주시 흥덕구 서부로 767 (현암동)</t>
  </si>
  <si>
    <t>충북 청주시 흥덕구 강내면 서부로 344</t>
  </si>
  <si>
    <t>영호주유소</t>
  </si>
  <si>
    <t>충남 천안시 동남구 풍세로 857 (용곡동)</t>
  </si>
  <si>
    <t>대련주유소</t>
  </si>
  <si>
    <t>충북 청주시 서원구 남이면 대림로 148</t>
  </si>
  <si>
    <t>우리에너지</t>
  </si>
  <si>
    <t>충북 청주시 청원구 오창읍 중부로 1642</t>
  </si>
  <si>
    <t>아산호서대주유소</t>
  </si>
  <si>
    <t>충남 아산시 배방읍 호서로 254</t>
  </si>
  <si>
    <t>내수주유소</t>
  </si>
  <si>
    <t>충북 청주시 청원구 내수읍 충청대로 934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</si>
  <si>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</si>
  <si>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</si>
  <si>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</si>
  <si>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</si>
  <si>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</si>
  <si>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</si>
  <si>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송절주유소</t>
  </si>
  <si>
    <t>충북 청주시 흥덕구 월명로 278</t>
  </si>
  <si>
    <t>연기주유소</t>
  </si>
  <si>
    <t>세종특별자치시 연기면 당산로 116</t>
  </si>
  <si>
    <t>천북농협주유소</t>
  </si>
  <si>
    <t>충남 보령시 천북면 홍보로 670</t>
  </si>
  <si>
    <t>하이웨이주유소</t>
  </si>
  <si>
    <t>충북 청주시 서원구 남이면 청남로 1775</t>
  </si>
  <si>
    <t>만남주유소</t>
  </si>
  <si>
    <t>충북 청주시 흥덕구 직지대로 126 (지동동)</t>
  </si>
  <si>
    <t>아산영인주유소</t>
  </si>
  <si>
    <t>충남 아산시 영인면 영인로 160</t>
  </si>
  <si>
    <t>우리나라주유소</t>
  </si>
  <si>
    <t>충남 천안시 동남구 북면 충절로 1284</t>
  </si>
  <si>
    <t>가람주유소</t>
  </si>
  <si>
    <t>충남 아산시 인주면 인주산단로 23-2</t>
  </si>
  <si>
    <t>삼성테크노2주유소</t>
  </si>
  <si>
    <t>충남 천안시 서북구 직산읍 천안대로 1712</t>
  </si>
  <si>
    <t>충남 아산시 문화로 363</t>
  </si>
  <si>
    <t>CJ대한통운㈜ 오창주유소</t>
  </si>
  <si>
    <t>충북 청주시 청원구 오창읍 중부로 1365</t>
  </si>
  <si>
    <t>충북 청주시 흥덕구 오송읍 오송가락로 422</t>
  </si>
  <si>
    <t>오산리주유소</t>
  </si>
  <si>
    <t>충북 청주시 흥덕구 옥산면 오송가락로 759</t>
  </si>
  <si>
    <t>천북농협클린(신덕점)주유소</t>
  </si>
  <si>
    <t>충남 보령시 천북면 천광로 557</t>
  </si>
  <si>
    <t>아산신도시주유소</t>
  </si>
  <si>
    <t>충남 아산시 배방읍 새아산로 20-2</t>
  </si>
  <si>
    <t>쌍암주유소</t>
  </si>
  <si>
    <t>충남 아산시 음봉면 연암율금로 555</t>
  </si>
  <si>
    <t>충남 아산시 도고면 온천대로 55</t>
  </si>
  <si>
    <t>충남 천안시 서북구 성환읍 천안대로 2021</t>
  </si>
  <si>
    <t>충남 아산시 곡교천로 151 (온천동)</t>
  </si>
  <si>
    <t>수신주유소</t>
  </si>
  <si>
    <t>충청남도 천안시 동남구 수신면 수신로 290 (수신면)</t>
  </si>
  <si>
    <t>DH천안주유소</t>
  </si>
  <si>
    <t>충남 천안시 서북구 천안대로 1166</t>
  </si>
  <si>
    <t>다락골주유소</t>
  </si>
  <si>
    <t>충북 청주시 상당구 미원면 단재로 2814</t>
  </si>
  <si>
    <t>명성주유소</t>
  </si>
  <si>
    <t>충남 천안시 서북구 직산읍 상덕로 174</t>
  </si>
  <si>
    <t>백산주유소</t>
  </si>
  <si>
    <t>대전 서구 동서대로 1068 (변동)</t>
  </si>
  <si>
    <t>삼성그린주유소</t>
  </si>
  <si>
    <t>충남 아산시 음봉면 음봉로 648</t>
  </si>
  <si>
    <t>태양주유소/충전소</t>
  </si>
  <si>
    <t>충남 천안시 서북구 번영로 613</t>
  </si>
  <si>
    <t>(주)현충사에너지</t>
  </si>
  <si>
    <t>충남 아산시 염치읍 이순신대로 210-1</t>
  </si>
  <si>
    <t>CJ대한통운㈜ 남청주IC주유소</t>
  </si>
  <si>
    <t>충북 청주시 서원구 남이면 청남로 856</t>
  </si>
  <si>
    <t>(주)선우엠엔에스주유소</t>
  </si>
  <si>
    <t>충북 청주시 흥덕구 청주역로 387 (정봉동)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</si>
  <si>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</si>
  <si>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</si>
  <si>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</si>
  <si>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</si>
  <si>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</si>
  <si>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</si>
  <si>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</si>
  <si>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</si>
  <si>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</si>
  <si>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</si>
  <si>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</si>
  <si>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아산현대주유소</t>
  </si>
  <si>
    <t>충남 아산시 둔포면 충무로 1408</t>
  </si>
  <si>
    <t>현행화 일자: 2026-03-22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</si>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</sst>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</numFmts>
  <fonts count="28">
    <font>
      <sz val="11"/>
      <color theme="1"/>
      <name val="맑은 고딕"/>
      <charset val="1"/>
    </font>
    <font>
      <sz val="11"/>
      <color theme="1"/>
      <name val="Arial"/>
      <family val="2"/>
    </font>
    <font>
      <sz val="11"/>
      <color theme="0"/>
      <name val="Arial"/>
      <family val="2"/>
    </font>
    <font>
      <sz val="10"/>
      <color rgb="FF000000"/>
      <name val="Arial"/>
      <family val="2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</font>
    <font>
      <b/>
      <sz val="11"/>
      <color rgb="FFFA7D00"/>
      <name val="Arial"/>
      <family val="2"/>
    </font>
    <font>
      <sz val="11"/>
      <color rgb="FF9C0006"/>
      <name val="Arial"/>
      <family val="2"/>
    </font>
    <font>
      <sz val="11"/>
      <color rgb="FF9C6500"/>
      <name val="Arial"/>
      <family val="2"/>
    </font>
    <font>
      <i/>
      <sz val="11"/>
      <color rgb="FF7F7F7F"/>
      <name val="Arial"/>
      <family val="2"/>
    </font>
    <font>
      <b/>
      <sz val="11"/>
      <color rgb="FFC0504D"/>
      <name val="Arial"/>
      <family val="2"/>
    </font>
    <font>
      <sz val="11"/>
      <color rgb="FFFA7D00"/>
      <name val="Arial"/>
      <family val="2"/>
    </font>
    <font>
      <sz val="11"/>
      <color theme="11"/>
      <name val="Arial"/>
      <family val="2"/>
    </font>
    <font>
      <b/>
      <sz val="11"/>
      <color theme="1"/>
      <name val="Arial"/>
      <family val="2"/>
    </font>
    <font>
      <sz val="11"/>
      <color rgb="FF3F3F76"/>
      <name val="Arial"/>
      <family val="2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11"/>
      <color rgb="FF006100"/>
      <name val="Arial"/>
      <family val="2"/>
    </font>
    <font>
      <b/>
      <sz val="11"/>
      <color rgb="FF3F3F3F"/>
      <name val="Arial"/>
      <family val="2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charset val="1"/>
    </font>
    <font>
      <sz val="11"/>
      <color theme="1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89013336588644"/>
        <bgColor rgb="FFDBEEF4"/>
      </patternFill>
    </fill>
    <fill>
      <patternFill patternType="solid">
        <fgColor theme="5" tint="0.79989013336588644"/>
        <bgColor rgb="FFE6E0EC"/>
      </patternFill>
    </fill>
    <fill>
      <patternFill patternType="solid">
        <fgColor theme="6" tint="0.79989013336588644"/>
        <bgColor rgb="FFF2F2F2"/>
      </patternFill>
    </fill>
    <fill>
      <patternFill patternType="solid">
        <fgColor theme="7" tint="0.79989013336588644"/>
        <bgColor rgb="FFE6E6E6"/>
      </patternFill>
    </fill>
    <fill>
      <patternFill patternType="solid">
        <fgColor theme="8" tint="0.79989013336588644"/>
        <bgColor rgb="FFDCE6F2"/>
      </patternFill>
    </fill>
    <fill>
      <patternFill patternType="solid">
        <fgColor theme="9" tint="0.79989013336588644"/>
        <bgColor rgb="FFEBF1DE"/>
      </patternFill>
    </fill>
    <fill>
      <patternFill patternType="solid">
        <fgColor theme="4" tint="0.59987182226020086"/>
        <bgColor rgb="FFACCCEA"/>
      </patternFill>
    </fill>
    <fill>
      <patternFill patternType="solid">
        <fgColor theme="5" tint="0.59987182226020086"/>
        <bgColor rgb="FFFAC090"/>
      </patternFill>
    </fill>
    <fill>
      <patternFill patternType="solid">
        <fgColor theme="6" tint="0.59987182226020086"/>
        <bgColor rgb="FFC6EFCE"/>
      </patternFill>
    </fill>
    <fill>
      <patternFill patternType="solid">
        <fgColor theme="7" tint="0.59987182226020086"/>
        <bgColor rgb="FFBFBFBF"/>
      </patternFill>
    </fill>
    <fill>
      <patternFill patternType="solid">
        <fgColor theme="8" tint="0.59987182226020086"/>
        <bgColor rgb="FFB9CDE5"/>
      </patternFill>
    </fill>
    <fill>
      <patternFill patternType="solid">
        <fgColor theme="9" tint="0.59987182226020086"/>
        <bgColor rgb="FFFFC7CE"/>
      </patternFill>
    </fill>
    <fill>
      <patternFill patternType="solid">
        <fgColor theme="4" tint="0.39988402966399123"/>
        <bgColor rgb="FFB2B2B2"/>
      </patternFill>
    </fill>
    <fill>
      <patternFill patternType="solid">
        <fgColor theme="5" tint="0.39988402966399123"/>
        <bgColor rgb="FFB3A2C7"/>
      </patternFill>
    </fill>
    <fill>
      <patternFill patternType="solid">
        <fgColor theme="6" tint="0.39988402966399123"/>
        <bgColor rgb="FFD7E4BD"/>
      </patternFill>
    </fill>
    <fill>
      <patternFill patternType="solid">
        <fgColor theme="7" tint="0.39988402966399123"/>
        <bgColor rgb="FFA5A5A5"/>
      </patternFill>
    </fill>
    <fill>
      <patternFill patternType="solid">
        <fgColor theme="8" tint="0.39988402966399123"/>
        <bgColor rgb="FFACCCEA"/>
      </patternFill>
    </fill>
    <fill>
      <patternFill patternType="solid">
        <fgColor theme="9" tint="0.39988402966399123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88402966399123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25" fillId="0" borderId="0">
      <alignment vertical="center"/>
    </xf>
    <xf numFmtId="0" fontId="3" fillId="0" borderId="0">
      <alignment vertical="center"/>
    </xf>
  </cellStyleXfs>
  <cellXfs count="29">
    <xf numFmtId="0" fontId="0" fillId="0" borderId="0" xfId="0">
      <alignment vertical="center"/>
    </xf>
    <xf numFmtId="0" fontId="0" fillId="0" borderId="0" xfId="0" applyFont="1" applyAlignment="1" applyProtection="1"/>
    <xf numFmtId="0" fontId="4" fillId="0" borderId="0" xfId="44" applyNumberFormat="1" applyFont="1" applyAlignment="1" applyProtection="1">
      <alignment vertical="center"/>
    </xf>
    <xf numFmtId="0" fontId="0" fillId="0" borderId="0" xfId="0" applyAlignment="1" applyProtection="1">
      <alignment vertical="center"/>
    </xf>
    <xf numFmtId="0" fontId="4" fillId="0" borderId="0" xfId="45" applyFont="1" applyBorder="1" applyAlignment="1" applyProtection="1"/>
    <xf numFmtId="0" fontId="4" fillId="0" borderId="0" xfId="27" applyAlignment="1" applyProtection="1"/>
    <xf numFmtId="0" fontId="0" fillId="0" borderId="11" xfId="0" applyFont="1" applyBorder="1" applyAlignment="1" applyProtection="1"/>
    <xf numFmtId="0" fontId="22" fillId="31" borderId="10" xfId="0" applyFont="1" applyFill="1" applyBorder="1" applyAlignment="1" applyProtection="1">
      <alignment horizontal="center" vertical="center" wrapText="1"/>
    </xf>
    <xf numFmtId="0" fontId="23" fillId="0" borderId="10" xfId="0" applyFont="1" applyBorder="1" applyAlignment="1" applyProtection="1">
      <alignment horizontal="left" vertical="center" wrapText="1"/>
    </xf>
    <xf numFmtId="0" fontId="21" fillId="0" borderId="10" xfId="0" applyFont="1" applyBorder="1" applyAlignment="1" applyProtection="1">
      <alignment horizontal="center" vertical="center" wrapText="1"/>
    </xf>
    <xf numFmtId="9" fontId="21" fillId="0" borderId="10" xfId="0" applyNumberFormat="1" applyFont="1" applyBorder="1" applyAlignment="1" applyProtection="1">
      <alignment horizontal="center" vertical="center" wrapText="1"/>
    </xf>
    <xf numFmtId="2" fontId="21" fillId="0" borderId="10" xfId="0" applyNumberFormat="1" applyFont="1" applyBorder="1" applyAlignment="1" applyProtection="1">
      <alignment horizontal="center" vertical="center" wrapText="1"/>
    </xf>
    <xf numFmtId="0" fontId="22" fillId="31" borderId="10" xfId="44" applyNumberFormat="1" applyFont="1" applyFill="1" applyBorder="1" applyAlignment="1" applyProtection="1">
      <alignment horizontal="center" vertical="center" wrapText="1"/>
    </xf>
    <xf numFmtId="0" fontId="22" fillId="31" borderId="12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4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177" fontId="0" fillId="0" borderId="12" xfId="44" applyFont="1" applyBorder="1" applyAlignment="1" applyProtection="1">
      <alignment vertical="center" wrapText="1"/>
    </xf>
    <xf numFmtId="0" fontId="20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0" fillId="0" borderId="10" xfId="0" applyFont="1" applyBorder="1" applyAlignment="1" applyProtection="1">
      <alignment horizontal="left" vertical="center" wrapText="1"/>
    </xf>
    <xf numFmtId="0" fontId="21" fillId="0" borderId="10" xfId="0" applyFont="1" applyBorder="1" applyAlignment="1" applyProtection="1">
      <alignment horizontal="left" vertical="center" wrapText="1"/>
    </xf>
    <xf numFmtId="0" fontId="22" fillId="31" borderId="10" xfId="0" applyFont="1" applyFill="1" applyBorder="1" applyAlignment="1" applyProtection="1">
      <alignment horizontal="center" vertical="center" wrapText="1"/>
    </xf>
    <xf numFmtId="0" fontId="20" fillId="0" borderId="0" xfId="0" applyFont="1" applyBorder="1" applyAlignment="1" applyProtection="1">
      <alignment horizontal="left" vertical="center"/>
    </xf>
  </cellXfs>
  <cellStyles count="58">
    <cellStyle name="20% - 강조색1" xfId="1"/>
    <cellStyle name="20% - 강조색2" xfId="2"/>
    <cellStyle name="20% - 강조색3" xfId="3"/>
    <cellStyle name="20% - 강조색4" xfId="4"/>
    <cellStyle name="20% - 강조색5" xfId="5"/>
    <cellStyle name="20% - 강조색6" xfId="6"/>
    <cellStyle name="40% - 강조색1" xfId="7"/>
    <cellStyle name="40% - 강조색2" xfId="8"/>
    <cellStyle name="40% - 강조색3" xfId="9"/>
    <cellStyle name="40% - 강조색4" xfId="10"/>
    <cellStyle name="40% - 강조색5" xfId="11"/>
    <cellStyle name="40% - 강조색6" xfId="12"/>
    <cellStyle name="60% - 강조색1" xfId="13"/>
    <cellStyle name="60% - 강조색2" xfId="14"/>
    <cellStyle name="60% - 강조색3" xfId="15"/>
    <cellStyle name="60% - 강조색4" xfId="16"/>
    <cellStyle name="60% - 강조색5" xfId="17"/>
    <cellStyle name="60% - 강조색6" xfId="18"/>
    <cellStyle name="Comma" xfId="19"/>
    <cellStyle name="Comma [0]" xfId="21"/>
    <cellStyle name="Comma [0] 2" xfId="22"/>
    <cellStyle name="Comma 1" xfId="20"/>
    <cellStyle name="Currency" xfId="23"/>
    <cellStyle name="Currency [0]" xfId="25"/>
    <cellStyle name="Currency [0] 4" xfId="26"/>
    <cellStyle name="Currency 3" xfId="24"/>
    <cellStyle name="Normal" xfId="27"/>
    <cellStyle name="Normal 5" xfId="28"/>
    <cellStyle name="Percent" xfId="29"/>
    <cellStyle name="Percent 6" xfId="30"/>
    <cellStyle name="강조색1" xfId="31"/>
    <cellStyle name="강조색2" xfId="32"/>
    <cellStyle name="강조색3" xfId="33"/>
    <cellStyle name="강조색4" xfId="34"/>
    <cellStyle name="강조색5" xfId="35"/>
    <cellStyle name="강조색6" xfId="36"/>
    <cellStyle name="경고문" xfId="37"/>
    <cellStyle name="계산" xfId="38"/>
    <cellStyle name="나쁨" xfId="39"/>
    <cellStyle name="메모" xfId="40"/>
    <cellStyle name="보통" xfId="41"/>
    <cellStyle name="설명텍스트" xfId="42"/>
    <cellStyle name="셀 확인" xfId="43"/>
    <cellStyle name="쉼표[0]" xfId="44"/>
    <cellStyle name="연결된 셀" xfId="45"/>
    <cellStyle name="열어본 하이퍼링크" xfId="46"/>
    <cellStyle name="요약" xfId="47"/>
    <cellStyle name="입력" xfId="48"/>
    <cellStyle name="제목1" xfId="49"/>
    <cellStyle name="제목2" xfId="50"/>
    <cellStyle name="제목3" xfId="51"/>
    <cellStyle name="제목4" xfId="52"/>
    <cellStyle name="좋음" xfId="53"/>
    <cellStyle name="출력" xfId="54"/>
    <cellStyle name="통화[0]" xfId="55"/>
    <cellStyle name="표준" xfId="0" builtinId="0"/>
    <cellStyle name="표준 2" xfId="57"/>
    <cellStyle name="표준 3" xfId="56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C892"/>
  <sheetViews>
    <sheetView tabSelected="1" zoomScaleNormal="100" workbookViewId="0">
      <selection sqref="A1:G1"/>
    </sheetView>
  </sheetViews>
  <sheetFormatPr defaultColWidth="13.09765625" defaultRowHeight="17.399999999999999"/>
  <cols>
    <col min="1" max="1" width="9" style="1" customWidth="1"/>
    <col min="2" max="2" width="9.3984375" style="1" customWidth="1"/>
    <col min="3" max="3" width="28.59765625" style="1" customWidth="1"/>
    <col min="4" max="4" width="18.3984375" style="1" customWidth="1"/>
    <col min="5" max="5" width="7" style="1" customWidth="1"/>
    <col min="6" max="6" width="32.59765625" style="1" customWidth="1"/>
    <col min="7" max="8" width="13.69921875" style="1" customWidth="1"/>
    <col min="9" max="9" width="9.59765625" style="1" customWidth="1"/>
    <col min="10" max="10" width="11.59765625" style="1" customWidth="1"/>
    <col min="11" max="11" width="14" style="1" customWidth="1"/>
    <col min="12" max="12" width="13.09765625" style="1"/>
    <col min="13" max="13" width="12.59765625" style="1" customWidth="1"/>
    <col min="14" max="14" width="14.8984375" style="1" customWidth="1"/>
    <col min="15" max="15" width="34" style="1" customWidth="1"/>
    <col min="16" max="16" width="12.59765625" style="1" customWidth="1"/>
    <col min="17" max="17" width="10.3984375" style="1" customWidth="1"/>
    <col min="18" max="18" width="11.19921875" style="1" customWidth="1"/>
    <col min="19" max="19" width="12.3984375" style="1" customWidth="1"/>
    <col min="20" max="20" width="11.59765625" style="2" customWidth="1"/>
    <col min="21" max="21" width="11.69921875" style="1" customWidth="1"/>
    <col min="22" max="22" width="12.59765625" style="1" customWidth="1"/>
    <col min="23" max="23" width="10.59765625" style="1" customWidth="1"/>
    <col min="24" max="16381" width="13.09765625" style="1"/>
    <col min="16382" max="16383" width="11.59765625" style="3" customWidth="1"/>
    <col min="16384" max="16384" width="10.59765625" style="1" customWidth="1"/>
  </cols>
  <sheetData>
    <row r="1" spans="1:23 16382:16383" s="4" customFormat="1" ht="18" customHeight="1">
      <c r="A1" s="25" t="s">
        <v>0</v>
      </c>
      <c r="B1" s="25"/>
      <c r="C1" s="25"/>
      <c r="D1" s="25"/>
      <c r="E1" s="25"/>
      <c r="F1" s="25"/>
      <c r="G1" s="25"/>
      <c r="W1" s="2"/>
      <c r="XFB1" s="5"/>
      <c r="XFC1" s="3"/>
    </row>
    <row r="2" spans="1:23 16382:16383" s="4" customFormat="1" ht="16.5" customHeight="1">
      <c r="A2" s="26" t="s">
        <v>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V2" s="6"/>
      <c r="W2" s="2"/>
      <c r="XFB2" s="5"/>
      <c r="XFC2" s="3"/>
    </row>
    <row r="3" spans="1:23 16382:16383" s="4" customFormat="1" ht="16.5" customHeight="1">
      <c r="A3" s="27" t="s">
        <v>2</v>
      </c>
      <c r="B3" s="27"/>
      <c r="C3" s="7" t="s">
        <v>3</v>
      </c>
      <c r="D3" s="7" t="s">
        <v>4</v>
      </c>
      <c r="W3" s="2"/>
      <c r="XFB3" s="5"/>
      <c r="XFC3" s="3"/>
    </row>
    <row r="4" spans="1:23 16382:16383" s="4" customFormat="1" ht="27" customHeight="1">
      <c r="A4" s="8" t="s">
        <v>5</v>
      </c>
      <c r="B4" s="9">
        <v>40</v>
      </c>
      <c r="C4" s="9" t="s">
        <v>6</v>
      </c>
      <c r="D4" s="10">
        <v>0.1</v>
      </c>
      <c r="W4" s="2"/>
      <c r="XFB4" s="5"/>
      <c r="XFC4" s="3"/>
    </row>
    <row r="5" spans="1:23 16382:16383" s="4" customFormat="1" ht="27" customHeight="1">
      <c r="A5" s="8" t="s">
        <v>7</v>
      </c>
      <c r="B5" s="9">
        <v>0</v>
      </c>
      <c r="C5" s="9" t="s">
        <v>8</v>
      </c>
      <c r="D5" s="10">
        <v>0.1</v>
      </c>
      <c r="W5" s="2"/>
      <c r="XFB5" s="5"/>
      <c r="XFC5" s="3"/>
    </row>
    <row r="6" spans="1:23 16382:16383" s="4" customFormat="1" ht="27" customHeight="1">
      <c r="A6" s="8" t="s">
        <v>9</v>
      </c>
      <c r="B6" s="9">
        <v>0</v>
      </c>
      <c r="C6" s="9" t="s">
        <v>10</v>
      </c>
      <c r="D6" s="10">
        <v>0.1</v>
      </c>
      <c r="W6" s="2"/>
      <c r="XFB6" s="5"/>
      <c r="XFC6" s="3"/>
    </row>
    <row r="7" spans="1:23 16382:16383" s="4" customFormat="1" ht="27" customHeight="1">
      <c r="A7" s="8" t="s">
        <v>11</v>
      </c>
      <c r="B7" s="9">
        <v>91</v>
      </c>
      <c r="C7" s="9" t="s">
        <v>12</v>
      </c>
      <c r="D7" s="10">
        <v>0.1</v>
      </c>
      <c r="W7" s="2"/>
      <c r="XFB7" s="5"/>
      <c r="XFC7" s="3"/>
    </row>
    <row r="8" spans="1:23 16382:16383" s="4" customFormat="1" ht="27" customHeight="1">
      <c r="A8" s="8" t="s">
        <v>13</v>
      </c>
      <c r="B8" s="9">
        <v>100</v>
      </c>
      <c r="C8" s="9" t="s">
        <v>14</v>
      </c>
      <c r="D8" s="10">
        <v>0.11</v>
      </c>
      <c r="W8" s="5"/>
      <c r="XFB8" s="5"/>
      <c r="XFC8" s="3"/>
    </row>
    <row r="9" spans="1:23 16382:16383" s="4" customFormat="1" ht="27" customHeight="1">
      <c r="A9" s="8" t="s">
        <v>15</v>
      </c>
      <c r="B9" s="9">
        <v>102</v>
      </c>
      <c r="C9" s="9" t="s">
        <v>16</v>
      </c>
      <c r="D9" s="10">
        <v>0.12</v>
      </c>
      <c r="W9" s="5"/>
      <c r="XFB9" s="5"/>
      <c r="XFC9" s="3"/>
    </row>
    <row r="10" spans="1:23 16382:16383" s="4" customFormat="1" ht="27" customHeight="1">
      <c r="A10" s="8" t="s">
        <v>17</v>
      </c>
      <c r="B10" s="9">
        <f>B4+B5+B6</f>
        <v>40</v>
      </c>
      <c r="C10" s="9" t="s">
        <v>18</v>
      </c>
      <c r="D10" s="10">
        <v>0.15</v>
      </c>
      <c r="W10" s="2"/>
      <c r="XFB10" s="5"/>
      <c r="XFC10" s="3"/>
    </row>
    <row r="11" spans="1:23 16382:16383" s="4" customFormat="1" ht="27" customHeight="1">
      <c r="A11" s="8" t="s">
        <v>19</v>
      </c>
      <c r="B11" s="11">
        <f>IF(B4+B5=0,"",(B4*B7+B5*B8)/(B4+B5))</f>
        <v>91</v>
      </c>
      <c r="C11" s="9"/>
      <c r="D11" s="10"/>
      <c r="W11" s="2"/>
      <c r="XFB11" s="5"/>
      <c r="XFC11" s="3"/>
    </row>
    <row r="12" spans="1:23 16382:16383" s="4" customFormat="1" ht="27" customHeight="1">
      <c r="A12" s="8" t="s">
        <v>20</v>
      </c>
      <c r="B12" s="11" t="str">
        <f>IF(B5+B6=0,"",(B4*B7+B5*B9)/(B4+B5))</f>
        <v/>
      </c>
      <c r="C12" s="9"/>
      <c r="D12" s="10"/>
      <c r="W12" s="2"/>
      <c r="XFB12" s="5"/>
      <c r="XFC12" s="3"/>
    </row>
    <row r="13" spans="1:23 16382:16383" s="4" customFormat="1" ht="27" customHeight="1">
      <c r="A13" s="8" t="s">
        <v>21</v>
      </c>
      <c r="B13" s="9">
        <v>-10</v>
      </c>
      <c r="C13" s="9"/>
      <c r="D13" s="10"/>
      <c r="W13" s="2"/>
      <c r="XFB13" s="5"/>
      <c r="XFC13" s="3"/>
    </row>
    <row r="14" spans="1:23 16382:16383" s="4" customFormat="1" ht="45" customHeight="1">
      <c r="A14" s="7" t="s">
        <v>22</v>
      </c>
      <c r="B14" s="7" t="s">
        <v>23</v>
      </c>
      <c r="C14" s="7" t="s">
        <v>24</v>
      </c>
      <c r="D14" s="7" t="s">
        <v>25</v>
      </c>
      <c r="E14" s="7" t="s">
        <v>26</v>
      </c>
      <c r="F14" s="7" t="s">
        <v>27</v>
      </c>
      <c r="G14" s="7" t="s">
        <v>28</v>
      </c>
      <c r="H14" s="7" t="s">
        <v>29</v>
      </c>
      <c r="I14" s="12" t="s">
        <v>30</v>
      </c>
      <c r="J14" s="7" t="s">
        <v>31</v>
      </c>
      <c r="K14" s="7" t="s">
        <v>21</v>
      </c>
      <c r="L14" s="7" t="s">
        <v>32</v>
      </c>
      <c r="M14" s="7" t="s">
        <v>33</v>
      </c>
      <c r="N14" s="7" t="s">
        <v>34</v>
      </c>
      <c r="O14" s="7" t="s">
        <v>35</v>
      </c>
      <c r="P14" s="7" t="s">
        <v>36</v>
      </c>
      <c r="Q14" s="7" t="s">
        <v>37</v>
      </c>
      <c r="R14" s="7" t="s">
        <v>38</v>
      </c>
      <c r="S14" s="7" t="s">
        <v>39</v>
      </c>
      <c r="T14" s="7" t="s">
        <v>40</v>
      </c>
      <c r="U14" s="7" t="s">
        <v>41</v>
      </c>
      <c r="V14" s="12" t="s">
        <v>42</v>
      </c>
      <c r="W14" s="13" t="s">
        <v>43</v>
      </c>
      <c r="XFB14" s="5"/>
      <c r="XFC14" s="3"/>
    </row>
    <row r="15" spans="1:23 16382:16383" s="4" customFormat="1" ht="28.5" customHeight="1">
      <c r="A15" s="14">
        <f t="shared" ref="A15:A78" si="0">IF($T15="","",1+COUNTIF($W$15:$W$890,"&lt;"&amp;W15))</f>
        <v>1</v>
      </c>
      <c r="B15" s="14" t="s">
        <v>18</v>
      </c>
      <c r="C15" s="14" t="s">
        <v>372</v>
      </c>
      <c r="D15" s="14" t="s">
        <v>45</v>
      </c>
      <c r="E15" s="14" t="s">
        <v>63</v>
      </c>
      <c r="F15" s="14" t="s">
        <v>373</v>
      </c>
      <c r="G15" s="15">
        <v>1762</v>
      </c>
      <c r="H15" s="15"/>
      <c r="I15" s="15"/>
      <c r="J15" s="15">
        <v>1755</v>
      </c>
      <c r="K15" s="15">
        <v>0</v>
      </c>
      <c r="L15" s="15">
        <f t="shared" ref="L15:L78" si="1">IF($G15="","",$G15+$K15)</f>
        <v>1762</v>
      </c>
      <c r="M15" s="15" t="str">
        <f t="shared" ref="M15:M78" si="2">IF($H15="","",$H15+$K15)</f>
        <v/>
      </c>
      <c r="N15" s="15">
        <f t="shared" ref="N15:N78" si="3">IF($J15="","",$J15+$K15)</f>
        <v>1755</v>
      </c>
      <c r="O15" s="15" t="str">
        <f t="shared" ref="O15:O78" si="4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70,480원</v>
      </c>
      <c r="P15" s="15">
        <f t="shared" ref="P15:P78" si="5">IF($B$10=0,"",IFERROR(IF($B$4&gt;0,IF($L15="",1/0,$L15*$B$4),0)+IF($B$5&gt;0,IF($M15="",1/0,$M15*$B$5),0)+IF($B$6&gt;0,IF($N15="",1/0,$N15*$B$6),0),""))</f>
        <v>70480</v>
      </c>
      <c r="Q15" s="15" t="s">
        <v>47</v>
      </c>
      <c r="R15" s="16">
        <f t="shared" ref="R15:R78" si="6">IF($P15="","",IF($Q15="Y",IFERROR(VLOOKUP($B15,$C$4:$D$13,2,FALSE()),0),0))</f>
        <v>0.15</v>
      </c>
      <c r="S15" s="15">
        <f t="shared" ref="S15:S78" si="7">IF($P15="","",ROUNDDOWN($P15*$R15,0))</f>
        <v>10572</v>
      </c>
      <c r="T15" s="15">
        <f t="shared" ref="T15:T78" si="8">IF($P15="","",$P15-$S15)</f>
        <v>59908</v>
      </c>
      <c r="U15" s="15">
        <f t="shared" ref="U15:U78" si="9">IF($T15="","",IF($B$10=0,"",$T15/$B$10))</f>
        <v>1497.7</v>
      </c>
      <c r="V15" s="15">
        <f t="shared" ref="V15:V21" si="10">IF($P15="","",IF($B$10=0,"",$P15/$B$10))</f>
        <v>1762</v>
      </c>
      <c r="W15" s="17">
        <f>IF($T15="",1000000000000000,$T15)</f>
        <v>59908</v>
      </c>
      <c r="XFB15" s="5"/>
      <c r="XFC15" s="3"/>
    </row>
    <row r="16" spans="1:23 16382:16383" s="4" customFormat="1" ht="28.5" customHeight="1">
      <c r="A16" s="14">
        <f t="shared" si="0"/>
        <v>2</v>
      </c>
      <c r="B16" s="14" t="s">
        <v>18</v>
      </c>
      <c r="C16" s="14" t="s">
        <v>374</v>
      </c>
      <c r="D16" s="14" t="s">
        <v>45</v>
      </c>
      <c r="E16" s="14" t="s">
        <v>26</v>
      </c>
      <c r="F16" s="14" t="s">
        <v>375</v>
      </c>
      <c r="G16" s="15">
        <v>1780</v>
      </c>
      <c r="H16" s="15"/>
      <c r="I16" s="15"/>
      <c r="J16" s="15">
        <v>1780</v>
      </c>
      <c r="K16" s="15">
        <f t="shared" ref="K16:K47" si="11">IF(AND(IFERROR(SEARCH("현대오일뱅크",$C16),0)&gt;0,IFERROR(SEARCH("직영",$C16),0)&gt;0),$B$13,0)</f>
        <v>0</v>
      </c>
      <c r="L16" s="15">
        <f t="shared" si="1"/>
        <v>1780</v>
      </c>
      <c r="M16" s="15" t="str">
        <f t="shared" si="2"/>
        <v/>
      </c>
      <c r="N16" s="15">
        <f t="shared" si="3"/>
        <v>1780</v>
      </c>
      <c r="O16" s="15" t="str">
        <f t="shared" si="4"/>
        <v>휘발유 71,200원</v>
      </c>
      <c r="P16" s="15">
        <f t="shared" si="5"/>
        <v>71200</v>
      </c>
      <c r="Q16" s="14" t="s">
        <v>47</v>
      </c>
      <c r="R16" s="16">
        <f t="shared" si="6"/>
        <v>0.15</v>
      </c>
      <c r="S16" s="15">
        <f t="shared" si="7"/>
        <v>10680</v>
      </c>
      <c r="T16" s="15">
        <f t="shared" si="8"/>
        <v>60520</v>
      </c>
      <c r="U16" s="15">
        <f t="shared" si="9"/>
        <v>1513</v>
      </c>
      <c r="V16" s="15">
        <f t="shared" si="10"/>
        <v>1780</v>
      </c>
      <c r="W16" s="17">
        <f>IF($T16="",1000000000000000,$T16)</f>
        <v>60520</v>
      </c>
      <c r="XFB16" s="5"/>
      <c r="XFC16" s="3"/>
    </row>
    <row r="17" spans="1:23 16382:16383" s="4" customFormat="1" ht="28.5" customHeight="1">
      <c r="A17" s="14">
        <f t="shared" si="0"/>
        <v>3</v>
      </c>
      <c r="B17" s="14" t="s">
        <v>18</v>
      </c>
      <c r="C17" s="14" t="s">
        <v>44</v>
      </c>
      <c r="D17" s="14" t="s">
        <v>45</v>
      </c>
      <c r="E17" s="14" t="s">
        <v>26</v>
      </c>
      <c r="F17" s="14" t="s">
        <v>46</v>
      </c>
      <c r="G17" s="15">
        <v>1782</v>
      </c>
      <c r="H17" s="15">
        <v>2049</v>
      </c>
      <c r="I17" s="15"/>
      <c r="J17" s="15">
        <v>1782</v>
      </c>
      <c r="K17" s="15">
        <f t="shared" si="11"/>
        <v>0</v>
      </c>
      <c r="L17" s="15">
        <f t="shared" si="1"/>
        <v>1782</v>
      </c>
      <c r="M17" s="15">
        <f t="shared" si="2"/>
        <v>2049</v>
      </c>
      <c r="N17" s="15">
        <f t="shared" si="3"/>
        <v>1782</v>
      </c>
      <c r="O17" s="15" t="str">
        <f t="shared" si="4"/>
        <v>휘발유 71,280원</v>
      </c>
      <c r="P17" s="15">
        <f t="shared" si="5"/>
        <v>71280</v>
      </c>
      <c r="Q17" s="15" t="s">
        <v>47</v>
      </c>
      <c r="R17" s="16">
        <f t="shared" si="6"/>
        <v>0.15</v>
      </c>
      <c r="S17" s="15">
        <f t="shared" si="7"/>
        <v>10692</v>
      </c>
      <c r="T17" s="15">
        <f t="shared" si="8"/>
        <v>60588</v>
      </c>
      <c r="U17" s="15">
        <f t="shared" si="9"/>
        <v>1514.7</v>
      </c>
      <c r="V17" s="15">
        <f t="shared" si="10"/>
        <v>1782</v>
      </c>
      <c r="W17" s="17">
        <f>IF($T17="",1000000000000000,$T17)</f>
        <v>60588</v>
      </c>
      <c r="XFB17" s="5"/>
      <c r="XFC17" s="3"/>
    </row>
    <row r="18" spans="1:23 16382:16383" s="4" customFormat="1" ht="28.5" customHeight="1">
      <c r="A18" s="14">
        <f t="shared" si="0"/>
        <v>3</v>
      </c>
      <c r="B18" s="14" t="s">
        <v>18</v>
      </c>
      <c r="C18" s="14" t="s">
        <v>376</v>
      </c>
      <c r="D18" s="14" t="s">
        <v>45</v>
      </c>
      <c r="E18" s="14" t="s">
        <v>26</v>
      </c>
      <c r="F18" s="14" t="s">
        <v>377</v>
      </c>
      <c r="G18" s="15">
        <v>1782</v>
      </c>
      <c r="H18" s="15"/>
      <c r="I18" s="15"/>
      <c r="J18" s="15">
        <v>1782</v>
      </c>
      <c r="K18" s="15">
        <f t="shared" si="11"/>
        <v>0</v>
      </c>
      <c r="L18" s="15">
        <f t="shared" si="1"/>
        <v>1782</v>
      </c>
      <c r="M18" s="15" t="str">
        <f t="shared" si="2"/>
        <v/>
      </c>
      <c r="N18" s="15">
        <f t="shared" si="3"/>
        <v>1782</v>
      </c>
      <c r="O18" s="15" t="str">
        <f t="shared" si="4"/>
        <v>휘발유 71,280원</v>
      </c>
      <c r="P18" s="15">
        <f t="shared" si="5"/>
        <v>71280</v>
      </c>
      <c r="Q18" s="15" t="s">
        <v>47</v>
      </c>
      <c r="R18" s="16">
        <f t="shared" si="6"/>
        <v>0.15</v>
      </c>
      <c r="S18" s="15">
        <f t="shared" si="7"/>
        <v>10692</v>
      </c>
      <c r="T18" s="15">
        <f t="shared" si="8"/>
        <v>60588</v>
      </c>
      <c r="U18" s="15">
        <f t="shared" si="9"/>
        <v>1514.7</v>
      </c>
      <c r="V18" s="15">
        <f t="shared" si="10"/>
        <v>1782</v>
      </c>
      <c r="W18" s="17">
        <f>IF($T18="",1000000000000000,$T18)</f>
        <v>60588</v>
      </c>
      <c r="XFB18" s="5"/>
      <c r="XFC18" s="3"/>
    </row>
    <row r="19" spans="1:23 16382:16383" s="4" customFormat="1" ht="28.5" customHeight="1">
      <c r="A19" s="14">
        <f t="shared" si="0"/>
        <v>5</v>
      </c>
      <c r="B19" s="14" t="s">
        <v>18</v>
      </c>
      <c r="C19" s="14" t="s">
        <v>399</v>
      </c>
      <c r="D19" s="14" t="s">
        <v>95</v>
      </c>
      <c r="E19" s="14" t="s">
        <v>26</v>
      </c>
      <c r="F19" s="14" t="s">
        <v>400</v>
      </c>
      <c r="G19" s="15">
        <v>1792</v>
      </c>
      <c r="H19" s="15"/>
      <c r="I19" s="15"/>
      <c r="J19" s="15">
        <v>1792</v>
      </c>
      <c r="K19" s="15">
        <f t="shared" si="11"/>
        <v>0</v>
      </c>
      <c r="L19" s="15">
        <f t="shared" si="1"/>
        <v>1792</v>
      </c>
      <c r="M19" s="15" t="str">
        <f t="shared" si="2"/>
        <v/>
      </c>
      <c r="N19" s="15">
        <f t="shared" si="3"/>
        <v>1792</v>
      </c>
      <c r="O19" s="15" t="str">
        <f t="shared" si="4"/>
        <v>휘발유 71,680원</v>
      </c>
      <c r="P19" s="15">
        <f t="shared" si="5"/>
        <v>71680</v>
      </c>
      <c r="Q19" s="15" t="s">
        <v>47</v>
      </c>
      <c r="R19" s="16">
        <f t="shared" si="6"/>
        <v>0.15</v>
      </c>
      <c r="S19" s="15">
        <f t="shared" si="7"/>
        <v>10752</v>
      </c>
      <c r="T19" s="15">
        <f t="shared" si="8"/>
        <v>60928</v>
      </c>
      <c r="U19" s="15">
        <f t="shared" si="9"/>
        <v>1523.2</v>
      </c>
      <c r="V19" s="15">
        <f t="shared" si="10"/>
        <v>1792</v>
      </c>
      <c r="W19" s="17">
        <f>IF($T19="",1000000000000000,$T19)</f>
        <v>60928</v>
      </c>
      <c r="XFB19" s="5"/>
      <c r="XFC19" s="3"/>
    </row>
    <row r="20" spans="1:23 16382:16383" s="4" customFormat="1" ht="28.5" customHeight="1">
      <c r="A20" s="14">
        <f t="shared" si="0"/>
        <v>6</v>
      </c>
      <c r="B20" s="14" t="s">
        <v>18</v>
      </c>
      <c r="C20" s="14" t="s">
        <v>378</v>
      </c>
      <c r="D20" s="14" t="s">
        <v>51</v>
      </c>
      <c r="E20" s="14" t="s">
        <v>63</v>
      </c>
      <c r="F20" s="14" t="s">
        <v>379</v>
      </c>
      <c r="G20" s="15">
        <v>1797</v>
      </c>
      <c r="H20" s="15"/>
      <c r="I20" s="15"/>
      <c r="J20" s="15">
        <v>1797</v>
      </c>
      <c r="K20" s="15">
        <f t="shared" si="11"/>
        <v>0</v>
      </c>
      <c r="L20" s="15">
        <f t="shared" si="1"/>
        <v>1797</v>
      </c>
      <c r="M20" s="15" t="str">
        <f t="shared" si="2"/>
        <v/>
      </c>
      <c r="N20" s="15">
        <f t="shared" si="3"/>
        <v>1797</v>
      </c>
      <c r="O20" s="15" t="str">
        <f t="shared" si="4"/>
        <v>휘발유 71,880원</v>
      </c>
      <c r="P20" s="15">
        <f t="shared" si="5"/>
        <v>71880</v>
      </c>
      <c r="Q20" s="15" t="s">
        <v>47</v>
      </c>
      <c r="R20" s="16">
        <f t="shared" si="6"/>
        <v>0.15</v>
      </c>
      <c r="S20" s="15">
        <f t="shared" si="7"/>
        <v>10782</v>
      </c>
      <c r="T20" s="15">
        <f t="shared" si="8"/>
        <v>61098</v>
      </c>
      <c r="U20" s="15">
        <f t="shared" si="9"/>
        <v>1527.45</v>
      </c>
      <c r="V20" s="15">
        <f t="shared" si="10"/>
        <v>1797</v>
      </c>
      <c r="W20" s="17">
        <f>IF($T20="",1000000000000000,$T20)</f>
        <v>61098</v>
      </c>
      <c r="XFB20" s="5"/>
      <c r="XFC20" s="3"/>
    </row>
    <row r="21" spans="1:23 16382:16383" s="4" customFormat="1" ht="28.5" customHeight="1">
      <c r="A21" s="14">
        <f t="shared" si="0"/>
        <v>7</v>
      </c>
      <c r="B21" s="14" t="s">
        <v>18</v>
      </c>
      <c r="C21" s="14" t="s">
        <v>380</v>
      </c>
      <c r="D21" s="14" t="s">
        <v>95</v>
      </c>
      <c r="E21" s="14" t="s">
        <v>26</v>
      </c>
      <c r="F21" s="14" t="s">
        <v>381</v>
      </c>
      <c r="G21" s="15">
        <v>1799</v>
      </c>
      <c r="H21" s="15"/>
      <c r="I21" s="15"/>
      <c r="J21" s="15">
        <v>1799</v>
      </c>
      <c r="K21" s="15">
        <f t="shared" si="11"/>
        <v>0</v>
      </c>
      <c r="L21" s="15">
        <f t="shared" si="1"/>
        <v>1799</v>
      </c>
      <c r="M21" s="15" t="str">
        <f t="shared" si="2"/>
        <v/>
      </c>
      <c r="N21" s="15">
        <f t="shared" si="3"/>
        <v>1799</v>
      </c>
      <c r="O21" s="15" t="str">
        <f t="shared" si="4"/>
        <v>휘발유 71,960원</v>
      </c>
      <c r="P21" s="15">
        <f t="shared" si="5"/>
        <v>71960</v>
      </c>
      <c r="Q21" s="15" t="s">
        <v>47</v>
      </c>
      <c r="R21" s="16">
        <f t="shared" si="6"/>
        <v>0.15</v>
      </c>
      <c r="S21" s="15">
        <f t="shared" si="7"/>
        <v>10794</v>
      </c>
      <c r="T21" s="15">
        <f t="shared" si="8"/>
        <v>61166</v>
      </c>
      <c r="U21" s="15">
        <f t="shared" si="9"/>
        <v>1529.15</v>
      </c>
      <c r="V21" s="15">
        <f t="shared" si="10"/>
        <v>1799</v>
      </c>
      <c r="W21" s="17">
        <f>IF($T21="",1000000000000000,$T21)</f>
        <v>61166</v>
      </c>
      <c r="XFB21" s="5"/>
      <c r="XFC21" s="3"/>
    </row>
    <row r="22" spans="1:23 16382:16383" s="4" customFormat="1" ht="28.5" customHeight="1">
      <c r="A22" s="14">
        <f t="shared" si="0"/>
        <v>7</v>
      </c>
      <c r="B22" s="14" t="s">
        <v>18</v>
      </c>
      <c r="C22" s="14" t="s">
        <v>382</v>
      </c>
      <c r="D22" s="14" t="s">
        <v>45</v>
      </c>
      <c r="E22" s="14" t="s">
        <v>63</v>
      </c>
      <c r="F22" s="14" t="s">
        <v>383</v>
      </c>
      <c r="G22" s="15">
        <v>1799</v>
      </c>
      <c r="H22" s="15"/>
      <c r="I22" s="15"/>
      <c r="J22" s="15">
        <v>1799</v>
      </c>
      <c r="K22" s="15">
        <f t="shared" si="11"/>
        <v>0</v>
      </c>
      <c r="L22" s="15">
        <f t="shared" si="1"/>
        <v>1799</v>
      </c>
      <c r="M22" s="15" t="str">
        <f t="shared" si="2"/>
        <v/>
      </c>
      <c r="N22" s="15">
        <f t="shared" si="3"/>
        <v>1799</v>
      </c>
      <c r="O22" s="15" t="str">
        <f t="shared" si="4"/>
        <v>휘발유 71,960원</v>
      </c>
      <c r="P22" s="15">
        <f t="shared" si="5"/>
        <v>71960</v>
      </c>
      <c r="Q22" s="15" t="s">
        <v>47</v>
      </c>
      <c r="R22" s="16">
        <f t="shared" si="6"/>
        <v>0.15</v>
      </c>
      <c r="S22" s="15">
        <f t="shared" si="7"/>
        <v>10794</v>
      </c>
      <c r="T22" s="15">
        <f t="shared" si="8"/>
        <v>61166</v>
      </c>
      <c r="U22" s="15">
        <f t="shared" si="9"/>
        <v>1529.15</v>
      </c>
      <c r="V22" s="15" t="s">
        <v>1776</v>
      </c>
      <c r="W22" s="17">
        <f>IF($T22="",1000000000000000,$T22)</f>
        <v>61166</v>
      </c>
      <c r="XFB22" s="5"/>
      <c r="XFC22" s="3"/>
    </row>
    <row r="23" spans="1:23 16382:16383" s="4" customFormat="1" ht="28.5" customHeight="1">
      <c r="A23" s="14">
        <f t="shared" si="0"/>
        <v>7</v>
      </c>
      <c r="B23" s="14" t="s">
        <v>18</v>
      </c>
      <c r="C23" s="14" t="s">
        <v>384</v>
      </c>
      <c r="D23" s="14" t="s">
        <v>95</v>
      </c>
      <c r="E23" s="14" t="s">
        <v>63</v>
      </c>
      <c r="F23" s="14" t="s">
        <v>385</v>
      </c>
      <c r="G23" s="15">
        <v>1799</v>
      </c>
      <c r="H23" s="15"/>
      <c r="I23" s="15"/>
      <c r="J23" s="15">
        <v>1799</v>
      </c>
      <c r="K23" s="15">
        <f t="shared" si="11"/>
        <v>0</v>
      </c>
      <c r="L23" s="15">
        <f t="shared" si="1"/>
        <v>1799</v>
      </c>
      <c r="M23" s="15" t="str">
        <f t="shared" si="2"/>
        <v/>
      </c>
      <c r="N23" s="15">
        <f t="shared" si="3"/>
        <v>1799</v>
      </c>
      <c r="O23" s="15" t="str">
        <f t="shared" si="4"/>
        <v>휘발유 71,960원</v>
      </c>
      <c r="P23" s="15">
        <f t="shared" si="5"/>
        <v>71960</v>
      </c>
      <c r="Q23" s="15" t="s">
        <v>47</v>
      </c>
      <c r="R23" s="16">
        <f t="shared" si="6"/>
        <v>0.15</v>
      </c>
      <c r="S23" s="15">
        <f t="shared" si="7"/>
        <v>10794</v>
      </c>
      <c r="T23" s="15">
        <f t="shared" si="8"/>
        <v>61166</v>
      </c>
      <c r="U23" s="15">
        <f t="shared" si="9"/>
        <v>1529.15</v>
      </c>
      <c r="V23" s="15">
        <f t="shared" ref="V23:V86" si="12">IF($P23="","",IF($B$10=0,"",$P23/$B$10))</f>
        <v>1799</v>
      </c>
      <c r="W23" s="17">
        <f>IF($T23="",1000000000000000,$T23)</f>
        <v>61166</v>
      </c>
      <c r="XFB23" s="5"/>
      <c r="XFC23" s="3"/>
    </row>
    <row r="24" spans="1:23 16382:16383" s="4" customFormat="1" ht="28.5" customHeight="1">
      <c r="A24" s="14">
        <f t="shared" si="0"/>
        <v>10</v>
      </c>
      <c r="B24" s="14" t="s">
        <v>18</v>
      </c>
      <c r="C24" s="14" t="s">
        <v>386</v>
      </c>
      <c r="D24" s="14" t="s">
        <v>51</v>
      </c>
      <c r="E24" s="14" t="s">
        <v>26</v>
      </c>
      <c r="F24" s="14" t="s">
        <v>387</v>
      </c>
      <c r="G24" s="15">
        <v>1802</v>
      </c>
      <c r="H24" s="15"/>
      <c r="I24" s="15"/>
      <c r="J24" s="15">
        <v>1782</v>
      </c>
      <c r="K24" s="15">
        <f t="shared" si="11"/>
        <v>0</v>
      </c>
      <c r="L24" s="15">
        <f t="shared" si="1"/>
        <v>1802</v>
      </c>
      <c r="M24" s="15" t="str">
        <f t="shared" si="2"/>
        <v/>
      </c>
      <c r="N24" s="15">
        <f t="shared" si="3"/>
        <v>1782</v>
      </c>
      <c r="O24" s="15" t="str">
        <f t="shared" si="4"/>
        <v>휘발유 72,080원</v>
      </c>
      <c r="P24" s="15">
        <f t="shared" si="5"/>
        <v>72080</v>
      </c>
      <c r="Q24" s="15" t="s">
        <v>47</v>
      </c>
      <c r="R24" s="16">
        <f t="shared" si="6"/>
        <v>0.15</v>
      </c>
      <c r="S24" s="15">
        <f t="shared" si="7"/>
        <v>10812</v>
      </c>
      <c r="T24" s="15">
        <f t="shared" si="8"/>
        <v>61268</v>
      </c>
      <c r="U24" s="15">
        <f t="shared" si="9"/>
        <v>1531.7</v>
      </c>
      <c r="V24" s="15">
        <f t="shared" si="12"/>
        <v>1802</v>
      </c>
      <c r="W24" s="17">
        <f>IF($T24="",1000000000000000,$T24)</f>
        <v>61268</v>
      </c>
      <c r="XFB24" s="5"/>
      <c r="XFC24" s="3"/>
    </row>
    <row r="25" spans="1:23 16382:16383" s="4" customFormat="1" ht="28.5" customHeight="1">
      <c r="A25" s="14">
        <f t="shared" si="0"/>
        <v>11</v>
      </c>
      <c r="B25" s="14" t="s">
        <v>18</v>
      </c>
      <c r="C25" s="14" t="s">
        <v>388</v>
      </c>
      <c r="D25" s="14" t="s">
        <v>389</v>
      </c>
      <c r="E25" s="14" t="s">
        <v>26</v>
      </c>
      <c r="F25" s="14" t="s">
        <v>390</v>
      </c>
      <c r="G25" s="15">
        <v>1815</v>
      </c>
      <c r="H25" s="15"/>
      <c r="I25" s="15"/>
      <c r="J25" s="15">
        <v>1795</v>
      </c>
      <c r="K25" s="15">
        <f t="shared" si="11"/>
        <v>0</v>
      </c>
      <c r="L25" s="15">
        <f t="shared" si="1"/>
        <v>1815</v>
      </c>
      <c r="M25" s="15" t="str">
        <f t="shared" si="2"/>
        <v/>
      </c>
      <c r="N25" s="15">
        <f t="shared" si="3"/>
        <v>1795</v>
      </c>
      <c r="O25" s="15" t="str">
        <f t="shared" si="4"/>
        <v>휘발유 72,600원</v>
      </c>
      <c r="P25" s="15">
        <f t="shared" si="5"/>
        <v>72600</v>
      </c>
      <c r="Q25" s="15" t="s">
        <v>47</v>
      </c>
      <c r="R25" s="16">
        <f t="shared" si="6"/>
        <v>0.15</v>
      </c>
      <c r="S25" s="15">
        <f t="shared" si="7"/>
        <v>10890</v>
      </c>
      <c r="T25" s="15">
        <f t="shared" si="8"/>
        <v>61710</v>
      </c>
      <c r="U25" s="15">
        <f t="shared" si="9"/>
        <v>1542.75</v>
      </c>
      <c r="V25" s="15">
        <f t="shared" si="12"/>
        <v>1815</v>
      </c>
      <c r="W25" s="17">
        <f>IF($T25="",1000000000000000,$T25)</f>
        <v>61710</v>
      </c>
      <c r="XFB25" s="5"/>
      <c r="XFC25" s="3"/>
    </row>
    <row r="26" spans="1:23 16382:16383" s="4" customFormat="1" ht="28.5" customHeight="1">
      <c r="A26" s="14">
        <f t="shared" si="0"/>
        <v>11</v>
      </c>
      <c r="B26" s="14" t="s">
        <v>18</v>
      </c>
      <c r="C26" s="14" t="s">
        <v>391</v>
      </c>
      <c r="D26" s="14" t="s">
        <v>95</v>
      </c>
      <c r="E26" s="14" t="s">
        <v>63</v>
      </c>
      <c r="F26" s="14" t="s">
        <v>392</v>
      </c>
      <c r="G26" s="15">
        <v>1815</v>
      </c>
      <c r="H26" s="15"/>
      <c r="I26" s="15"/>
      <c r="J26" s="15">
        <v>1805</v>
      </c>
      <c r="K26" s="15">
        <f t="shared" si="11"/>
        <v>0</v>
      </c>
      <c r="L26" s="15">
        <f t="shared" si="1"/>
        <v>1815</v>
      </c>
      <c r="M26" s="15" t="str">
        <f t="shared" si="2"/>
        <v/>
      </c>
      <c r="N26" s="15">
        <f t="shared" si="3"/>
        <v>1805</v>
      </c>
      <c r="O26" s="15" t="str">
        <f t="shared" si="4"/>
        <v>휘발유 72,600원</v>
      </c>
      <c r="P26" s="15">
        <f t="shared" si="5"/>
        <v>72600</v>
      </c>
      <c r="Q26" s="15" t="s">
        <v>47</v>
      </c>
      <c r="R26" s="16">
        <f t="shared" si="6"/>
        <v>0.15</v>
      </c>
      <c r="S26" s="15">
        <f t="shared" si="7"/>
        <v>10890</v>
      </c>
      <c r="T26" s="15">
        <f t="shared" si="8"/>
        <v>61710</v>
      </c>
      <c r="U26" s="15">
        <f t="shared" si="9"/>
        <v>1542.75</v>
      </c>
      <c r="V26" s="15">
        <f t="shared" si="12"/>
        <v>1815</v>
      </c>
      <c r="W26" s="17">
        <f>IF($T26="",1000000000000000,$T26)</f>
        <v>61710</v>
      </c>
      <c r="XFB26" s="5"/>
      <c r="XFC26" s="3"/>
    </row>
    <row r="27" spans="1:23 16382:16383" s="4" customFormat="1" ht="28.5" customHeight="1">
      <c r="A27" s="14">
        <f t="shared" si="0"/>
        <v>13</v>
      </c>
      <c r="B27" s="14" t="s">
        <v>18</v>
      </c>
      <c r="C27" s="14" t="s">
        <v>393</v>
      </c>
      <c r="D27" s="14" t="s">
        <v>45</v>
      </c>
      <c r="E27" s="14" t="s">
        <v>63</v>
      </c>
      <c r="F27" s="14" t="s">
        <v>394</v>
      </c>
      <c r="G27" s="15">
        <v>1817</v>
      </c>
      <c r="H27" s="15"/>
      <c r="I27" s="15"/>
      <c r="J27" s="15">
        <v>1797</v>
      </c>
      <c r="K27" s="15">
        <f t="shared" si="11"/>
        <v>0</v>
      </c>
      <c r="L27" s="15">
        <f t="shared" si="1"/>
        <v>1817</v>
      </c>
      <c r="M27" s="15" t="str">
        <f t="shared" si="2"/>
        <v/>
      </c>
      <c r="N27" s="15">
        <f t="shared" si="3"/>
        <v>1797</v>
      </c>
      <c r="O27" s="15" t="str">
        <f t="shared" si="4"/>
        <v>휘발유 72,680원</v>
      </c>
      <c r="P27" s="15">
        <f t="shared" si="5"/>
        <v>72680</v>
      </c>
      <c r="Q27" s="15" t="s">
        <v>47</v>
      </c>
      <c r="R27" s="16">
        <f t="shared" si="6"/>
        <v>0.15</v>
      </c>
      <c r="S27" s="15">
        <f t="shared" si="7"/>
        <v>10902</v>
      </c>
      <c r="T27" s="15">
        <f t="shared" si="8"/>
        <v>61778</v>
      </c>
      <c r="U27" s="15">
        <f t="shared" si="9"/>
        <v>1544.45</v>
      </c>
      <c r="V27" s="15">
        <f t="shared" si="12"/>
        <v>1817</v>
      </c>
      <c r="W27" s="17">
        <f>IF($T27="",1000000000000000,$T27)</f>
        <v>61778</v>
      </c>
      <c r="XFB27" s="5"/>
      <c r="XFC27" s="3"/>
    </row>
    <row r="28" spans="1:23 16382:16383" s="4" customFormat="1" ht="28.5" customHeight="1">
      <c r="A28" s="14">
        <f t="shared" si="0"/>
        <v>14</v>
      </c>
      <c r="B28" s="14" t="s">
        <v>18</v>
      </c>
      <c r="C28" s="14" t="s">
        <v>395</v>
      </c>
      <c r="D28" s="14" t="s">
        <v>45</v>
      </c>
      <c r="E28" s="14" t="s">
        <v>63</v>
      </c>
      <c r="F28" s="14" t="s">
        <v>396</v>
      </c>
      <c r="G28" s="15">
        <v>1818</v>
      </c>
      <c r="H28" s="15"/>
      <c r="I28" s="15"/>
      <c r="J28" s="15">
        <v>1828</v>
      </c>
      <c r="K28" s="15">
        <f t="shared" si="11"/>
        <v>0</v>
      </c>
      <c r="L28" s="15">
        <f t="shared" si="1"/>
        <v>1818</v>
      </c>
      <c r="M28" s="15" t="str">
        <f t="shared" si="2"/>
        <v/>
      </c>
      <c r="N28" s="15">
        <f t="shared" si="3"/>
        <v>1828</v>
      </c>
      <c r="O28" s="15" t="str">
        <f t="shared" si="4"/>
        <v>휘발유 72,720원</v>
      </c>
      <c r="P28" s="15">
        <f t="shared" si="5"/>
        <v>72720</v>
      </c>
      <c r="Q28" s="15" t="s">
        <v>47</v>
      </c>
      <c r="R28" s="16">
        <f t="shared" si="6"/>
        <v>0.15</v>
      </c>
      <c r="S28" s="15">
        <f t="shared" si="7"/>
        <v>10908</v>
      </c>
      <c r="T28" s="15">
        <f t="shared" si="8"/>
        <v>61812</v>
      </c>
      <c r="U28" s="15">
        <f t="shared" si="9"/>
        <v>1545.3</v>
      </c>
      <c r="V28" s="15">
        <f t="shared" si="12"/>
        <v>1818</v>
      </c>
      <c r="W28" s="17">
        <f>IF($T28="",1000000000000000,$T28)</f>
        <v>61812</v>
      </c>
      <c r="XFB28" s="5"/>
      <c r="XFC28" s="3"/>
    </row>
    <row r="29" spans="1:23 16382:16383" s="4" customFormat="1" ht="28.5" customHeight="1">
      <c r="A29" s="14">
        <f t="shared" si="0"/>
        <v>15</v>
      </c>
      <c r="B29" s="14" t="s">
        <v>18</v>
      </c>
      <c r="C29" s="14" t="s">
        <v>397</v>
      </c>
      <c r="D29" s="14" t="s">
        <v>45</v>
      </c>
      <c r="E29" s="14" t="s">
        <v>63</v>
      </c>
      <c r="F29" s="14" t="s">
        <v>398</v>
      </c>
      <c r="G29" s="15">
        <v>1820</v>
      </c>
      <c r="H29" s="15"/>
      <c r="I29" s="15"/>
      <c r="J29" s="15">
        <v>1810</v>
      </c>
      <c r="K29" s="15">
        <f t="shared" si="11"/>
        <v>0</v>
      </c>
      <c r="L29" s="15">
        <f t="shared" si="1"/>
        <v>1820</v>
      </c>
      <c r="M29" s="15" t="str">
        <f t="shared" si="2"/>
        <v/>
      </c>
      <c r="N29" s="15">
        <f t="shared" si="3"/>
        <v>1810</v>
      </c>
      <c r="O29" s="15" t="str">
        <f t="shared" si="4"/>
        <v>휘발유 72,800원</v>
      </c>
      <c r="P29" s="15">
        <f t="shared" si="5"/>
        <v>72800</v>
      </c>
      <c r="Q29" s="15" t="s">
        <v>47</v>
      </c>
      <c r="R29" s="16">
        <f t="shared" si="6"/>
        <v>0.15</v>
      </c>
      <c r="S29" s="15">
        <f t="shared" si="7"/>
        <v>10920</v>
      </c>
      <c r="T29" s="15">
        <f t="shared" si="8"/>
        <v>61880</v>
      </c>
      <c r="U29" s="15">
        <f t="shared" si="9"/>
        <v>1547</v>
      </c>
      <c r="V29" s="15">
        <f t="shared" si="12"/>
        <v>1820</v>
      </c>
      <c r="W29" s="17">
        <f>IF($T29="",1000000000000000,$T29)</f>
        <v>61880</v>
      </c>
      <c r="XFB29" s="5"/>
      <c r="XFC29" s="3"/>
    </row>
    <row r="30" spans="1:23 16382:16383" s="4" customFormat="1" ht="28.5" customHeight="1">
      <c r="A30" s="14">
        <f t="shared" si="0"/>
        <v>16</v>
      </c>
      <c r="B30" s="14" t="s">
        <v>18</v>
      </c>
      <c r="C30" s="14" t="s">
        <v>401</v>
      </c>
      <c r="D30" s="14" t="s">
        <v>95</v>
      </c>
      <c r="E30" s="14" t="s">
        <v>63</v>
      </c>
      <c r="F30" s="14" t="s">
        <v>402</v>
      </c>
      <c r="G30" s="15">
        <v>1825</v>
      </c>
      <c r="H30" s="15"/>
      <c r="I30" s="15"/>
      <c r="J30" s="15">
        <v>1825</v>
      </c>
      <c r="K30" s="15">
        <f t="shared" si="11"/>
        <v>0</v>
      </c>
      <c r="L30" s="15">
        <f t="shared" si="1"/>
        <v>1825</v>
      </c>
      <c r="M30" s="15" t="str">
        <f t="shared" si="2"/>
        <v/>
      </c>
      <c r="N30" s="15">
        <f t="shared" si="3"/>
        <v>1825</v>
      </c>
      <c r="O30" s="15" t="str">
        <f t="shared" si="4"/>
        <v>휘발유 73,000원</v>
      </c>
      <c r="P30" s="15">
        <f t="shared" si="5"/>
        <v>73000</v>
      </c>
      <c r="Q30" s="15" t="s">
        <v>47</v>
      </c>
      <c r="R30" s="16">
        <f t="shared" si="6"/>
        <v>0.15</v>
      </c>
      <c r="S30" s="15">
        <f t="shared" si="7"/>
        <v>10950</v>
      </c>
      <c r="T30" s="15">
        <f t="shared" si="8"/>
        <v>62050</v>
      </c>
      <c r="U30" s="15">
        <f t="shared" si="9"/>
        <v>1551.25</v>
      </c>
      <c r="V30" s="15">
        <f t="shared" si="12"/>
        <v>1825</v>
      </c>
      <c r="W30" s="17">
        <f>IF($T30="",1000000000000000,$T30)</f>
        <v>62050</v>
      </c>
      <c r="XFB30" s="5"/>
      <c r="XFC30" s="3"/>
    </row>
    <row r="31" spans="1:23 16382:16383" s="4" customFormat="1" ht="28.5" customHeight="1">
      <c r="A31" s="14">
        <f t="shared" si="0"/>
        <v>17</v>
      </c>
      <c r="B31" s="14" t="s">
        <v>18</v>
      </c>
      <c r="C31" s="14" t="s">
        <v>405</v>
      </c>
      <c r="D31" s="14" t="s">
        <v>51</v>
      </c>
      <c r="E31" s="14" t="s">
        <v>63</v>
      </c>
      <c r="F31" s="14" t="s">
        <v>406</v>
      </c>
      <c r="G31" s="15">
        <v>1829</v>
      </c>
      <c r="H31" s="15"/>
      <c r="I31" s="15"/>
      <c r="J31" s="15">
        <v>1819</v>
      </c>
      <c r="K31" s="15">
        <f t="shared" si="11"/>
        <v>0</v>
      </c>
      <c r="L31" s="15">
        <f t="shared" si="1"/>
        <v>1829</v>
      </c>
      <c r="M31" s="15" t="str">
        <f t="shared" si="2"/>
        <v/>
      </c>
      <c r="N31" s="15">
        <f t="shared" si="3"/>
        <v>1819</v>
      </c>
      <c r="O31" s="15" t="str">
        <f t="shared" si="4"/>
        <v>휘발유 73,160원</v>
      </c>
      <c r="P31" s="15">
        <f t="shared" si="5"/>
        <v>73160</v>
      </c>
      <c r="Q31" s="15" t="s">
        <v>47</v>
      </c>
      <c r="R31" s="16">
        <f t="shared" si="6"/>
        <v>0.15</v>
      </c>
      <c r="S31" s="15">
        <f t="shared" si="7"/>
        <v>10974</v>
      </c>
      <c r="T31" s="15">
        <f t="shared" si="8"/>
        <v>62186</v>
      </c>
      <c r="U31" s="15">
        <f t="shared" si="9"/>
        <v>1554.65</v>
      </c>
      <c r="V31" s="15">
        <f t="shared" si="12"/>
        <v>1829</v>
      </c>
      <c r="W31" s="17">
        <f>IF($T31="",1000000000000000,$T31)</f>
        <v>62186</v>
      </c>
      <c r="XFB31" s="5"/>
      <c r="XFC31" s="3"/>
    </row>
    <row r="32" spans="1:23 16382:16383" s="4" customFormat="1" ht="28.5" customHeight="1">
      <c r="A32" s="14">
        <f t="shared" si="0"/>
        <v>17</v>
      </c>
      <c r="B32" s="14" t="s">
        <v>18</v>
      </c>
      <c r="C32" s="14" t="s">
        <v>403</v>
      </c>
      <c r="D32" s="18" t="s">
        <v>86</v>
      </c>
      <c r="E32" s="14" t="s">
        <v>26</v>
      </c>
      <c r="F32" s="14" t="s">
        <v>404</v>
      </c>
      <c r="G32" s="15">
        <v>1829</v>
      </c>
      <c r="H32" s="15"/>
      <c r="I32" s="15"/>
      <c r="J32" s="15">
        <v>1825</v>
      </c>
      <c r="K32" s="15">
        <f t="shared" si="11"/>
        <v>0</v>
      </c>
      <c r="L32" s="15">
        <f t="shared" si="1"/>
        <v>1829</v>
      </c>
      <c r="M32" s="15" t="str">
        <f t="shared" si="2"/>
        <v/>
      </c>
      <c r="N32" s="15">
        <f t="shared" si="3"/>
        <v>1825</v>
      </c>
      <c r="O32" s="15" t="str">
        <f t="shared" si="4"/>
        <v>휘발유 73,160원</v>
      </c>
      <c r="P32" s="15">
        <f t="shared" si="5"/>
        <v>73160</v>
      </c>
      <c r="Q32" s="15" t="s">
        <v>47</v>
      </c>
      <c r="R32" s="16">
        <f t="shared" si="6"/>
        <v>0.15</v>
      </c>
      <c r="S32" s="15">
        <f t="shared" si="7"/>
        <v>10974</v>
      </c>
      <c r="T32" s="15">
        <f t="shared" si="8"/>
        <v>62186</v>
      </c>
      <c r="U32" s="15">
        <f t="shared" si="9"/>
        <v>1554.65</v>
      </c>
      <c r="V32" s="15">
        <f t="shared" si="12"/>
        <v>1829</v>
      </c>
      <c r="W32" s="17">
        <f>IF($T32="",1000000000000000,$T32)</f>
        <v>62186</v>
      </c>
      <c r="XFB32" s="5"/>
      <c r="XFC32" s="3"/>
    </row>
    <row r="33" spans="1:23 16382:16383" s="4" customFormat="1" ht="28.5" customHeight="1">
      <c r="A33" s="14">
        <f t="shared" si="0"/>
        <v>17</v>
      </c>
      <c r="B33" s="14" t="s">
        <v>18</v>
      </c>
      <c r="C33" s="14" t="s">
        <v>407</v>
      </c>
      <c r="D33" s="18" t="s">
        <v>86</v>
      </c>
      <c r="E33" s="14" t="s">
        <v>63</v>
      </c>
      <c r="F33" s="14" t="s">
        <v>408</v>
      </c>
      <c r="G33" s="15">
        <v>1829</v>
      </c>
      <c r="H33" s="15"/>
      <c r="I33" s="15"/>
      <c r="J33" s="15">
        <v>1829</v>
      </c>
      <c r="K33" s="15">
        <f t="shared" si="11"/>
        <v>0</v>
      </c>
      <c r="L33" s="15">
        <f t="shared" si="1"/>
        <v>1829</v>
      </c>
      <c r="M33" s="15" t="str">
        <f t="shared" si="2"/>
        <v/>
      </c>
      <c r="N33" s="15">
        <f t="shared" si="3"/>
        <v>1829</v>
      </c>
      <c r="O33" s="15" t="str">
        <f t="shared" si="4"/>
        <v>휘발유 73,160원</v>
      </c>
      <c r="P33" s="15">
        <f t="shared" si="5"/>
        <v>73160</v>
      </c>
      <c r="Q33" s="15" t="s">
        <v>47</v>
      </c>
      <c r="R33" s="16">
        <f t="shared" si="6"/>
        <v>0.15</v>
      </c>
      <c r="S33" s="15">
        <f t="shared" si="7"/>
        <v>10974</v>
      </c>
      <c r="T33" s="15">
        <f t="shared" si="8"/>
        <v>62186</v>
      </c>
      <c r="U33" s="15">
        <f t="shared" si="9"/>
        <v>1554.65</v>
      </c>
      <c r="V33" s="15">
        <f t="shared" si="12"/>
        <v>1829</v>
      </c>
      <c r="W33" s="17">
        <f>IF($T33="",1000000000000000,$T33)</f>
        <v>62186</v>
      </c>
      <c r="XFB33" s="5"/>
      <c r="XFC33" s="3"/>
    </row>
    <row r="34" spans="1:23 16382:16383" s="4" customFormat="1" ht="28.5" customHeight="1">
      <c r="A34" s="14">
        <f t="shared" si="0"/>
        <v>20</v>
      </c>
      <c r="B34" s="14" t="s">
        <v>18</v>
      </c>
      <c r="C34" s="14" t="s">
        <v>409</v>
      </c>
      <c r="D34" s="18" t="s">
        <v>86</v>
      </c>
      <c r="E34" s="14" t="s">
        <v>63</v>
      </c>
      <c r="F34" s="14" t="s">
        <v>410</v>
      </c>
      <c r="G34" s="15">
        <v>1835</v>
      </c>
      <c r="H34" s="15"/>
      <c r="I34" s="15"/>
      <c r="J34" s="15">
        <v>1795</v>
      </c>
      <c r="K34" s="15">
        <f t="shared" si="11"/>
        <v>0</v>
      </c>
      <c r="L34" s="15">
        <f t="shared" si="1"/>
        <v>1835</v>
      </c>
      <c r="M34" s="15" t="str">
        <f t="shared" si="2"/>
        <v/>
      </c>
      <c r="N34" s="15">
        <f t="shared" si="3"/>
        <v>1795</v>
      </c>
      <c r="O34" s="15" t="str">
        <f t="shared" si="4"/>
        <v>휘발유 73,400원</v>
      </c>
      <c r="P34" s="15">
        <f t="shared" si="5"/>
        <v>73400</v>
      </c>
      <c r="Q34" s="15" t="s">
        <v>47</v>
      </c>
      <c r="R34" s="16">
        <f t="shared" si="6"/>
        <v>0.15</v>
      </c>
      <c r="S34" s="15">
        <f t="shared" si="7"/>
        <v>11010</v>
      </c>
      <c r="T34" s="15">
        <f t="shared" si="8"/>
        <v>62390</v>
      </c>
      <c r="U34" s="15">
        <f t="shared" si="9"/>
        <v>1559.75</v>
      </c>
      <c r="V34" s="15">
        <f t="shared" si="12"/>
        <v>1835</v>
      </c>
      <c r="W34" s="17">
        <f>IF($T34="",1000000000000000,$T34)</f>
        <v>62390</v>
      </c>
      <c r="XFB34" s="5"/>
      <c r="XFC34" s="3"/>
    </row>
    <row r="35" spans="1:23 16382:16383" s="4" customFormat="1" ht="28.5" customHeight="1">
      <c r="A35" s="14">
        <f t="shared" si="0"/>
        <v>20</v>
      </c>
      <c r="B35" s="14" t="s">
        <v>18</v>
      </c>
      <c r="C35" s="14" t="s">
        <v>411</v>
      </c>
      <c r="D35" s="14" t="s">
        <v>51</v>
      </c>
      <c r="E35" s="14" t="s">
        <v>26</v>
      </c>
      <c r="F35" s="14" t="s">
        <v>412</v>
      </c>
      <c r="G35" s="15">
        <v>1835</v>
      </c>
      <c r="H35" s="15"/>
      <c r="I35" s="15"/>
      <c r="J35" s="15">
        <v>1835</v>
      </c>
      <c r="K35" s="15">
        <f t="shared" si="11"/>
        <v>0</v>
      </c>
      <c r="L35" s="15">
        <f t="shared" si="1"/>
        <v>1835</v>
      </c>
      <c r="M35" s="15" t="str">
        <f t="shared" si="2"/>
        <v/>
      </c>
      <c r="N35" s="15">
        <f t="shared" si="3"/>
        <v>1835</v>
      </c>
      <c r="O35" s="15" t="str">
        <f t="shared" si="4"/>
        <v>휘발유 73,400원</v>
      </c>
      <c r="P35" s="15">
        <f t="shared" si="5"/>
        <v>73400</v>
      </c>
      <c r="Q35" s="15" t="s">
        <v>47</v>
      </c>
      <c r="R35" s="16">
        <f t="shared" si="6"/>
        <v>0.15</v>
      </c>
      <c r="S35" s="15">
        <f t="shared" si="7"/>
        <v>11010</v>
      </c>
      <c r="T35" s="15">
        <f t="shared" si="8"/>
        <v>62390</v>
      </c>
      <c r="U35" s="15">
        <f t="shared" si="9"/>
        <v>1559.75</v>
      </c>
      <c r="V35" s="15">
        <f t="shared" si="12"/>
        <v>1835</v>
      </c>
      <c r="W35" s="17">
        <f>IF($T35="",1000000000000000,$T35)</f>
        <v>62390</v>
      </c>
      <c r="XFB35" s="5"/>
      <c r="XFC35" s="3"/>
    </row>
    <row r="36" spans="1:23 16382:16383" s="4" customFormat="1" ht="28.5" customHeight="1">
      <c r="A36" s="14">
        <f t="shared" si="0"/>
        <v>20</v>
      </c>
      <c r="B36" s="14" t="s">
        <v>18</v>
      </c>
      <c r="C36" s="14" t="s">
        <v>413</v>
      </c>
      <c r="D36" s="14" t="s">
        <v>51</v>
      </c>
      <c r="E36" s="14" t="s">
        <v>63</v>
      </c>
      <c r="F36" s="14" t="s">
        <v>414</v>
      </c>
      <c r="G36" s="15">
        <v>1835</v>
      </c>
      <c r="H36" s="15"/>
      <c r="I36" s="15"/>
      <c r="J36" s="15">
        <v>1835</v>
      </c>
      <c r="K36" s="15">
        <f t="shared" si="11"/>
        <v>0</v>
      </c>
      <c r="L36" s="15">
        <f t="shared" si="1"/>
        <v>1835</v>
      </c>
      <c r="M36" s="15" t="str">
        <f t="shared" si="2"/>
        <v/>
      </c>
      <c r="N36" s="15">
        <f t="shared" si="3"/>
        <v>1835</v>
      </c>
      <c r="O36" s="15" t="str">
        <f t="shared" si="4"/>
        <v>휘발유 73,400원</v>
      </c>
      <c r="P36" s="15">
        <f t="shared" si="5"/>
        <v>73400</v>
      </c>
      <c r="Q36" s="15" t="s">
        <v>47</v>
      </c>
      <c r="R36" s="16">
        <f t="shared" si="6"/>
        <v>0.15</v>
      </c>
      <c r="S36" s="15">
        <f t="shared" si="7"/>
        <v>11010</v>
      </c>
      <c r="T36" s="15">
        <f t="shared" si="8"/>
        <v>62390</v>
      </c>
      <c r="U36" s="15">
        <f t="shared" si="9"/>
        <v>1559.75</v>
      </c>
      <c r="V36" s="15">
        <f t="shared" si="12"/>
        <v>1835</v>
      </c>
      <c r="W36" s="17">
        <f>IF($T36="",1000000000000000,$T36)</f>
        <v>62390</v>
      </c>
      <c r="XFB36" s="5"/>
      <c r="XFC36" s="3"/>
    </row>
    <row r="37" spans="1:23 16382:16383" s="4" customFormat="1" ht="28.5" customHeight="1">
      <c r="A37" s="14">
        <f t="shared" si="0"/>
        <v>20</v>
      </c>
      <c r="B37" s="14" t="s">
        <v>18</v>
      </c>
      <c r="C37" s="14" t="s">
        <v>415</v>
      </c>
      <c r="D37" s="18" t="s">
        <v>86</v>
      </c>
      <c r="E37" s="14" t="s">
        <v>63</v>
      </c>
      <c r="F37" s="14" t="s">
        <v>416</v>
      </c>
      <c r="G37" s="15">
        <v>1835</v>
      </c>
      <c r="H37" s="15"/>
      <c r="I37" s="15"/>
      <c r="J37" s="15">
        <v>1838</v>
      </c>
      <c r="K37" s="15">
        <f t="shared" si="11"/>
        <v>0</v>
      </c>
      <c r="L37" s="15">
        <f t="shared" si="1"/>
        <v>1835</v>
      </c>
      <c r="M37" s="15" t="str">
        <f t="shared" si="2"/>
        <v/>
      </c>
      <c r="N37" s="15">
        <f t="shared" si="3"/>
        <v>1838</v>
      </c>
      <c r="O37" s="15" t="str">
        <f t="shared" si="4"/>
        <v>휘발유 73,400원</v>
      </c>
      <c r="P37" s="15">
        <f t="shared" si="5"/>
        <v>73400</v>
      </c>
      <c r="Q37" s="15" t="s">
        <v>47</v>
      </c>
      <c r="R37" s="16">
        <f t="shared" si="6"/>
        <v>0.15</v>
      </c>
      <c r="S37" s="15">
        <f t="shared" si="7"/>
        <v>11010</v>
      </c>
      <c r="T37" s="15">
        <f t="shared" si="8"/>
        <v>62390</v>
      </c>
      <c r="U37" s="15">
        <f t="shared" si="9"/>
        <v>1559.75</v>
      </c>
      <c r="V37" s="15">
        <f t="shared" si="12"/>
        <v>1835</v>
      </c>
      <c r="W37" s="17">
        <f>IF($T37="",1000000000000000,$T37)</f>
        <v>62390</v>
      </c>
      <c r="XFB37" s="5"/>
      <c r="XFC37" s="3"/>
    </row>
    <row r="38" spans="1:23 16382:16383" s="4" customFormat="1" ht="28.5" customHeight="1">
      <c r="A38" s="14">
        <f t="shared" si="0"/>
        <v>24</v>
      </c>
      <c r="B38" s="14" t="s">
        <v>18</v>
      </c>
      <c r="C38" s="14" t="s">
        <v>419</v>
      </c>
      <c r="D38" s="18" t="s">
        <v>86</v>
      </c>
      <c r="E38" s="14" t="s">
        <v>63</v>
      </c>
      <c r="F38" s="14" t="s">
        <v>420</v>
      </c>
      <c r="G38" s="15">
        <v>1838</v>
      </c>
      <c r="H38" s="15"/>
      <c r="I38" s="15"/>
      <c r="J38" s="15">
        <v>1858</v>
      </c>
      <c r="K38" s="15">
        <f t="shared" si="11"/>
        <v>0</v>
      </c>
      <c r="L38" s="15">
        <f t="shared" si="1"/>
        <v>1838</v>
      </c>
      <c r="M38" s="15" t="str">
        <f t="shared" si="2"/>
        <v/>
      </c>
      <c r="N38" s="15">
        <f t="shared" si="3"/>
        <v>1858</v>
      </c>
      <c r="O38" s="15" t="str">
        <f t="shared" si="4"/>
        <v>휘발유 73,520원</v>
      </c>
      <c r="P38" s="15">
        <f t="shared" si="5"/>
        <v>73520</v>
      </c>
      <c r="Q38" s="15" t="s">
        <v>47</v>
      </c>
      <c r="R38" s="16">
        <f t="shared" si="6"/>
        <v>0.15</v>
      </c>
      <c r="S38" s="15">
        <f t="shared" si="7"/>
        <v>11028</v>
      </c>
      <c r="T38" s="15">
        <f t="shared" si="8"/>
        <v>62492</v>
      </c>
      <c r="U38" s="15">
        <f t="shared" si="9"/>
        <v>1562.3</v>
      </c>
      <c r="V38" s="15">
        <f t="shared" si="12"/>
        <v>1838</v>
      </c>
      <c r="W38" s="17">
        <f>IF($T38="",1000000000000000,$T38)</f>
        <v>62492</v>
      </c>
      <c r="XFB38" s="5"/>
      <c r="XFC38" s="3"/>
    </row>
    <row r="39" spans="1:23 16382:16383" s="4" customFormat="1" ht="28.5" customHeight="1">
      <c r="A39" s="14">
        <f t="shared" si="0"/>
        <v>25</v>
      </c>
      <c r="B39" s="14" t="s">
        <v>18</v>
      </c>
      <c r="C39" s="14" t="s">
        <v>429</v>
      </c>
      <c r="D39" s="18" t="s">
        <v>86</v>
      </c>
      <c r="E39" s="14" t="s">
        <v>26</v>
      </c>
      <c r="F39" s="14" t="s">
        <v>430</v>
      </c>
      <c r="G39" s="15">
        <v>1839</v>
      </c>
      <c r="H39" s="15"/>
      <c r="I39" s="15"/>
      <c r="J39" s="15">
        <v>1829</v>
      </c>
      <c r="K39" s="15">
        <f t="shared" si="11"/>
        <v>0</v>
      </c>
      <c r="L39" s="15">
        <f t="shared" si="1"/>
        <v>1839</v>
      </c>
      <c r="M39" s="15" t="str">
        <f t="shared" si="2"/>
        <v/>
      </c>
      <c r="N39" s="15">
        <f t="shared" si="3"/>
        <v>1829</v>
      </c>
      <c r="O39" s="15" t="str">
        <f t="shared" si="4"/>
        <v>휘발유 73,560원</v>
      </c>
      <c r="P39" s="15">
        <f t="shared" si="5"/>
        <v>73560</v>
      </c>
      <c r="Q39" s="15" t="s">
        <v>47</v>
      </c>
      <c r="R39" s="16">
        <f t="shared" si="6"/>
        <v>0.15</v>
      </c>
      <c r="S39" s="15">
        <f t="shared" si="7"/>
        <v>11034</v>
      </c>
      <c r="T39" s="15">
        <f t="shared" si="8"/>
        <v>62526</v>
      </c>
      <c r="U39" s="15">
        <f t="shared" si="9"/>
        <v>1563.15</v>
      </c>
      <c r="V39" s="15">
        <f t="shared" si="12"/>
        <v>1839</v>
      </c>
      <c r="W39" s="17">
        <f>IF($T39="",1000000000000000,$T39)</f>
        <v>62526</v>
      </c>
      <c r="XFB39" s="5"/>
      <c r="XFC39" s="3"/>
    </row>
    <row r="40" spans="1:23 16382:16383" s="4" customFormat="1" ht="28.5" customHeight="1">
      <c r="A40" s="14">
        <f t="shared" si="0"/>
        <v>26</v>
      </c>
      <c r="B40" s="14" t="s">
        <v>18</v>
      </c>
      <c r="C40" s="14" t="s">
        <v>421</v>
      </c>
      <c r="D40" s="14" t="s">
        <v>51</v>
      </c>
      <c r="E40" s="14" t="s">
        <v>63</v>
      </c>
      <c r="F40" s="14" t="s">
        <v>422</v>
      </c>
      <c r="G40" s="15">
        <v>1840</v>
      </c>
      <c r="H40" s="15"/>
      <c r="I40" s="15"/>
      <c r="J40" s="15">
        <v>1850</v>
      </c>
      <c r="K40" s="15">
        <f t="shared" si="11"/>
        <v>0</v>
      </c>
      <c r="L40" s="15">
        <f t="shared" si="1"/>
        <v>1840</v>
      </c>
      <c r="M40" s="15" t="str">
        <f t="shared" si="2"/>
        <v/>
      </c>
      <c r="N40" s="15">
        <f t="shared" si="3"/>
        <v>1850</v>
      </c>
      <c r="O40" s="15" t="str">
        <f t="shared" si="4"/>
        <v>휘발유 73,600원</v>
      </c>
      <c r="P40" s="15">
        <f t="shared" si="5"/>
        <v>73600</v>
      </c>
      <c r="Q40" s="15" t="s">
        <v>47</v>
      </c>
      <c r="R40" s="16">
        <f t="shared" si="6"/>
        <v>0.15</v>
      </c>
      <c r="S40" s="15">
        <f t="shared" si="7"/>
        <v>11040</v>
      </c>
      <c r="T40" s="15">
        <f t="shared" si="8"/>
        <v>62560</v>
      </c>
      <c r="U40" s="15">
        <f t="shared" si="9"/>
        <v>1564</v>
      </c>
      <c r="V40" s="15">
        <f t="shared" si="12"/>
        <v>1840</v>
      </c>
      <c r="W40" s="17">
        <f>IF($T40="",1000000000000000,$T40)</f>
        <v>62560</v>
      </c>
      <c r="XFB40" s="5"/>
      <c r="XFC40" s="3"/>
    </row>
    <row r="41" spans="1:23 16382:16383" s="4" customFormat="1" ht="28.5" customHeight="1">
      <c r="A41" s="14">
        <f t="shared" si="0"/>
        <v>27</v>
      </c>
      <c r="B41" s="14" t="s">
        <v>18</v>
      </c>
      <c r="C41" s="14" t="s">
        <v>423</v>
      </c>
      <c r="D41" s="14" t="s">
        <v>45</v>
      </c>
      <c r="E41" s="14" t="s">
        <v>26</v>
      </c>
      <c r="F41" s="14" t="s">
        <v>424</v>
      </c>
      <c r="G41" s="15">
        <v>1842</v>
      </c>
      <c r="H41" s="15"/>
      <c r="I41" s="15"/>
      <c r="J41" s="15">
        <v>1812</v>
      </c>
      <c r="K41" s="15">
        <f t="shared" si="11"/>
        <v>0</v>
      </c>
      <c r="L41" s="15">
        <f t="shared" si="1"/>
        <v>1842</v>
      </c>
      <c r="M41" s="15" t="str">
        <f t="shared" si="2"/>
        <v/>
      </c>
      <c r="N41" s="15">
        <f t="shared" si="3"/>
        <v>1812</v>
      </c>
      <c r="O41" s="15" t="str">
        <f t="shared" si="4"/>
        <v>휘발유 73,680원</v>
      </c>
      <c r="P41" s="15">
        <f t="shared" si="5"/>
        <v>73680</v>
      </c>
      <c r="Q41" s="15" t="s">
        <v>47</v>
      </c>
      <c r="R41" s="16">
        <f t="shared" si="6"/>
        <v>0.15</v>
      </c>
      <c r="S41" s="15">
        <f t="shared" si="7"/>
        <v>11052</v>
      </c>
      <c r="T41" s="15">
        <f t="shared" si="8"/>
        <v>62628</v>
      </c>
      <c r="U41" s="15">
        <f t="shared" si="9"/>
        <v>1565.7</v>
      </c>
      <c r="V41" s="15">
        <f t="shared" si="12"/>
        <v>1842</v>
      </c>
      <c r="W41" s="17">
        <f>IF($T41="",1000000000000000,$T41)</f>
        <v>62628</v>
      </c>
      <c r="XFB41" s="5"/>
      <c r="XFC41" s="3"/>
    </row>
    <row r="42" spans="1:23 16382:16383" s="4" customFormat="1" ht="28.5" customHeight="1">
      <c r="A42" s="14">
        <f t="shared" si="0"/>
        <v>28</v>
      </c>
      <c r="B42" s="14" t="s">
        <v>18</v>
      </c>
      <c r="C42" s="14" t="s">
        <v>105</v>
      </c>
      <c r="D42" s="14" t="s">
        <v>51</v>
      </c>
      <c r="E42" s="14" t="s">
        <v>26</v>
      </c>
      <c r="F42" s="14" t="s">
        <v>106</v>
      </c>
      <c r="G42" s="15">
        <v>1845</v>
      </c>
      <c r="H42" s="15">
        <v>2195</v>
      </c>
      <c r="I42" s="15"/>
      <c r="J42" s="15">
        <v>1845</v>
      </c>
      <c r="K42" s="15">
        <f t="shared" si="11"/>
        <v>0</v>
      </c>
      <c r="L42" s="15">
        <f t="shared" si="1"/>
        <v>1845</v>
      </c>
      <c r="M42" s="15">
        <f t="shared" si="2"/>
        <v>2195</v>
      </c>
      <c r="N42" s="15">
        <f t="shared" si="3"/>
        <v>1845</v>
      </c>
      <c r="O42" s="15" t="str">
        <f t="shared" si="4"/>
        <v>휘발유 73,800원</v>
      </c>
      <c r="P42" s="15">
        <f t="shared" si="5"/>
        <v>73800</v>
      </c>
      <c r="Q42" s="15" t="s">
        <v>47</v>
      </c>
      <c r="R42" s="16">
        <f t="shared" si="6"/>
        <v>0.15</v>
      </c>
      <c r="S42" s="15">
        <f t="shared" si="7"/>
        <v>11070</v>
      </c>
      <c r="T42" s="15">
        <f t="shared" si="8"/>
        <v>62730</v>
      </c>
      <c r="U42" s="15">
        <f t="shared" si="9"/>
        <v>1568.25</v>
      </c>
      <c r="V42" s="15">
        <f t="shared" si="12"/>
        <v>1845</v>
      </c>
      <c r="W42" s="17">
        <f>IF($T42="",1000000000000000,$T42)</f>
        <v>62730</v>
      </c>
      <c r="XFB42" s="5"/>
      <c r="XFC42" s="3"/>
    </row>
    <row r="43" spans="1:23 16382:16383" s="4" customFormat="1" ht="28.5" customHeight="1">
      <c r="A43" s="14">
        <f t="shared" si="0"/>
        <v>28</v>
      </c>
      <c r="B43" s="14" t="s">
        <v>18</v>
      </c>
      <c r="C43" s="14" t="s">
        <v>425</v>
      </c>
      <c r="D43" s="18" t="s">
        <v>86</v>
      </c>
      <c r="E43" s="14" t="s">
        <v>63</v>
      </c>
      <c r="F43" s="14" t="s">
        <v>426</v>
      </c>
      <c r="G43" s="15">
        <v>1845</v>
      </c>
      <c r="H43" s="15"/>
      <c r="I43" s="15"/>
      <c r="J43" s="15">
        <v>1835</v>
      </c>
      <c r="K43" s="15">
        <f t="shared" si="11"/>
        <v>0</v>
      </c>
      <c r="L43" s="15">
        <f t="shared" si="1"/>
        <v>1845</v>
      </c>
      <c r="M43" s="15" t="str">
        <f t="shared" si="2"/>
        <v/>
      </c>
      <c r="N43" s="15">
        <f t="shared" si="3"/>
        <v>1835</v>
      </c>
      <c r="O43" s="15" t="str">
        <f t="shared" si="4"/>
        <v>휘발유 73,800원</v>
      </c>
      <c r="P43" s="15">
        <f t="shared" si="5"/>
        <v>73800</v>
      </c>
      <c r="Q43" s="15" t="s">
        <v>47</v>
      </c>
      <c r="R43" s="16">
        <f t="shared" si="6"/>
        <v>0.15</v>
      </c>
      <c r="S43" s="15">
        <f t="shared" si="7"/>
        <v>11070</v>
      </c>
      <c r="T43" s="15">
        <f t="shared" si="8"/>
        <v>62730</v>
      </c>
      <c r="U43" s="15">
        <f t="shared" si="9"/>
        <v>1568.25</v>
      </c>
      <c r="V43" s="15">
        <f t="shared" si="12"/>
        <v>1845</v>
      </c>
      <c r="W43" s="17">
        <f>IF($T43="",1000000000000000,$T43)</f>
        <v>62730</v>
      </c>
      <c r="XFB43" s="5"/>
      <c r="XFC43" s="3"/>
    </row>
    <row r="44" spans="1:23 16382:16383" s="4" customFormat="1" ht="28.5" customHeight="1">
      <c r="A44" s="14">
        <f t="shared" si="0"/>
        <v>28</v>
      </c>
      <c r="B44" s="14" t="s">
        <v>18</v>
      </c>
      <c r="C44" s="14" t="s">
        <v>431</v>
      </c>
      <c r="D44" s="18" t="s">
        <v>86</v>
      </c>
      <c r="E44" s="14" t="s">
        <v>26</v>
      </c>
      <c r="F44" s="14" t="s">
        <v>432</v>
      </c>
      <c r="G44" s="15">
        <v>1845</v>
      </c>
      <c r="H44" s="15"/>
      <c r="I44" s="15"/>
      <c r="J44" s="15">
        <v>1835</v>
      </c>
      <c r="K44" s="15">
        <f t="shared" si="11"/>
        <v>0</v>
      </c>
      <c r="L44" s="15">
        <f t="shared" si="1"/>
        <v>1845</v>
      </c>
      <c r="M44" s="15" t="str">
        <f t="shared" si="2"/>
        <v/>
      </c>
      <c r="N44" s="15">
        <f t="shared" si="3"/>
        <v>1835</v>
      </c>
      <c r="O44" s="15" t="str">
        <f t="shared" si="4"/>
        <v>휘발유 73,800원</v>
      </c>
      <c r="P44" s="15">
        <f t="shared" si="5"/>
        <v>73800</v>
      </c>
      <c r="Q44" s="15" t="s">
        <v>47</v>
      </c>
      <c r="R44" s="16">
        <f t="shared" si="6"/>
        <v>0.15</v>
      </c>
      <c r="S44" s="15">
        <f t="shared" si="7"/>
        <v>11070</v>
      </c>
      <c r="T44" s="15">
        <f t="shared" si="8"/>
        <v>62730</v>
      </c>
      <c r="U44" s="15">
        <f t="shared" si="9"/>
        <v>1568.25</v>
      </c>
      <c r="V44" s="15">
        <f t="shared" si="12"/>
        <v>1845</v>
      </c>
      <c r="W44" s="17">
        <f>IF($T44="",1000000000000000,$T44)</f>
        <v>62730</v>
      </c>
      <c r="XFB44" s="5"/>
      <c r="XFC44" s="3"/>
    </row>
    <row r="45" spans="1:23 16382:16383" s="4" customFormat="1" ht="28.5" customHeight="1">
      <c r="A45" s="14">
        <f t="shared" si="0"/>
        <v>31</v>
      </c>
      <c r="B45" s="14" t="s">
        <v>14</v>
      </c>
      <c r="C45" s="14" t="s">
        <v>427</v>
      </c>
      <c r="D45" s="14" t="s">
        <v>45</v>
      </c>
      <c r="E45" s="14" t="s">
        <v>26</v>
      </c>
      <c r="F45" s="14" t="s">
        <v>428</v>
      </c>
      <c r="G45" s="15">
        <v>1765</v>
      </c>
      <c r="H45" s="15"/>
      <c r="I45" s="15"/>
      <c r="J45" s="15">
        <v>1775</v>
      </c>
      <c r="K45" s="15">
        <f t="shared" si="11"/>
        <v>0</v>
      </c>
      <c r="L45" s="15">
        <f t="shared" si="1"/>
        <v>1765</v>
      </c>
      <c r="M45" s="15" t="str">
        <f t="shared" si="2"/>
        <v/>
      </c>
      <c r="N45" s="15">
        <f t="shared" si="3"/>
        <v>1775</v>
      </c>
      <c r="O45" s="15" t="str">
        <f t="shared" si="4"/>
        <v>휘발유 70,600원</v>
      </c>
      <c r="P45" s="15">
        <f t="shared" si="5"/>
        <v>70600</v>
      </c>
      <c r="Q45" s="15" t="s">
        <v>47</v>
      </c>
      <c r="R45" s="16">
        <f t="shared" si="6"/>
        <v>0.11</v>
      </c>
      <c r="S45" s="15">
        <f t="shared" si="7"/>
        <v>7766</v>
      </c>
      <c r="T45" s="15">
        <f t="shared" si="8"/>
        <v>62834</v>
      </c>
      <c r="U45" s="15">
        <f t="shared" si="9"/>
        <v>1570.85</v>
      </c>
      <c r="V45" s="15">
        <f t="shared" si="12"/>
        <v>1765</v>
      </c>
      <c r="W45" s="17">
        <f>IF($T45="",1000000000000000,$T45)</f>
        <v>62834</v>
      </c>
      <c r="XFB45" s="5"/>
      <c r="XFC45" s="3"/>
    </row>
    <row r="46" spans="1:23 16382:16383" s="4" customFormat="1" ht="28.5" customHeight="1">
      <c r="A46" s="14">
        <f t="shared" si="0"/>
        <v>32</v>
      </c>
      <c r="B46" s="14" t="s">
        <v>18</v>
      </c>
      <c r="C46" s="14" t="s">
        <v>433</v>
      </c>
      <c r="D46" s="18" t="s">
        <v>86</v>
      </c>
      <c r="E46" s="14" t="s">
        <v>63</v>
      </c>
      <c r="F46" s="14" t="s">
        <v>434</v>
      </c>
      <c r="G46" s="15">
        <v>1850</v>
      </c>
      <c r="H46" s="15"/>
      <c r="I46" s="15"/>
      <c r="J46" s="15">
        <v>1850</v>
      </c>
      <c r="K46" s="15">
        <f t="shared" si="11"/>
        <v>0</v>
      </c>
      <c r="L46" s="15">
        <f t="shared" si="1"/>
        <v>1850</v>
      </c>
      <c r="M46" s="15" t="str">
        <f t="shared" si="2"/>
        <v/>
      </c>
      <c r="N46" s="15">
        <f t="shared" si="3"/>
        <v>1850</v>
      </c>
      <c r="O46" s="15" t="str">
        <f t="shared" si="4"/>
        <v>휘발유 74,000원</v>
      </c>
      <c r="P46" s="15">
        <f t="shared" si="5"/>
        <v>74000</v>
      </c>
      <c r="Q46" s="15" t="s">
        <v>47</v>
      </c>
      <c r="R46" s="16">
        <f t="shared" si="6"/>
        <v>0.15</v>
      </c>
      <c r="S46" s="15">
        <f t="shared" si="7"/>
        <v>11100</v>
      </c>
      <c r="T46" s="15">
        <f t="shared" si="8"/>
        <v>62900</v>
      </c>
      <c r="U46" s="15">
        <f t="shared" si="9"/>
        <v>1572.5</v>
      </c>
      <c r="V46" s="15">
        <f t="shared" si="12"/>
        <v>1850</v>
      </c>
      <c r="W46" s="17">
        <f>IF($T46="",1000000000000000,$T46)</f>
        <v>62900</v>
      </c>
      <c r="XFB46" s="5"/>
      <c r="XFC46" s="3"/>
    </row>
    <row r="47" spans="1:23 16382:16383" s="4" customFormat="1" ht="28.5" customHeight="1">
      <c r="A47" s="14">
        <f t="shared" si="0"/>
        <v>32</v>
      </c>
      <c r="B47" s="14" t="s">
        <v>18</v>
      </c>
      <c r="C47" s="14" t="s">
        <v>435</v>
      </c>
      <c r="D47" s="14" t="s">
        <v>95</v>
      </c>
      <c r="E47" s="14" t="s">
        <v>63</v>
      </c>
      <c r="F47" s="14" t="s">
        <v>436</v>
      </c>
      <c r="G47" s="15">
        <v>1850</v>
      </c>
      <c r="H47" s="15"/>
      <c r="I47" s="15"/>
      <c r="J47" s="15">
        <v>1850</v>
      </c>
      <c r="K47" s="15">
        <f t="shared" si="11"/>
        <v>0</v>
      </c>
      <c r="L47" s="15">
        <f t="shared" si="1"/>
        <v>1850</v>
      </c>
      <c r="M47" s="15" t="str">
        <f t="shared" si="2"/>
        <v/>
      </c>
      <c r="N47" s="15">
        <f t="shared" si="3"/>
        <v>1850</v>
      </c>
      <c r="O47" s="15" t="str">
        <f t="shared" si="4"/>
        <v>휘발유 74,000원</v>
      </c>
      <c r="P47" s="15">
        <f t="shared" si="5"/>
        <v>74000</v>
      </c>
      <c r="Q47" s="15" t="s">
        <v>47</v>
      </c>
      <c r="R47" s="16">
        <f t="shared" si="6"/>
        <v>0.15</v>
      </c>
      <c r="S47" s="15">
        <f t="shared" si="7"/>
        <v>11100</v>
      </c>
      <c r="T47" s="15">
        <f t="shared" si="8"/>
        <v>62900</v>
      </c>
      <c r="U47" s="15">
        <f t="shared" si="9"/>
        <v>1572.5</v>
      </c>
      <c r="V47" s="15">
        <f t="shared" si="12"/>
        <v>1850</v>
      </c>
      <c r="W47" s="17">
        <f>IF($T47="",1000000000000000,$T47)</f>
        <v>62900</v>
      </c>
      <c r="XFB47" s="5"/>
      <c r="XFC47" s="3"/>
    </row>
    <row r="48" spans="1:23 16382:16383" s="4" customFormat="1" ht="28.5" customHeight="1">
      <c r="A48" s="14">
        <f t="shared" si="0"/>
        <v>34</v>
      </c>
      <c r="B48" s="14" t="s">
        <v>16</v>
      </c>
      <c r="C48" s="14" t="s">
        <v>55</v>
      </c>
      <c r="D48" s="14" t="s">
        <v>56</v>
      </c>
      <c r="E48" s="14" t="s">
        <v>26</v>
      </c>
      <c r="F48" s="14" t="s">
        <v>57</v>
      </c>
      <c r="G48" s="15">
        <v>1790</v>
      </c>
      <c r="H48" s="15">
        <v>2040</v>
      </c>
      <c r="I48" s="15"/>
      <c r="J48" s="15">
        <v>1790</v>
      </c>
      <c r="K48" s="15">
        <f t="shared" ref="K48:K68" si="13">IF(AND(IFERROR(SEARCH("현대오일뱅크",$C48),0)&gt;0,IFERROR(SEARCH("직영",$C48),0)&gt;0),$B$13,0)</f>
        <v>0</v>
      </c>
      <c r="L48" s="15">
        <f t="shared" si="1"/>
        <v>1790</v>
      </c>
      <c r="M48" s="15">
        <f t="shared" si="2"/>
        <v>2040</v>
      </c>
      <c r="N48" s="15">
        <f t="shared" si="3"/>
        <v>1790</v>
      </c>
      <c r="O48" s="15" t="str">
        <f t="shared" si="4"/>
        <v>휘발유 71,600원</v>
      </c>
      <c r="P48" s="15">
        <f t="shared" si="5"/>
        <v>71600</v>
      </c>
      <c r="Q48" s="15" t="s">
        <v>47</v>
      </c>
      <c r="R48" s="16">
        <f t="shared" si="6"/>
        <v>0.12</v>
      </c>
      <c r="S48" s="15">
        <f t="shared" si="7"/>
        <v>8592</v>
      </c>
      <c r="T48" s="15">
        <f t="shared" si="8"/>
        <v>63008</v>
      </c>
      <c r="U48" s="15">
        <f t="shared" si="9"/>
        <v>1575.2</v>
      </c>
      <c r="V48" s="15">
        <f t="shared" si="12"/>
        <v>1790</v>
      </c>
      <c r="W48" s="17">
        <f>IF($T48="",1000000000000000,$T48)</f>
        <v>63008</v>
      </c>
      <c r="XFB48" s="5"/>
      <c r="XFC48" s="3"/>
    </row>
    <row r="49" spans="1:23 16382:16383" s="4" customFormat="1" ht="28.5" customHeight="1">
      <c r="A49" s="14">
        <f t="shared" si="0"/>
        <v>35</v>
      </c>
      <c r="B49" s="14" t="s">
        <v>14</v>
      </c>
      <c r="C49" s="14" t="s">
        <v>48</v>
      </c>
      <c r="D49" s="14" t="s">
        <v>45</v>
      </c>
      <c r="E49" s="14" t="s">
        <v>26</v>
      </c>
      <c r="F49" s="14" t="s">
        <v>49</v>
      </c>
      <c r="G49" s="15">
        <v>1773</v>
      </c>
      <c r="H49" s="15">
        <v>1998</v>
      </c>
      <c r="I49" s="15"/>
      <c r="J49" s="15">
        <v>1779</v>
      </c>
      <c r="K49" s="15">
        <f t="shared" si="13"/>
        <v>0</v>
      </c>
      <c r="L49" s="15">
        <f t="shared" si="1"/>
        <v>1773</v>
      </c>
      <c r="M49" s="15">
        <f t="shared" si="2"/>
        <v>1998</v>
      </c>
      <c r="N49" s="15">
        <f t="shared" si="3"/>
        <v>1779</v>
      </c>
      <c r="O49" s="15" t="str">
        <f t="shared" si="4"/>
        <v>휘발유 70,920원</v>
      </c>
      <c r="P49" s="15">
        <f t="shared" si="5"/>
        <v>70920</v>
      </c>
      <c r="Q49" s="15" t="s">
        <v>47</v>
      </c>
      <c r="R49" s="16">
        <f t="shared" si="6"/>
        <v>0.11</v>
      </c>
      <c r="S49" s="15">
        <f t="shared" si="7"/>
        <v>7801</v>
      </c>
      <c r="T49" s="15">
        <f t="shared" si="8"/>
        <v>63119</v>
      </c>
      <c r="U49" s="15">
        <f t="shared" si="9"/>
        <v>1577.9749999999999</v>
      </c>
      <c r="V49" s="15">
        <f t="shared" si="12"/>
        <v>1773</v>
      </c>
      <c r="W49" s="17">
        <f>IF($T49="",1000000000000000,$T49)</f>
        <v>63119</v>
      </c>
      <c r="XFB49" s="5"/>
      <c r="XFC49" s="3"/>
    </row>
    <row r="50" spans="1:23 16382:16383" s="4" customFormat="1" ht="28.5" customHeight="1">
      <c r="A50" s="14">
        <f t="shared" si="0"/>
        <v>36</v>
      </c>
      <c r="B50" s="14" t="s">
        <v>6</v>
      </c>
      <c r="C50" s="14" t="s">
        <v>77</v>
      </c>
      <c r="D50" s="14" t="s">
        <v>45</v>
      </c>
      <c r="E50" s="14" t="s">
        <v>63</v>
      </c>
      <c r="F50" s="14" t="s">
        <v>78</v>
      </c>
      <c r="G50" s="15">
        <v>1764</v>
      </c>
      <c r="H50" s="15">
        <v>2044</v>
      </c>
      <c r="I50" s="15"/>
      <c r="J50" s="15">
        <v>1735</v>
      </c>
      <c r="K50" s="15">
        <f t="shared" si="13"/>
        <v>-10</v>
      </c>
      <c r="L50" s="15">
        <f t="shared" si="1"/>
        <v>1754</v>
      </c>
      <c r="M50" s="15">
        <f t="shared" si="2"/>
        <v>2034</v>
      </c>
      <c r="N50" s="15">
        <f t="shared" si="3"/>
        <v>1725</v>
      </c>
      <c r="O50" s="15" t="str">
        <f t="shared" si="4"/>
        <v>휘발유 70,160원</v>
      </c>
      <c r="P50" s="15">
        <f t="shared" si="5"/>
        <v>70160</v>
      </c>
      <c r="Q50" s="15" t="s">
        <v>47</v>
      </c>
      <c r="R50" s="16">
        <f t="shared" si="6"/>
        <v>0.1</v>
      </c>
      <c r="S50" s="15">
        <f t="shared" si="7"/>
        <v>7016</v>
      </c>
      <c r="T50" s="15">
        <f t="shared" si="8"/>
        <v>63144</v>
      </c>
      <c r="U50" s="15">
        <f t="shared" si="9"/>
        <v>1578.6</v>
      </c>
      <c r="V50" s="15">
        <f t="shared" si="12"/>
        <v>1754</v>
      </c>
      <c r="W50" s="17">
        <f>IF($T50="",1000000000000000,$T50)</f>
        <v>63144</v>
      </c>
      <c r="XFB50" s="5"/>
      <c r="XFC50" s="3"/>
    </row>
    <row r="51" spans="1:23 16382:16383" s="4" customFormat="1" ht="28.5" customHeight="1">
      <c r="A51" s="14">
        <f t="shared" si="0"/>
        <v>37</v>
      </c>
      <c r="B51" s="14" t="s">
        <v>14</v>
      </c>
      <c r="C51" s="14" t="s">
        <v>417</v>
      </c>
      <c r="D51" s="14" t="s">
        <v>95</v>
      </c>
      <c r="E51" s="14" t="s">
        <v>63</v>
      </c>
      <c r="F51" s="14" t="s">
        <v>418</v>
      </c>
      <c r="G51" s="15">
        <v>1774</v>
      </c>
      <c r="H51" s="15"/>
      <c r="I51" s="15"/>
      <c r="J51" s="15">
        <v>1864</v>
      </c>
      <c r="K51" s="15">
        <f t="shared" si="13"/>
        <v>0</v>
      </c>
      <c r="L51" s="15">
        <f t="shared" si="1"/>
        <v>1774</v>
      </c>
      <c r="M51" s="15" t="str">
        <f t="shared" si="2"/>
        <v/>
      </c>
      <c r="N51" s="15">
        <f t="shared" si="3"/>
        <v>1864</v>
      </c>
      <c r="O51" s="15" t="str">
        <f t="shared" si="4"/>
        <v>휘발유 70,960원</v>
      </c>
      <c r="P51" s="15">
        <f t="shared" si="5"/>
        <v>70960</v>
      </c>
      <c r="Q51" s="15" t="s">
        <v>47</v>
      </c>
      <c r="R51" s="16">
        <f t="shared" si="6"/>
        <v>0.11</v>
      </c>
      <c r="S51" s="15">
        <f t="shared" si="7"/>
        <v>7805</v>
      </c>
      <c r="T51" s="15">
        <f t="shared" si="8"/>
        <v>63155</v>
      </c>
      <c r="U51" s="15">
        <f t="shared" si="9"/>
        <v>1578.875</v>
      </c>
      <c r="V51" s="15">
        <f t="shared" si="12"/>
        <v>1774</v>
      </c>
      <c r="W51" s="17">
        <f>IF($T51="",1000000000000000,$T51)</f>
        <v>63155</v>
      </c>
      <c r="XFB51" s="5"/>
      <c r="XFC51" s="3"/>
    </row>
    <row r="52" spans="1:23 16382:16383" s="4" customFormat="1" ht="28.5" customHeight="1">
      <c r="A52" s="14">
        <f t="shared" si="0"/>
        <v>38</v>
      </c>
      <c r="B52" s="14" t="s">
        <v>16</v>
      </c>
      <c r="C52" s="14" t="s">
        <v>437</v>
      </c>
      <c r="D52" s="14" t="s">
        <v>95</v>
      </c>
      <c r="E52" s="14" t="s">
        <v>26</v>
      </c>
      <c r="F52" s="14" t="s">
        <v>438</v>
      </c>
      <c r="G52" s="15">
        <v>1795</v>
      </c>
      <c r="H52" s="15"/>
      <c r="I52" s="15"/>
      <c r="J52" s="15">
        <v>1795</v>
      </c>
      <c r="K52" s="15">
        <f t="shared" si="13"/>
        <v>0</v>
      </c>
      <c r="L52" s="15">
        <f t="shared" si="1"/>
        <v>1795</v>
      </c>
      <c r="M52" s="15" t="str">
        <f t="shared" si="2"/>
        <v/>
      </c>
      <c r="N52" s="15">
        <f t="shared" si="3"/>
        <v>1795</v>
      </c>
      <c r="O52" s="15" t="str">
        <f t="shared" si="4"/>
        <v>휘발유 71,800원</v>
      </c>
      <c r="P52" s="15">
        <f t="shared" si="5"/>
        <v>71800</v>
      </c>
      <c r="Q52" s="15" t="s">
        <v>47</v>
      </c>
      <c r="R52" s="16">
        <f t="shared" si="6"/>
        <v>0.12</v>
      </c>
      <c r="S52" s="15">
        <f t="shared" si="7"/>
        <v>8616</v>
      </c>
      <c r="T52" s="15">
        <f t="shared" si="8"/>
        <v>63184</v>
      </c>
      <c r="U52" s="15">
        <f t="shared" si="9"/>
        <v>1579.6</v>
      </c>
      <c r="V52" s="15">
        <f t="shared" si="12"/>
        <v>1795</v>
      </c>
      <c r="W52" s="17">
        <f>IF($T52="",1000000000000000,$T52)</f>
        <v>63184</v>
      </c>
      <c r="XFB52" s="5"/>
      <c r="XFC52" s="3"/>
    </row>
    <row r="53" spans="1:23 16382:16383" s="4" customFormat="1" ht="28.5" customHeight="1">
      <c r="A53" s="14">
        <f t="shared" si="0"/>
        <v>39</v>
      </c>
      <c r="B53" s="14" t="s">
        <v>18</v>
      </c>
      <c r="C53" s="14" t="s">
        <v>439</v>
      </c>
      <c r="D53" s="14" t="s">
        <v>95</v>
      </c>
      <c r="E53" s="14" t="s">
        <v>63</v>
      </c>
      <c r="F53" s="14" t="s">
        <v>440</v>
      </c>
      <c r="G53" s="15">
        <v>1859</v>
      </c>
      <c r="H53" s="15"/>
      <c r="I53" s="15"/>
      <c r="J53" s="15">
        <v>1849</v>
      </c>
      <c r="K53" s="15">
        <f t="shared" si="13"/>
        <v>0</v>
      </c>
      <c r="L53" s="15">
        <f t="shared" si="1"/>
        <v>1859</v>
      </c>
      <c r="M53" s="15" t="str">
        <f t="shared" si="2"/>
        <v/>
      </c>
      <c r="N53" s="15">
        <f t="shared" si="3"/>
        <v>1849</v>
      </c>
      <c r="O53" s="15" t="str">
        <f t="shared" si="4"/>
        <v>휘발유 74,360원</v>
      </c>
      <c r="P53" s="15">
        <f t="shared" si="5"/>
        <v>74360</v>
      </c>
      <c r="Q53" s="15" t="s">
        <v>47</v>
      </c>
      <c r="R53" s="16">
        <f t="shared" si="6"/>
        <v>0.15</v>
      </c>
      <c r="S53" s="15">
        <f t="shared" si="7"/>
        <v>11154</v>
      </c>
      <c r="T53" s="15">
        <f t="shared" si="8"/>
        <v>63206</v>
      </c>
      <c r="U53" s="15">
        <f t="shared" si="9"/>
        <v>1580.15</v>
      </c>
      <c r="V53" s="15">
        <f t="shared" si="12"/>
        <v>1859</v>
      </c>
      <c r="W53" s="17">
        <f>IF($T53="",1000000000000000,$T53)</f>
        <v>63206</v>
      </c>
      <c r="XFB53" s="5"/>
      <c r="XFC53" s="3"/>
    </row>
    <row r="54" spans="1:23 16382:16383" s="4" customFormat="1" ht="28.5" customHeight="1">
      <c r="A54" s="14">
        <f t="shared" si="0"/>
        <v>40</v>
      </c>
      <c r="B54" s="14" t="s">
        <v>6</v>
      </c>
      <c r="C54" s="14" t="s">
        <v>88</v>
      </c>
      <c r="D54" s="14" t="s">
        <v>45</v>
      </c>
      <c r="E54" s="14" t="s">
        <v>63</v>
      </c>
      <c r="F54" s="14" t="s">
        <v>89</v>
      </c>
      <c r="G54" s="15">
        <v>1774</v>
      </c>
      <c r="H54" s="15">
        <v>2040</v>
      </c>
      <c r="I54" s="15"/>
      <c r="J54" s="15">
        <v>1749</v>
      </c>
      <c r="K54" s="15">
        <f t="shared" si="13"/>
        <v>-10</v>
      </c>
      <c r="L54" s="15">
        <f t="shared" si="1"/>
        <v>1764</v>
      </c>
      <c r="M54" s="15">
        <f t="shared" si="2"/>
        <v>2030</v>
      </c>
      <c r="N54" s="15">
        <f t="shared" si="3"/>
        <v>1739</v>
      </c>
      <c r="O54" s="15" t="str">
        <f t="shared" si="4"/>
        <v>휘발유 70,560원</v>
      </c>
      <c r="P54" s="15">
        <f t="shared" si="5"/>
        <v>70560</v>
      </c>
      <c r="Q54" s="15" t="s">
        <v>47</v>
      </c>
      <c r="R54" s="16">
        <f t="shared" si="6"/>
        <v>0.1</v>
      </c>
      <c r="S54" s="15">
        <f t="shared" si="7"/>
        <v>7056</v>
      </c>
      <c r="T54" s="15">
        <f t="shared" si="8"/>
        <v>63504</v>
      </c>
      <c r="U54" s="15">
        <f t="shared" si="9"/>
        <v>1587.6</v>
      </c>
      <c r="V54" s="15">
        <f t="shared" si="12"/>
        <v>1764</v>
      </c>
      <c r="W54" s="17">
        <f>IF($T54="",1000000000000000,$T54)</f>
        <v>63504</v>
      </c>
      <c r="XFB54" s="5"/>
      <c r="XFC54" s="3"/>
    </row>
    <row r="55" spans="1:23 16382:16383" s="4" customFormat="1" ht="28.5" customHeight="1">
      <c r="A55" s="14">
        <f t="shared" si="0"/>
        <v>41</v>
      </c>
      <c r="B55" s="14" t="s">
        <v>12</v>
      </c>
      <c r="C55" s="14" t="s">
        <v>450</v>
      </c>
      <c r="D55" s="18" t="s">
        <v>45</v>
      </c>
      <c r="E55" s="14" t="s">
        <v>26</v>
      </c>
      <c r="F55" s="14" t="s">
        <v>451</v>
      </c>
      <c r="G55" s="15">
        <v>1766</v>
      </c>
      <c r="H55" s="15"/>
      <c r="I55" s="15"/>
      <c r="J55" s="15">
        <v>1766</v>
      </c>
      <c r="K55" s="15">
        <f t="shared" si="13"/>
        <v>0</v>
      </c>
      <c r="L55" s="15">
        <f t="shared" si="1"/>
        <v>1766</v>
      </c>
      <c r="M55" s="15" t="str">
        <f t="shared" si="2"/>
        <v/>
      </c>
      <c r="N55" s="15">
        <f t="shared" si="3"/>
        <v>1766</v>
      </c>
      <c r="O55" s="15" t="str">
        <f t="shared" si="4"/>
        <v>휘발유 70,640원</v>
      </c>
      <c r="P55" s="15">
        <f t="shared" si="5"/>
        <v>70640</v>
      </c>
      <c r="Q55" s="15" t="s">
        <v>47</v>
      </c>
      <c r="R55" s="16">
        <f t="shared" si="6"/>
        <v>0.1</v>
      </c>
      <c r="S55" s="15">
        <f t="shared" si="7"/>
        <v>7064</v>
      </c>
      <c r="T55" s="15">
        <f t="shared" si="8"/>
        <v>63576</v>
      </c>
      <c r="U55" s="15">
        <f t="shared" si="9"/>
        <v>1589.4</v>
      </c>
      <c r="V55" s="15">
        <f t="shared" si="12"/>
        <v>1766</v>
      </c>
      <c r="W55" s="17">
        <f>IF($T55="",1000000000000000,$T55)</f>
        <v>63576</v>
      </c>
      <c r="XFB55" s="5"/>
      <c r="XFC55" s="3"/>
    </row>
    <row r="56" spans="1:23 16382:16383" s="4" customFormat="1" ht="28.5" customHeight="1">
      <c r="A56" s="14">
        <f t="shared" si="0"/>
        <v>42</v>
      </c>
      <c r="B56" s="14" t="s">
        <v>6</v>
      </c>
      <c r="C56" s="14" t="s">
        <v>452</v>
      </c>
      <c r="D56" s="18" t="s">
        <v>86</v>
      </c>
      <c r="E56" s="14" t="s">
        <v>26</v>
      </c>
      <c r="F56" s="14" t="s">
        <v>453</v>
      </c>
      <c r="G56" s="15">
        <v>1769</v>
      </c>
      <c r="H56" s="15"/>
      <c r="I56" s="15"/>
      <c r="J56" s="15">
        <v>1779</v>
      </c>
      <c r="K56" s="15">
        <f t="shared" si="13"/>
        <v>0</v>
      </c>
      <c r="L56" s="15">
        <f t="shared" si="1"/>
        <v>1769</v>
      </c>
      <c r="M56" s="15" t="str">
        <f t="shared" si="2"/>
        <v/>
      </c>
      <c r="N56" s="15">
        <f t="shared" si="3"/>
        <v>1779</v>
      </c>
      <c r="O56" s="15" t="str">
        <f t="shared" si="4"/>
        <v>휘발유 70,760원</v>
      </c>
      <c r="P56" s="15">
        <f t="shared" si="5"/>
        <v>70760</v>
      </c>
      <c r="Q56" s="15" t="s">
        <v>47</v>
      </c>
      <c r="R56" s="16">
        <f t="shared" si="6"/>
        <v>0.1</v>
      </c>
      <c r="S56" s="15">
        <f t="shared" si="7"/>
        <v>7076</v>
      </c>
      <c r="T56" s="15">
        <f t="shared" si="8"/>
        <v>63684</v>
      </c>
      <c r="U56" s="15">
        <f t="shared" si="9"/>
        <v>1592.1</v>
      </c>
      <c r="V56" s="15">
        <f t="shared" si="12"/>
        <v>1769</v>
      </c>
      <c r="W56" s="17">
        <f>IF($T56="",1000000000000000,$T56)</f>
        <v>63684</v>
      </c>
      <c r="XFB56" s="5"/>
      <c r="XFC56" s="3"/>
    </row>
    <row r="57" spans="1:23 16382:16383" s="4" customFormat="1" ht="28.5" customHeight="1">
      <c r="A57" s="14">
        <f t="shared" si="0"/>
        <v>42</v>
      </c>
      <c r="B57" s="14" t="s">
        <v>8</v>
      </c>
      <c r="C57" s="14" t="s">
        <v>328</v>
      </c>
      <c r="D57" s="18" t="s">
        <v>86</v>
      </c>
      <c r="E57" s="14" t="s">
        <v>26</v>
      </c>
      <c r="F57" s="14" t="s">
        <v>441</v>
      </c>
      <c r="G57" s="15">
        <v>1769</v>
      </c>
      <c r="H57" s="15"/>
      <c r="I57" s="15"/>
      <c r="J57" s="15">
        <v>1789</v>
      </c>
      <c r="K57" s="15">
        <f t="shared" si="13"/>
        <v>0</v>
      </c>
      <c r="L57" s="15">
        <f t="shared" si="1"/>
        <v>1769</v>
      </c>
      <c r="M57" s="15" t="str">
        <f t="shared" si="2"/>
        <v/>
      </c>
      <c r="N57" s="15">
        <f t="shared" si="3"/>
        <v>1789</v>
      </c>
      <c r="O57" s="15" t="str">
        <f t="shared" si="4"/>
        <v>휘발유 70,760원</v>
      </c>
      <c r="P57" s="15">
        <f t="shared" si="5"/>
        <v>70760</v>
      </c>
      <c r="Q57" s="15" t="s">
        <v>47</v>
      </c>
      <c r="R57" s="16">
        <f t="shared" si="6"/>
        <v>0.1</v>
      </c>
      <c r="S57" s="15">
        <f t="shared" si="7"/>
        <v>7076</v>
      </c>
      <c r="T57" s="15">
        <f t="shared" si="8"/>
        <v>63684</v>
      </c>
      <c r="U57" s="15">
        <f t="shared" si="9"/>
        <v>1592.1</v>
      </c>
      <c r="V57" s="15">
        <f t="shared" si="12"/>
        <v>1769</v>
      </c>
      <c r="W57" s="17">
        <f>IF($T57="",1000000000000000,$T57)</f>
        <v>63684</v>
      </c>
      <c r="XFB57" s="5"/>
      <c r="XFC57" s="3"/>
    </row>
    <row r="58" spans="1:23 16382:16383" s="4" customFormat="1" ht="28.5" customHeight="1">
      <c r="A58" s="14">
        <f t="shared" si="0"/>
        <v>44</v>
      </c>
      <c r="B58" s="14" t="s">
        <v>16</v>
      </c>
      <c r="C58" s="14" t="s">
        <v>103</v>
      </c>
      <c r="D58" s="14" t="s">
        <v>95</v>
      </c>
      <c r="E58" s="14" t="s">
        <v>26</v>
      </c>
      <c r="F58" s="14" t="s">
        <v>104</v>
      </c>
      <c r="G58" s="15">
        <v>1810</v>
      </c>
      <c r="H58" s="15">
        <v>2070</v>
      </c>
      <c r="I58" s="15"/>
      <c r="J58" s="15">
        <v>1820</v>
      </c>
      <c r="K58" s="15">
        <f t="shared" si="13"/>
        <v>0</v>
      </c>
      <c r="L58" s="15">
        <f t="shared" si="1"/>
        <v>1810</v>
      </c>
      <c r="M58" s="15">
        <f t="shared" si="2"/>
        <v>2070</v>
      </c>
      <c r="N58" s="15">
        <f t="shared" si="3"/>
        <v>1820</v>
      </c>
      <c r="O58" s="15" t="str">
        <f t="shared" si="4"/>
        <v>휘발유 72,400원</v>
      </c>
      <c r="P58" s="15">
        <f t="shared" si="5"/>
        <v>72400</v>
      </c>
      <c r="Q58" s="15" t="s">
        <v>47</v>
      </c>
      <c r="R58" s="16">
        <f t="shared" si="6"/>
        <v>0.12</v>
      </c>
      <c r="S58" s="15">
        <f t="shared" si="7"/>
        <v>8688</v>
      </c>
      <c r="T58" s="15">
        <f t="shared" si="8"/>
        <v>63712</v>
      </c>
      <c r="U58" s="15">
        <f t="shared" si="9"/>
        <v>1592.8</v>
      </c>
      <c r="V58" s="15">
        <f t="shared" si="12"/>
        <v>1810</v>
      </c>
      <c r="W58" s="17">
        <f>IF($T58="",1000000000000000,$T58)</f>
        <v>63712</v>
      </c>
      <c r="XFB58" s="5"/>
      <c r="XFC58" s="3"/>
    </row>
    <row r="59" spans="1:23 16382:16383" s="4" customFormat="1" ht="28.5" customHeight="1">
      <c r="A59" s="14">
        <f t="shared" si="0"/>
        <v>45</v>
      </c>
      <c r="B59" s="14" t="s">
        <v>6</v>
      </c>
      <c r="C59" s="14" t="s">
        <v>50</v>
      </c>
      <c r="D59" s="14" t="s">
        <v>51</v>
      </c>
      <c r="E59" s="14" t="s">
        <v>26</v>
      </c>
      <c r="F59" s="14" t="s">
        <v>52</v>
      </c>
      <c r="G59" s="15">
        <v>1770</v>
      </c>
      <c r="H59" s="15">
        <v>2010</v>
      </c>
      <c r="I59" s="15"/>
      <c r="J59" s="15">
        <v>1744</v>
      </c>
      <c r="K59" s="15">
        <f t="shared" si="13"/>
        <v>0</v>
      </c>
      <c r="L59" s="15">
        <f t="shared" si="1"/>
        <v>1770</v>
      </c>
      <c r="M59" s="15">
        <f t="shared" si="2"/>
        <v>2010</v>
      </c>
      <c r="N59" s="15">
        <f t="shared" si="3"/>
        <v>1744</v>
      </c>
      <c r="O59" s="15" t="str">
        <f t="shared" si="4"/>
        <v>휘발유 70,800원</v>
      </c>
      <c r="P59" s="15">
        <f t="shared" si="5"/>
        <v>70800</v>
      </c>
      <c r="Q59" s="15" t="s">
        <v>47</v>
      </c>
      <c r="R59" s="16">
        <f t="shared" si="6"/>
        <v>0.1</v>
      </c>
      <c r="S59" s="15">
        <f t="shared" si="7"/>
        <v>7080</v>
      </c>
      <c r="T59" s="15">
        <f t="shared" si="8"/>
        <v>63720</v>
      </c>
      <c r="U59" s="15">
        <f t="shared" si="9"/>
        <v>1593</v>
      </c>
      <c r="V59" s="15">
        <f t="shared" si="12"/>
        <v>1770</v>
      </c>
      <c r="W59" s="17">
        <f>IF($T59="",1000000000000000,$T59)</f>
        <v>63720</v>
      </c>
      <c r="XFB59" s="5"/>
      <c r="XFC59" s="3"/>
    </row>
    <row r="60" spans="1:23 16382:16383" s="4" customFormat="1" ht="28.5" customHeight="1">
      <c r="A60" s="14">
        <f t="shared" si="0"/>
        <v>45</v>
      </c>
      <c r="B60" s="14" t="s">
        <v>6</v>
      </c>
      <c r="C60" s="14" t="s">
        <v>53</v>
      </c>
      <c r="D60" s="14" t="s">
        <v>51</v>
      </c>
      <c r="E60" s="14" t="s">
        <v>26</v>
      </c>
      <c r="F60" s="14" t="s">
        <v>54</v>
      </c>
      <c r="G60" s="15">
        <v>1770</v>
      </c>
      <c r="H60" s="15">
        <v>2010</v>
      </c>
      <c r="I60" s="15"/>
      <c r="J60" s="15">
        <v>1733</v>
      </c>
      <c r="K60" s="15">
        <f t="shared" si="13"/>
        <v>0</v>
      </c>
      <c r="L60" s="15">
        <f t="shared" si="1"/>
        <v>1770</v>
      </c>
      <c r="M60" s="15">
        <f t="shared" si="2"/>
        <v>2010</v>
      </c>
      <c r="N60" s="15">
        <f t="shared" si="3"/>
        <v>1733</v>
      </c>
      <c r="O60" s="15" t="str">
        <f t="shared" si="4"/>
        <v>휘발유 70,800원</v>
      </c>
      <c r="P60" s="15">
        <f t="shared" si="5"/>
        <v>70800</v>
      </c>
      <c r="Q60" s="15" t="s">
        <v>47</v>
      </c>
      <c r="R60" s="16">
        <f t="shared" si="6"/>
        <v>0.1</v>
      </c>
      <c r="S60" s="15">
        <f t="shared" si="7"/>
        <v>7080</v>
      </c>
      <c r="T60" s="15">
        <f t="shared" si="8"/>
        <v>63720</v>
      </c>
      <c r="U60" s="15">
        <f t="shared" si="9"/>
        <v>1593</v>
      </c>
      <c r="V60" s="15">
        <f t="shared" si="12"/>
        <v>1770</v>
      </c>
      <c r="W60" s="17">
        <f>IF($T60="",1000000000000000,$T60)</f>
        <v>63720</v>
      </c>
      <c r="XFB60" s="5"/>
      <c r="XFC60" s="3"/>
    </row>
    <row r="61" spans="1:23 16382:16383" s="4" customFormat="1" ht="28.5" customHeight="1">
      <c r="A61" s="14">
        <f t="shared" si="0"/>
        <v>45</v>
      </c>
      <c r="B61" s="14" t="s">
        <v>6</v>
      </c>
      <c r="C61" s="14" t="s">
        <v>65</v>
      </c>
      <c r="D61" s="14" t="s">
        <v>51</v>
      </c>
      <c r="E61" s="14" t="s">
        <v>26</v>
      </c>
      <c r="F61" s="14" t="s">
        <v>66</v>
      </c>
      <c r="G61" s="15">
        <v>1770</v>
      </c>
      <c r="H61" s="15">
        <v>2030</v>
      </c>
      <c r="I61" s="15"/>
      <c r="J61" s="15">
        <v>1760</v>
      </c>
      <c r="K61" s="15">
        <f t="shared" si="13"/>
        <v>0</v>
      </c>
      <c r="L61" s="15">
        <f t="shared" si="1"/>
        <v>1770</v>
      </c>
      <c r="M61" s="15">
        <f t="shared" si="2"/>
        <v>2030</v>
      </c>
      <c r="N61" s="15">
        <f t="shared" si="3"/>
        <v>1760</v>
      </c>
      <c r="O61" s="15" t="str">
        <f t="shared" si="4"/>
        <v>휘발유 70,800원</v>
      </c>
      <c r="P61" s="15">
        <f t="shared" si="5"/>
        <v>70800</v>
      </c>
      <c r="Q61" s="15" t="s">
        <v>47</v>
      </c>
      <c r="R61" s="16">
        <f t="shared" si="6"/>
        <v>0.1</v>
      </c>
      <c r="S61" s="15">
        <f t="shared" si="7"/>
        <v>7080</v>
      </c>
      <c r="T61" s="15">
        <f t="shared" si="8"/>
        <v>63720</v>
      </c>
      <c r="U61" s="15">
        <f t="shared" si="9"/>
        <v>1593</v>
      </c>
      <c r="V61" s="15">
        <f t="shared" si="12"/>
        <v>1770</v>
      </c>
      <c r="W61" s="17">
        <f>IF($T61="",1000000000000000,$T61)</f>
        <v>63720</v>
      </c>
      <c r="XFB61" s="5"/>
      <c r="XFC61" s="3"/>
    </row>
    <row r="62" spans="1:23 16382:16383" s="4" customFormat="1" ht="28.5" customHeight="1">
      <c r="A62" s="14">
        <f t="shared" si="0"/>
        <v>45</v>
      </c>
      <c r="B62" s="14" t="s">
        <v>6</v>
      </c>
      <c r="C62" s="14" t="s">
        <v>101</v>
      </c>
      <c r="D62" s="14" t="s">
        <v>45</v>
      </c>
      <c r="E62" s="14" t="s">
        <v>63</v>
      </c>
      <c r="F62" s="14" t="s">
        <v>102</v>
      </c>
      <c r="G62" s="15">
        <v>1780</v>
      </c>
      <c r="H62" s="15">
        <v>2044</v>
      </c>
      <c r="I62" s="15"/>
      <c r="J62" s="15">
        <v>1759</v>
      </c>
      <c r="K62" s="15">
        <f t="shared" si="13"/>
        <v>-10</v>
      </c>
      <c r="L62" s="15">
        <f t="shared" si="1"/>
        <v>1770</v>
      </c>
      <c r="M62" s="15">
        <f t="shared" si="2"/>
        <v>2034</v>
      </c>
      <c r="N62" s="15">
        <f t="shared" si="3"/>
        <v>1749</v>
      </c>
      <c r="O62" s="15" t="str">
        <f t="shared" si="4"/>
        <v>휘발유 70,800원</v>
      </c>
      <c r="P62" s="15">
        <f t="shared" si="5"/>
        <v>70800</v>
      </c>
      <c r="Q62" s="15" t="s">
        <v>47</v>
      </c>
      <c r="R62" s="16">
        <f t="shared" si="6"/>
        <v>0.1</v>
      </c>
      <c r="S62" s="15">
        <f t="shared" si="7"/>
        <v>7080</v>
      </c>
      <c r="T62" s="15">
        <f t="shared" si="8"/>
        <v>63720</v>
      </c>
      <c r="U62" s="15">
        <f t="shared" si="9"/>
        <v>1593</v>
      </c>
      <c r="V62" s="15">
        <f t="shared" si="12"/>
        <v>1770</v>
      </c>
      <c r="W62" s="17">
        <f>IF($T62="",1000000000000000,$T62)</f>
        <v>63720</v>
      </c>
      <c r="XFB62" s="5"/>
      <c r="XFC62" s="3"/>
    </row>
    <row r="63" spans="1:23 16382:16383" s="4" customFormat="1" ht="28.5" customHeight="1">
      <c r="A63" s="14">
        <f t="shared" si="0"/>
        <v>45</v>
      </c>
      <c r="B63" s="14" t="s">
        <v>6</v>
      </c>
      <c r="C63" s="14" t="s">
        <v>67</v>
      </c>
      <c r="D63" s="14" t="s">
        <v>51</v>
      </c>
      <c r="E63" s="14" t="s">
        <v>26</v>
      </c>
      <c r="F63" s="14" t="s">
        <v>68</v>
      </c>
      <c r="G63" s="15">
        <v>1770</v>
      </c>
      <c r="H63" s="15">
        <v>2037</v>
      </c>
      <c r="I63" s="15"/>
      <c r="J63" s="15">
        <v>1750</v>
      </c>
      <c r="K63" s="15">
        <f t="shared" si="13"/>
        <v>0</v>
      </c>
      <c r="L63" s="15">
        <f t="shared" si="1"/>
        <v>1770</v>
      </c>
      <c r="M63" s="15">
        <f t="shared" si="2"/>
        <v>2037</v>
      </c>
      <c r="N63" s="15">
        <f t="shared" si="3"/>
        <v>1750</v>
      </c>
      <c r="O63" s="15" t="str">
        <f t="shared" si="4"/>
        <v>휘발유 70,800원</v>
      </c>
      <c r="P63" s="15">
        <f t="shared" si="5"/>
        <v>70800</v>
      </c>
      <c r="Q63" s="15" t="s">
        <v>47</v>
      </c>
      <c r="R63" s="16">
        <f t="shared" si="6"/>
        <v>0.1</v>
      </c>
      <c r="S63" s="15">
        <f t="shared" si="7"/>
        <v>7080</v>
      </c>
      <c r="T63" s="15">
        <f t="shared" si="8"/>
        <v>63720</v>
      </c>
      <c r="U63" s="15">
        <f t="shared" si="9"/>
        <v>1593</v>
      </c>
      <c r="V63" s="15">
        <f t="shared" si="12"/>
        <v>1770</v>
      </c>
      <c r="W63" s="17">
        <f>IF($T63="",1000000000000000,$T63)</f>
        <v>63720</v>
      </c>
      <c r="XFB63" s="5"/>
      <c r="XFC63" s="3"/>
    </row>
    <row r="64" spans="1:23 16382:16383" s="4" customFormat="1" ht="28.5" customHeight="1">
      <c r="A64" s="14">
        <f t="shared" si="0"/>
        <v>50</v>
      </c>
      <c r="B64" s="14" t="s">
        <v>6</v>
      </c>
      <c r="C64" s="14" t="s">
        <v>60</v>
      </c>
      <c r="D64" s="14" t="s">
        <v>51</v>
      </c>
      <c r="E64" s="14" t="s">
        <v>26</v>
      </c>
      <c r="F64" s="14" t="s">
        <v>61</v>
      </c>
      <c r="G64" s="15">
        <v>1773</v>
      </c>
      <c r="H64" s="15">
        <v>2023</v>
      </c>
      <c r="I64" s="15"/>
      <c r="J64" s="15">
        <v>1749</v>
      </c>
      <c r="K64" s="15">
        <f t="shared" si="13"/>
        <v>0</v>
      </c>
      <c r="L64" s="15">
        <f t="shared" si="1"/>
        <v>1773</v>
      </c>
      <c r="M64" s="15">
        <f t="shared" si="2"/>
        <v>2023</v>
      </c>
      <c r="N64" s="15">
        <f t="shared" si="3"/>
        <v>1749</v>
      </c>
      <c r="O64" s="15" t="str">
        <f t="shared" si="4"/>
        <v>휘발유 70,920원</v>
      </c>
      <c r="P64" s="15">
        <f t="shared" si="5"/>
        <v>70920</v>
      </c>
      <c r="Q64" s="15" t="s">
        <v>47</v>
      </c>
      <c r="R64" s="16">
        <f t="shared" si="6"/>
        <v>0.1</v>
      </c>
      <c r="S64" s="15">
        <f t="shared" si="7"/>
        <v>7092</v>
      </c>
      <c r="T64" s="15">
        <f t="shared" si="8"/>
        <v>63828</v>
      </c>
      <c r="U64" s="15">
        <f t="shared" si="9"/>
        <v>1595.7</v>
      </c>
      <c r="V64" s="15">
        <f t="shared" si="12"/>
        <v>1773</v>
      </c>
      <c r="W64" s="17">
        <f>IF($T64="",1000000000000000,$T64)</f>
        <v>63828</v>
      </c>
      <c r="XFB64" s="5"/>
      <c r="XFC64" s="3"/>
    </row>
    <row r="65" spans="1:23 16382:16383" s="4" customFormat="1" ht="28.5" customHeight="1">
      <c r="A65" s="14">
        <f t="shared" si="0"/>
        <v>51</v>
      </c>
      <c r="B65" s="14" t="s">
        <v>6</v>
      </c>
      <c r="C65" s="14" t="s">
        <v>111</v>
      </c>
      <c r="D65" s="14" t="s">
        <v>45</v>
      </c>
      <c r="E65" s="14" t="s">
        <v>63</v>
      </c>
      <c r="F65" s="14" t="s">
        <v>112</v>
      </c>
      <c r="G65" s="15">
        <v>1784</v>
      </c>
      <c r="H65" s="15">
        <v>2058</v>
      </c>
      <c r="I65" s="15" t="s">
        <v>47</v>
      </c>
      <c r="J65" s="15">
        <v>1762</v>
      </c>
      <c r="K65" s="15">
        <f t="shared" si="13"/>
        <v>-10</v>
      </c>
      <c r="L65" s="15">
        <f t="shared" si="1"/>
        <v>1774</v>
      </c>
      <c r="M65" s="15">
        <f t="shared" si="2"/>
        <v>2048</v>
      </c>
      <c r="N65" s="15">
        <f t="shared" si="3"/>
        <v>1752</v>
      </c>
      <c r="O65" s="15" t="str">
        <f t="shared" si="4"/>
        <v>휘발유 70,960원</v>
      </c>
      <c r="P65" s="15">
        <f t="shared" si="5"/>
        <v>70960</v>
      </c>
      <c r="Q65" s="15" t="s">
        <v>47</v>
      </c>
      <c r="R65" s="16">
        <f t="shared" si="6"/>
        <v>0.1</v>
      </c>
      <c r="S65" s="15">
        <f t="shared" si="7"/>
        <v>7096</v>
      </c>
      <c r="T65" s="15">
        <f t="shared" si="8"/>
        <v>63864</v>
      </c>
      <c r="U65" s="15">
        <f t="shared" si="9"/>
        <v>1596.6</v>
      </c>
      <c r="V65" s="15">
        <f t="shared" si="12"/>
        <v>1774</v>
      </c>
      <c r="W65" s="17">
        <f>IF($T65="",1000000000000000,$T65)</f>
        <v>63864</v>
      </c>
      <c r="XFB65" s="5"/>
      <c r="XFC65" s="3"/>
    </row>
    <row r="66" spans="1:23 16382:16383" s="4" customFormat="1" ht="28.5" customHeight="1">
      <c r="A66" s="14">
        <f t="shared" si="0"/>
        <v>51</v>
      </c>
      <c r="B66" s="14" t="s">
        <v>6</v>
      </c>
      <c r="C66" s="14" t="s">
        <v>113</v>
      </c>
      <c r="D66" s="14" t="s">
        <v>45</v>
      </c>
      <c r="E66" s="14" t="s">
        <v>26</v>
      </c>
      <c r="F66" s="14" t="s">
        <v>114</v>
      </c>
      <c r="G66" s="15">
        <v>1784</v>
      </c>
      <c r="H66" s="15">
        <v>2058</v>
      </c>
      <c r="I66" s="15" t="s">
        <v>47</v>
      </c>
      <c r="J66" s="15">
        <v>1749</v>
      </c>
      <c r="K66" s="15">
        <f t="shared" si="13"/>
        <v>-10</v>
      </c>
      <c r="L66" s="15">
        <f t="shared" si="1"/>
        <v>1774</v>
      </c>
      <c r="M66" s="15">
        <f t="shared" si="2"/>
        <v>2048</v>
      </c>
      <c r="N66" s="15">
        <f t="shared" si="3"/>
        <v>1739</v>
      </c>
      <c r="O66" s="15" t="str">
        <f t="shared" si="4"/>
        <v>휘발유 70,960원</v>
      </c>
      <c r="P66" s="15">
        <f t="shared" si="5"/>
        <v>70960</v>
      </c>
      <c r="Q66" s="15" t="s">
        <v>47</v>
      </c>
      <c r="R66" s="16">
        <f t="shared" si="6"/>
        <v>0.1</v>
      </c>
      <c r="S66" s="15">
        <f t="shared" si="7"/>
        <v>7096</v>
      </c>
      <c r="T66" s="15">
        <f t="shared" si="8"/>
        <v>63864</v>
      </c>
      <c r="U66" s="15">
        <f t="shared" si="9"/>
        <v>1596.6</v>
      </c>
      <c r="V66" s="15">
        <f t="shared" si="12"/>
        <v>1774</v>
      </c>
      <c r="W66" s="17">
        <f>IF($T66="",1000000000000000,$T66)</f>
        <v>63864</v>
      </c>
      <c r="XFB66" s="5"/>
      <c r="XFC66" s="3"/>
    </row>
    <row r="67" spans="1:23 16382:16383" s="4" customFormat="1" ht="28.5" customHeight="1">
      <c r="A67" s="14">
        <f t="shared" si="0"/>
        <v>51</v>
      </c>
      <c r="B67" s="14" t="s">
        <v>6</v>
      </c>
      <c r="C67" s="14" t="s">
        <v>115</v>
      </c>
      <c r="D67" s="14" t="s">
        <v>45</v>
      </c>
      <c r="E67" s="14" t="s">
        <v>26</v>
      </c>
      <c r="F67" s="14" t="s">
        <v>116</v>
      </c>
      <c r="G67" s="15">
        <v>1784</v>
      </c>
      <c r="H67" s="15">
        <v>2059</v>
      </c>
      <c r="I67" s="15" t="s">
        <v>47</v>
      </c>
      <c r="J67" s="15">
        <v>1732</v>
      </c>
      <c r="K67" s="15">
        <f t="shared" si="13"/>
        <v>-10</v>
      </c>
      <c r="L67" s="15">
        <f t="shared" si="1"/>
        <v>1774</v>
      </c>
      <c r="M67" s="15">
        <f t="shared" si="2"/>
        <v>2049</v>
      </c>
      <c r="N67" s="15">
        <f t="shared" si="3"/>
        <v>1722</v>
      </c>
      <c r="O67" s="15" t="str">
        <f t="shared" si="4"/>
        <v>휘발유 70,960원</v>
      </c>
      <c r="P67" s="15">
        <f t="shared" si="5"/>
        <v>70960</v>
      </c>
      <c r="Q67" s="15" t="s">
        <v>47</v>
      </c>
      <c r="R67" s="16">
        <f t="shared" si="6"/>
        <v>0.1</v>
      </c>
      <c r="S67" s="15">
        <f t="shared" si="7"/>
        <v>7096</v>
      </c>
      <c r="T67" s="15">
        <f t="shared" si="8"/>
        <v>63864</v>
      </c>
      <c r="U67" s="15">
        <f t="shared" si="9"/>
        <v>1596.6</v>
      </c>
      <c r="V67" s="15">
        <f t="shared" si="12"/>
        <v>1774</v>
      </c>
      <c r="W67" s="17">
        <f>IF($T67="",1000000000000000,$T67)</f>
        <v>63864</v>
      </c>
      <c r="XFB67" s="5"/>
      <c r="XFC67" s="3"/>
    </row>
    <row r="68" spans="1:23 16382:16383" s="4" customFormat="1" ht="28.5" customHeight="1">
      <c r="A68" s="14">
        <f t="shared" si="0"/>
        <v>51</v>
      </c>
      <c r="B68" s="14" t="s">
        <v>6</v>
      </c>
      <c r="C68" s="14" t="s">
        <v>123</v>
      </c>
      <c r="D68" s="14" t="s">
        <v>45</v>
      </c>
      <c r="E68" s="14" t="s">
        <v>63</v>
      </c>
      <c r="F68" s="14" t="s">
        <v>124</v>
      </c>
      <c r="G68" s="15">
        <v>1784</v>
      </c>
      <c r="H68" s="15">
        <v>2068</v>
      </c>
      <c r="I68" s="15" t="s">
        <v>47</v>
      </c>
      <c r="J68" s="15">
        <v>1749</v>
      </c>
      <c r="K68" s="15">
        <f t="shared" si="13"/>
        <v>-10</v>
      </c>
      <c r="L68" s="15">
        <f t="shared" si="1"/>
        <v>1774</v>
      </c>
      <c r="M68" s="15">
        <f t="shared" si="2"/>
        <v>2058</v>
      </c>
      <c r="N68" s="15">
        <f t="shared" si="3"/>
        <v>1739</v>
      </c>
      <c r="O68" s="15" t="str">
        <f t="shared" si="4"/>
        <v>휘발유 70,960원</v>
      </c>
      <c r="P68" s="15">
        <f t="shared" si="5"/>
        <v>70960</v>
      </c>
      <c r="Q68" s="15" t="s">
        <v>47</v>
      </c>
      <c r="R68" s="16">
        <f t="shared" si="6"/>
        <v>0.1</v>
      </c>
      <c r="S68" s="15">
        <f t="shared" si="7"/>
        <v>7096</v>
      </c>
      <c r="T68" s="15">
        <f t="shared" si="8"/>
        <v>63864</v>
      </c>
      <c r="U68" s="15">
        <f t="shared" si="9"/>
        <v>1596.6</v>
      </c>
      <c r="V68" s="15">
        <f t="shared" si="12"/>
        <v>1774</v>
      </c>
      <c r="W68" s="17">
        <f>IF($T68="",1000000000000000,$T68)</f>
        <v>63864</v>
      </c>
      <c r="XFB68" s="5"/>
      <c r="XFC68" s="3"/>
    </row>
    <row r="69" spans="1:23 16382:16383" s="4" customFormat="1" ht="28.5" customHeight="1">
      <c r="A69" s="14">
        <f t="shared" si="0"/>
        <v>51</v>
      </c>
      <c r="B69" s="14" t="s">
        <v>6</v>
      </c>
      <c r="C69" s="14" t="s">
        <v>442</v>
      </c>
      <c r="D69" s="14" t="s">
        <v>45</v>
      </c>
      <c r="E69" s="14" t="s">
        <v>63</v>
      </c>
      <c r="F69" s="14" t="s">
        <v>443</v>
      </c>
      <c r="G69" s="15">
        <v>1774</v>
      </c>
      <c r="H69" s="15"/>
      <c r="I69" s="15"/>
      <c r="J69" s="15">
        <v>1749</v>
      </c>
      <c r="K69" s="15">
        <v>0</v>
      </c>
      <c r="L69" s="15">
        <f t="shared" si="1"/>
        <v>1774</v>
      </c>
      <c r="M69" s="15" t="str">
        <f t="shared" si="2"/>
        <v/>
      </c>
      <c r="N69" s="15">
        <f t="shared" si="3"/>
        <v>1749</v>
      </c>
      <c r="O69" s="15" t="str">
        <f t="shared" si="4"/>
        <v>휘발유 70,960원</v>
      </c>
      <c r="P69" s="15">
        <f t="shared" si="5"/>
        <v>70960</v>
      </c>
      <c r="Q69" s="15" t="s">
        <v>47</v>
      </c>
      <c r="R69" s="16">
        <f t="shared" si="6"/>
        <v>0.1</v>
      </c>
      <c r="S69" s="15">
        <f t="shared" si="7"/>
        <v>7096</v>
      </c>
      <c r="T69" s="15">
        <f t="shared" si="8"/>
        <v>63864</v>
      </c>
      <c r="U69" s="15">
        <f t="shared" si="9"/>
        <v>1596.6</v>
      </c>
      <c r="V69" s="15">
        <f t="shared" si="12"/>
        <v>1774</v>
      </c>
      <c r="W69" s="17">
        <f>IF($T69="",1000000000000000,$T69)</f>
        <v>63864</v>
      </c>
      <c r="XFB69" s="5"/>
      <c r="XFC69" s="3"/>
    </row>
    <row r="70" spans="1:23 16382:16383" s="4" customFormat="1" ht="28.5" customHeight="1">
      <c r="A70" s="14">
        <f t="shared" si="0"/>
        <v>56</v>
      </c>
      <c r="B70" s="14" t="s">
        <v>18</v>
      </c>
      <c r="C70" s="14" t="s">
        <v>458</v>
      </c>
      <c r="D70" s="14" t="s">
        <v>95</v>
      </c>
      <c r="E70" s="14" t="s">
        <v>26</v>
      </c>
      <c r="F70" s="14" t="s">
        <v>459</v>
      </c>
      <c r="G70" s="15">
        <v>1879</v>
      </c>
      <c r="H70" s="15"/>
      <c r="I70" s="15"/>
      <c r="J70" s="15">
        <v>1879</v>
      </c>
      <c r="K70" s="15">
        <f t="shared" ref="K70:K133" si="14">IF(AND(IFERROR(SEARCH("현대오일뱅크",$C70),0)&gt;0,IFERROR(SEARCH("직영",$C70),0)&gt;0),$B$13,0)</f>
        <v>0</v>
      </c>
      <c r="L70" s="15">
        <f t="shared" si="1"/>
        <v>1879</v>
      </c>
      <c r="M70" s="15" t="str">
        <f t="shared" si="2"/>
        <v/>
      </c>
      <c r="N70" s="15">
        <f t="shared" si="3"/>
        <v>1879</v>
      </c>
      <c r="O70" s="15" t="str">
        <f t="shared" si="4"/>
        <v>휘발유 75,160원</v>
      </c>
      <c r="P70" s="15">
        <f t="shared" si="5"/>
        <v>75160</v>
      </c>
      <c r="Q70" s="15" t="s">
        <v>47</v>
      </c>
      <c r="R70" s="16">
        <f t="shared" si="6"/>
        <v>0.15</v>
      </c>
      <c r="S70" s="15">
        <f t="shared" si="7"/>
        <v>11274</v>
      </c>
      <c r="T70" s="15">
        <f t="shared" si="8"/>
        <v>63886</v>
      </c>
      <c r="U70" s="15">
        <f t="shared" si="9"/>
        <v>1597.15</v>
      </c>
      <c r="V70" s="15">
        <f t="shared" si="12"/>
        <v>1879</v>
      </c>
      <c r="W70" s="17">
        <f>IF($T70="",1000000000000000,$T70)</f>
        <v>63886</v>
      </c>
      <c r="XFB70" s="5"/>
      <c r="XFC70" s="3"/>
    </row>
    <row r="71" spans="1:23 16382:16383" s="4" customFormat="1" ht="28.5" customHeight="1">
      <c r="A71" s="14">
        <f t="shared" si="0"/>
        <v>56</v>
      </c>
      <c r="B71" s="14" t="s">
        <v>18</v>
      </c>
      <c r="C71" s="14" t="s">
        <v>456</v>
      </c>
      <c r="D71" s="14" t="s">
        <v>95</v>
      </c>
      <c r="E71" s="14" t="s">
        <v>63</v>
      </c>
      <c r="F71" s="14" t="s">
        <v>457</v>
      </c>
      <c r="G71" s="15">
        <v>1879</v>
      </c>
      <c r="H71" s="15"/>
      <c r="I71" s="15"/>
      <c r="J71" s="15">
        <v>1879</v>
      </c>
      <c r="K71" s="15">
        <f t="shared" si="14"/>
        <v>0</v>
      </c>
      <c r="L71" s="15">
        <f t="shared" si="1"/>
        <v>1879</v>
      </c>
      <c r="M71" s="15" t="str">
        <f t="shared" si="2"/>
        <v/>
      </c>
      <c r="N71" s="15">
        <f t="shared" si="3"/>
        <v>1879</v>
      </c>
      <c r="O71" s="15" t="str">
        <f t="shared" si="4"/>
        <v>휘발유 75,160원</v>
      </c>
      <c r="P71" s="15">
        <f t="shared" si="5"/>
        <v>75160</v>
      </c>
      <c r="Q71" s="15" t="s">
        <v>47</v>
      </c>
      <c r="R71" s="16">
        <f t="shared" si="6"/>
        <v>0.15</v>
      </c>
      <c r="S71" s="15">
        <f t="shared" si="7"/>
        <v>11274</v>
      </c>
      <c r="T71" s="15">
        <f t="shared" si="8"/>
        <v>63886</v>
      </c>
      <c r="U71" s="15">
        <f t="shared" si="9"/>
        <v>1597.15</v>
      </c>
      <c r="V71" s="15">
        <f t="shared" si="12"/>
        <v>1879</v>
      </c>
      <c r="W71" s="17">
        <f>IF($T71="",1000000000000000,$T71)</f>
        <v>63886</v>
      </c>
      <c r="XFB71" s="5"/>
      <c r="XFC71" s="3"/>
    </row>
    <row r="72" spans="1:23 16382:16383" s="4" customFormat="1" ht="28.5" customHeight="1">
      <c r="A72" s="14">
        <f t="shared" si="0"/>
        <v>58</v>
      </c>
      <c r="B72" s="14" t="s">
        <v>16</v>
      </c>
      <c r="C72" s="14" t="s">
        <v>460</v>
      </c>
      <c r="D72" s="14" t="s">
        <v>45</v>
      </c>
      <c r="E72" s="14" t="s">
        <v>26</v>
      </c>
      <c r="F72" s="14" t="s">
        <v>461</v>
      </c>
      <c r="G72" s="15">
        <v>1815</v>
      </c>
      <c r="H72" s="15"/>
      <c r="I72" s="15"/>
      <c r="J72" s="15">
        <v>1815</v>
      </c>
      <c r="K72" s="15">
        <f t="shared" si="14"/>
        <v>0</v>
      </c>
      <c r="L72" s="15">
        <f t="shared" si="1"/>
        <v>1815</v>
      </c>
      <c r="M72" s="15" t="str">
        <f t="shared" si="2"/>
        <v/>
      </c>
      <c r="N72" s="15">
        <f t="shared" si="3"/>
        <v>1815</v>
      </c>
      <c r="O72" s="15" t="str">
        <f t="shared" si="4"/>
        <v>휘발유 72,600원</v>
      </c>
      <c r="P72" s="15">
        <f t="shared" si="5"/>
        <v>72600</v>
      </c>
      <c r="Q72" s="15" t="s">
        <v>47</v>
      </c>
      <c r="R72" s="16">
        <f t="shared" si="6"/>
        <v>0.12</v>
      </c>
      <c r="S72" s="15">
        <f t="shared" si="7"/>
        <v>8712</v>
      </c>
      <c r="T72" s="15">
        <f t="shared" si="8"/>
        <v>63888</v>
      </c>
      <c r="U72" s="15">
        <f t="shared" si="9"/>
        <v>1597.2</v>
      </c>
      <c r="V72" s="15">
        <f t="shared" si="12"/>
        <v>1815</v>
      </c>
      <c r="W72" s="17">
        <f>IF($T72="",1000000000000000,$T72)</f>
        <v>63888</v>
      </c>
      <c r="XFB72" s="5"/>
      <c r="XFC72" s="3"/>
    </row>
    <row r="73" spans="1:23 16382:16383" s="4" customFormat="1" ht="28.5" customHeight="1">
      <c r="A73" s="14">
        <f t="shared" si="0"/>
        <v>59</v>
      </c>
      <c r="B73" s="14" t="s">
        <v>12</v>
      </c>
      <c r="C73" s="14" t="s">
        <v>159</v>
      </c>
      <c r="D73" s="18" t="s">
        <v>51</v>
      </c>
      <c r="E73" s="14" t="s">
        <v>26</v>
      </c>
      <c r="F73" s="14" t="s">
        <v>160</v>
      </c>
      <c r="G73" s="15">
        <v>1775</v>
      </c>
      <c r="H73" s="15">
        <v>2149</v>
      </c>
      <c r="I73" s="15"/>
      <c r="J73" s="15">
        <v>1785</v>
      </c>
      <c r="K73" s="15">
        <f t="shared" si="14"/>
        <v>0</v>
      </c>
      <c r="L73" s="15">
        <f t="shared" si="1"/>
        <v>1775</v>
      </c>
      <c r="M73" s="15">
        <f t="shared" si="2"/>
        <v>2149</v>
      </c>
      <c r="N73" s="15">
        <f t="shared" si="3"/>
        <v>1785</v>
      </c>
      <c r="O73" s="15" t="str">
        <f t="shared" si="4"/>
        <v>휘발유 71,000원</v>
      </c>
      <c r="P73" s="15">
        <f t="shared" si="5"/>
        <v>71000</v>
      </c>
      <c r="Q73" s="15" t="s">
        <v>47</v>
      </c>
      <c r="R73" s="16">
        <f t="shared" si="6"/>
        <v>0.1</v>
      </c>
      <c r="S73" s="15">
        <f t="shared" si="7"/>
        <v>7100</v>
      </c>
      <c r="T73" s="15">
        <f t="shared" si="8"/>
        <v>63900</v>
      </c>
      <c r="U73" s="15">
        <f t="shared" si="9"/>
        <v>1597.5</v>
      </c>
      <c r="V73" s="15">
        <f t="shared" si="12"/>
        <v>1775</v>
      </c>
      <c r="W73" s="17">
        <f>IF($T73="",1000000000000000,$T73)</f>
        <v>63900</v>
      </c>
      <c r="XFB73" s="5"/>
      <c r="XFC73" s="3"/>
    </row>
    <row r="74" spans="1:23 16382:16383" s="4" customFormat="1" ht="28.5" customHeight="1">
      <c r="A74" s="14">
        <f t="shared" si="0"/>
        <v>59</v>
      </c>
      <c r="B74" s="14" t="s">
        <v>12</v>
      </c>
      <c r="C74" s="14" t="s">
        <v>165</v>
      </c>
      <c r="D74" s="18" t="s">
        <v>86</v>
      </c>
      <c r="E74" s="14" t="s">
        <v>26</v>
      </c>
      <c r="F74" s="14" t="s">
        <v>166</v>
      </c>
      <c r="G74" s="15">
        <v>1775</v>
      </c>
      <c r="H74" s="15">
        <v>2150</v>
      </c>
      <c r="I74" s="15"/>
      <c r="J74" s="15">
        <v>1765</v>
      </c>
      <c r="K74" s="15">
        <f t="shared" si="14"/>
        <v>0</v>
      </c>
      <c r="L74" s="15">
        <f t="shared" si="1"/>
        <v>1775</v>
      </c>
      <c r="M74" s="15">
        <f t="shared" si="2"/>
        <v>2150</v>
      </c>
      <c r="N74" s="15">
        <f t="shared" si="3"/>
        <v>1765</v>
      </c>
      <c r="O74" s="15" t="str">
        <f t="shared" si="4"/>
        <v>휘발유 71,000원</v>
      </c>
      <c r="P74" s="15">
        <f t="shared" si="5"/>
        <v>71000</v>
      </c>
      <c r="Q74" s="15" t="s">
        <v>47</v>
      </c>
      <c r="R74" s="16">
        <f t="shared" si="6"/>
        <v>0.1</v>
      </c>
      <c r="S74" s="15">
        <f t="shared" si="7"/>
        <v>7100</v>
      </c>
      <c r="T74" s="15">
        <f t="shared" si="8"/>
        <v>63900</v>
      </c>
      <c r="U74" s="15">
        <f t="shared" si="9"/>
        <v>1597.5</v>
      </c>
      <c r="V74" s="15">
        <f t="shared" si="12"/>
        <v>1775</v>
      </c>
      <c r="W74" s="17">
        <f>IF($T74="",1000000000000000,$T74)</f>
        <v>63900</v>
      </c>
      <c r="XFB74" s="5"/>
      <c r="XFC74" s="3"/>
    </row>
    <row r="75" spans="1:23 16382:16383" s="4" customFormat="1" ht="28.5" customHeight="1">
      <c r="A75" s="14">
        <f t="shared" si="0"/>
        <v>59</v>
      </c>
      <c r="B75" s="14" t="s">
        <v>12</v>
      </c>
      <c r="C75" s="14" t="s">
        <v>167</v>
      </c>
      <c r="D75" s="18" t="s">
        <v>86</v>
      </c>
      <c r="E75" s="14" t="s">
        <v>26</v>
      </c>
      <c r="F75" s="14" t="s">
        <v>168</v>
      </c>
      <c r="G75" s="15">
        <v>1775</v>
      </c>
      <c r="H75" s="15">
        <v>2150</v>
      </c>
      <c r="I75" s="15"/>
      <c r="J75" s="15">
        <v>1765</v>
      </c>
      <c r="K75" s="15">
        <f t="shared" si="14"/>
        <v>0</v>
      </c>
      <c r="L75" s="15">
        <f t="shared" si="1"/>
        <v>1775</v>
      </c>
      <c r="M75" s="15">
        <f t="shared" si="2"/>
        <v>2150</v>
      </c>
      <c r="N75" s="15">
        <f t="shared" si="3"/>
        <v>1765</v>
      </c>
      <c r="O75" s="15" t="str">
        <f t="shared" si="4"/>
        <v>휘발유 71,000원</v>
      </c>
      <c r="P75" s="15">
        <f t="shared" si="5"/>
        <v>71000</v>
      </c>
      <c r="Q75" s="15" t="s">
        <v>47</v>
      </c>
      <c r="R75" s="16">
        <f t="shared" si="6"/>
        <v>0.1</v>
      </c>
      <c r="S75" s="15">
        <f t="shared" si="7"/>
        <v>7100</v>
      </c>
      <c r="T75" s="15">
        <f t="shared" si="8"/>
        <v>63900</v>
      </c>
      <c r="U75" s="15">
        <f t="shared" si="9"/>
        <v>1597.5</v>
      </c>
      <c r="V75" s="15">
        <f t="shared" si="12"/>
        <v>1775</v>
      </c>
      <c r="W75" s="17">
        <f>IF($T75="",1000000000000000,$T75)</f>
        <v>63900</v>
      </c>
      <c r="XFB75" s="5"/>
      <c r="XFC75" s="3"/>
    </row>
    <row r="76" spans="1:23 16382:16383" s="4" customFormat="1" ht="28.5" customHeight="1">
      <c r="A76" s="14">
        <f t="shared" si="0"/>
        <v>59</v>
      </c>
      <c r="B76" s="14" t="s">
        <v>12</v>
      </c>
      <c r="C76" s="14" t="s">
        <v>446</v>
      </c>
      <c r="D76" s="18" t="s">
        <v>45</v>
      </c>
      <c r="E76" s="14" t="s">
        <v>26</v>
      </c>
      <c r="F76" s="14" t="s">
        <v>447</v>
      </c>
      <c r="G76" s="15">
        <v>1775</v>
      </c>
      <c r="H76" s="15"/>
      <c r="I76" s="15"/>
      <c r="J76" s="15">
        <v>1765</v>
      </c>
      <c r="K76" s="15">
        <f t="shared" si="14"/>
        <v>0</v>
      </c>
      <c r="L76" s="15">
        <f t="shared" si="1"/>
        <v>1775</v>
      </c>
      <c r="M76" s="15" t="str">
        <f t="shared" si="2"/>
        <v/>
      </c>
      <c r="N76" s="15">
        <f t="shared" si="3"/>
        <v>1765</v>
      </c>
      <c r="O76" s="15" t="str">
        <f t="shared" si="4"/>
        <v>휘발유 71,000원</v>
      </c>
      <c r="P76" s="15">
        <f t="shared" si="5"/>
        <v>71000</v>
      </c>
      <c r="Q76" s="15" t="s">
        <v>47</v>
      </c>
      <c r="R76" s="16">
        <f t="shared" si="6"/>
        <v>0.1</v>
      </c>
      <c r="S76" s="15">
        <f t="shared" si="7"/>
        <v>7100</v>
      </c>
      <c r="T76" s="15">
        <f t="shared" si="8"/>
        <v>63900</v>
      </c>
      <c r="U76" s="15">
        <f t="shared" si="9"/>
        <v>1597.5</v>
      </c>
      <c r="V76" s="15">
        <f t="shared" si="12"/>
        <v>1775</v>
      </c>
      <c r="W76" s="17">
        <f>IF($T76="",1000000000000000,$T76)</f>
        <v>63900</v>
      </c>
      <c r="XFB76" s="5"/>
      <c r="XFC76" s="3"/>
    </row>
    <row r="77" spans="1:23 16382:16383" s="4" customFormat="1" ht="28.5" customHeight="1">
      <c r="A77" s="14">
        <f t="shared" si="0"/>
        <v>59</v>
      </c>
      <c r="B77" s="14" t="s">
        <v>12</v>
      </c>
      <c r="C77" s="14" t="s">
        <v>466</v>
      </c>
      <c r="D77" s="18" t="s">
        <v>51</v>
      </c>
      <c r="E77" s="14" t="s">
        <v>26</v>
      </c>
      <c r="F77" s="14" t="s">
        <v>467</v>
      </c>
      <c r="G77" s="15">
        <v>1775</v>
      </c>
      <c r="H77" s="15"/>
      <c r="I77" s="15"/>
      <c r="J77" s="15">
        <v>1775</v>
      </c>
      <c r="K77" s="15">
        <f t="shared" si="14"/>
        <v>0</v>
      </c>
      <c r="L77" s="15">
        <f t="shared" si="1"/>
        <v>1775</v>
      </c>
      <c r="M77" s="15" t="str">
        <f t="shared" si="2"/>
        <v/>
      </c>
      <c r="N77" s="15">
        <f t="shared" si="3"/>
        <v>1775</v>
      </c>
      <c r="O77" s="15" t="str">
        <f t="shared" si="4"/>
        <v>휘발유 71,000원</v>
      </c>
      <c r="P77" s="15">
        <f t="shared" si="5"/>
        <v>71000</v>
      </c>
      <c r="Q77" s="15" t="s">
        <v>47</v>
      </c>
      <c r="R77" s="16">
        <f t="shared" si="6"/>
        <v>0.1</v>
      </c>
      <c r="S77" s="15">
        <f t="shared" si="7"/>
        <v>7100</v>
      </c>
      <c r="T77" s="15">
        <f t="shared" si="8"/>
        <v>63900</v>
      </c>
      <c r="U77" s="15">
        <f t="shared" si="9"/>
        <v>1597.5</v>
      </c>
      <c r="V77" s="15">
        <f t="shared" si="12"/>
        <v>1775</v>
      </c>
      <c r="W77" s="17">
        <f>IF($T77="",1000000000000000,$T77)</f>
        <v>63900</v>
      </c>
      <c r="XFB77" s="5"/>
      <c r="XFC77" s="3"/>
    </row>
    <row r="78" spans="1:23 16382:16383" s="4" customFormat="1" ht="28.5" customHeight="1">
      <c r="A78" s="14">
        <f t="shared" si="0"/>
        <v>64</v>
      </c>
      <c r="B78" s="14" t="s">
        <v>6</v>
      </c>
      <c r="C78" s="14" t="s">
        <v>470</v>
      </c>
      <c r="D78" s="18" t="s">
        <v>86</v>
      </c>
      <c r="E78" s="14" t="s">
        <v>26</v>
      </c>
      <c r="F78" s="14" t="s">
        <v>471</v>
      </c>
      <c r="G78" s="15">
        <v>1776</v>
      </c>
      <c r="H78" s="15"/>
      <c r="I78" s="15"/>
      <c r="J78" s="15">
        <v>1776</v>
      </c>
      <c r="K78" s="15">
        <f t="shared" si="14"/>
        <v>0</v>
      </c>
      <c r="L78" s="15">
        <f t="shared" si="1"/>
        <v>1776</v>
      </c>
      <c r="M78" s="15" t="str">
        <f t="shared" si="2"/>
        <v/>
      </c>
      <c r="N78" s="15">
        <f t="shared" si="3"/>
        <v>1776</v>
      </c>
      <c r="O78" s="15" t="str">
        <f t="shared" si="4"/>
        <v>휘발유 71,040원</v>
      </c>
      <c r="P78" s="15">
        <f t="shared" si="5"/>
        <v>71040</v>
      </c>
      <c r="Q78" s="15" t="s">
        <v>47</v>
      </c>
      <c r="R78" s="16">
        <f t="shared" si="6"/>
        <v>0.1</v>
      </c>
      <c r="S78" s="15">
        <f t="shared" si="7"/>
        <v>7104</v>
      </c>
      <c r="T78" s="15">
        <f t="shared" si="8"/>
        <v>63936</v>
      </c>
      <c r="U78" s="15">
        <f t="shared" si="9"/>
        <v>1598.4</v>
      </c>
      <c r="V78" s="15">
        <f t="shared" si="12"/>
        <v>1776</v>
      </c>
      <c r="W78" s="17">
        <f>IF($T78="",1000000000000000,$T78)</f>
        <v>63936</v>
      </c>
      <c r="XFB78" s="5"/>
      <c r="XFC78" s="3"/>
    </row>
    <row r="79" spans="1:23 16382:16383" s="4" customFormat="1" ht="28.5" customHeight="1">
      <c r="A79" s="14">
        <f t="shared" ref="A79:A142" si="15">IF($T79="","",1+COUNTIF($W$15:$W$890,"&lt;"&amp;W79))</f>
        <v>65</v>
      </c>
      <c r="B79" s="14" t="s">
        <v>6</v>
      </c>
      <c r="C79" s="14" t="s">
        <v>75</v>
      </c>
      <c r="D79" s="14" t="s">
        <v>45</v>
      </c>
      <c r="E79" s="14" t="s">
        <v>26</v>
      </c>
      <c r="F79" s="14" t="s">
        <v>76</v>
      </c>
      <c r="G79" s="15">
        <v>1777</v>
      </c>
      <c r="H79" s="15">
        <v>2010</v>
      </c>
      <c r="I79" s="15"/>
      <c r="J79" s="15">
        <v>1782</v>
      </c>
      <c r="K79" s="15">
        <f t="shared" si="14"/>
        <v>0</v>
      </c>
      <c r="L79" s="15">
        <f t="shared" ref="L79:L142" si="16">IF($G79="","",$G79+$K79)</f>
        <v>1777</v>
      </c>
      <c r="M79" s="15">
        <f t="shared" ref="M79:M142" si="17">IF($H79="","",$H79+$K79)</f>
        <v>2010</v>
      </c>
      <c r="N79" s="15">
        <f t="shared" ref="N79:N142" si="18">IF($J79="","",$J79+$K79)</f>
        <v>1782</v>
      </c>
      <c r="O79" s="15" t="str">
        <f t="shared" ref="O79:O142" si="19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71,080원</v>
      </c>
      <c r="P79" s="15">
        <f t="shared" ref="P79:P142" si="20">IF($B$10=0,"",IFERROR(IF($B$4&gt;0,IF($L79="",1/0,$L79*$B$4),0)+IF($B$5&gt;0,IF($M79="",1/0,$M79*$B$5),0)+IF($B$6&gt;0,IF($N79="",1/0,$N79*$B$6),0),""))</f>
        <v>71080</v>
      </c>
      <c r="Q79" s="15" t="s">
        <v>47</v>
      </c>
      <c r="R79" s="16">
        <f t="shared" ref="R79:R142" si="21">IF($P79="","",IF($Q79="Y",IFERROR(VLOOKUP($B79,$C$4:$D$13,2,FALSE()),0),0))</f>
        <v>0.1</v>
      </c>
      <c r="S79" s="15">
        <f t="shared" ref="S79:S142" si="22">IF($P79="","",ROUNDDOWN($P79*$R79,0))</f>
        <v>7108</v>
      </c>
      <c r="T79" s="15">
        <f t="shared" ref="T79:T142" si="23">IF($P79="","",$P79-$S79)</f>
        <v>63972</v>
      </c>
      <c r="U79" s="15">
        <f t="shared" ref="U79:U142" si="24">IF($T79="","",IF($B$10=0,"",$T79/$B$10))</f>
        <v>1599.3</v>
      </c>
      <c r="V79" s="15">
        <f t="shared" si="12"/>
        <v>1777</v>
      </c>
      <c r="W79" s="17">
        <f>IF($T79="",1000000000000000,$T79)</f>
        <v>63972</v>
      </c>
      <c r="XFB79" s="5"/>
      <c r="XFC79" s="3"/>
    </row>
    <row r="80" spans="1:23 16382:16383" s="4" customFormat="1" ht="28.5" customHeight="1">
      <c r="A80" s="14">
        <f t="shared" si="15"/>
        <v>65</v>
      </c>
      <c r="B80" s="14" t="s">
        <v>6</v>
      </c>
      <c r="C80" s="14" t="s">
        <v>474</v>
      </c>
      <c r="D80" s="18" t="s">
        <v>86</v>
      </c>
      <c r="E80" s="14" t="s">
        <v>26</v>
      </c>
      <c r="F80" s="14" t="s">
        <v>475</v>
      </c>
      <c r="G80" s="15">
        <v>1777</v>
      </c>
      <c r="H80" s="15"/>
      <c r="I80" s="15"/>
      <c r="J80" s="15">
        <v>1777</v>
      </c>
      <c r="K80" s="15">
        <f t="shared" si="14"/>
        <v>0</v>
      </c>
      <c r="L80" s="15">
        <f t="shared" si="16"/>
        <v>1777</v>
      </c>
      <c r="M80" s="15" t="str">
        <f t="shared" si="17"/>
        <v/>
      </c>
      <c r="N80" s="15">
        <f t="shared" si="18"/>
        <v>1777</v>
      </c>
      <c r="O80" s="15" t="str">
        <f t="shared" si="19"/>
        <v>휘발유 71,080원</v>
      </c>
      <c r="P80" s="15">
        <f t="shared" si="20"/>
        <v>71080</v>
      </c>
      <c r="Q80" s="15" t="s">
        <v>47</v>
      </c>
      <c r="R80" s="16">
        <f t="shared" si="21"/>
        <v>0.1</v>
      </c>
      <c r="S80" s="15">
        <f t="shared" si="22"/>
        <v>7108</v>
      </c>
      <c r="T80" s="15">
        <f t="shared" si="23"/>
        <v>63972</v>
      </c>
      <c r="U80" s="15">
        <f t="shared" si="24"/>
        <v>1599.3</v>
      </c>
      <c r="V80" s="15">
        <f t="shared" si="12"/>
        <v>1777</v>
      </c>
      <c r="W80" s="17">
        <f>IF($T80="",1000000000000000,$T80)</f>
        <v>63972</v>
      </c>
      <c r="XFB80" s="5"/>
      <c r="XFC80" s="3"/>
    </row>
    <row r="81" spans="1:23 16382:16383" s="4" customFormat="1" ht="28.5" customHeight="1">
      <c r="A81" s="14">
        <f t="shared" si="15"/>
        <v>65</v>
      </c>
      <c r="B81" s="14" t="s">
        <v>6</v>
      </c>
      <c r="C81" s="14" t="s">
        <v>476</v>
      </c>
      <c r="D81" s="14" t="s">
        <v>95</v>
      </c>
      <c r="E81" s="14" t="s">
        <v>26</v>
      </c>
      <c r="F81" s="14" t="s">
        <v>477</v>
      </c>
      <c r="G81" s="15">
        <v>1777</v>
      </c>
      <c r="H81" s="15"/>
      <c r="I81" s="15"/>
      <c r="J81" s="15">
        <v>1777</v>
      </c>
      <c r="K81" s="15">
        <f t="shared" si="14"/>
        <v>0</v>
      </c>
      <c r="L81" s="15">
        <f t="shared" si="16"/>
        <v>1777</v>
      </c>
      <c r="M81" s="15" t="str">
        <f t="shared" si="17"/>
        <v/>
      </c>
      <c r="N81" s="15">
        <f t="shared" si="18"/>
        <v>1777</v>
      </c>
      <c r="O81" s="15" t="str">
        <f t="shared" si="19"/>
        <v>휘발유 71,080원</v>
      </c>
      <c r="P81" s="15">
        <f t="shared" si="20"/>
        <v>71080</v>
      </c>
      <c r="Q81" s="15" t="s">
        <v>47</v>
      </c>
      <c r="R81" s="16">
        <f t="shared" si="21"/>
        <v>0.1</v>
      </c>
      <c r="S81" s="15">
        <f t="shared" si="22"/>
        <v>7108</v>
      </c>
      <c r="T81" s="15">
        <f t="shared" si="23"/>
        <v>63972</v>
      </c>
      <c r="U81" s="15">
        <f t="shared" si="24"/>
        <v>1599.3</v>
      </c>
      <c r="V81" s="15">
        <f t="shared" si="12"/>
        <v>1777</v>
      </c>
      <c r="W81" s="17">
        <f>IF($T81="",1000000000000000,$T81)</f>
        <v>63972</v>
      </c>
      <c r="XFB81" s="5"/>
      <c r="XFC81" s="3"/>
    </row>
    <row r="82" spans="1:23 16382:16383" s="4" customFormat="1" ht="28.5" customHeight="1">
      <c r="A82" s="14">
        <f t="shared" si="15"/>
        <v>65</v>
      </c>
      <c r="B82" s="14" t="s">
        <v>6</v>
      </c>
      <c r="C82" s="14" t="s">
        <v>478</v>
      </c>
      <c r="D82" s="18" t="s">
        <v>86</v>
      </c>
      <c r="E82" s="14" t="s">
        <v>26</v>
      </c>
      <c r="F82" s="14" t="s">
        <v>479</v>
      </c>
      <c r="G82" s="15">
        <v>1777</v>
      </c>
      <c r="H82" s="15"/>
      <c r="I82" s="15"/>
      <c r="J82" s="15">
        <v>1784</v>
      </c>
      <c r="K82" s="15">
        <f t="shared" si="14"/>
        <v>0</v>
      </c>
      <c r="L82" s="15">
        <f t="shared" si="16"/>
        <v>1777</v>
      </c>
      <c r="M82" s="15" t="str">
        <f t="shared" si="17"/>
        <v/>
      </c>
      <c r="N82" s="15">
        <f t="shared" si="18"/>
        <v>1784</v>
      </c>
      <c r="O82" s="15" t="str">
        <f t="shared" si="19"/>
        <v>휘발유 71,080원</v>
      </c>
      <c r="P82" s="15">
        <f t="shared" si="20"/>
        <v>71080</v>
      </c>
      <c r="Q82" s="15" t="s">
        <v>47</v>
      </c>
      <c r="R82" s="16">
        <f t="shared" si="21"/>
        <v>0.1</v>
      </c>
      <c r="S82" s="15">
        <f t="shared" si="22"/>
        <v>7108</v>
      </c>
      <c r="T82" s="15">
        <f t="shared" si="23"/>
        <v>63972</v>
      </c>
      <c r="U82" s="15">
        <f t="shared" si="24"/>
        <v>1599.3</v>
      </c>
      <c r="V82" s="15">
        <f t="shared" si="12"/>
        <v>1777</v>
      </c>
      <c r="W82" s="17">
        <f>IF($T82="",1000000000000000,$T82)</f>
        <v>63972</v>
      </c>
      <c r="XFB82" s="5"/>
      <c r="XFC82" s="3"/>
    </row>
    <row r="83" spans="1:23 16382:16383" s="4" customFormat="1" ht="28.5" customHeight="1">
      <c r="A83" s="14">
        <f t="shared" si="15"/>
        <v>69</v>
      </c>
      <c r="B83" s="14" t="s">
        <v>14</v>
      </c>
      <c r="C83" s="14" t="s">
        <v>483</v>
      </c>
      <c r="D83" s="14" t="s">
        <v>95</v>
      </c>
      <c r="E83" s="14" t="s">
        <v>26</v>
      </c>
      <c r="F83" s="14" t="s">
        <v>484</v>
      </c>
      <c r="G83" s="15">
        <v>1797</v>
      </c>
      <c r="H83" s="15"/>
      <c r="I83" s="15"/>
      <c r="J83" s="15">
        <v>1785</v>
      </c>
      <c r="K83" s="15">
        <f t="shared" si="14"/>
        <v>0</v>
      </c>
      <c r="L83" s="15">
        <f t="shared" si="16"/>
        <v>1797</v>
      </c>
      <c r="M83" s="15" t="str">
        <f t="shared" si="17"/>
        <v/>
      </c>
      <c r="N83" s="15">
        <f t="shared" si="18"/>
        <v>1785</v>
      </c>
      <c r="O83" s="15" t="str">
        <f t="shared" si="19"/>
        <v>휘발유 71,880원</v>
      </c>
      <c r="P83" s="15">
        <f t="shared" si="20"/>
        <v>71880</v>
      </c>
      <c r="Q83" s="15" t="s">
        <v>47</v>
      </c>
      <c r="R83" s="16">
        <f t="shared" si="21"/>
        <v>0.11</v>
      </c>
      <c r="S83" s="15">
        <f t="shared" si="22"/>
        <v>7906</v>
      </c>
      <c r="T83" s="15">
        <f t="shared" si="23"/>
        <v>63974</v>
      </c>
      <c r="U83" s="15">
        <f t="shared" si="24"/>
        <v>1599.35</v>
      </c>
      <c r="V83" s="15">
        <f t="shared" si="12"/>
        <v>1797</v>
      </c>
      <c r="W83" s="17">
        <f>IF($T83="",1000000000000000,$T83)</f>
        <v>63974</v>
      </c>
      <c r="XFB83" s="5"/>
      <c r="XFC83" s="3"/>
    </row>
    <row r="84" spans="1:23 16382:16383" s="4" customFormat="1" ht="28.5" customHeight="1">
      <c r="A84" s="14">
        <f t="shared" si="15"/>
        <v>70</v>
      </c>
      <c r="B84" s="14" t="s">
        <v>6</v>
      </c>
      <c r="C84" s="14" t="s">
        <v>62</v>
      </c>
      <c r="D84" s="14" t="s">
        <v>51</v>
      </c>
      <c r="E84" s="14" t="s">
        <v>63</v>
      </c>
      <c r="F84" s="14" t="s">
        <v>64</v>
      </c>
      <c r="G84" s="15">
        <v>1778</v>
      </c>
      <c r="H84" s="15">
        <v>2018</v>
      </c>
      <c r="I84" s="15"/>
      <c r="J84" s="15">
        <v>1785</v>
      </c>
      <c r="K84" s="15">
        <f t="shared" si="14"/>
        <v>0</v>
      </c>
      <c r="L84" s="15">
        <f t="shared" si="16"/>
        <v>1778</v>
      </c>
      <c r="M84" s="15">
        <f t="shared" si="17"/>
        <v>2018</v>
      </c>
      <c r="N84" s="15">
        <f t="shared" si="18"/>
        <v>1785</v>
      </c>
      <c r="O84" s="15" t="str">
        <f t="shared" si="19"/>
        <v>휘발유 71,120원</v>
      </c>
      <c r="P84" s="15">
        <f t="shared" si="20"/>
        <v>71120</v>
      </c>
      <c r="Q84" s="15" t="s">
        <v>47</v>
      </c>
      <c r="R84" s="16">
        <f t="shared" si="21"/>
        <v>0.1</v>
      </c>
      <c r="S84" s="15">
        <f t="shared" si="22"/>
        <v>7112</v>
      </c>
      <c r="T84" s="15">
        <f t="shared" si="23"/>
        <v>64008</v>
      </c>
      <c r="U84" s="15">
        <f t="shared" si="24"/>
        <v>1600.2</v>
      </c>
      <c r="V84" s="15">
        <f t="shared" si="12"/>
        <v>1778</v>
      </c>
      <c r="W84" s="17">
        <f>IF($T84="",1000000000000000,$T84)</f>
        <v>64008</v>
      </c>
      <c r="XFB84" s="5"/>
      <c r="XFC84" s="3"/>
    </row>
    <row r="85" spans="1:23 16382:16383" s="4" customFormat="1" ht="28.5" customHeight="1">
      <c r="A85" s="14">
        <f t="shared" si="15"/>
        <v>70</v>
      </c>
      <c r="B85" s="14" t="s">
        <v>6</v>
      </c>
      <c r="C85" s="14" t="s">
        <v>485</v>
      </c>
      <c r="D85" s="18" t="s">
        <v>86</v>
      </c>
      <c r="E85" s="14" t="s">
        <v>26</v>
      </c>
      <c r="F85" s="14" t="s">
        <v>486</v>
      </c>
      <c r="G85" s="15">
        <v>1778</v>
      </c>
      <c r="H85" s="15"/>
      <c r="I85" s="15"/>
      <c r="J85" s="15">
        <v>1778</v>
      </c>
      <c r="K85" s="15">
        <f t="shared" si="14"/>
        <v>0</v>
      </c>
      <c r="L85" s="15">
        <f t="shared" si="16"/>
        <v>1778</v>
      </c>
      <c r="M85" s="15" t="str">
        <f t="shared" si="17"/>
        <v/>
      </c>
      <c r="N85" s="15">
        <f t="shared" si="18"/>
        <v>1778</v>
      </c>
      <c r="O85" s="15" t="str">
        <f t="shared" si="19"/>
        <v>휘발유 71,120원</v>
      </c>
      <c r="P85" s="15">
        <f t="shared" si="20"/>
        <v>71120</v>
      </c>
      <c r="Q85" s="15" t="s">
        <v>47</v>
      </c>
      <c r="R85" s="16">
        <f t="shared" si="21"/>
        <v>0.1</v>
      </c>
      <c r="S85" s="15">
        <f t="shared" si="22"/>
        <v>7112</v>
      </c>
      <c r="T85" s="15">
        <f t="shared" si="23"/>
        <v>64008</v>
      </c>
      <c r="U85" s="15">
        <f t="shared" si="24"/>
        <v>1600.2</v>
      </c>
      <c r="V85" s="15">
        <f t="shared" si="12"/>
        <v>1778</v>
      </c>
      <c r="W85" s="17">
        <f>IF($T85="",1000000000000000,$T85)</f>
        <v>64008</v>
      </c>
      <c r="XFB85" s="5"/>
      <c r="XFC85" s="3"/>
    </row>
    <row r="86" spans="1:23 16382:16383" s="4" customFormat="1" ht="28.5" customHeight="1">
      <c r="A86" s="14">
        <f t="shared" si="15"/>
        <v>70</v>
      </c>
      <c r="B86" s="14" t="s">
        <v>6</v>
      </c>
      <c r="C86" s="14" t="s">
        <v>487</v>
      </c>
      <c r="D86" s="18" t="s">
        <v>86</v>
      </c>
      <c r="E86" s="14" t="s">
        <v>26</v>
      </c>
      <c r="F86" s="14" t="s">
        <v>488</v>
      </c>
      <c r="G86" s="15">
        <v>1778</v>
      </c>
      <c r="H86" s="15"/>
      <c r="I86" s="15"/>
      <c r="J86" s="15">
        <v>1778</v>
      </c>
      <c r="K86" s="15">
        <f t="shared" si="14"/>
        <v>0</v>
      </c>
      <c r="L86" s="15">
        <f t="shared" si="16"/>
        <v>1778</v>
      </c>
      <c r="M86" s="15" t="str">
        <f t="shared" si="17"/>
        <v/>
      </c>
      <c r="N86" s="15">
        <f t="shared" si="18"/>
        <v>1778</v>
      </c>
      <c r="O86" s="15" t="str">
        <f t="shared" si="19"/>
        <v>휘발유 71,120원</v>
      </c>
      <c r="P86" s="15">
        <f t="shared" si="20"/>
        <v>71120</v>
      </c>
      <c r="Q86" s="15" t="s">
        <v>47</v>
      </c>
      <c r="R86" s="16">
        <f t="shared" si="21"/>
        <v>0.1</v>
      </c>
      <c r="S86" s="15">
        <f t="shared" si="22"/>
        <v>7112</v>
      </c>
      <c r="T86" s="15">
        <f t="shared" si="23"/>
        <v>64008</v>
      </c>
      <c r="U86" s="15">
        <f t="shared" si="24"/>
        <v>1600.2</v>
      </c>
      <c r="V86" s="15">
        <f t="shared" si="12"/>
        <v>1778</v>
      </c>
      <c r="W86" s="17">
        <f>IF($T86="",1000000000000000,$T86)</f>
        <v>64008</v>
      </c>
      <c r="XFB86" s="5"/>
      <c r="XFC86" s="3"/>
    </row>
    <row r="87" spans="1:23 16382:16383" s="4" customFormat="1" ht="28.5" customHeight="1">
      <c r="A87" s="14">
        <f t="shared" si="15"/>
        <v>73</v>
      </c>
      <c r="B87" s="14" t="s">
        <v>16</v>
      </c>
      <c r="C87" s="14" t="s">
        <v>702</v>
      </c>
      <c r="D87" s="14" t="s">
        <v>95</v>
      </c>
      <c r="E87" s="14" t="s">
        <v>26</v>
      </c>
      <c r="F87" s="14" t="s">
        <v>703</v>
      </c>
      <c r="G87" s="15">
        <v>1819</v>
      </c>
      <c r="H87" s="15"/>
      <c r="I87" s="15"/>
      <c r="J87" s="15">
        <v>1819</v>
      </c>
      <c r="K87" s="15">
        <f t="shared" si="14"/>
        <v>0</v>
      </c>
      <c r="L87" s="15">
        <f t="shared" si="16"/>
        <v>1819</v>
      </c>
      <c r="M87" s="15" t="str">
        <f t="shared" si="17"/>
        <v/>
      </c>
      <c r="N87" s="15">
        <f t="shared" si="18"/>
        <v>1819</v>
      </c>
      <c r="O87" s="15" t="str">
        <f t="shared" si="19"/>
        <v>휘발유 72,760원</v>
      </c>
      <c r="P87" s="15">
        <f t="shared" si="20"/>
        <v>72760</v>
      </c>
      <c r="Q87" s="15" t="s">
        <v>47</v>
      </c>
      <c r="R87" s="16">
        <f t="shared" si="21"/>
        <v>0.12</v>
      </c>
      <c r="S87" s="15">
        <f t="shared" si="22"/>
        <v>8731</v>
      </c>
      <c r="T87" s="15">
        <f t="shared" si="23"/>
        <v>64029</v>
      </c>
      <c r="U87" s="15">
        <f t="shared" si="24"/>
        <v>1600.7249999999999</v>
      </c>
      <c r="V87" s="15">
        <f t="shared" ref="V87:V150" si="25">IF($P87="","",IF($B$10=0,"",$P87/$B$10))</f>
        <v>1819</v>
      </c>
      <c r="W87" s="17">
        <f>IF($T87="",1000000000000000,$T87)</f>
        <v>64029</v>
      </c>
      <c r="XFB87" s="5"/>
      <c r="XFC87" s="3"/>
    </row>
    <row r="88" spans="1:23 16382:16383" s="4" customFormat="1" ht="28.5" customHeight="1">
      <c r="A88" s="14">
        <f t="shared" si="15"/>
        <v>74</v>
      </c>
      <c r="B88" s="14" t="s">
        <v>6</v>
      </c>
      <c r="C88" s="14" t="s">
        <v>79</v>
      </c>
      <c r="D88" s="14" t="s">
        <v>45</v>
      </c>
      <c r="E88" s="14" t="s">
        <v>63</v>
      </c>
      <c r="F88" s="14" t="s">
        <v>80</v>
      </c>
      <c r="G88" s="15">
        <v>1779</v>
      </c>
      <c r="H88" s="15">
        <v>1995</v>
      </c>
      <c r="I88" s="15"/>
      <c r="J88" s="15">
        <v>1774</v>
      </c>
      <c r="K88" s="15">
        <f t="shared" si="14"/>
        <v>0</v>
      </c>
      <c r="L88" s="15">
        <f t="shared" si="16"/>
        <v>1779</v>
      </c>
      <c r="M88" s="15">
        <f t="shared" si="17"/>
        <v>1995</v>
      </c>
      <c r="N88" s="15">
        <f t="shared" si="18"/>
        <v>1774</v>
      </c>
      <c r="O88" s="15" t="str">
        <f t="shared" si="19"/>
        <v>휘발유 71,160원</v>
      </c>
      <c r="P88" s="15">
        <f t="shared" si="20"/>
        <v>71160</v>
      </c>
      <c r="Q88" s="15" t="s">
        <v>47</v>
      </c>
      <c r="R88" s="16">
        <f t="shared" si="21"/>
        <v>0.1</v>
      </c>
      <c r="S88" s="15">
        <f t="shared" si="22"/>
        <v>7116</v>
      </c>
      <c r="T88" s="15">
        <f t="shared" si="23"/>
        <v>64044</v>
      </c>
      <c r="U88" s="15">
        <f t="shared" si="24"/>
        <v>1601.1</v>
      </c>
      <c r="V88" s="15">
        <f t="shared" si="25"/>
        <v>1779</v>
      </c>
      <c r="W88" s="17">
        <f>IF($T88="",1000000000000000,$T88)</f>
        <v>64044</v>
      </c>
      <c r="XFB88" s="5"/>
      <c r="XFC88" s="3"/>
    </row>
    <row r="89" spans="1:23 16382:16383" s="4" customFormat="1" ht="28.5" customHeight="1">
      <c r="A89" s="14">
        <f t="shared" si="15"/>
        <v>74</v>
      </c>
      <c r="B89" s="14" t="s">
        <v>6</v>
      </c>
      <c r="C89" s="14" t="s">
        <v>119</v>
      </c>
      <c r="D89" s="14" t="s">
        <v>45</v>
      </c>
      <c r="E89" s="14" t="s">
        <v>26</v>
      </c>
      <c r="F89" s="14" t="s">
        <v>120</v>
      </c>
      <c r="G89" s="15">
        <v>1779</v>
      </c>
      <c r="H89" s="15">
        <v>2048</v>
      </c>
      <c r="I89" s="15"/>
      <c r="J89" s="15">
        <v>1779</v>
      </c>
      <c r="K89" s="15">
        <f t="shared" si="14"/>
        <v>0</v>
      </c>
      <c r="L89" s="15">
        <f t="shared" si="16"/>
        <v>1779</v>
      </c>
      <c r="M89" s="15">
        <f t="shared" si="17"/>
        <v>2048</v>
      </c>
      <c r="N89" s="15">
        <f t="shared" si="18"/>
        <v>1779</v>
      </c>
      <c r="O89" s="15" t="str">
        <f t="shared" si="19"/>
        <v>휘발유 71,160원</v>
      </c>
      <c r="P89" s="15">
        <f t="shared" si="20"/>
        <v>71160</v>
      </c>
      <c r="Q89" s="15" t="s">
        <v>47</v>
      </c>
      <c r="R89" s="16">
        <f t="shared" si="21"/>
        <v>0.1</v>
      </c>
      <c r="S89" s="15">
        <f t="shared" si="22"/>
        <v>7116</v>
      </c>
      <c r="T89" s="15">
        <f t="shared" si="23"/>
        <v>64044</v>
      </c>
      <c r="U89" s="15">
        <f t="shared" si="24"/>
        <v>1601.1</v>
      </c>
      <c r="V89" s="15">
        <f t="shared" si="25"/>
        <v>1779</v>
      </c>
      <c r="W89" s="17">
        <f>IF($T89="",1000000000000000,$T89)</f>
        <v>64044</v>
      </c>
      <c r="XFB89" s="5"/>
      <c r="XFC89" s="3"/>
    </row>
    <row r="90" spans="1:23 16382:16383" s="4" customFormat="1" ht="28.5" customHeight="1">
      <c r="A90" s="14">
        <f t="shared" si="15"/>
        <v>74</v>
      </c>
      <c r="B90" s="14" t="s">
        <v>6</v>
      </c>
      <c r="C90" s="14" t="s">
        <v>189</v>
      </c>
      <c r="D90" s="14" t="s">
        <v>45</v>
      </c>
      <c r="E90" s="14" t="s">
        <v>26</v>
      </c>
      <c r="F90" s="14" t="s">
        <v>190</v>
      </c>
      <c r="G90" s="15">
        <v>1779</v>
      </c>
      <c r="H90" s="15">
        <v>2210</v>
      </c>
      <c r="I90" s="15"/>
      <c r="J90" s="15">
        <v>1780</v>
      </c>
      <c r="K90" s="15">
        <f t="shared" si="14"/>
        <v>0</v>
      </c>
      <c r="L90" s="15">
        <f t="shared" si="16"/>
        <v>1779</v>
      </c>
      <c r="M90" s="15">
        <f t="shared" si="17"/>
        <v>2210</v>
      </c>
      <c r="N90" s="15">
        <f t="shared" si="18"/>
        <v>1780</v>
      </c>
      <c r="O90" s="15" t="str">
        <f t="shared" si="19"/>
        <v>휘발유 71,160원</v>
      </c>
      <c r="P90" s="15">
        <f t="shared" si="20"/>
        <v>71160</v>
      </c>
      <c r="Q90" s="15" t="s">
        <v>47</v>
      </c>
      <c r="R90" s="16">
        <f t="shared" si="21"/>
        <v>0.1</v>
      </c>
      <c r="S90" s="15">
        <f t="shared" si="22"/>
        <v>7116</v>
      </c>
      <c r="T90" s="15">
        <f t="shared" si="23"/>
        <v>64044</v>
      </c>
      <c r="U90" s="15">
        <f t="shared" si="24"/>
        <v>1601.1</v>
      </c>
      <c r="V90" s="15">
        <f t="shared" si="25"/>
        <v>1779</v>
      </c>
      <c r="W90" s="17">
        <f>IF($T90="",1000000000000000,$T90)</f>
        <v>64044</v>
      </c>
      <c r="XFB90" s="5"/>
      <c r="XFC90" s="3"/>
    </row>
    <row r="91" spans="1:23 16382:16383" s="4" customFormat="1" ht="28.5" customHeight="1">
      <c r="A91" s="14">
        <f t="shared" si="15"/>
        <v>74</v>
      </c>
      <c r="B91" s="14" t="s">
        <v>6</v>
      </c>
      <c r="C91" s="14" t="s">
        <v>493</v>
      </c>
      <c r="D91" s="14" t="s">
        <v>51</v>
      </c>
      <c r="E91" s="14" t="s">
        <v>26</v>
      </c>
      <c r="F91" s="14" t="s">
        <v>494</v>
      </c>
      <c r="G91" s="15">
        <v>1779</v>
      </c>
      <c r="H91" s="15"/>
      <c r="I91" s="15"/>
      <c r="J91" s="15">
        <v>1773</v>
      </c>
      <c r="K91" s="15">
        <f t="shared" si="14"/>
        <v>0</v>
      </c>
      <c r="L91" s="15">
        <f t="shared" si="16"/>
        <v>1779</v>
      </c>
      <c r="M91" s="15" t="str">
        <f t="shared" si="17"/>
        <v/>
      </c>
      <c r="N91" s="15">
        <f t="shared" si="18"/>
        <v>1773</v>
      </c>
      <c r="O91" s="15" t="str">
        <f t="shared" si="19"/>
        <v>휘발유 71,160원</v>
      </c>
      <c r="P91" s="15">
        <f t="shared" si="20"/>
        <v>71160</v>
      </c>
      <c r="Q91" s="15" t="s">
        <v>47</v>
      </c>
      <c r="R91" s="16">
        <f t="shared" si="21"/>
        <v>0.1</v>
      </c>
      <c r="S91" s="15">
        <f t="shared" si="22"/>
        <v>7116</v>
      </c>
      <c r="T91" s="15">
        <f t="shared" si="23"/>
        <v>64044</v>
      </c>
      <c r="U91" s="15">
        <f t="shared" si="24"/>
        <v>1601.1</v>
      </c>
      <c r="V91" s="15">
        <f t="shared" si="25"/>
        <v>1779</v>
      </c>
      <c r="W91" s="17">
        <f>IF($T91="",1000000000000000,$T91)</f>
        <v>64044</v>
      </c>
      <c r="XFB91" s="5"/>
      <c r="XFC91" s="3"/>
    </row>
    <row r="92" spans="1:23 16382:16383" s="5" customFormat="1" ht="28.65" customHeight="1">
      <c r="A92" s="14">
        <f t="shared" si="15"/>
        <v>74</v>
      </c>
      <c r="B92" s="14" t="s">
        <v>6</v>
      </c>
      <c r="C92" s="14" t="s">
        <v>495</v>
      </c>
      <c r="D92" s="14" t="s">
        <v>496</v>
      </c>
      <c r="E92" s="14" t="s">
        <v>26</v>
      </c>
      <c r="F92" s="14" t="s">
        <v>497</v>
      </c>
      <c r="G92" s="15">
        <v>1779</v>
      </c>
      <c r="H92" s="15"/>
      <c r="I92" s="15"/>
      <c r="J92" s="15">
        <v>1779</v>
      </c>
      <c r="K92" s="15">
        <f t="shared" si="14"/>
        <v>0</v>
      </c>
      <c r="L92" s="15">
        <f t="shared" si="16"/>
        <v>1779</v>
      </c>
      <c r="M92" s="15" t="str">
        <f t="shared" si="17"/>
        <v/>
      </c>
      <c r="N92" s="15">
        <f t="shared" si="18"/>
        <v>1779</v>
      </c>
      <c r="O92" s="15" t="str">
        <f t="shared" si="19"/>
        <v>휘발유 71,160원</v>
      </c>
      <c r="P92" s="15">
        <f t="shared" si="20"/>
        <v>71160</v>
      </c>
      <c r="Q92" s="15" t="s">
        <v>47</v>
      </c>
      <c r="R92" s="16">
        <f t="shared" si="21"/>
        <v>0.1</v>
      </c>
      <c r="S92" s="15">
        <f t="shared" si="22"/>
        <v>7116</v>
      </c>
      <c r="T92" s="15">
        <f t="shared" si="23"/>
        <v>64044</v>
      </c>
      <c r="U92" s="15">
        <f t="shared" si="24"/>
        <v>1601.1</v>
      </c>
      <c r="V92" s="15">
        <f t="shared" si="25"/>
        <v>1779</v>
      </c>
      <c r="W92" s="17">
        <f>IF($T92="",1000000000000000,$T92)</f>
        <v>64044</v>
      </c>
      <c r="XFC92" s="3"/>
    </row>
    <row r="93" spans="1:23 16382:16383" s="4" customFormat="1" ht="28.5" customHeight="1">
      <c r="A93" s="14">
        <f t="shared" si="15"/>
        <v>74</v>
      </c>
      <c r="B93" s="14" t="s">
        <v>6</v>
      </c>
      <c r="C93" s="14" t="s">
        <v>498</v>
      </c>
      <c r="D93" s="14" t="s">
        <v>56</v>
      </c>
      <c r="E93" s="14" t="s">
        <v>26</v>
      </c>
      <c r="F93" s="14" t="s">
        <v>499</v>
      </c>
      <c r="G93" s="15">
        <v>1779</v>
      </c>
      <c r="H93" s="15"/>
      <c r="I93" s="15"/>
      <c r="J93" s="15">
        <v>1779</v>
      </c>
      <c r="K93" s="15">
        <f t="shared" si="14"/>
        <v>0</v>
      </c>
      <c r="L93" s="15">
        <f t="shared" si="16"/>
        <v>1779</v>
      </c>
      <c r="M93" s="15" t="str">
        <f t="shared" si="17"/>
        <v/>
      </c>
      <c r="N93" s="15">
        <f t="shared" si="18"/>
        <v>1779</v>
      </c>
      <c r="O93" s="15" t="str">
        <f t="shared" si="19"/>
        <v>휘발유 71,160원</v>
      </c>
      <c r="P93" s="15">
        <f t="shared" si="20"/>
        <v>71160</v>
      </c>
      <c r="Q93" s="15" t="s">
        <v>47</v>
      </c>
      <c r="R93" s="16">
        <f t="shared" si="21"/>
        <v>0.1</v>
      </c>
      <c r="S93" s="15">
        <f t="shared" si="22"/>
        <v>7116</v>
      </c>
      <c r="T93" s="15">
        <f t="shared" si="23"/>
        <v>64044</v>
      </c>
      <c r="U93" s="15">
        <f t="shared" si="24"/>
        <v>1601.1</v>
      </c>
      <c r="V93" s="15">
        <f t="shared" si="25"/>
        <v>1779</v>
      </c>
      <c r="W93" s="17">
        <f>IF($T93="",1000000000000000,$T93)</f>
        <v>64044</v>
      </c>
      <c r="XFB93" s="5"/>
      <c r="XFC93" s="3"/>
    </row>
    <row r="94" spans="1:23 16382:16383" s="4" customFormat="1" ht="28.5" customHeight="1">
      <c r="A94" s="14">
        <f t="shared" si="15"/>
        <v>74</v>
      </c>
      <c r="B94" s="14" t="s">
        <v>6</v>
      </c>
      <c r="C94" s="14" t="s">
        <v>500</v>
      </c>
      <c r="D94" s="18" t="s">
        <v>86</v>
      </c>
      <c r="E94" s="14" t="s">
        <v>26</v>
      </c>
      <c r="F94" s="14" t="s">
        <v>501</v>
      </c>
      <c r="G94" s="15">
        <v>1779</v>
      </c>
      <c r="H94" s="15"/>
      <c r="I94" s="15"/>
      <c r="J94" s="15">
        <v>1779</v>
      </c>
      <c r="K94" s="15">
        <f t="shared" si="14"/>
        <v>0</v>
      </c>
      <c r="L94" s="15">
        <f t="shared" si="16"/>
        <v>1779</v>
      </c>
      <c r="M94" s="15" t="str">
        <f t="shared" si="17"/>
        <v/>
      </c>
      <c r="N94" s="15">
        <f t="shared" si="18"/>
        <v>1779</v>
      </c>
      <c r="O94" s="15" t="str">
        <f t="shared" si="19"/>
        <v>휘발유 71,160원</v>
      </c>
      <c r="P94" s="15">
        <f t="shared" si="20"/>
        <v>71160</v>
      </c>
      <c r="Q94" s="15" t="s">
        <v>47</v>
      </c>
      <c r="R94" s="16">
        <f t="shared" si="21"/>
        <v>0.1</v>
      </c>
      <c r="S94" s="15">
        <f t="shared" si="22"/>
        <v>7116</v>
      </c>
      <c r="T94" s="15">
        <f t="shared" si="23"/>
        <v>64044</v>
      </c>
      <c r="U94" s="15">
        <f t="shared" si="24"/>
        <v>1601.1</v>
      </c>
      <c r="V94" s="15">
        <f t="shared" si="25"/>
        <v>1779</v>
      </c>
      <c r="W94" s="17">
        <f>IF($T94="",1000000000000000,$T94)</f>
        <v>64044</v>
      </c>
      <c r="XFB94" s="5"/>
      <c r="XFC94" s="3"/>
    </row>
    <row r="95" spans="1:23 16382:16383" s="4" customFormat="1" ht="28.5" customHeight="1">
      <c r="A95" s="14">
        <f t="shared" si="15"/>
        <v>74</v>
      </c>
      <c r="B95" s="14" t="s">
        <v>6</v>
      </c>
      <c r="C95" s="14" t="s">
        <v>502</v>
      </c>
      <c r="D95" s="14" t="s">
        <v>51</v>
      </c>
      <c r="E95" s="14" t="s">
        <v>26</v>
      </c>
      <c r="F95" s="14" t="s">
        <v>503</v>
      </c>
      <c r="G95" s="15">
        <v>1779</v>
      </c>
      <c r="H95" s="15"/>
      <c r="I95" s="15"/>
      <c r="J95" s="15">
        <v>1779</v>
      </c>
      <c r="K95" s="15">
        <f t="shared" si="14"/>
        <v>0</v>
      </c>
      <c r="L95" s="15">
        <f t="shared" si="16"/>
        <v>1779</v>
      </c>
      <c r="M95" s="15" t="str">
        <f t="shared" si="17"/>
        <v/>
      </c>
      <c r="N95" s="15">
        <f t="shared" si="18"/>
        <v>1779</v>
      </c>
      <c r="O95" s="15" t="str">
        <f t="shared" si="19"/>
        <v>휘발유 71,160원</v>
      </c>
      <c r="P95" s="15">
        <f t="shared" si="20"/>
        <v>71160</v>
      </c>
      <c r="Q95" s="15" t="s">
        <v>47</v>
      </c>
      <c r="R95" s="16">
        <f t="shared" si="21"/>
        <v>0.1</v>
      </c>
      <c r="S95" s="15">
        <f t="shared" si="22"/>
        <v>7116</v>
      </c>
      <c r="T95" s="15">
        <f t="shared" si="23"/>
        <v>64044</v>
      </c>
      <c r="U95" s="15">
        <f t="shared" si="24"/>
        <v>1601.1</v>
      </c>
      <c r="V95" s="15">
        <f t="shared" si="25"/>
        <v>1779</v>
      </c>
      <c r="W95" s="17">
        <f>IF($T95="",1000000000000000,$T95)</f>
        <v>64044</v>
      </c>
      <c r="XFB95" s="5"/>
      <c r="XFC95" s="3"/>
    </row>
    <row r="96" spans="1:23 16382:16383" s="4" customFormat="1" ht="28.5" customHeight="1">
      <c r="A96" s="14">
        <f t="shared" si="15"/>
        <v>74</v>
      </c>
      <c r="B96" s="14" t="s">
        <v>6</v>
      </c>
      <c r="C96" s="14" t="s">
        <v>504</v>
      </c>
      <c r="D96" s="14" t="s">
        <v>95</v>
      </c>
      <c r="E96" s="14" t="s">
        <v>26</v>
      </c>
      <c r="F96" s="14" t="s">
        <v>505</v>
      </c>
      <c r="G96" s="15">
        <v>1779</v>
      </c>
      <c r="H96" s="15"/>
      <c r="I96" s="15"/>
      <c r="J96" s="15">
        <v>1779</v>
      </c>
      <c r="K96" s="15">
        <f t="shared" si="14"/>
        <v>0</v>
      </c>
      <c r="L96" s="15">
        <f t="shared" si="16"/>
        <v>1779</v>
      </c>
      <c r="M96" s="15" t="str">
        <f t="shared" si="17"/>
        <v/>
      </c>
      <c r="N96" s="15">
        <f t="shared" si="18"/>
        <v>1779</v>
      </c>
      <c r="O96" s="15" t="str">
        <f t="shared" si="19"/>
        <v>휘발유 71,160원</v>
      </c>
      <c r="P96" s="15">
        <f t="shared" si="20"/>
        <v>71160</v>
      </c>
      <c r="Q96" s="15" t="s">
        <v>47</v>
      </c>
      <c r="R96" s="16">
        <f t="shared" si="21"/>
        <v>0.1</v>
      </c>
      <c r="S96" s="15">
        <f t="shared" si="22"/>
        <v>7116</v>
      </c>
      <c r="T96" s="15">
        <f t="shared" si="23"/>
        <v>64044</v>
      </c>
      <c r="U96" s="15">
        <f t="shared" si="24"/>
        <v>1601.1</v>
      </c>
      <c r="V96" s="15">
        <f t="shared" si="25"/>
        <v>1779</v>
      </c>
      <c r="W96" s="17">
        <f>IF($T96="",1000000000000000,$T96)</f>
        <v>64044</v>
      </c>
      <c r="XFB96" s="5"/>
      <c r="XFC96" s="3"/>
    </row>
    <row r="97" spans="1:23 16382:16383" s="4" customFormat="1" ht="28.5" customHeight="1">
      <c r="A97" s="14">
        <f t="shared" si="15"/>
        <v>74</v>
      </c>
      <c r="B97" s="14" t="s">
        <v>6</v>
      </c>
      <c r="C97" s="14" t="s">
        <v>506</v>
      </c>
      <c r="D97" s="18" t="s">
        <v>86</v>
      </c>
      <c r="E97" s="14" t="s">
        <v>26</v>
      </c>
      <c r="F97" s="14" t="s">
        <v>507</v>
      </c>
      <c r="G97" s="15">
        <v>1779</v>
      </c>
      <c r="H97" s="15"/>
      <c r="I97" s="15"/>
      <c r="J97" s="15">
        <v>1786</v>
      </c>
      <c r="K97" s="15">
        <f t="shared" si="14"/>
        <v>0</v>
      </c>
      <c r="L97" s="15">
        <f t="shared" si="16"/>
        <v>1779</v>
      </c>
      <c r="M97" s="15" t="str">
        <f t="shared" si="17"/>
        <v/>
      </c>
      <c r="N97" s="15">
        <f t="shared" si="18"/>
        <v>1786</v>
      </c>
      <c r="O97" s="15" t="str">
        <f t="shared" si="19"/>
        <v>휘발유 71,160원</v>
      </c>
      <c r="P97" s="15">
        <f t="shared" si="20"/>
        <v>71160</v>
      </c>
      <c r="Q97" s="15" t="s">
        <v>47</v>
      </c>
      <c r="R97" s="16">
        <f t="shared" si="21"/>
        <v>0.1</v>
      </c>
      <c r="S97" s="15">
        <f t="shared" si="22"/>
        <v>7116</v>
      </c>
      <c r="T97" s="15">
        <f t="shared" si="23"/>
        <v>64044</v>
      </c>
      <c r="U97" s="15">
        <f t="shared" si="24"/>
        <v>1601.1</v>
      </c>
      <c r="V97" s="15">
        <f t="shared" si="25"/>
        <v>1779</v>
      </c>
      <c r="W97" s="17">
        <f>IF($T97="",1000000000000000,$T97)</f>
        <v>64044</v>
      </c>
      <c r="XFB97" s="5"/>
      <c r="XFC97" s="3"/>
    </row>
    <row r="98" spans="1:23 16382:16383" s="4" customFormat="1" ht="28.5" customHeight="1">
      <c r="A98" s="14">
        <f t="shared" si="15"/>
        <v>84</v>
      </c>
      <c r="B98" s="14" t="s">
        <v>14</v>
      </c>
      <c r="C98" s="14" t="s">
        <v>511</v>
      </c>
      <c r="D98" s="14" t="s">
        <v>95</v>
      </c>
      <c r="E98" s="14" t="s">
        <v>26</v>
      </c>
      <c r="F98" s="14" t="s">
        <v>512</v>
      </c>
      <c r="G98" s="15">
        <v>1799</v>
      </c>
      <c r="H98" s="15"/>
      <c r="I98" s="15"/>
      <c r="J98" s="15">
        <v>1798</v>
      </c>
      <c r="K98" s="15">
        <f t="shared" si="14"/>
        <v>0</v>
      </c>
      <c r="L98" s="15">
        <f t="shared" si="16"/>
        <v>1799</v>
      </c>
      <c r="M98" s="15" t="str">
        <f t="shared" si="17"/>
        <v/>
      </c>
      <c r="N98" s="15">
        <f t="shared" si="18"/>
        <v>1798</v>
      </c>
      <c r="O98" s="15" t="str">
        <f t="shared" si="19"/>
        <v>휘발유 71,960원</v>
      </c>
      <c r="P98" s="15">
        <f t="shared" si="20"/>
        <v>71960</v>
      </c>
      <c r="Q98" s="15" t="s">
        <v>47</v>
      </c>
      <c r="R98" s="16">
        <f t="shared" si="21"/>
        <v>0.11</v>
      </c>
      <c r="S98" s="15">
        <f t="shared" si="22"/>
        <v>7915</v>
      </c>
      <c r="T98" s="15">
        <f t="shared" si="23"/>
        <v>64045</v>
      </c>
      <c r="U98" s="15">
        <f t="shared" si="24"/>
        <v>1601.125</v>
      </c>
      <c r="V98" s="15">
        <f t="shared" si="25"/>
        <v>1799</v>
      </c>
      <c r="W98" s="17">
        <f>IF($T98="",1000000000000000,$T98)</f>
        <v>64045</v>
      </c>
      <c r="XFB98" s="5"/>
      <c r="XFC98" s="3"/>
    </row>
    <row r="99" spans="1:23 16382:16383" s="4" customFormat="1" ht="28.5" customHeight="1">
      <c r="A99" s="14">
        <f t="shared" si="15"/>
        <v>84</v>
      </c>
      <c r="B99" s="14" t="s">
        <v>14</v>
      </c>
      <c r="C99" s="14" t="s">
        <v>513</v>
      </c>
      <c r="D99" s="14" t="s">
        <v>496</v>
      </c>
      <c r="E99" s="14" t="s">
        <v>26</v>
      </c>
      <c r="F99" s="14" t="s">
        <v>514</v>
      </c>
      <c r="G99" s="15">
        <v>1799</v>
      </c>
      <c r="H99" s="15"/>
      <c r="I99" s="15"/>
      <c r="J99" s="15">
        <v>1799</v>
      </c>
      <c r="K99" s="15">
        <f t="shared" si="14"/>
        <v>0</v>
      </c>
      <c r="L99" s="15">
        <f t="shared" si="16"/>
        <v>1799</v>
      </c>
      <c r="M99" s="15" t="str">
        <f t="shared" si="17"/>
        <v/>
      </c>
      <c r="N99" s="15">
        <f t="shared" si="18"/>
        <v>1799</v>
      </c>
      <c r="O99" s="15" t="str">
        <f t="shared" si="19"/>
        <v>휘발유 71,960원</v>
      </c>
      <c r="P99" s="15">
        <f t="shared" si="20"/>
        <v>71960</v>
      </c>
      <c r="Q99" s="15" t="s">
        <v>47</v>
      </c>
      <c r="R99" s="16">
        <f t="shared" si="21"/>
        <v>0.11</v>
      </c>
      <c r="S99" s="15">
        <f t="shared" si="22"/>
        <v>7915</v>
      </c>
      <c r="T99" s="15">
        <f t="shared" si="23"/>
        <v>64045</v>
      </c>
      <c r="U99" s="15">
        <f t="shared" si="24"/>
        <v>1601.125</v>
      </c>
      <c r="V99" s="15">
        <f t="shared" si="25"/>
        <v>1799</v>
      </c>
      <c r="W99" s="17">
        <f>IF($T99="",1000000000000000,$T99)</f>
        <v>64045</v>
      </c>
      <c r="XFB99" s="5"/>
      <c r="XFC99" s="3"/>
    </row>
    <row r="100" spans="1:23 16382:16383" s="4" customFormat="1" ht="28.5" customHeight="1">
      <c r="A100" s="14">
        <f t="shared" si="15"/>
        <v>84</v>
      </c>
      <c r="B100" s="14" t="s">
        <v>14</v>
      </c>
      <c r="C100" s="14" t="s">
        <v>515</v>
      </c>
      <c r="D100" s="14" t="s">
        <v>45</v>
      </c>
      <c r="E100" s="14" t="s">
        <v>26</v>
      </c>
      <c r="F100" s="14" t="s">
        <v>516</v>
      </c>
      <c r="G100" s="15">
        <v>1799</v>
      </c>
      <c r="H100" s="15"/>
      <c r="I100" s="15"/>
      <c r="J100" s="15">
        <v>1839</v>
      </c>
      <c r="K100" s="15">
        <f t="shared" si="14"/>
        <v>0</v>
      </c>
      <c r="L100" s="15">
        <f t="shared" si="16"/>
        <v>1799</v>
      </c>
      <c r="M100" s="15" t="str">
        <f t="shared" si="17"/>
        <v/>
      </c>
      <c r="N100" s="15">
        <f t="shared" si="18"/>
        <v>1839</v>
      </c>
      <c r="O100" s="15" t="str">
        <f t="shared" si="19"/>
        <v>휘발유 71,960원</v>
      </c>
      <c r="P100" s="15">
        <f t="shared" si="20"/>
        <v>71960</v>
      </c>
      <c r="Q100" s="15" t="s">
        <v>47</v>
      </c>
      <c r="R100" s="16">
        <f t="shared" si="21"/>
        <v>0.11</v>
      </c>
      <c r="S100" s="15">
        <f t="shared" si="22"/>
        <v>7915</v>
      </c>
      <c r="T100" s="15">
        <f t="shared" si="23"/>
        <v>64045</v>
      </c>
      <c r="U100" s="15">
        <f t="shared" si="24"/>
        <v>1601.125</v>
      </c>
      <c r="V100" s="15">
        <f t="shared" si="25"/>
        <v>1799</v>
      </c>
      <c r="W100" s="17">
        <f>IF($T100="",1000000000000000,$T100)</f>
        <v>64045</v>
      </c>
      <c r="XFB100" s="5"/>
      <c r="XFC100" s="3"/>
    </row>
    <row r="101" spans="1:23 16382:16383" s="4" customFormat="1" ht="28.5" customHeight="1">
      <c r="A101" s="14">
        <f t="shared" si="15"/>
        <v>87</v>
      </c>
      <c r="B101" s="14" t="s">
        <v>16</v>
      </c>
      <c r="C101" s="14" t="s">
        <v>781</v>
      </c>
      <c r="D101" s="14" t="s">
        <v>45</v>
      </c>
      <c r="E101" s="14" t="s">
        <v>26</v>
      </c>
      <c r="F101" s="14" t="s">
        <v>782</v>
      </c>
      <c r="G101" s="15">
        <v>1820</v>
      </c>
      <c r="H101" s="15"/>
      <c r="I101" s="15"/>
      <c r="J101" s="15">
        <v>1840</v>
      </c>
      <c r="K101" s="15">
        <f t="shared" si="14"/>
        <v>0</v>
      </c>
      <c r="L101" s="15">
        <f t="shared" si="16"/>
        <v>1820</v>
      </c>
      <c r="M101" s="15" t="str">
        <f t="shared" si="17"/>
        <v/>
      </c>
      <c r="N101" s="15">
        <f t="shared" si="18"/>
        <v>1840</v>
      </c>
      <c r="O101" s="15" t="str">
        <f t="shared" si="19"/>
        <v>휘발유 72,800원</v>
      </c>
      <c r="P101" s="15">
        <f t="shared" si="20"/>
        <v>72800</v>
      </c>
      <c r="Q101" s="15" t="s">
        <v>47</v>
      </c>
      <c r="R101" s="16">
        <f t="shared" si="21"/>
        <v>0.12</v>
      </c>
      <c r="S101" s="15">
        <f t="shared" si="22"/>
        <v>8736</v>
      </c>
      <c r="T101" s="15">
        <f t="shared" si="23"/>
        <v>64064</v>
      </c>
      <c r="U101" s="15">
        <f t="shared" si="24"/>
        <v>1601.6</v>
      </c>
      <c r="V101" s="15">
        <f t="shared" si="25"/>
        <v>1820</v>
      </c>
      <c r="W101" s="17">
        <f>IF($T101="",1000000000000000,$T101)</f>
        <v>64064</v>
      </c>
      <c r="XFB101" s="5"/>
      <c r="XFC101" s="3"/>
    </row>
    <row r="102" spans="1:23 16382:16383" s="4" customFormat="1" ht="28.5" customHeight="1">
      <c r="A102" s="14">
        <f t="shared" si="15"/>
        <v>88</v>
      </c>
      <c r="B102" s="14" t="s">
        <v>6</v>
      </c>
      <c r="C102" s="14" t="s">
        <v>69</v>
      </c>
      <c r="D102" s="14" t="s">
        <v>45</v>
      </c>
      <c r="E102" s="14" t="s">
        <v>26</v>
      </c>
      <c r="F102" s="14" t="s">
        <v>70</v>
      </c>
      <c r="G102" s="15">
        <v>1780</v>
      </c>
      <c r="H102" s="15">
        <v>2010</v>
      </c>
      <c r="I102" s="15"/>
      <c r="J102" s="15">
        <v>1783</v>
      </c>
      <c r="K102" s="15">
        <f t="shared" si="14"/>
        <v>0</v>
      </c>
      <c r="L102" s="15">
        <f t="shared" si="16"/>
        <v>1780</v>
      </c>
      <c r="M102" s="15">
        <f t="shared" si="17"/>
        <v>2010</v>
      </c>
      <c r="N102" s="15">
        <f t="shared" si="18"/>
        <v>1783</v>
      </c>
      <c r="O102" s="15" t="str">
        <f t="shared" si="19"/>
        <v>휘발유 71,200원</v>
      </c>
      <c r="P102" s="15">
        <f t="shared" si="20"/>
        <v>71200</v>
      </c>
      <c r="Q102" s="15" t="s">
        <v>47</v>
      </c>
      <c r="R102" s="16">
        <f t="shared" si="21"/>
        <v>0.1</v>
      </c>
      <c r="S102" s="15">
        <f t="shared" si="22"/>
        <v>7120</v>
      </c>
      <c r="T102" s="15">
        <f t="shared" si="23"/>
        <v>64080</v>
      </c>
      <c r="U102" s="15">
        <f t="shared" si="24"/>
        <v>1602</v>
      </c>
      <c r="V102" s="15">
        <f t="shared" si="25"/>
        <v>1780</v>
      </c>
      <c r="W102" s="17">
        <f>IF($T102="",1000000000000000,$T102)</f>
        <v>64080</v>
      </c>
      <c r="XFB102" s="5"/>
      <c r="XFC102" s="3"/>
    </row>
    <row r="103" spans="1:23 16382:16383" s="4" customFormat="1" ht="28.5" customHeight="1">
      <c r="A103" s="14">
        <f t="shared" si="15"/>
        <v>88</v>
      </c>
      <c r="B103" s="14" t="s">
        <v>6</v>
      </c>
      <c r="C103" s="14" t="s">
        <v>127</v>
      </c>
      <c r="D103" s="14" t="s">
        <v>45</v>
      </c>
      <c r="E103" s="14" t="s">
        <v>26</v>
      </c>
      <c r="F103" s="14" t="s">
        <v>128</v>
      </c>
      <c r="G103" s="15">
        <v>1780</v>
      </c>
      <c r="H103" s="15">
        <v>2054</v>
      </c>
      <c r="I103" s="15"/>
      <c r="J103" s="15">
        <v>1780</v>
      </c>
      <c r="K103" s="15">
        <f t="shared" si="14"/>
        <v>0</v>
      </c>
      <c r="L103" s="15">
        <f t="shared" si="16"/>
        <v>1780</v>
      </c>
      <c r="M103" s="15">
        <f t="shared" si="17"/>
        <v>2054</v>
      </c>
      <c r="N103" s="15">
        <f t="shared" si="18"/>
        <v>1780</v>
      </c>
      <c r="O103" s="15" t="str">
        <f t="shared" si="19"/>
        <v>휘발유 71,200원</v>
      </c>
      <c r="P103" s="15">
        <f t="shared" si="20"/>
        <v>71200</v>
      </c>
      <c r="Q103" s="15" t="s">
        <v>47</v>
      </c>
      <c r="R103" s="16">
        <f t="shared" si="21"/>
        <v>0.1</v>
      </c>
      <c r="S103" s="15">
        <f t="shared" si="22"/>
        <v>7120</v>
      </c>
      <c r="T103" s="15">
        <f t="shared" si="23"/>
        <v>64080</v>
      </c>
      <c r="U103" s="15">
        <f t="shared" si="24"/>
        <v>1602</v>
      </c>
      <c r="V103" s="15">
        <f t="shared" si="25"/>
        <v>1780</v>
      </c>
      <c r="W103" s="17">
        <f>IF($T103="",1000000000000000,$T103)</f>
        <v>64080</v>
      </c>
      <c r="XFB103" s="5"/>
      <c r="XFC103" s="3"/>
    </row>
    <row r="104" spans="1:23 16382:16383" s="4" customFormat="1" ht="28.5" customHeight="1">
      <c r="A104" s="14">
        <f t="shared" si="15"/>
        <v>88</v>
      </c>
      <c r="B104" s="14" t="s">
        <v>6</v>
      </c>
      <c r="C104" s="14" t="s">
        <v>517</v>
      </c>
      <c r="D104" s="14" t="s">
        <v>51</v>
      </c>
      <c r="E104" s="14" t="s">
        <v>26</v>
      </c>
      <c r="F104" s="14" t="s">
        <v>518</v>
      </c>
      <c r="G104" s="15">
        <v>1780</v>
      </c>
      <c r="H104" s="15"/>
      <c r="I104" s="15"/>
      <c r="J104" s="15">
        <v>1760</v>
      </c>
      <c r="K104" s="15">
        <f t="shared" si="14"/>
        <v>0</v>
      </c>
      <c r="L104" s="15">
        <f t="shared" si="16"/>
        <v>1780</v>
      </c>
      <c r="M104" s="15" t="str">
        <f t="shared" si="17"/>
        <v/>
      </c>
      <c r="N104" s="15">
        <f t="shared" si="18"/>
        <v>1760</v>
      </c>
      <c r="O104" s="15" t="str">
        <f t="shared" si="19"/>
        <v>휘발유 71,200원</v>
      </c>
      <c r="P104" s="15">
        <f t="shared" si="20"/>
        <v>71200</v>
      </c>
      <c r="Q104" s="15" t="s">
        <v>47</v>
      </c>
      <c r="R104" s="16">
        <f t="shared" si="21"/>
        <v>0.1</v>
      </c>
      <c r="S104" s="15">
        <f t="shared" si="22"/>
        <v>7120</v>
      </c>
      <c r="T104" s="15">
        <f t="shared" si="23"/>
        <v>64080</v>
      </c>
      <c r="U104" s="15">
        <f t="shared" si="24"/>
        <v>1602</v>
      </c>
      <c r="V104" s="15">
        <f t="shared" si="25"/>
        <v>1780</v>
      </c>
      <c r="W104" s="17">
        <f>IF($T104="",1000000000000000,$T104)</f>
        <v>64080</v>
      </c>
      <c r="XFB104" s="5"/>
      <c r="XFC104" s="3"/>
    </row>
    <row r="105" spans="1:23 16382:16383" s="4" customFormat="1" ht="28.5" customHeight="1">
      <c r="A105" s="14">
        <f t="shared" si="15"/>
        <v>88</v>
      </c>
      <c r="B105" s="14" t="s">
        <v>6</v>
      </c>
      <c r="C105" s="14" t="s">
        <v>527</v>
      </c>
      <c r="D105" s="14" t="s">
        <v>95</v>
      </c>
      <c r="E105" s="14" t="s">
        <v>26</v>
      </c>
      <c r="F105" s="14" t="s">
        <v>528</v>
      </c>
      <c r="G105" s="15">
        <v>1780</v>
      </c>
      <c r="H105" s="15"/>
      <c r="I105" s="15"/>
      <c r="J105" s="15">
        <v>1773</v>
      </c>
      <c r="K105" s="15">
        <f t="shared" si="14"/>
        <v>0</v>
      </c>
      <c r="L105" s="15">
        <f t="shared" si="16"/>
        <v>1780</v>
      </c>
      <c r="M105" s="15" t="str">
        <f t="shared" si="17"/>
        <v/>
      </c>
      <c r="N105" s="15">
        <f t="shared" si="18"/>
        <v>1773</v>
      </c>
      <c r="O105" s="15" t="str">
        <f t="shared" si="19"/>
        <v>휘발유 71,200원</v>
      </c>
      <c r="P105" s="15">
        <f t="shared" si="20"/>
        <v>71200</v>
      </c>
      <c r="Q105" s="15" t="s">
        <v>47</v>
      </c>
      <c r="R105" s="16">
        <f t="shared" si="21"/>
        <v>0.1</v>
      </c>
      <c r="S105" s="15">
        <f t="shared" si="22"/>
        <v>7120</v>
      </c>
      <c r="T105" s="15">
        <f t="shared" si="23"/>
        <v>64080</v>
      </c>
      <c r="U105" s="15">
        <f t="shared" si="24"/>
        <v>1602</v>
      </c>
      <c r="V105" s="15">
        <f t="shared" si="25"/>
        <v>1780</v>
      </c>
      <c r="W105" s="17">
        <f>IF($T105="",1000000000000000,$T105)</f>
        <v>64080</v>
      </c>
      <c r="XFB105" s="5"/>
      <c r="XFC105" s="3"/>
    </row>
    <row r="106" spans="1:23 16382:16383" s="4" customFormat="1" ht="28.5" customHeight="1">
      <c r="A106" s="14">
        <f t="shared" si="15"/>
        <v>88</v>
      </c>
      <c r="B106" s="14" t="s">
        <v>6</v>
      </c>
      <c r="C106" s="14" t="s">
        <v>464</v>
      </c>
      <c r="D106" s="14" t="s">
        <v>51</v>
      </c>
      <c r="E106" s="14" t="s">
        <v>26</v>
      </c>
      <c r="F106" s="14" t="s">
        <v>465</v>
      </c>
      <c r="G106" s="15">
        <v>1780</v>
      </c>
      <c r="H106" s="15"/>
      <c r="I106" s="15"/>
      <c r="J106" s="15">
        <v>1775</v>
      </c>
      <c r="K106" s="15">
        <f t="shared" si="14"/>
        <v>0</v>
      </c>
      <c r="L106" s="15">
        <f t="shared" si="16"/>
        <v>1780</v>
      </c>
      <c r="M106" s="15" t="str">
        <f t="shared" si="17"/>
        <v/>
      </c>
      <c r="N106" s="15">
        <f t="shared" si="18"/>
        <v>1775</v>
      </c>
      <c r="O106" s="15" t="str">
        <f t="shared" si="19"/>
        <v>휘발유 71,200원</v>
      </c>
      <c r="P106" s="15">
        <f t="shared" si="20"/>
        <v>71200</v>
      </c>
      <c r="Q106" s="15" t="s">
        <v>47</v>
      </c>
      <c r="R106" s="16">
        <f t="shared" si="21"/>
        <v>0.1</v>
      </c>
      <c r="S106" s="15">
        <f t="shared" si="22"/>
        <v>7120</v>
      </c>
      <c r="T106" s="15">
        <f t="shared" si="23"/>
        <v>64080</v>
      </c>
      <c r="U106" s="15">
        <f t="shared" si="24"/>
        <v>1602</v>
      </c>
      <c r="V106" s="15">
        <f t="shared" si="25"/>
        <v>1780</v>
      </c>
      <c r="W106" s="17">
        <f>IF($T106="",1000000000000000,$T106)</f>
        <v>64080</v>
      </c>
      <c r="XFB106" s="5"/>
      <c r="XFC106" s="3"/>
    </row>
    <row r="107" spans="1:23 16382:16383" s="4" customFormat="1" ht="28.5" customHeight="1">
      <c r="A107" s="14">
        <f t="shared" si="15"/>
        <v>88</v>
      </c>
      <c r="B107" s="14" t="s">
        <v>6</v>
      </c>
      <c r="C107" s="14" t="s">
        <v>523</v>
      </c>
      <c r="D107" s="14" t="s">
        <v>95</v>
      </c>
      <c r="E107" s="14" t="s">
        <v>26</v>
      </c>
      <c r="F107" s="14" t="s">
        <v>524</v>
      </c>
      <c r="G107" s="15">
        <v>1780</v>
      </c>
      <c r="H107" s="15"/>
      <c r="I107" s="15"/>
      <c r="J107" s="15">
        <v>1780</v>
      </c>
      <c r="K107" s="15">
        <f t="shared" si="14"/>
        <v>0</v>
      </c>
      <c r="L107" s="15">
        <f t="shared" si="16"/>
        <v>1780</v>
      </c>
      <c r="M107" s="15" t="str">
        <f t="shared" si="17"/>
        <v/>
      </c>
      <c r="N107" s="15">
        <f t="shared" si="18"/>
        <v>1780</v>
      </c>
      <c r="O107" s="15" t="str">
        <f t="shared" si="19"/>
        <v>휘발유 71,200원</v>
      </c>
      <c r="P107" s="15">
        <f t="shared" si="20"/>
        <v>71200</v>
      </c>
      <c r="Q107" s="15" t="s">
        <v>47</v>
      </c>
      <c r="R107" s="16">
        <f t="shared" si="21"/>
        <v>0.1</v>
      </c>
      <c r="S107" s="15">
        <f t="shared" si="22"/>
        <v>7120</v>
      </c>
      <c r="T107" s="15">
        <f t="shared" si="23"/>
        <v>64080</v>
      </c>
      <c r="U107" s="15">
        <f t="shared" si="24"/>
        <v>1602</v>
      </c>
      <c r="V107" s="15">
        <f t="shared" si="25"/>
        <v>1780</v>
      </c>
      <c r="W107" s="17">
        <f>IF($T107="",1000000000000000,$T107)</f>
        <v>64080</v>
      </c>
      <c r="XFB107" s="5"/>
      <c r="XFC107" s="3"/>
    </row>
    <row r="108" spans="1:23 16382:16383" s="4" customFormat="1" ht="28.5" customHeight="1">
      <c r="A108" s="14">
        <f t="shared" si="15"/>
        <v>88</v>
      </c>
      <c r="B108" s="14" t="s">
        <v>10</v>
      </c>
      <c r="C108" s="14" t="s">
        <v>519</v>
      </c>
      <c r="D108" s="14" t="s">
        <v>51</v>
      </c>
      <c r="E108" s="14" t="s">
        <v>26</v>
      </c>
      <c r="F108" s="14" t="s">
        <v>520</v>
      </c>
      <c r="G108" s="15">
        <v>1780</v>
      </c>
      <c r="H108" s="15"/>
      <c r="I108" s="15"/>
      <c r="J108" s="15">
        <v>1780</v>
      </c>
      <c r="K108" s="15">
        <f t="shared" si="14"/>
        <v>0</v>
      </c>
      <c r="L108" s="15">
        <f t="shared" si="16"/>
        <v>1780</v>
      </c>
      <c r="M108" s="15" t="str">
        <f t="shared" si="17"/>
        <v/>
      </c>
      <c r="N108" s="15">
        <f t="shared" si="18"/>
        <v>1780</v>
      </c>
      <c r="O108" s="15" t="str">
        <f t="shared" si="19"/>
        <v>휘발유 71,200원</v>
      </c>
      <c r="P108" s="15">
        <f t="shared" si="20"/>
        <v>71200</v>
      </c>
      <c r="Q108" s="15" t="s">
        <v>47</v>
      </c>
      <c r="R108" s="16">
        <f t="shared" si="21"/>
        <v>0.1</v>
      </c>
      <c r="S108" s="15">
        <f t="shared" si="22"/>
        <v>7120</v>
      </c>
      <c r="T108" s="15">
        <f t="shared" si="23"/>
        <v>64080</v>
      </c>
      <c r="U108" s="15">
        <f t="shared" si="24"/>
        <v>1602</v>
      </c>
      <c r="V108" s="15">
        <f t="shared" si="25"/>
        <v>1780</v>
      </c>
      <c r="W108" s="17">
        <f>IF($T108="",1000000000000000,$T108)</f>
        <v>64080</v>
      </c>
      <c r="XFB108" s="5"/>
      <c r="XFC108" s="3"/>
    </row>
    <row r="109" spans="1:23 16382:16383" s="4" customFormat="1" ht="28.5" customHeight="1">
      <c r="A109" s="14">
        <f t="shared" si="15"/>
        <v>95</v>
      </c>
      <c r="B109" s="14" t="s">
        <v>6</v>
      </c>
      <c r="C109" s="14" t="s">
        <v>521</v>
      </c>
      <c r="D109" s="14" t="s">
        <v>95</v>
      </c>
      <c r="E109" s="14" t="s">
        <v>26</v>
      </c>
      <c r="F109" s="14" t="s">
        <v>522</v>
      </c>
      <c r="G109" s="15">
        <v>1781</v>
      </c>
      <c r="H109" s="15"/>
      <c r="I109" s="15"/>
      <c r="J109" s="15">
        <v>1774</v>
      </c>
      <c r="K109" s="15">
        <f t="shared" si="14"/>
        <v>0</v>
      </c>
      <c r="L109" s="15">
        <f t="shared" si="16"/>
        <v>1781</v>
      </c>
      <c r="M109" s="15" t="str">
        <f t="shared" si="17"/>
        <v/>
      </c>
      <c r="N109" s="15">
        <f t="shared" si="18"/>
        <v>1774</v>
      </c>
      <c r="O109" s="15" t="str">
        <f t="shared" si="19"/>
        <v>휘발유 71,240원</v>
      </c>
      <c r="P109" s="15">
        <f t="shared" si="20"/>
        <v>71240</v>
      </c>
      <c r="Q109" s="15" t="s">
        <v>47</v>
      </c>
      <c r="R109" s="16">
        <f t="shared" si="21"/>
        <v>0.1</v>
      </c>
      <c r="S109" s="15">
        <f t="shared" si="22"/>
        <v>7124</v>
      </c>
      <c r="T109" s="15">
        <f t="shared" si="23"/>
        <v>64116</v>
      </c>
      <c r="U109" s="15">
        <f t="shared" si="24"/>
        <v>1602.9</v>
      </c>
      <c r="V109" s="15">
        <f t="shared" si="25"/>
        <v>1781</v>
      </c>
      <c r="W109" s="17">
        <f>IF($T109="",1000000000000000,$T109)</f>
        <v>64116</v>
      </c>
      <c r="XFB109" s="5"/>
      <c r="XFC109" s="3"/>
    </row>
    <row r="110" spans="1:23 16382:16383" s="4" customFormat="1" ht="28.5" customHeight="1">
      <c r="A110" s="14">
        <f t="shared" si="15"/>
        <v>96</v>
      </c>
      <c r="B110" s="14" t="s">
        <v>6</v>
      </c>
      <c r="C110" s="14" t="s">
        <v>117</v>
      </c>
      <c r="D110" s="18" t="s">
        <v>86</v>
      </c>
      <c r="E110" s="14" t="s">
        <v>26</v>
      </c>
      <c r="F110" s="14" t="s">
        <v>118</v>
      </c>
      <c r="G110" s="15">
        <v>1782</v>
      </c>
      <c r="H110" s="15">
        <v>2042</v>
      </c>
      <c r="I110" s="15"/>
      <c r="J110" s="15">
        <v>1782</v>
      </c>
      <c r="K110" s="15">
        <f t="shared" si="14"/>
        <v>0</v>
      </c>
      <c r="L110" s="15">
        <f t="shared" si="16"/>
        <v>1782</v>
      </c>
      <c r="M110" s="15">
        <f t="shared" si="17"/>
        <v>2042</v>
      </c>
      <c r="N110" s="15">
        <f t="shared" si="18"/>
        <v>1782</v>
      </c>
      <c r="O110" s="15" t="str">
        <f t="shared" si="19"/>
        <v>휘발유 71,280원</v>
      </c>
      <c r="P110" s="15">
        <f t="shared" si="20"/>
        <v>71280</v>
      </c>
      <c r="Q110" s="15" t="s">
        <v>47</v>
      </c>
      <c r="R110" s="16">
        <f t="shared" si="21"/>
        <v>0.1</v>
      </c>
      <c r="S110" s="15">
        <f t="shared" si="22"/>
        <v>7128</v>
      </c>
      <c r="T110" s="15">
        <f t="shared" si="23"/>
        <v>64152</v>
      </c>
      <c r="U110" s="15">
        <f t="shared" si="24"/>
        <v>1603.8</v>
      </c>
      <c r="V110" s="15">
        <f t="shared" si="25"/>
        <v>1782</v>
      </c>
      <c r="W110" s="17">
        <f>IF($T110="",1000000000000000,$T110)</f>
        <v>64152</v>
      </c>
      <c r="XFB110" s="5"/>
      <c r="XFC110" s="3"/>
    </row>
    <row r="111" spans="1:23 16382:16383" s="4" customFormat="1" ht="28.5" customHeight="1">
      <c r="A111" s="14">
        <f t="shared" si="15"/>
        <v>96</v>
      </c>
      <c r="B111" s="14" t="s">
        <v>8</v>
      </c>
      <c r="C111" s="14" t="s">
        <v>125</v>
      </c>
      <c r="D111" s="18" t="s">
        <v>86</v>
      </c>
      <c r="E111" s="14" t="s">
        <v>26</v>
      </c>
      <c r="F111" s="14" t="s">
        <v>126</v>
      </c>
      <c r="G111" s="15">
        <v>1782</v>
      </c>
      <c r="H111" s="15">
        <v>2049</v>
      </c>
      <c r="I111" s="15"/>
      <c r="J111" s="15">
        <v>1782</v>
      </c>
      <c r="K111" s="15">
        <f t="shared" si="14"/>
        <v>0</v>
      </c>
      <c r="L111" s="15">
        <f t="shared" si="16"/>
        <v>1782</v>
      </c>
      <c r="M111" s="15">
        <f t="shared" si="17"/>
        <v>2049</v>
      </c>
      <c r="N111" s="15">
        <f t="shared" si="18"/>
        <v>1782</v>
      </c>
      <c r="O111" s="15" t="str">
        <f t="shared" si="19"/>
        <v>휘발유 71,280원</v>
      </c>
      <c r="P111" s="15">
        <f t="shared" si="20"/>
        <v>71280</v>
      </c>
      <c r="Q111" s="15" t="s">
        <v>47</v>
      </c>
      <c r="R111" s="16">
        <f t="shared" si="21"/>
        <v>0.1</v>
      </c>
      <c r="S111" s="15">
        <f t="shared" si="22"/>
        <v>7128</v>
      </c>
      <c r="T111" s="15">
        <f t="shared" si="23"/>
        <v>64152</v>
      </c>
      <c r="U111" s="15">
        <f t="shared" si="24"/>
        <v>1603.8</v>
      </c>
      <c r="V111" s="15">
        <f t="shared" si="25"/>
        <v>1782</v>
      </c>
      <c r="W111" s="17">
        <f>IF($T111="",1000000000000000,$T111)</f>
        <v>64152</v>
      </c>
      <c r="XFB111" s="5"/>
      <c r="XFC111" s="3"/>
    </row>
    <row r="112" spans="1:23 16382:16383" s="4" customFormat="1" ht="28.5" customHeight="1">
      <c r="A112" s="14">
        <f t="shared" si="15"/>
        <v>96</v>
      </c>
      <c r="B112" s="14" t="s">
        <v>6</v>
      </c>
      <c r="C112" s="14" t="s">
        <v>147</v>
      </c>
      <c r="D112" s="14" t="s">
        <v>45</v>
      </c>
      <c r="E112" s="14" t="s">
        <v>26</v>
      </c>
      <c r="F112" s="14" t="s">
        <v>148</v>
      </c>
      <c r="G112" s="15">
        <v>1782</v>
      </c>
      <c r="H112" s="15">
        <v>2140</v>
      </c>
      <c r="I112" s="15"/>
      <c r="J112" s="15">
        <v>1776</v>
      </c>
      <c r="K112" s="15">
        <f t="shared" si="14"/>
        <v>0</v>
      </c>
      <c r="L112" s="15">
        <f t="shared" si="16"/>
        <v>1782</v>
      </c>
      <c r="M112" s="15">
        <f t="shared" si="17"/>
        <v>2140</v>
      </c>
      <c r="N112" s="15">
        <f t="shared" si="18"/>
        <v>1776</v>
      </c>
      <c r="O112" s="15" t="str">
        <f t="shared" si="19"/>
        <v>휘발유 71,280원</v>
      </c>
      <c r="P112" s="15">
        <f t="shared" si="20"/>
        <v>71280</v>
      </c>
      <c r="Q112" s="15" t="s">
        <v>47</v>
      </c>
      <c r="R112" s="16">
        <f t="shared" si="21"/>
        <v>0.1</v>
      </c>
      <c r="S112" s="15">
        <f t="shared" si="22"/>
        <v>7128</v>
      </c>
      <c r="T112" s="15">
        <f t="shared" si="23"/>
        <v>64152</v>
      </c>
      <c r="U112" s="15">
        <f t="shared" si="24"/>
        <v>1603.8</v>
      </c>
      <c r="V112" s="15">
        <f t="shared" si="25"/>
        <v>1782</v>
      </c>
      <c r="W112" s="17">
        <f>IF($T112="",1000000000000000,$T112)</f>
        <v>64152</v>
      </c>
      <c r="XFB112" s="5"/>
      <c r="XFC112" s="3"/>
    </row>
    <row r="113" spans="1:23 16382:16383" s="4" customFormat="1" ht="28.5" customHeight="1">
      <c r="A113" s="14">
        <f t="shared" si="15"/>
        <v>96</v>
      </c>
      <c r="B113" s="14" t="s">
        <v>6</v>
      </c>
      <c r="C113" s="14" t="s">
        <v>529</v>
      </c>
      <c r="D113" s="14" t="s">
        <v>294</v>
      </c>
      <c r="E113" s="14" t="s">
        <v>26</v>
      </c>
      <c r="F113" s="14" t="s">
        <v>530</v>
      </c>
      <c r="G113" s="15">
        <v>1782</v>
      </c>
      <c r="H113" s="15"/>
      <c r="I113" s="15"/>
      <c r="J113" s="15">
        <v>1780</v>
      </c>
      <c r="K113" s="15">
        <f t="shared" si="14"/>
        <v>0</v>
      </c>
      <c r="L113" s="15">
        <f t="shared" si="16"/>
        <v>1782</v>
      </c>
      <c r="M113" s="15" t="str">
        <f t="shared" si="17"/>
        <v/>
      </c>
      <c r="N113" s="15">
        <f t="shared" si="18"/>
        <v>1780</v>
      </c>
      <c r="O113" s="15" t="str">
        <f t="shared" si="19"/>
        <v>휘발유 71,280원</v>
      </c>
      <c r="P113" s="15">
        <f t="shared" si="20"/>
        <v>71280</v>
      </c>
      <c r="Q113" s="15" t="s">
        <v>47</v>
      </c>
      <c r="R113" s="16">
        <f t="shared" si="21"/>
        <v>0.1</v>
      </c>
      <c r="S113" s="15">
        <f t="shared" si="22"/>
        <v>7128</v>
      </c>
      <c r="T113" s="15">
        <f t="shared" si="23"/>
        <v>64152</v>
      </c>
      <c r="U113" s="15">
        <f t="shared" si="24"/>
        <v>1603.8</v>
      </c>
      <c r="V113" s="15">
        <f t="shared" si="25"/>
        <v>1782</v>
      </c>
      <c r="W113" s="17">
        <f>IF($T113="",1000000000000000,$T113)</f>
        <v>64152</v>
      </c>
      <c r="XFB113" s="5"/>
      <c r="XFC113" s="3"/>
    </row>
    <row r="114" spans="1:23 16382:16383" s="4" customFormat="1" ht="28.5" customHeight="1">
      <c r="A114" s="14">
        <f t="shared" si="15"/>
        <v>96</v>
      </c>
      <c r="B114" s="14" t="s">
        <v>6</v>
      </c>
      <c r="C114" s="14" t="s">
        <v>491</v>
      </c>
      <c r="D114" s="14" t="s">
        <v>45</v>
      </c>
      <c r="E114" s="14" t="s">
        <v>26</v>
      </c>
      <c r="F114" s="14" t="s">
        <v>492</v>
      </c>
      <c r="G114" s="15">
        <v>1782</v>
      </c>
      <c r="H114" s="15"/>
      <c r="I114" s="15"/>
      <c r="J114" s="15">
        <v>1780</v>
      </c>
      <c r="K114" s="15">
        <f t="shared" si="14"/>
        <v>0</v>
      </c>
      <c r="L114" s="15">
        <f t="shared" si="16"/>
        <v>1782</v>
      </c>
      <c r="M114" s="15" t="str">
        <f t="shared" si="17"/>
        <v/>
      </c>
      <c r="N114" s="15">
        <f t="shared" si="18"/>
        <v>1780</v>
      </c>
      <c r="O114" s="15" t="str">
        <f t="shared" si="19"/>
        <v>휘발유 71,280원</v>
      </c>
      <c r="P114" s="15">
        <f t="shared" si="20"/>
        <v>71280</v>
      </c>
      <c r="Q114" s="15" t="s">
        <v>47</v>
      </c>
      <c r="R114" s="16">
        <f t="shared" si="21"/>
        <v>0.1</v>
      </c>
      <c r="S114" s="15">
        <f t="shared" si="22"/>
        <v>7128</v>
      </c>
      <c r="T114" s="15">
        <f t="shared" si="23"/>
        <v>64152</v>
      </c>
      <c r="U114" s="15">
        <f t="shared" si="24"/>
        <v>1603.8</v>
      </c>
      <c r="V114" s="15">
        <f t="shared" si="25"/>
        <v>1782</v>
      </c>
      <c r="W114" s="17">
        <f>IF($T114="",1000000000000000,$T114)</f>
        <v>64152</v>
      </c>
      <c r="XFB114" s="5"/>
      <c r="XFC114" s="3"/>
    </row>
    <row r="115" spans="1:23 16382:16383" s="4" customFormat="1" ht="28.5" customHeight="1">
      <c r="A115" s="14">
        <f t="shared" si="15"/>
        <v>101</v>
      </c>
      <c r="B115" s="14" t="s">
        <v>6</v>
      </c>
      <c r="C115" s="14" t="s">
        <v>73</v>
      </c>
      <c r="D115" s="14" t="s">
        <v>51</v>
      </c>
      <c r="E115" s="14" t="s">
        <v>63</v>
      </c>
      <c r="F115" s="14" t="s">
        <v>74</v>
      </c>
      <c r="G115" s="15">
        <v>1783</v>
      </c>
      <c r="H115" s="15">
        <v>1995</v>
      </c>
      <c r="I115" s="15"/>
      <c r="J115" s="15">
        <v>1783</v>
      </c>
      <c r="K115" s="15">
        <f t="shared" si="14"/>
        <v>0</v>
      </c>
      <c r="L115" s="15">
        <f t="shared" si="16"/>
        <v>1783</v>
      </c>
      <c r="M115" s="15">
        <f t="shared" si="17"/>
        <v>1995</v>
      </c>
      <c r="N115" s="15">
        <f t="shared" si="18"/>
        <v>1783</v>
      </c>
      <c r="O115" s="15" t="str">
        <f t="shared" si="19"/>
        <v>휘발유 71,320원</v>
      </c>
      <c r="P115" s="15">
        <f t="shared" si="20"/>
        <v>71320</v>
      </c>
      <c r="Q115" s="15" t="s">
        <v>47</v>
      </c>
      <c r="R115" s="16">
        <f t="shared" si="21"/>
        <v>0.1</v>
      </c>
      <c r="S115" s="15">
        <f t="shared" si="22"/>
        <v>7132</v>
      </c>
      <c r="T115" s="15">
        <f t="shared" si="23"/>
        <v>64188</v>
      </c>
      <c r="U115" s="15">
        <f t="shared" si="24"/>
        <v>1604.7</v>
      </c>
      <c r="V115" s="15">
        <f t="shared" si="25"/>
        <v>1783</v>
      </c>
      <c r="W115" s="17">
        <f>IF($T115="",1000000000000000,$T115)</f>
        <v>64188</v>
      </c>
      <c r="XFB115" s="5"/>
      <c r="XFC115" s="3"/>
    </row>
    <row r="116" spans="1:23 16382:16383" s="4" customFormat="1" ht="28.5" customHeight="1">
      <c r="A116" s="14">
        <f t="shared" si="15"/>
        <v>101</v>
      </c>
      <c r="B116" s="14" t="s">
        <v>6</v>
      </c>
      <c r="C116" s="14" t="s">
        <v>370</v>
      </c>
      <c r="D116" s="14" t="s">
        <v>45</v>
      </c>
      <c r="E116" s="14" t="s">
        <v>26</v>
      </c>
      <c r="F116" s="14" t="s">
        <v>480</v>
      </c>
      <c r="G116" s="15">
        <v>1783</v>
      </c>
      <c r="H116" s="15"/>
      <c r="I116" s="15"/>
      <c r="J116" s="15">
        <v>1788</v>
      </c>
      <c r="K116" s="15">
        <f t="shared" si="14"/>
        <v>0</v>
      </c>
      <c r="L116" s="15">
        <f t="shared" si="16"/>
        <v>1783</v>
      </c>
      <c r="M116" s="15" t="str">
        <f t="shared" si="17"/>
        <v/>
      </c>
      <c r="N116" s="15">
        <f t="shared" si="18"/>
        <v>1788</v>
      </c>
      <c r="O116" s="15" t="str">
        <f t="shared" si="19"/>
        <v>휘발유 71,320원</v>
      </c>
      <c r="P116" s="15">
        <f t="shared" si="20"/>
        <v>71320</v>
      </c>
      <c r="Q116" s="15" t="s">
        <v>47</v>
      </c>
      <c r="R116" s="16">
        <f t="shared" si="21"/>
        <v>0.1</v>
      </c>
      <c r="S116" s="15">
        <f t="shared" si="22"/>
        <v>7132</v>
      </c>
      <c r="T116" s="15">
        <f t="shared" si="23"/>
        <v>64188</v>
      </c>
      <c r="U116" s="15">
        <f t="shared" si="24"/>
        <v>1604.7</v>
      </c>
      <c r="V116" s="15">
        <f t="shared" si="25"/>
        <v>1783</v>
      </c>
      <c r="W116" s="17">
        <f>IF($T116="",1000000000000000,$T116)</f>
        <v>64188</v>
      </c>
      <c r="XFB116" s="5"/>
      <c r="XFC116" s="3"/>
    </row>
    <row r="117" spans="1:23 16382:16383" s="4" customFormat="1" ht="28.5" customHeight="1">
      <c r="A117" s="14">
        <f t="shared" si="15"/>
        <v>103</v>
      </c>
      <c r="B117" s="14" t="s">
        <v>6</v>
      </c>
      <c r="C117" s="14" t="s">
        <v>583</v>
      </c>
      <c r="D117" s="14" t="s">
        <v>56</v>
      </c>
      <c r="E117" s="14" t="s">
        <v>26</v>
      </c>
      <c r="F117" s="14" t="s">
        <v>584</v>
      </c>
      <c r="G117" s="15">
        <v>1784</v>
      </c>
      <c r="H117" s="15"/>
      <c r="I117" s="15"/>
      <c r="J117" s="15">
        <v>1782</v>
      </c>
      <c r="K117" s="15">
        <f t="shared" si="14"/>
        <v>0</v>
      </c>
      <c r="L117" s="15">
        <f t="shared" si="16"/>
        <v>1784</v>
      </c>
      <c r="M117" s="15" t="str">
        <f t="shared" si="17"/>
        <v/>
      </c>
      <c r="N117" s="15">
        <f t="shared" si="18"/>
        <v>1782</v>
      </c>
      <c r="O117" s="15" t="str">
        <f t="shared" si="19"/>
        <v>휘발유 71,360원</v>
      </c>
      <c r="P117" s="15">
        <f t="shared" si="20"/>
        <v>71360</v>
      </c>
      <c r="Q117" s="15" t="s">
        <v>47</v>
      </c>
      <c r="R117" s="16">
        <f t="shared" si="21"/>
        <v>0.1</v>
      </c>
      <c r="S117" s="15">
        <f t="shared" si="22"/>
        <v>7136</v>
      </c>
      <c r="T117" s="15">
        <f t="shared" si="23"/>
        <v>64224</v>
      </c>
      <c r="U117" s="15">
        <f t="shared" si="24"/>
        <v>1605.6</v>
      </c>
      <c r="V117" s="15">
        <f t="shared" si="25"/>
        <v>1784</v>
      </c>
      <c r="W117" s="17">
        <f>IF($T117="",1000000000000000,$T117)</f>
        <v>64224</v>
      </c>
      <c r="XFB117" s="5"/>
      <c r="XFC117" s="3"/>
    </row>
    <row r="118" spans="1:23 16382:16383" s="4" customFormat="1" ht="28.5" customHeight="1">
      <c r="A118" s="14">
        <f t="shared" si="15"/>
        <v>104</v>
      </c>
      <c r="B118" s="14" t="s">
        <v>18</v>
      </c>
      <c r="C118" s="14" t="s">
        <v>599</v>
      </c>
      <c r="D118" s="18" t="s">
        <v>86</v>
      </c>
      <c r="E118" s="14" t="s">
        <v>26</v>
      </c>
      <c r="F118" s="14" t="s">
        <v>600</v>
      </c>
      <c r="G118" s="15">
        <v>1889</v>
      </c>
      <c r="H118" s="15"/>
      <c r="I118" s="15"/>
      <c r="J118" s="15">
        <v>1879</v>
      </c>
      <c r="K118" s="15">
        <f t="shared" si="14"/>
        <v>0</v>
      </c>
      <c r="L118" s="15">
        <f t="shared" si="16"/>
        <v>1889</v>
      </c>
      <c r="M118" s="15" t="str">
        <f t="shared" si="17"/>
        <v/>
      </c>
      <c r="N118" s="15">
        <f t="shared" si="18"/>
        <v>1879</v>
      </c>
      <c r="O118" s="15" t="str">
        <f t="shared" si="19"/>
        <v>휘발유 75,560원</v>
      </c>
      <c r="P118" s="15">
        <f t="shared" si="20"/>
        <v>75560</v>
      </c>
      <c r="Q118" s="15" t="s">
        <v>47</v>
      </c>
      <c r="R118" s="16">
        <f t="shared" si="21"/>
        <v>0.15</v>
      </c>
      <c r="S118" s="15">
        <f t="shared" si="22"/>
        <v>11334</v>
      </c>
      <c r="T118" s="15">
        <f t="shared" si="23"/>
        <v>64226</v>
      </c>
      <c r="U118" s="15">
        <f t="shared" si="24"/>
        <v>1605.65</v>
      </c>
      <c r="V118" s="15">
        <f t="shared" si="25"/>
        <v>1889</v>
      </c>
      <c r="W118" s="17">
        <f>IF($T118="",1000000000000000,$T118)</f>
        <v>64226</v>
      </c>
      <c r="XFB118" s="5"/>
      <c r="XFC118" s="3"/>
    </row>
    <row r="119" spans="1:23 16382:16383" s="4" customFormat="1" ht="28.5" customHeight="1">
      <c r="A119" s="14">
        <f t="shared" si="15"/>
        <v>104</v>
      </c>
      <c r="B119" s="14" t="s">
        <v>18</v>
      </c>
      <c r="C119" s="14" t="s">
        <v>531</v>
      </c>
      <c r="D119" s="14" t="s">
        <v>95</v>
      </c>
      <c r="E119" s="14" t="s">
        <v>26</v>
      </c>
      <c r="F119" s="14" t="s">
        <v>532</v>
      </c>
      <c r="G119" s="15">
        <v>1889</v>
      </c>
      <c r="H119" s="15"/>
      <c r="I119" s="15"/>
      <c r="J119" s="15">
        <v>1888</v>
      </c>
      <c r="K119" s="15">
        <f t="shared" si="14"/>
        <v>0</v>
      </c>
      <c r="L119" s="15">
        <f t="shared" si="16"/>
        <v>1889</v>
      </c>
      <c r="M119" s="15" t="str">
        <f t="shared" si="17"/>
        <v/>
      </c>
      <c r="N119" s="15">
        <f t="shared" si="18"/>
        <v>1888</v>
      </c>
      <c r="O119" s="15" t="str">
        <f t="shared" si="19"/>
        <v>휘발유 75,560원</v>
      </c>
      <c r="P119" s="15">
        <f t="shared" si="20"/>
        <v>75560</v>
      </c>
      <c r="Q119" s="15" t="s">
        <v>47</v>
      </c>
      <c r="R119" s="16">
        <f t="shared" si="21"/>
        <v>0.15</v>
      </c>
      <c r="S119" s="15">
        <f t="shared" si="22"/>
        <v>11334</v>
      </c>
      <c r="T119" s="15">
        <f t="shared" si="23"/>
        <v>64226</v>
      </c>
      <c r="U119" s="15">
        <f t="shared" si="24"/>
        <v>1605.65</v>
      </c>
      <c r="V119" s="15">
        <f t="shared" si="25"/>
        <v>1889</v>
      </c>
      <c r="W119" s="17">
        <f>IF($T119="",1000000000000000,$T119)</f>
        <v>64226</v>
      </c>
      <c r="XFB119" s="5"/>
      <c r="XFC119" s="3"/>
    </row>
    <row r="120" spans="1:23 16382:16383" s="4" customFormat="1" ht="28.5" customHeight="1">
      <c r="A120" s="14">
        <f t="shared" si="15"/>
        <v>106</v>
      </c>
      <c r="B120" s="14" t="s">
        <v>6</v>
      </c>
      <c r="C120" s="14" t="s">
        <v>97</v>
      </c>
      <c r="D120" s="14" t="s">
        <v>51</v>
      </c>
      <c r="E120" s="14" t="s">
        <v>26</v>
      </c>
      <c r="F120" s="14" t="s">
        <v>98</v>
      </c>
      <c r="G120" s="15">
        <v>1785</v>
      </c>
      <c r="H120" s="15">
        <v>2015</v>
      </c>
      <c r="I120" s="15"/>
      <c r="J120" s="15">
        <v>1785</v>
      </c>
      <c r="K120" s="15">
        <f t="shared" si="14"/>
        <v>0</v>
      </c>
      <c r="L120" s="15">
        <f t="shared" si="16"/>
        <v>1785</v>
      </c>
      <c r="M120" s="15">
        <f t="shared" si="17"/>
        <v>2015</v>
      </c>
      <c r="N120" s="15">
        <f t="shared" si="18"/>
        <v>1785</v>
      </c>
      <c r="O120" s="15" t="str">
        <f t="shared" si="19"/>
        <v>휘발유 71,400원</v>
      </c>
      <c r="P120" s="15">
        <f t="shared" si="20"/>
        <v>71400</v>
      </c>
      <c r="Q120" s="15" t="s">
        <v>47</v>
      </c>
      <c r="R120" s="16">
        <f t="shared" si="21"/>
        <v>0.1</v>
      </c>
      <c r="S120" s="15">
        <f t="shared" si="22"/>
        <v>7140</v>
      </c>
      <c r="T120" s="15">
        <f t="shared" si="23"/>
        <v>64260</v>
      </c>
      <c r="U120" s="15">
        <f t="shared" si="24"/>
        <v>1606.5</v>
      </c>
      <c r="V120" s="15">
        <f t="shared" si="25"/>
        <v>1785</v>
      </c>
      <c r="W120" s="17">
        <f>IF($T120="",1000000000000000,$T120)</f>
        <v>64260</v>
      </c>
      <c r="XFB120" s="5"/>
      <c r="XFC120" s="3"/>
    </row>
    <row r="121" spans="1:23 16382:16383" s="4" customFormat="1" ht="28.5" customHeight="1">
      <c r="A121" s="14">
        <f t="shared" si="15"/>
        <v>106</v>
      </c>
      <c r="B121" s="14" t="s">
        <v>6</v>
      </c>
      <c r="C121" s="14" t="s">
        <v>99</v>
      </c>
      <c r="D121" s="14" t="s">
        <v>51</v>
      </c>
      <c r="E121" s="14" t="s">
        <v>26</v>
      </c>
      <c r="F121" s="14" t="s">
        <v>100</v>
      </c>
      <c r="G121" s="15">
        <v>1785</v>
      </c>
      <c r="H121" s="15">
        <v>2015</v>
      </c>
      <c r="I121" s="15"/>
      <c r="J121" s="15">
        <v>1785</v>
      </c>
      <c r="K121" s="15">
        <f t="shared" si="14"/>
        <v>0</v>
      </c>
      <c r="L121" s="15">
        <f t="shared" si="16"/>
        <v>1785</v>
      </c>
      <c r="M121" s="15">
        <f t="shared" si="17"/>
        <v>2015</v>
      </c>
      <c r="N121" s="15">
        <f t="shared" si="18"/>
        <v>1785</v>
      </c>
      <c r="O121" s="15" t="str">
        <f t="shared" si="19"/>
        <v>휘발유 71,400원</v>
      </c>
      <c r="P121" s="15">
        <f t="shared" si="20"/>
        <v>71400</v>
      </c>
      <c r="Q121" s="15" t="s">
        <v>47</v>
      </c>
      <c r="R121" s="16">
        <f t="shared" si="21"/>
        <v>0.1</v>
      </c>
      <c r="S121" s="15">
        <f t="shared" si="22"/>
        <v>7140</v>
      </c>
      <c r="T121" s="15">
        <f t="shared" si="23"/>
        <v>64260</v>
      </c>
      <c r="U121" s="15">
        <f t="shared" si="24"/>
        <v>1606.5</v>
      </c>
      <c r="V121" s="15">
        <f t="shared" si="25"/>
        <v>1785</v>
      </c>
      <c r="W121" s="17">
        <f>IF($T121="",1000000000000000,$T121)</f>
        <v>64260</v>
      </c>
      <c r="XFB121" s="5"/>
      <c r="XFC121" s="3"/>
    </row>
    <row r="122" spans="1:23 16382:16383" s="4" customFormat="1" ht="28.5" customHeight="1">
      <c r="A122" s="14">
        <f t="shared" si="15"/>
        <v>106</v>
      </c>
      <c r="B122" s="14" t="s">
        <v>6</v>
      </c>
      <c r="C122" s="14" t="s">
        <v>145</v>
      </c>
      <c r="D122" s="14" t="s">
        <v>56</v>
      </c>
      <c r="E122" s="14" t="s">
        <v>26</v>
      </c>
      <c r="F122" s="14" t="s">
        <v>533</v>
      </c>
      <c r="G122" s="15">
        <v>1785</v>
      </c>
      <c r="H122" s="15"/>
      <c r="I122" s="15"/>
      <c r="J122" s="15">
        <v>1785</v>
      </c>
      <c r="K122" s="15">
        <f t="shared" si="14"/>
        <v>0</v>
      </c>
      <c r="L122" s="15">
        <f t="shared" si="16"/>
        <v>1785</v>
      </c>
      <c r="M122" s="15" t="str">
        <f t="shared" si="17"/>
        <v/>
      </c>
      <c r="N122" s="15">
        <f t="shared" si="18"/>
        <v>1785</v>
      </c>
      <c r="O122" s="15" t="str">
        <f t="shared" si="19"/>
        <v>휘발유 71,400원</v>
      </c>
      <c r="P122" s="15">
        <f t="shared" si="20"/>
        <v>71400</v>
      </c>
      <c r="Q122" s="15" t="s">
        <v>47</v>
      </c>
      <c r="R122" s="16">
        <f t="shared" si="21"/>
        <v>0.1</v>
      </c>
      <c r="S122" s="15">
        <f t="shared" si="22"/>
        <v>7140</v>
      </c>
      <c r="T122" s="15">
        <f t="shared" si="23"/>
        <v>64260</v>
      </c>
      <c r="U122" s="15">
        <f t="shared" si="24"/>
        <v>1606.5</v>
      </c>
      <c r="V122" s="15">
        <f t="shared" si="25"/>
        <v>1785</v>
      </c>
      <c r="W122" s="17">
        <f>IF($T122="",1000000000000000,$T122)</f>
        <v>64260</v>
      </c>
      <c r="XFB122" s="5"/>
      <c r="XFC122" s="3"/>
    </row>
    <row r="123" spans="1:23 16382:16383" s="4" customFormat="1" ht="28.5" customHeight="1">
      <c r="A123" s="14">
        <f t="shared" si="15"/>
        <v>106</v>
      </c>
      <c r="B123" s="14" t="s">
        <v>6</v>
      </c>
      <c r="C123" s="14" t="s">
        <v>534</v>
      </c>
      <c r="D123" s="14" t="s">
        <v>45</v>
      </c>
      <c r="E123" s="14" t="s">
        <v>26</v>
      </c>
      <c r="F123" s="14" t="s">
        <v>535</v>
      </c>
      <c r="G123" s="15">
        <v>1785</v>
      </c>
      <c r="H123" s="15"/>
      <c r="I123" s="15"/>
      <c r="J123" s="15">
        <v>1785</v>
      </c>
      <c r="K123" s="15">
        <f t="shared" si="14"/>
        <v>0</v>
      </c>
      <c r="L123" s="15">
        <f t="shared" si="16"/>
        <v>1785</v>
      </c>
      <c r="M123" s="15" t="str">
        <f t="shared" si="17"/>
        <v/>
      </c>
      <c r="N123" s="15">
        <f t="shared" si="18"/>
        <v>1785</v>
      </c>
      <c r="O123" s="15" t="str">
        <f t="shared" si="19"/>
        <v>휘발유 71,400원</v>
      </c>
      <c r="P123" s="15">
        <f t="shared" si="20"/>
        <v>71400</v>
      </c>
      <c r="Q123" s="15" t="s">
        <v>47</v>
      </c>
      <c r="R123" s="16">
        <f t="shared" si="21"/>
        <v>0.1</v>
      </c>
      <c r="S123" s="15">
        <f t="shared" si="22"/>
        <v>7140</v>
      </c>
      <c r="T123" s="15">
        <f t="shared" si="23"/>
        <v>64260</v>
      </c>
      <c r="U123" s="15">
        <f t="shared" si="24"/>
        <v>1606.5</v>
      </c>
      <c r="V123" s="15">
        <f t="shared" si="25"/>
        <v>1785</v>
      </c>
      <c r="W123" s="17">
        <f>IF($T123="",1000000000000000,$T123)</f>
        <v>64260</v>
      </c>
      <c r="XFB123" s="5"/>
      <c r="XFC123" s="3"/>
    </row>
    <row r="124" spans="1:23 16382:16383" s="4" customFormat="1" ht="28.5" customHeight="1">
      <c r="A124" s="14">
        <f t="shared" si="15"/>
        <v>106</v>
      </c>
      <c r="B124" s="14" t="s">
        <v>6</v>
      </c>
      <c r="C124" s="14" t="s">
        <v>536</v>
      </c>
      <c r="D124" s="14" t="s">
        <v>95</v>
      </c>
      <c r="E124" s="14" t="s">
        <v>26</v>
      </c>
      <c r="F124" s="14" t="s">
        <v>537</v>
      </c>
      <c r="G124" s="15">
        <v>1785</v>
      </c>
      <c r="H124" s="15"/>
      <c r="I124" s="15"/>
      <c r="J124" s="15">
        <v>1785</v>
      </c>
      <c r="K124" s="15">
        <f t="shared" si="14"/>
        <v>0</v>
      </c>
      <c r="L124" s="15">
        <f t="shared" si="16"/>
        <v>1785</v>
      </c>
      <c r="M124" s="15" t="str">
        <f t="shared" si="17"/>
        <v/>
      </c>
      <c r="N124" s="15">
        <f t="shared" si="18"/>
        <v>1785</v>
      </c>
      <c r="O124" s="15" t="str">
        <f t="shared" si="19"/>
        <v>휘발유 71,400원</v>
      </c>
      <c r="P124" s="15">
        <f t="shared" si="20"/>
        <v>71400</v>
      </c>
      <c r="Q124" s="15" t="s">
        <v>47</v>
      </c>
      <c r="R124" s="16">
        <f t="shared" si="21"/>
        <v>0.1</v>
      </c>
      <c r="S124" s="15">
        <f t="shared" si="22"/>
        <v>7140</v>
      </c>
      <c r="T124" s="15">
        <f t="shared" si="23"/>
        <v>64260</v>
      </c>
      <c r="U124" s="15">
        <f t="shared" si="24"/>
        <v>1606.5</v>
      </c>
      <c r="V124" s="15">
        <f t="shared" si="25"/>
        <v>1785</v>
      </c>
      <c r="W124" s="17">
        <f>IF($T124="",1000000000000000,$T124)</f>
        <v>64260</v>
      </c>
      <c r="XFB124" s="5"/>
      <c r="XFC124" s="3"/>
    </row>
    <row r="125" spans="1:23 16382:16383" s="4" customFormat="1" ht="28.5" customHeight="1">
      <c r="A125" s="14">
        <f t="shared" si="15"/>
        <v>106</v>
      </c>
      <c r="B125" s="14" t="s">
        <v>6</v>
      </c>
      <c r="C125" s="14" t="s">
        <v>538</v>
      </c>
      <c r="D125" s="14" t="s">
        <v>51</v>
      </c>
      <c r="E125" s="14" t="s">
        <v>26</v>
      </c>
      <c r="F125" s="14" t="s">
        <v>539</v>
      </c>
      <c r="G125" s="15">
        <v>1785</v>
      </c>
      <c r="H125" s="15"/>
      <c r="I125" s="15"/>
      <c r="J125" s="15">
        <v>1785</v>
      </c>
      <c r="K125" s="15">
        <f t="shared" si="14"/>
        <v>0</v>
      </c>
      <c r="L125" s="15">
        <f t="shared" si="16"/>
        <v>1785</v>
      </c>
      <c r="M125" s="15" t="str">
        <f t="shared" si="17"/>
        <v/>
      </c>
      <c r="N125" s="15">
        <f t="shared" si="18"/>
        <v>1785</v>
      </c>
      <c r="O125" s="15" t="str">
        <f t="shared" si="19"/>
        <v>휘발유 71,400원</v>
      </c>
      <c r="P125" s="15">
        <f t="shared" si="20"/>
        <v>71400</v>
      </c>
      <c r="Q125" s="15" t="s">
        <v>47</v>
      </c>
      <c r="R125" s="16">
        <f t="shared" si="21"/>
        <v>0.1</v>
      </c>
      <c r="S125" s="15">
        <f t="shared" si="22"/>
        <v>7140</v>
      </c>
      <c r="T125" s="15">
        <f t="shared" si="23"/>
        <v>64260</v>
      </c>
      <c r="U125" s="15">
        <f t="shared" si="24"/>
        <v>1606.5</v>
      </c>
      <c r="V125" s="15">
        <f t="shared" si="25"/>
        <v>1785</v>
      </c>
      <c r="W125" s="17">
        <f>IF($T125="",1000000000000000,$T125)</f>
        <v>64260</v>
      </c>
      <c r="XFB125" s="5"/>
      <c r="XFC125" s="3"/>
    </row>
    <row r="126" spans="1:23 16382:16383" s="4" customFormat="1" ht="28.5" customHeight="1">
      <c r="A126" s="14">
        <f t="shared" si="15"/>
        <v>106</v>
      </c>
      <c r="B126" s="14" t="s">
        <v>12</v>
      </c>
      <c r="C126" s="14" t="s">
        <v>448</v>
      </c>
      <c r="D126" s="18" t="s">
        <v>51</v>
      </c>
      <c r="E126" s="14" t="s">
        <v>26</v>
      </c>
      <c r="F126" s="14" t="s">
        <v>449</v>
      </c>
      <c r="G126" s="15">
        <v>1785</v>
      </c>
      <c r="H126" s="15"/>
      <c r="I126" s="15"/>
      <c r="J126" s="15">
        <v>1785</v>
      </c>
      <c r="K126" s="15">
        <f t="shared" si="14"/>
        <v>0</v>
      </c>
      <c r="L126" s="15">
        <f t="shared" si="16"/>
        <v>1785</v>
      </c>
      <c r="M126" s="15" t="str">
        <f t="shared" si="17"/>
        <v/>
      </c>
      <c r="N126" s="15">
        <f t="shared" si="18"/>
        <v>1785</v>
      </c>
      <c r="O126" s="15" t="str">
        <f t="shared" si="19"/>
        <v>휘발유 71,400원</v>
      </c>
      <c r="P126" s="15">
        <f t="shared" si="20"/>
        <v>71400</v>
      </c>
      <c r="Q126" s="15" t="s">
        <v>47</v>
      </c>
      <c r="R126" s="16">
        <f t="shared" si="21"/>
        <v>0.1</v>
      </c>
      <c r="S126" s="15">
        <f t="shared" si="22"/>
        <v>7140</v>
      </c>
      <c r="T126" s="15">
        <f t="shared" si="23"/>
        <v>64260</v>
      </c>
      <c r="U126" s="15">
        <f t="shared" si="24"/>
        <v>1606.5</v>
      </c>
      <c r="V126" s="15">
        <f t="shared" si="25"/>
        <v>1785</v>
      </c>
      <c r="W126" s="17">
        <f>IF($T126="",1000000000000000,$T126)</f>
        <v>64260</v>
      </c>
      <c r="XFB126" s="5"/>
      <c r="XFC126" s="3"/>
    </row>
    <row r="127" spans="1:23 16382:16383" s="4" customFormat="1" ht="28.5" customHeight="1">
      <c r="A127" s="14">
        <f t="shared" si="15"/>
        <v>106</v>
      </c>
      <c r="B127" s="14" t="s">
        <v>6</v>
      </c>
      <c r="C127" s="14" t="s">
        <v>540</v>
      </c>
      <c r="D127" s="14" t="s">
        <v>95</v>
      </c>
      <c r="E127" s="14" t="s">
        <v>26</v>
      </c>
      <c r="F127" s="14" t="s">
        <v>541</v>
      </c>
      <c r="G127" s="15">
        <v>1785</v>
      </c>
      <c r="H127" s="15"/>
      <c r="I127" s="15"/>
      <c r="J127" s="15">
        <v>1788</v>
      </c>
      <c r="K127" s="15">
        <f t="shared" si="14"/>
        <v>0</v>
      </c>
      <c r="L127" s="15">
        <f t="shared" si="16"/>
        <v>1785</v>
      </c>
      <c r="M127" s="15" t="str">
        <f t="shared" si="17"/>
        <v/>
      </c>
      <c r="N127" s="15">
        <f t="shared" si="18"/>
        <v>1788</v>
      </c>
      <c r="O127" s="15" t="str">
        <f t="shared" si="19"/>
        <v>휘발유 71,400원</v>
      </c>
      <c r="P127" s="15">
        <f t="shared" si="20"/>
        <v>71400</v>
      </c>
      <c r="Q127" s="15" t="s">
        <v>47</v>
      </c>
      <c r="R127" s="16">
        <f t="shared" si="21"/>
        <v>0.1</v>
      </c>
      <c r="S127" s="15">
        <f t="shared" si="22"/>
        <v>7140</v>
      </c>
      <c r="T127" s="15">
        <f t="shared" si="23"/>
        <v>64260</v>
      </c>
      <c r="U127" s="15">
        <f t="shared" si="24"/>
        <v>1606.5</v>
      </c>
      <c r="V127" s="15">
        <f t="shared" si="25"/>
        <v>1785</v>
      </c>
      <c r="W127" s="17">
        <f>IF($T127="",1000000000000000,$T127)</f>
        <v>64260</v>
      </c>
      <c r="XFB127" s="5"/>
      <c r="XFC127" s="3"/>
    </row>
    <row r="128" spans="1:23 16382:16383" s="4" customFormat="1" ht="28.5" customHeight="1">
      <c r="A128" s="14">
        <f t="shared" si="15"/>
        <v>106</v>
      </c>
      <c r="B128" s="14" t="s">
        <v>10</v>
      </c>
      <c r="C128" s="14" t="s">
        <v>468</v>
      </c>
      <c r="D128" s="14" t="s">
        <v>95</v>
      </c>
      <c r="E128" s="14" t="s">
        <v>26</v>
      </c>
      <c r="F128" s="14" t="s">
        <v>469</v>
      </c>
      <c r="G128" s="15">
        <v>1785</v>
      </c>
      <c r="H128" s="15"/>
      <c r="I128" s="15"/>
      <c r="J128" s="15">
        <v>1795</v>
      </c>
      <c r="K128" s="15">
        <f t="shared" si="14"/>
        <v>0</v>
      </c>
      <c r="L128" s="15">
        <f t="shared" si="16"/>
        <v>1785</v>
      </c>
      <c r="M128" s="15" t="str">
        <f t="shared" si="17"/>
        <v/>
      </c>
      <c r="N128" s="15">
        <f t="shared" si="18"/>
        <v>1795</v>
      </c>
      <c r="O128" s="15" t="str">
        <f t="shared" si="19"/>
        <v>휘발유 71,400원</v>
      </c>
      <c r="P128" s="15">
        <f t="shared" si="20"/>
        <v>71400</v>
      </c>
      <c r="Q128" s="15" t="s">
        <v>47</v>
      </c>
      <c r="R128" s="16">
        <f t="shared" si="21"/>
        <v>0.1</v>
      </c>
      <c r="S128" s="15">
        <f t="shared" si="22"/>
        <v>7140</v>
      </c>
      <c r="T128" s="15">
        <f t="shared" si="23"/>
        <v>64260</v>
      </c>
      <c r="U128" s="15">
        <f t="shared" si="24"/>
        <v>1606.5</v>
      </c>
      <c r="V128" s="15">
        <f t="shared" si="25"/>
        <v>1785</v>
      </c>
      <c r="W128" s="17">
        <f>IF($T128="",1000000000000000,$T128)</f>
        <v>64260</v>
      </c>
      <c r="XFB128" s="5"/>
      <c r="XFC128" s="3"/>
    </row>
    <row r="129" spans="1:23 16382:16383" s="4" customFormat="1" ht="28.5" customHeight="1">
      <c r="A129" s="14">
        <f t="shared" si="15"/>
        <v>115</v>
      </c>
      <c r="B129" s="14" t="s">
        <v>6</v>
      </c>
      <c r="C129" s="14" t="s">
        <v>454</v>
      </c>
      <c r="D129" s="14" t="s">
        <v>51</v>
      </c>
      <c r="E129" s="14" t="s">
        <v>26</v>
      </c>
      <c r="F129" s="14" t="s">
        <v>455</v>
      </c>
      <c r="G129" s="15">
        <v>1786</v>
      </c>
      <c r="H129" s="15"/>
      <c r="I129" s="15"/>
      <c r="J129" s="15">
        <v>1782</v>
      </c>
      <c r="K129" s="15">
        <f t="shared" si="14"/>
        <v>0</v>
      </c>
      <c r="L129" s="15">
        <f t="shared" si="16"/>
        <v>1786</v>
      </c>
      <c r="M129" s="15" t="str">
        <f t="shared" si="17"/>
        <v/>
      </c>
      <c r="N129" s="15">
        <f t="shared" si="18"/>
        <v>1782</v>
      </c>
      <c r="O129" s="15" t="str">
        <f t="shared" si="19"/>
        <v>휘발유 71,440원</v>
      </c>
      <c r="P129" s="15">
        <f t="shared" si="20"/>
        <v>71440</v>
      </c>
      <c r="Q129" s="15" t="s">
        <v>47</v>
      </c>
      <c r="R129" s="16">
        <f t="shared" si="21"/>
        <v>0.1</v>
      </c>
      <c r="S129" s="15">
        <f t="shared" si="22"/>
        <v>7144</v>
      </c>
      <c r="T129" s="15">
        <f t="shared" si="23"/>
        <v>64296</v>
      </c>
      <c r="U129" s="15">
        <f t="shared" si="24"/>
        <v>1607.4</v>
      </c>
      <c r="V129" s="15">
        <f t="shared" si="25"/>
        <v>1786</v>
      </c>
      <c r="W129" s="17">
        <f>IF($T129="",1000000000000000,$T129)</f>
        <v>64296</v>
      </c>
      <c r="XFB129" s="5"/>
      <c r="XFC129" s="3"/>
    </row>
    <row r="130" spans="1:23 16382:16383" s="4" customFormat="1" ht="28.5" customHeight="1">
      <c r="A130" s="14">
        <f t="shared" si="15"/>
        <v>116</v>
      </c>
      <c r="B130" s="14" t="s">
        <v>16</v>
      </c>
      <c r="C130" s="14" t="s">
        <v>542</v>
      </c>
      <c r="D130" s="14" t="s">
        <v>45</v>
      </c>
      <c r="E130" s="14" t="s">
        <v>26</v>
      </c>
      <c r="F130" s="14" t="s">
        <v>543</v>
      </c>
      <c r="G130" s="15">
        <v>1827</v>
      </c>
      <c r="H130" s="15"/>
      <c r="I130" s="15"/>
      <c r="J130" s="15">
        <v>1827</v>
      </c>
      <c r="K130" s="15">
        <f t="shared" si="14"/>
        <v>0</v>
      </c>
      <c r="L130" s="15">
        <f t="shared" si="16"/>
        <v>1827</v>
      </c>
      <c r="M130" s="15" t="str">
        <f t="shared" si="17"/>
        <v/>
      </c>
      <c r="N130" s="15">
        <f t="shared" si="18"/>
        <v>1827</v>
      </c>
      <c r="O130" s="15" t="str">
        <f t="shared" si="19"/>
        <v>휘발유 73,080원</v>
      </c>
      <c r="P130" s="15">
        <f t="shared" si="20"/>
        <v>73080</v>
      </c>
      <c r="Q130" s="15" t="s">
        <v>47</v>
      </c>
      <c r="R130" s="16">
        <f t="shared" si="21"/>
        <v>0.12</v>
      </c>
      <c r="S130" s="15">
        <f t="shared" si="22"/>
        <v>8769</v>
      </c>
      <c r="T130" s="15">
        <f t="shared" si="23"/>
        <v>64311</v>
      </c>
      <c r="U130" s="15">
        <f t="shared" si="24"/>
        <v>1607.7750000000001</v>
      </c>
      <c r="V130" s="15">
        <f t="shared" si="25"/>
        <v>1827</v>
      </c>
      <c r="W130" s="17">
        <f>IF($T130="",1000000000000000,$T130)</f>
        <v>64311</v>
      </c>
      <c r="XFB130" s="5"/>
      <c r="XFC130" s="3"/>
    </row>
    <row r="131" spans="1:23 16382:16383" s="4" customFormat="1" ht="28.5" customHeight="1">
      <c r="A131" s="14">
        <f t="shared" si="15"/>
        <v>117</v>
      </c>
      <c r="B131" s="14" t="s">
        <v>6</v>
      </c>
      <c r="C131" s="14" t="s">
        <v>151</v>
      </c>
      <c r="D131" s="14" t="s">
        <v>45</v>
      </c>
      <c r="E131" s="14" t="s">
        <v>26</v>
      </c>
      <c r="F131" s="14" t="s">
        <v>152</v>
      </c>
      <c r="G131" s="15">
        <v>1787</v>
      </c>
      <c r="H131" s="15">
        <v>1974</v>
      </c>
      <c r="I131" s="15"/>
      <c r="J131" s="15">
        <v>1783</v>
      </c>
      <c r="K131" s="15">
        <f t="shared" si="14"/>
        <v>0</v>
      </c>
      <c r="L131" s="15">
        <f t="shared" si="16"/>
        <v>1787</v>
      </c>
      <c r="M131" s="15">
        <f t="shared" si="17"/>
        <v>1974</v>
      </c>
      <c r="N131" s="15">
        <f t="shared" si="18"/>
        <v>1783</v>
      </c>
      <c r="O131" s="15" t="str">
        <f t="shared" si="19"/>
        <v>휘발유 71,480원</v>
      </c>
      <c r="P131" s="15">
        <f t="shared" si="20"/>
        <v>71480</v>
      </c>
      <c r="Q131" s="15" t="s">
        <v>47</v>
      </c>
      <c r="R131" s="16">
        <f t="shared" si="21"/>
        <v>0.1</v>
      </c>
      <c r="S131" s="15">
        <f t="shared" si="22"/>
        <v>7148</v>
      </c>
      <c r="T131" s="15">
        <f t="shared" si="23"/>
        <v>64332</v>
      </c>
      <c r="U131" s="15">
        <f t="shared" si="24"/>
        <v>1608.3</v>
      </c>
      <c r="V131" s="15">
        <f t="shared" si="25"/>
        <v>1787</v>
      </c>
      <c r="W131" s="17">
        <f>IF($T131="",1000000000000000,$T131)</f>
        <v>64332</v>
      </c>
      <c r="XFB131" s="5"/>
      <c r="XFC131" s="3"/>
    </row>
    <row r="132" spans="1:23 16382:16383" s="4" customFormat="1" ht="28.5" customHeight="1">
      <c r="A132" s="14">
        <f t="shared" si="15"/>
        <v>117</v>
      </c>
      <c r="B132" s="14" t="s">
        <v>6</v>
      </c>
      <c r="C132" s="14" t="s">
        <v>71</v>
      </c>
      <c r="D132" s="14" t="s">
        <v>45</v>
      </c>
      <c r="E132" s="14" t="s">
        <v>26</v>
      </c>
      <c r="F132" s="14" t="s">
        <v>72</v>
      </c>
      <c r="G132" s="15">
        <v>1787</v>
      </c>
      <c r="H132" s="15">
        <v>1974</v>
      </c>
      <c r="I132" s="15"/>
      <c r="J132" s="15">
        <v>1783</v>
      </c>
      <c r="K132" s="15">
        <f t="shared" si="14"/>
        <v>0</v>
      </c>
      <c r="L132" s="15">
        <f t="shared" si="16"/>
        <v>1787</v>
      </c>
      <c r="M132" s="15">
        <f t="shared" si="17"/>
        <v>1974</v>
      </c>
      <c r="N132" s="15">
        <f t="shared" si="18"/>
        <v>1783</v>
      </c>
      <c r="O132" s="15" t="str">
        <f t="shared" si="19"/>
        <v>휘발유 71,480원</v>
      </c>
      <c r="P132" s="15">
        <f t="shared" si="20"/>
        <v>71480</v>
      </c>
      <c r="Q132" s="15" t="s">
        <v>47</v>
      </c>
      <c r="R132" s="16">
        <f t="shared" si="21"/>
        <v>0.1</v>
      </c>
      <c r="S132" s="15">
        <f t="shared" si="22"/>
        <v>7148</v>
      </c>
      <c r="T132" s="15">
        <f t="shared" si="23"/>
        <v>64332</v>
      </c>
      <c r="U132" s="15">
        <f t="shared" si="24"/>
        <v>1608.3</v>
      </c>
      <c r="V132" s="15">
        <f t="shared" si="25"/>
        <v>1787</v>
      </c>
      <c r="W132" s="17">
        <f>IF($T132="",1000000000000000,$T132)</f>
        <v>64332</v>
      </c>
      <c r="XFB132" s="5"/>
      <c r="XFC132" s="3"/>
    </row>
    <row r="133" spans="1:23 16382:16383" s="4" customFormat="1" ht="28.5" customHeight="1">
      <c r="A133" s="14">
        <f t="shared" si="15"/>
        <v>117</v>
      </c>
      <c r="B133" s="14" t="s">
        <v>6</v>
      </c>
      <c r="C133" s="14" t="s">
        <v>83</v>
      </c>
      <c r="D133" s="14" t="s">
        <v>45</v>
      </c>
      <c r="E133" s="14" t="s">
        <v>26</v>
      </c>
      <c r="F133" s="14" t="s">
        <v>84</v>
      </c>
      <c r="G133" s="15">
        <v>1787</v>
      </c>
      <c r="H133" s="15">
        <v>1999</v>
      </c>
      <c r="I133" s="15"/>
      <c r="J133" s="15">
        <v>1783</v>
      </c>
      <c r="K133" s="15">
        <f t="shared" si="14"/>
        <v>0</v>
      </c>
      <c r="L133" s="15">
        <f t="shared" si="16"/>
        <v>1787</v>
      </c>
      <c r="M133" s="15">
        <f t="shared" si="17"/>
        <v>1999</v>
      </c>
      <c r="N133" s="15">
        <f t="shared" si="18"/>
        <v>1783</v>
      </c>
      <c r="O133" s="15" t="str">
        <f t="shared" si="19"/>
        <v>휘발유 71,480원</v>
      </c>
      <c r="P133" s="15">
        <f t="shared" si="20"/>
        <v>71480</v>
      </c>
      <c r="Q133" s="15" t="s">
        <v>47</v>
      </c>
      <c r="R133" s="16">
        <f t="shared" si="21"/>
        <v>0.1</v>
      </c>
      <c r="S133" s="15">
        <f t="shared" si="22"/>
        <v>7148</v>
      </c>
      <c r="T133" s="15">
        <f t="shared" si="23"/>
        <v>64332</v>
      </c>
      <c r="U133" s="15">
        <f t="shared" si="24"/>
        <v>1608.3</v>
      </c>
      <c r="V133" s="15">
        <f t="shared" si="25"/>
        <v>1787</v>
      </c>
      <c r="W133" s="17">
        <f>IF($T133="",1000000000000000,$T133)</f>
        <v>64332</v>
      </c>
      <c r="XFB133" s="5"/>
      <c r="XFC133" s="3"/>
    </row>
    <row r="134" spans="1:23 16382:16383" s="4" customFormat="1" ht="28.5" customHeight="1">
      <c r="A134" s="14">
        <f t="shared" si="15"/>
        <v>117</v>
      </c>
      <c r="B134" s="14" t="s">
        <v>6</v>
      </c>
      <c r="C134" s="14" t="s">
        <v>544</v>
      </c>
      <c r="D134" s="14" t="s">
        <v>45</v>
      </c>
      <c r="E134" s="14" t="s">
        <v>26</v>
      </c>
      <c r="F134" s="14" t="s">
        <v>545</v>
      </c>
      <c r="G134" s="15">
        <v>1787</v>
      </c>
      <c r="H134" s="15"/>
      <c r="I134" s="15"/>
      <c r="J134" s="15">
        <v>1783</v>
      </c>
      <c r="K134" s="15">
        <f t="shared" ref="K134:K197" si="26">IF(AND(IFERROR(SEARCH("현대오일뱅크",$C134),0)&gt;0,IFERROR(SEARCH("직영",$C134),0)&gt;0),$B$13,0)</f>
        <v>0</v>
      </c>
      <c r="L134" s="15">
        <f t="shared" si="16"/>
        <v>1787</v>
      </c>
      <c r="M134" s="15" t="str">
        <f t="shared" si="17"/>
        <v/>
      </c>
      <c r="N134" s="15">
        <f t="shared" si="18"/>
        <v>1783</v>
      </c>
      <c r="O134" s="15" t="str">
        <f t="shared" si="19"/>
        <v>휘발유 71,480원</v>
      </c>
      <c r="P134" s="15">
        <f t="shared" si="20"/>
        <v>71480</v>
      </c>
      <c r="Q134" s="15" t="s">
        <v>47</v>
      </c>
      <c r="R134" s="16">
        <f t="shared" si="21"/>
        <v>0.1</v>
      </c>
      <c r="S134" s="15">
        <f t="shared" si="22"/>
        <v>7148</v>
      </c>
      <c r="T134" s="15">
        <f t="shared" si="23"/>
        <v>64332</v>
      </c>
      <c r="U134" s="15">
        <f t="shared" si="24"/>
        <v>1608.3</v>
      </c>
      <c r="V134" s="15">
        <f t="shared" si="25"/>
        <v>1787</v>
      </c>
      <c r="W134" s="17">
        <f>IF($T134="",1000000000000000,$T134)</f>
        <v>64332</v>
      </c>
      <c r="XFB134" s="5"/>
      <c r="XFC134" s="3"/>
    </row>
    <row r="135" spans="1:23 16382:16383" s="4" customFormat="1" ht="28.5" customHeight="1">
      <c r="A135" s="14">
        <f t="shared" si="15"/>
        <v>117</v>
      </c>
      <c r="B135" s="14" t="s">
        <v>6</v>
      </c>
      <c r="C135" s="14" t="s">
        <v>462</v>
      </c>
      <c r="D135" s="14" t="s">
        <v>45</v>
      </c>
      <c r="E135" s="14" t="s">
        <v>26</v>
      </c>
      <c r="F135" s="14" t="s">
        <v>463</v>
      </c>
      <c r="G135" s="15">
        <v>1787</v>
      </c>
      <c r="H135" s="15"/>
      <c r="I135" s="15"/>
      <c r="J135" s="15">
        <v>1783</v>
      </c>
      <c r="K135" s="15">
        <f t="shared" si="26"/>
        <v>0</v>
      </c>
      <c r="L135" s="15">
        <f t="shared" si="16"/>
        <v>1787</v>
      </c>
      <c r="M135" s="15" t="str">
        <f t="shared" si="17"/>
        <v/>
      </c>
      <c r="N135" s="15">
        <f t="shared" si="18"/>
        <v>1783</v>
      </c>
      <c r="O135" s="15" t="str">
        <f t="shared" si="19"/>
        <v>휘발유 71,480원</v>
      </c>
      <c r="P135" s="15">
        <f t="shared" si="20"/>
        <v>71480</v>
      </c>
      <c r="Q135" s="15" t="s">
        <v>47</v>
      </c>
      <c r="R135" s="16">
        <f t="shared" si="21"/>
        <v>0.1</v>
      </c>
      <c r="S135" s="15">
        <f t="shared" si="22"/>
        <v>7148</v>
      </c>
      <c r="T135" s="15">
        <f t="shared" si="23"/>
        <v>64332</v>
      </c>
      <c r="U135" s="15">
        <f t="shared" si="24"/>
        <v>1608.3</v>
      </c>
      <c r="V135" s="15">
        <f t="shared" si="25"/>
        <v>1787</v>
      </c>
      <c r="W135" s="17">
        <f>IF($T135="",1000000000000000,$T135)</f>
        <v>64332</v>
      </c>
      <c r="XFB135" s="5"/>
      <c r="XFC135" s="3"/>
    </row>
    <row r="136" spans="1:23 16382:16383" s="4" customFormat="1" ht="28.5" customHeight="1">
      <c r="A136" s="14">
        <f t="shared" si="15"/>
        <v>117</v>
      </c>
      <c r="B136" s="14" t="s">
        <v>6</v>
      </c>
      <c r="C136" s="14" t="s">
        <v>546</v>
      </c>
      <c r="D136" s="18" t="s">
        <v>86</v>
      </c>
      <c r="E136" s="14" t="s">
        <v>26</v>
      </c>
      <c r="F136" s="14" t="s">
        <v>547</v>
      </c>
      <c r="G136" s="15">
        <v>1787</v>
      </c>
      <c r="H136" s="15"/>
      <c r="I136" s="15"/>
      <c r="J136" s="15">
        <v>1787</v>
      </c>
      <c r="K136" s="15">
        <f t="shared" si="26"/>
        <v>0</v>
      </c>
      <c r="L136" s="15">
        <f t="shared" si="16"/>
        <v>1787</v>
      </c>
      <c r="M136" s="15" t="str">
        <f t="shared" si="17"/>
        <v/>
      </c>
      <c r="N136" s="15">
        <f t="shared" si="18"/>
        <v>1787</v>
      </c>
      <c r="O136" s="15" t="str">
        <f t="shared" si="19"/>
        <v>휘발유 71,480원</v>
      </c>
      <c r="P136" s="15">
        <f t="shared" si="20"/>
        <v>71480</v>
      </c>
      <c r="Q136" s="15" t="s">
        <v>47</v>
      </c>
      <c r="R136" s="16">
        <f t="shared" si="21"/>
        <v>0.1</v>
      </c>
      <c r="S136" s="15">
        <f t="shared" si="22"/>
        <v>7148</v>
      </c>
      <c r="T136" s="15">
        <f t="shared" si="23"/>
        <v>64332</v>
      </c>
      <c r="U136" s="15">
        <f t="shared" si="24"/>
        <v>1608.3</v>
      </c>
      <c r="V136" s="15">
        <f t="shared" si="25"/>
        <v>1787</v>
      </c>
      <c r="W136" s="17">
        <f>IF($T136="",1000000000000000,$T136)</f>
        <v>64332</v>
      </c>
      <c r="XFB136" s="5"/>
      <c r="XFC136" s="3"/>
    </row>
    <row r="137" spans="1:23 16382:16383" s="4" customFormat="1" ht="28.5" customHeight="1">
      <c r="A137" s="14">
        <f t="shared" si="15"/>
        <v>117</v>
      </c>
      <c r="B137" s="14" t="s">
        <v>6</v>
      </c>
      <c r="C137" s="14" t="s">
        <v>548</v>
      </c>
      <c r="D137" s="14" t="s">
        <v>56</v>
      </c>
      <c r="E137" s="14" t="s">
        <v>26</v>
      </c>
      <c r="F137" s="14" t="s">
        <v>549</v>
      </c>
      <c r="G137" s="15">
        <v>1787</v>
      </c>
      <c r="H137" s="15"/>
      <c r="I137" s="15"/>
      <c r="J137" s="15">
        <v>1787</v>
      </c>
      <c r="K137" s="15">
        <f t="shared" si="26"/>
        <v>0</v>
      </c>
      <c r="L137" s="15">
        <f t="shared" si="16"/>
        <v>1787</v>
      </c>
      <c r="M137" s="15" t="str">
        <f t="shared" si="17"/>
        <v/>
      </c>
      <c r="N137" s="15">
        <f t="shared" si="18"/>
        <v>1787</v>
      </c>
      <c r="O137" s="15" t="str">
        <f t="shared" si="19"/>
        <v>휘발유 71,480원</v>
      </c>
      <c r="P137" s="15">
        <f t="shared" si="20"/>
        <v>71480</v>
      </c>
      <c r="Q137" s="15" t="s">
        <v>47</v>
      </c>
      <c r="R137" s="16">
        <f t="shared" si="21"/>
        <v>0.1</v>
      </c>
      <c r="S137" s="15">
        <f t="shared" si="22"/>
        <v>7148</v>
      </c>
      <c r="T137" s="15">
        <f t="shared" si="23"/>
        <v>64332</v>
      </c>
      <c r="U137" s="15">
        <f t="shared" si="24"/>
        <v>1608.3</v>
      </c>
      <c r="V137" s="15">
        <f t="shared" si="25"/>
        <v>1787</v>
      </c>
      <c r="W137" s="17">
        <f>IF($T137="",1000000000000000,$T137)</f>
        <v>64332</v>
      </c>
      <c r="XFB137" s="5"/>
      <c r="XFC137" s="3"/>
    </row>
    <row r="138" spans="1:23 16382:16383" s="4" customFormat="1" ht="28.5" customHeight="1">
      <c r="A138" s="14">
        <f t="shared" si="15"/>
        <v>117</v>
      </c>
      <c r="B138" s="14" t="s">
        <v>6</v>
      </c>
      <c r="C138" s="14" t="s">
        <v>550</v>
      </c>
      <c r="D138" s="14" t="s">
        <v>45</v>
      </c>
      <c r="E138" s="14" t="s">
        <v>26</v>
      </c>
      <c r="F138" s="14" t="s">
        <v>551</v>
      </c>
      <c r="G138" s="15">
        <v>1787</v>
      </c>
      <c r="H138" s="15"/>
      <c r="I138" s="15"/>
      <c r="J138" s="15">
        <v>1787</v>
      </c>
      <c r="K138" s="15">
        <f t="shared" si="26"/>
        <v>0</v>
      </c>
      <c r="L138" s="15">
        <f t="shared" si="16"/>
        <v>1787</v>
      </c>
      <c r="M138" s="15" t="str">
        <f t="shared" si="17"/>
        <v/>
      </c>
      <c r="N138" s="15">
        <f t="shared" si="18"/>
        <v>1787</v>
      </c>
      <c r="O138" s="15" t="str">
        <f t="shared" si="19"/>
        <v>휘발유 71,480원</v>
      </c>
      <c r="P138" s="15">
        <f t="shared" si="20"/>
        <v>71480</v>
      </c>
      <c r="Q138" s="15" t="s">
        <v>47</v>
      </c>
      <c r="R138" s="16">
        <f t="shared" si="21"/>
        <v>0.1</v>
      </c>
      <c r="S138" s="15">
        <f t="shared" si="22"/>
        <v>7148</v>
      </c>
      <c r="T138" s="15">
        <f t="shared" si="23"/>
        <v>64332</v>
      </c>
      <c r="U138" s="15">
        <f t="shared" si="24"/>
        <v>1608.3</v>
      </c>
      <c r="V138" s="15">
        <f t="shared" si="25"/>
        <v>1787</v>
      </c>
      <c r="W138" s="17">
        <f>IF($T138="",1000000000000000,$T138)</f>
        <v>64332</v>
      </c>
      <c r="XFB138" s="5"/>
      <c r="XFC138" s="3"/>
    </row>
    <row r="139" spans="1:23 16382:16383" s="4" customFormat="1" ht="28.5" customHeight="1">
      <c r="A139" s="14">
        <f t="shared" si="15"/>
        <v>117</v>
      </c>
      <c r="B139" s="14" t="s">
        <v>6</v>
      </c>
      <c r="C139" s="14" t="s">
        <v>552</v>
      </c>
      <c r="D139" s="18" t="s">
        <v>86</v>
      </c>
      <c r="E139" s="14" t="s">
        <v>26</v>
      </c>
      <c r="F139" s="14" t="s">
        <v>553</v>
      </c>
      <c r="G139" s="15">
        <v>1787</v>
      </c>
      <c r="H139" s="15"/>
      <c r="I139" s="15"/>
      <c r="J139" s="15">
        <v>1787</v>
      </c>
      <c r="K139" s="15">
        <f t="shared" si="26"/>
        <v>0</v>
      </c>
      <c r="L139" s="15">
        <f t="shared" si="16"/>
        <v>1787</v>
      </c>
      <c r="M139" s="15" t="str">
        <f t="shared" si="17"/>
        <v/>
      </c>
      <c r="N139" s="15">
        <f t="shared" si="18"/>
        <v>1787</v>
      </c>
      <c r="O139" s="15" t="str">
        <f t="shared" si="19"/>
        <v>휘발유 71,480원</v>
      </c>
      <c r="P139" s="15">
        <f t="shared" si="20"/>
        <v>71480</v>
      </c>
      <c r="Q139" s="15" t="s">
        <v>47</v>
      </c>
      <c r="R139" s="16">
        <f t="shared" si="21"/>
        <v>0.1</v>
      </c>
      <c r="S139" s="15">
        <f t="shared" si="22"/>
        <v>7148</v>
      </c>
      <c r="T139" s="15">
        <f t="shared" si="23"/>
        <v>64332</v>
      </c>
      <c r="U139" s="15">
        <f t="shared" si="24"/>
        <v>1608.3</v>
      </c>
      <c r="V139" s="15">
        <f t="shared" si="25"/>
        <v>1787</v>
      </c>
      <c r="W139" s="17">
        <f>IF($T139="",1000000000000000,$T139)</f>
        <v>64332</v>
      </c>
      <c r="XFB139" s="5"/>
      <c r="XFC139" s="3"/>
    </row>
    <row r="140" spans="1:23 16382:16383" s="4" customFormat="1" ht="28.5" customHeight="1">
      <c r="A140" s="14">
        <f t="shared" si="15"/>
        <v>126</v>
      </c>
      <c r="B140" s="14" t="s">
        <v>6</v>
      </c>
      <c r="C140" s="14" t="s">
        <v>489</v>
      </c>
      <c r="D140" s="14" t="s">
        <v>95</v>
      </c>
      <c r="E140" s="14" t="s">
        <v>26</v>
      </c>
      <c r="F140" s="14" t="s">
        <v>490</v>
      </c>
      <c r="G140" s="15">
        <v>1788</v>
      </c>
      <c r="H140" s="15"/>
      <c r="I140" s="15"/>
      <c r="J140" s="15">
        <v>1778</v>
      </c>
      <c r="K140" s="15">
        <f t="shared" si="26"/>
        <v>0</v>
      </c>
      <c r="L140" s="15">
        <f t="shared" si="16"/>
        <v>1788</v>
      </c>
      <c r="M140" s="15" t="str">
        <f t="shared" si="17"/>
        <v/>
      </c>
      <c r="N140" s="15">
        <f t="shared" si="18"/>
        <v>1778</v>
      </c>
      <c r="O140" s="15" t="str">
        <f t="shared" si="19"/>
        <v>휘발유 71,520원</v>
      </c>
      <c r="P140" s="15">
        <f t="shared" si="20"/>
        <v>71520</v>
      </c>
      <c r="Q140" s="15" t="s">
        <v>47</v>
      </c>
      <c r="R140" s="16">
        <f t="shared" si="21"/>
        <v>0.1</v>
      </c>
      <c r="S140" s="15">
        <f t="shared" si="22"/>
        <v>7152</v>
      </c>
      <c r="T140" s="15">
        <f t="shared" si="23"/>
        <v>64368</v>
      </c>
      <c r="U140" s="15">
        <f t="shared" si="24"/>
        <v>1609.2</v>
      </c>
      <c r="V140" s="15">
        <f t="shared" si="25"/>
        <v>1788</v>
      </c>
      <c r="W140" s="17">
        <f>IF($T140="",1000000000000000,$T140)</f>
        <v>64368</v>
      </c>
      <c r="XFB140" s="5"/>
      <c r="XFC140" s="3"/>
    </row>
    <row r="141" spans="1:23 16382:16383" s="4" customFormat="1" ht="28.5" customHeight="1">
      <c r="A141" s="14">
        <f t="shared" si="15"/>
        <v>127</v>
      </c>
      <c r="B141" s="14" t="s">
        <v>16</v>
      </c>
      <c r="C141" s="14" t="s">
        <v>554</v>
      </c>
      <c r="D141" s="14" t="s">
        <v>45</v>
      </c>
      <c r="E141" s="14" t="s">
        <v>26</v>
      </c>
      <c r="F141" s="14" t="s">
        <v>555</v>
      </c>
      <c r="G141" s="15">
        <v>1829</v>
      </c>
      <c r="H141" s="15"/>
      <c r="I141" s="15"/>
      <c r="J141" s="15">
        <v>1829</v>
      </c>
      <c r="K141" s="15">
        <f t="shared" si="26"/>
        <v>0</v>
      </c>
      <c r="L141" s="15">
        <f t="shared" si="16"/>
        <v>1829</v>
      </c>
      <c r="M141" s="15" t="str">
        <f t="shared" si="17"/>
        <v/>
      </c>
      <c r="N141" s="15">
        <f t="shared" si="18"/>
        <v>1829</v>
      </c>
      <c r="O141" s="15" t="str">
        <f t="shared" si="19"/>
        <v>휘발유 73,160원</v>
      </c>
      <c r="P141" s="15">
        <f t="shared" si="20"/>
        <v>73160</v>
      </c>
      <c r="Q141" s="15" t="s">
        <v>47</v>
      </c>
      <c r="R141" s="16">
        <f t="shared" si="21"/>
        <v>0.12</v>
      </c>
      <c r="S141" s="15">
        <f t="shared" si="22"/>
        <v>8779</v>
      </c>
      <c r="T141" s="15">
        <f t="shared" si="23"/>
        <v>64381</v>
      </c>
      <c r="U141" s="15">
        <f t="shared" si="24"/>
        <v>1609.5250000000001</v>
      </c>
      <c r="V141" s="15">
        <f t="shared" si="25"/>
        <v>1829</v>
      </c>
      <c r="W141" s="17">
        <f>IF($T141="",1000000000000000,$T141)</f>
        <v>64381</v>
      </c>
      <c r="XFB141" s="5"/>
      <c r="XFC141" s="3"/>
    </row>
    <row r="142" spans="1:23 16382:16383" s="4" customFormat="1" ht="28.5" customHeight="1">
      <c r="A142" s="14">
        <f t="shared" si="15"/>
        <v>127</v>
      </c>
      <c r="B142" s="14" t="s">
        <v>16</v>
      </c>
      <c r="C142" s="14" t="s">
        <v>510</v>
      </c>
      <c r="D142" s="14" t="s">
        <v>51</v>
      </c>
      <c r="E142" s="14" t="s">
        <v>63</v>
      </c>
      <c r="F142" s="14" t="s">
        <v>556</v>
      </c>
      <c r="G142" s="15">
        <v>1829</v>
      </c>
      <c r="H142" s="15"/>
      <c r="I142" s="15"/>
      <c r="J142" s="15">
        <v>1829</v>
      </c>
      <c r="K142" s="15">
        <f t="shared" si="26"/>
        <v>0</v>
      </c>
      <c r="L142" s="15">
        <f t="shared" si="16"/>
        <v>1829</v>
      </c>
      <c r="M142" s="15" t="str">
        <f t="shared" si="17"/>
        <v/>
      </c>
      <c r="N142" s="15">
        <f t="shared" si="18"/>
        <v>1829</v>
      </c>
      <c r="O142" s="15" t="str">
        <f t="shared" si="19"/>
        <v>휘발유 73,160원</v>
      </c>
      <c r="P142" s="15">
        <f t="shared" si="20"/>
        <v>73160</v>
      </c>
      <c r="Q142" s="15" t="s">
        <v>47</v>
      </c>
      <c r="R142" s="16">
        <f t="shared" si="21"/>
        <v>0.12</v>
      </c>
      <c r="S142" s="15">
        <f t="shared" si="22"/>
        <v>8779</v>
      </c>
      <c r="T142" s="15">
        <f t="shared" si="23"/>
        <v>64381</v>
      </c>
      <c r="U142" s="15">
        <f t="shared" si="24"/>
        <v>1609.5250000000001</v>
      </c>
      <c r="V142" s="15">
        <f t="shared" si="25"/>
        <v>1829</v>
      </c>
      <c r="W142" s="17">
        <f>IF($T142="",1000000000000000,$T142)</f>
        <v>64381</v>
      </c>
      <c r="XFB142" s="5"/>
      <c r="XFC142" s="3"/>
    </row>
    <row r="143" spans="1:23 16382:16383" s="4" customFormat="1" ht="28.5" customHeight="1">
      <c r="A143" s="14">
        <f t="shared" ref="A143:A206" si="27">IF($T143="","",1+COUNTIF($W$15:$W$890,"&lt;"&amp;W143))</f>
        <v>129</v>
      </c>
      <c r="B143" s="14" t="s">
        <v>6</v>
      </c>
      <c r="C143" s="14" t="s">
        <v>591</v>
      </c>
      <c r="D143" s="14" t="s">
        <v>95</v>
      </c>
      <c r="E143" s="14" t="s">
        <v>26</v>
      </c>
      <c r="F143" s="14" t="s">
        <v>592</v>
      </c>
      <c r="G143" s="15">
        <v>1789</v>
      </c>
      <c r="H143" s="15">
        <v>2000</v>
      </c>
      <c r="I143" s="15"/>
      <c r="J143" s="15">
        <v>1795</v>
      </c>
      <c r="K143" s="15">
        <f t="shared" si="26"/>
        <v>0</v>
      </c>
      <c r="L143" s="15">
        <f t="shared" ref="L143:L206" si="28">IF($G143="","",$G143+$K143)</f>
        <v>1789</v>
      </c>
      <c r="M143" s="15">
        <f t="shared" ref="M143:M206" si="29">IF($H143="","",$H143+$K143)</f>
        <v>2000</v>
      </c>
      <c r="N143" s="15">
        <f t="shared" ref="N143:N206" si="30">IF($J143="","",$J143+$K143)</f>
        <v>1795</v>
      </c>
      <c r="O143" s="15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71,560원</v>
      </c>
      <c r="P143" s="15">
        <f t="shared" ref="P143:P206" si="32">IF($B$10=0,"",IFERROR(IF($B$4&gt;0,IF($L143="",1/0,$L143*$B$4),0)+IF($B$5&gt;0,IF($M143="",1/0,$M143*$B$5),0)+IF($B$6&gt;0,IF($N143="",1/0,$N143*$B$6),0),""))</f>
        <v>71560</v>
      </c>
      <c r="Q143" s="15" t="s">
        <v>47</v>
      </c>
      <c r="R143" s="16">
        <f t="shared" ref="R143:R206" si="33">IF($P143="","",IF($Q143="Y",IFERROR(VLOOKUP($B143,$C$4:$D$13,2,FALSE()),0),0))</f>
        <v>0.1</v>
      </c>
      <c r="S143" s="15">
        <f t="shared" ref="S143:S206" si="34">IF($P143="","",ROUNDDOWN($P143*$R143,0))</f>
        <v>7156</v>
      </c>
      <c r="T143" s="15">
        <f t="shared" ref="T143:T206" si="35">IF($P143="","",$P143-$S143)</f>
        <v>64404</v>
      </c>
      <c r="U143" s="15">
        <f t="shared" ref="U143:U206" si="36">IF($T143="","",IF($B$10=0,"",$T143/$B$10))</f>
        <v>1610.1</v>
      </c>
      <c r="V143" s="15">
        <f t="shared" si="25"/>
        <v>1789</v>
      </c>
      <c r="W143" s="17">
        <f>IF($T143="",1000000000000000,$T143)</f>
        <v>64404</v>
      </c>
      <c r="XFB143" s="5"/>
      <c r="XFC143" s="3"/>
    </row>
    <row r="144" spans="1:23 16382:16383" s="4" customFormat="1" ht="28.5" customHeight="1">
      <c r="A144" s="14">
        <f t="shared" si="27"/>
        <v>129</v>
      </c>
      <c r="B144" s="14" t="s">
        <v>6</v>
      </c>
      <c r="C144" s="14" t="s">
        <v>129</v>
      </c>
      <c r="D144" s="14" t="s">
        <v>51</v>
      </c>
      <c r="E144" s="14" t="s">
        <v>26</v>
      </c>
      <c r="F144" s="14" t="s">
        <v>130</v>
      </c>
      <c r="G144" s="15">
        <v>1789</v>
      </c>
      <c r="H144" s="15">
        <v>2049</v>
      </c>
      <c r="I144" s="15"/>
      <c r="J144" s="15">
        <v>1789</v>
      </c>
      <c r="K144" s="15">
        <f t="shared" si="26"/>
        <v>0</v>
      </c>
      <c r="L144" s="15">
        <f t="shared" si="28"/>
        <v>1789</v>
      </c>
      <c r="M144" s="15">
        <f t="shared" si="29"/>
        <v>2049</v>
      </c>
      <c r="N144" s="15">
        <f t="shared" si="30"/>
        <v>1789</v>
      </c>
      <c r="O144" s="15" t="str">
        <f t="shared" si="31"/>
        <v>휘발유 71,560원</v>
      </c>
      <c r="P144" s="15">
        <f t="shared" si="32"/>
        <v>71560</v>
      </c>
      <c r="Q144" s="15" t="s">
        <v>47</v>
      </c>
      <c r="R144" s="16">
        <f t="shared" si="33"/>
        <v>0.1</v>
      </c>
      <c r="S144" s="15">
        <f t="shared" si="34"/>
        <v>7156</v>
      </c>
      <c r="T144" s="15">
        <f t="shared" si="35"/>
        <v>64404</v>
      </c>
      <c r="U144" s="15">
        <f t="shared" si="36"/>
        <v>1610.1</v>
      </c>
      <c r="V144" s="15">
        <f t="shared" si="25"/>
        <v>1789</v>
      </c>
      <c r="W144" s="17">
        <f>IF($T144="",1000000000000000,$T144)</f>
        <v>64404</v>
      </c>
      <c r="XFB144" s="5"/>
      <c r="XFC144" s="3"/>
    </row>
    <row r="145" spans="1:23 16382:16383" s="4" customFormat="1" ht="28.5" customHeight="1">
      <c r="A145" s="14">
        <f t="shared" si="27"/>
        <v>129</v>
      </c>
      <c r="B145" s="14" t="s">
        <v>6</v>
      </c>
      <c r="C145" s="14" t="s">
        <v>169</v>
      </c>
      <c r="D145" s="14" t="s">
        <v>51</v>
      </c>
      <c r="E145" s="14" t="s">
        <v>26</v>
      </c>
      <c r="F145" s="14" t="s">
        <v>170</v>
      </c>
      <c r="G145" s="15">
        <v>1789</v>
      </c>
      <c r="H145" s="15">
        <v>2049</v>
      </c>
      <c r="I145" s="15"/>
      <c r="J145" s="15">
        <v>1779</v>
      </c>
      <c r="K145" s="15">
        <f t="shared" si="26"/>
        <v>0</v>
      </c>
      <c r="L145" s="15">
        <f t="shared" si="28"/>
        <v>1789</v>
      </c>
      <c r="M145" s="15">
        <f t="shared" si="29"/>
        <v>2049</v>
      </c>
      <c r="N145" s="15">
        <f t="shared" si="30"/>
        <v>1779</v>
      </c>
      <c r="O145" s="15" t="str">
        <f t="shared" si="31"/>
        <v>휘발유 71,560원</v>
      </c>
      <c r="P145" s="15">
        <f t="shared" si="32"/>
        <v>71560</v>
      </c>
      <c r="Q145" s="15" t="s">
        <v>47</v>
      </c>
      <c r="R145" s="16">
        <f t="shared" si="33"/>
        <v>0.1</v>
      </c>
      <c r="S145" s="15">
        <f t="shared" si="34"/>
        <v>7156</v>
      </c>
      <c r="T145" s="15">
        <f t="shared" si="35"/>
        <v>64404</v>
      </c>
      <c r="U145" s="15">
        <f t="shared" si="36"/>
        <v>1610.1</v>
      </c>
      <c r="V145" s="15">
        <f t="shared" si="25"/>
        <v>1789</v>
      </c>
      <c r="W145" s="17">
        <f>IF($T145="",1000000000000000,$T145)</f>
        <v>64404</v>
      </c>
      <c r="XFB145" s="5"/>
      <c r="XFC145" s="3"/>
    </row>
    <row r="146" spans="1:23 16382:16383" s="4" customFormat="1" ht="28.5" customHeight="1">
      <c r="A146" s="14">
        <f t="shared" si="27"/>
        <v>129</v>
      </c>
      <c r="B146" s="14" t="s">
        <v>6</v>
      </c>
      <c r="C146" s="14" t="s">
        <v>90</v>
      </c>
      <c r="D146" s="14" t="s">
        <v>51</v>
      </c>
      <c r="E146" s="14" t="s">
        <v>26</v>
      </c>
      <c r="F146" s="14" t="s">
        <v>91</v>
      </c>
      <c r="G146" s="15">
        <v>1789</v>
      </c>
      <c r="H146" s="15">
        <v>2089</v>
      </c>
      <c r="I146" s="15"/>
      <c r="J146" s="15">
        <v>1789</v>
      </c>
      <c r="K146" s="15">
        <f t="shared" si="26"/>
        <v>0</v>
      </c>
      <c r="L146" s="15">
        <f t="shared" si="28"/>
        <v>1789</v>
      </c>
      <c r="M146" s="15">
        <f t="shared" si="29"/>
        <v>2089</v>
      </c>
      <c r="N146" s="15">
        <f t="shared" si="30"/>
        <v>1789</v>
      </c>
      <c r="O146" s="15" t="str">
        <f t="shared" si="31"/>
        <v>휘발유 71,560원</v>
      </c>
      <c r="P146" s="15">
        <f t="shared" si="32"/>
        <v>71560</v>
      </c>
      <c r="Q146" s="15" t="s">
        <v>47</v>
      </c>
      <c r="R146" s="16">
        <f t="shared" si="33"/>
        <v>0.1</v>
      </c>
      <c r="S146" s="15">
        <f t="shared" si="34"/>
        <v>7156</v>
      </c>
      <c r="T146" s="15">
        <f t="shared" si="35"/>
        <v>64404</v>
      </c>
      <c r="U146" s="15">
        <f t="shared" si="36"/>
        <v>1610.1</v>
      </c>
      <c r="V146" s="15">
        <f t="shared" si="25"/>
        <v>1789</v>
      </c>
      <c r="W146" s="17">
        <f>IF($T146="",1000000000000000,$T146)</f>
        <v>64404</v>
      </c>
      <c r="XFB146" s="5"/>
      <c r="XFC146" s="3"/>
    </row>
    <row r="147" spans="1:23 16382:16383" s="4" customFormat="1" ht="28.5" customHeight="1">
      <c r="A147" s="14">
        <f t="shared" si="27"/>
        <v>129</v>
      </c>
      <c r="B147" s="14" t="s">
        <v>6</v>
      </c>
      <c r="C147" s="14" t="s">
        <v>149</v>
      </c>
      <c r="D147" s="18" t="s">
        <v>86</v>
      </c>
      <c r="E147" s="14" t="s">
        <v>26</v>
      </c>
      <c r="F147" s="14" t="s">
        <v>150</v>
      </c>
      <c r="G147" s="15">
        <v>1789</v>
      </c>
      <c r="H147" s="15">
        <v>2089</v>
      </c>
      <c r="I147" s="15"/>
      <c r="J147" s="15">
        <v>1789</v>
      </c>
      <c r="K147" s="15">
        <f t="shared" si="26"/>
        <v>0</v>
      </c>
      <c r="L147" s="15">
        <f t="shared" si="28"/>
        <v>1789</v>
      </c>
      <c r="M147" s="15">
        <f t="shared" si="29"/>
        <v>2089</v>
      </c>
      <c r="N147" s="15">
        <f t="shared" si="30"/>
        <v>1789</v>
      </c>
      <c r="O147" s="15" t="str">
        <f t="shared" si="31"/>
        <v>휘발유 71,560원</v>
      </c>
      <c r="P147" s="15">
        <f t="shared" si="32"/>
        <v>71560</v>
      </c>
      <c r="Q147" s="15" t="s">
        <v>47</v>
      </c>
      <c r="R147" s="16">
        <f t="shared" si="33"/>
        <v>0.1</v>
      </c>
      <c r="S147" s="15">
        <f t="shared" si="34"/>
        <v>7156</v>
      </c>
      <c r="T147" s="15">
        <f t="shared" si="35"/>
        <v>64404</v>
      </c>
      <c r="U147" s="15">
        <f t="shared" si="36"/>
        <v>1610.1</v>
      </c>
      <c r="V147" s="15">
        <f t="shared" si="25"/>
        <v>1789</v>
      </c>
      <c r="W147" s="17">
        <f>IF($T147="",1000000000000000,$T147)</f>
        <v>64404</v>
      </c>
      <c r="XFB147" s="5"/>
      <c r="XFC147" s="3"/>
    </row>
    <row r="148" spans="1:23 16382:16383" s="4" customFormat="1" ht="28.5" customHeight="1">
      <c r="A148" s="14">
        <f t="shared" si="27"/>
        <v>129</v>
      </c>
      <c r="B148" s="14" t="s">
        <v>6</v>
      </c>
      <c r="C148" s="14" t="s">
        <v>557</v>
      </c>
      <c r="D148" s="14" t="s">
        <v>45</v>
      </c>
      <c r="E148" s="14" t="s">
        <v>26</v>
      </c>
      <c r="F148" s="14" t="s">
        <v>558</v>
      </c>
      <c r="G148" s="15">
        <v>1789</v>
      </c>
      <c r="H148" s="15"/>
      <c r="I148" s="15"/>
      <c r="J148" s="15">
        <v>1775</v>
      </c>
      <c r="K148" s="15">
        <f t="shared" si="26"/>
        <v>0</v>
      </c>
      <c r="L148" s="15">
        <f t="shared" si="28"/>
        <v>1789</v>
      </c>
      <c r="M148" s="15" t="str">
        <f t="shared" si="29"/>
        <v/>
      </c>
      <c r="N148" s="15">
        <f t="shared" si="30"/>
        <v>1775</v>
      </c>
      <c r="O148" s="15" t="str">
        <f t="shared" si="31"/>
        <v>휘발유 71,560원</v>
      </c>
      <c r="P148" s="15">
        <f t="shared" si="32"/>
        <v>71560</v>
      </c>
      <c r="Q148" s="15" t="s">
        <v>47</v>
      </c>
      <c r="R148" s="16">
        <f t="shared" si="33"/>
        <v>0.1</v>
      </c>
      <c r="S148" s="15">
        <f t="shared" si="34"/>
        <v>7156</v>
      </c>
      <c r="T148" s="15">
        <f t="shared" si="35"/>
        <v>64404</v>
      </c>
      <c r="U148" s="15">
        <f t="shared" si="36"/>
        <v>1610.1</v>
      </c>
      <c r="V148" s="15">
        <f t="shared" si="25"/>
        <v>1789</v>
      </c>
      <c r="W148" s="17">
        <f>IF($T148="",1000000000000000,$T148)</f>
        <v>64404</v>
      </c>
      <c r="XFB148" s="5"/>
      <c r="XFC148" s="3"/>
    </row>
    <row r="149" spans="1:23 16382:16383" s="4" customFormat="1" ht="28.5" customHeight="1">
      <c r="A149" s="14">
        <f t="shared" si="27"/>
        <v>129</v>
      </c>
      <c r="B149" s="14" t="s">
        <v>6</v>
      </c>
      <c r="C149" s="14" t="s">
        <v>559</v>
      </c>
      <c r="D149" s="14" t="s">
        <v>56</v>
      </c>
      <c r="E149" s="14" t="s">
        <v>26</v>
      </c>
      <c r="F149" s="14" t="s">
        <v>560</v>
      </c>
      <c r="G149" s="15">
        <v>1789</v>
      </c>
      <c r="H149" s="15"/>
      <c r="I149" s="15"/>
      <c r="J149" s="15">
        <v>1775</v>
      </c>
      <c r="K149" s="15">
        <f t="shared" si="26"/>
        <v>0</v>
      </c>
      <c r="L149" s="15">
        <f t="shared" si="28"/>
        <v>1789</v>
      </c>
      <c r="M149" s="15" t="str">
        <f t="shared" si="29"/>
        <v/>
      </c>
      <c r="N149" s="15">
        <f t="shared" si="30"/>
        <v>1775</v>
      </c>
      <c r="O149" s="15" t="str">
        <f t="shared" si="31"/>
        <v>휘발유 71,560원</v>
      </c>
      <c r="P149" s="15">
        <f t="shared" si="32"/>
        <v>71560</v>
      </c>
      <c r="Q149" s="15" t="s">
        <v>47</v>
      </c>
      <c r="R149" s="16">
        <f t="shared" si="33"/>
        <v>0.1</v>
      </c>
      <c r="S149" s="15">
        <f t="shared" si="34"/>
        <v>7156</v>
      </c>
      <c r="T149" s="15">
        <f t="shared" si="35"/>
        <v>64404</v>
      </c>
      <c r="U149" s="15">
        <f t="shared" si="36"/>
        <v>1610.1</v>
      </c>
      <c r="V149" s="15">
        <f t="shared" si="25"/>
        <v>1789</v>
      </c>
      <c r="W149" s="17">
        <f>IF($T149="",1000000000000000,$T149)</f>
        <v>64404</v>
      </c>
      <c r="XFB149" s="5"/>
      <c r="XFC149" s="3"/>
    </row>
    <row r="150" spans="1:23 16382:16383" s="4" customFormat="1" ht="28.5" customHeight="1">
      <c r="A150" s="14">
        <f t="shared" si="27"/>
        <v>129</v>
      </c>
      <c r="B150" s="14" t="s">
        <v>6</v>
      </c>
      <c r="C150" s="14" t="s">
        <v>561</v>
      </c>
      <c r="D150" s="14" t="s">
        <v>51</v>
      </c>
      <c r="E150" s="14" t="s">
        <v>26</v>
      </c>
      <c r="F150" s="14" t="s">
        <v>562</v>
      </c>
      <c r="G150" s="15">
        <v>1789</v>
      </c>
      <c r="H150" s="15"/>
      <c r="I150" s="15"/>
      <c r="J150" s="15">
        <v>1775</v>
      </c>
      <c r="K150" s="15">
        <f t="shared" si="26"/>
        <v>0</v>
      </c>
      <c r="L150" s="15">
        <f t="shared" si="28"/>
        <v>1789</v>
      </c>
      <c r="M150" s="15" t="str">
        <f t="shared" si="29"/>
        <v/>
      </c>
      <c r="N150" s="15">
        <f t="shared" si="30"/>
        <v>1775</v>
      </c>
      <c r="O150" s="15" t="str">
        <f t="shared" si="31"/>
        <v>휘발유 71,560원</v>
      </c>
      <c r="P150" s="15">
        <f t="shared" si="32"/>
        <v>71560</v>
      </c>
      <c r="Q150" s="15" t="s">
        <v>47</v>
      </c>
      <c r="R150" s="16">
        <f t="shared" si="33"/>
        <v>0.1</v>
      </c>
      <c r="S150" s="15">
        <f t="shared" si="34"/>
        <v>7156</v>
      </c>
      <c r="T150" s="15">
        <f t="shared" si="35"/>
        <v>64404</v>
      </c>
      <c r="U150" s="15">
        <f t="shared" si="36"/>
        <v>1610.1</v>
      </c>
      <c r="V150" s="15">
        <f t="shared" si="25"/>
        <v>1789</v>
      </c>
      <c r="W150" s="17">
        <f>IF($T150="",1000000000000000,$T150)</f>
        <v>64404</v>
      </c>
      <c r="XFB150" s="5"/>
      <c r="XFC150" s="3"/>
    </row>
    <row r="151" spans="1:23 16382:16383" s="4" customFormat="1" ht="28.5" customHeight="1">
      <c r="A151" s="14">
        <f t="shared" si="27"/>
        <v>129</v>
      </c>
      <c r="B151" s="14" t="s">
        <v>6</v>
      </c>
      <c r="C151" s="14" t="s">
        <v>563</v>
      </c>
      <c r="D151" s="18" t="s">
        <v>86</v>
      </c>
      <c r="E151" s="14" t="s">
        <v>26</v>
      </c>
      <c r="F151" s="14" t="s">
        <v>564</v>
      </c>
      <c r="G151" s="15">
        <v>1789</v>
      </c>
      <c r="H151" s="15"/>
      <c r="I151" s="15"/>
      <c r="J151" s="15">
        <v>1779</v>
      </c>
      <c r="K151" s="15">
        <f t="shared" si="26"/>
        <v>0</v>
      </c>
      <c r="L151" s="15">
        <f t="shared" si="28"/>
        <v>1789</v>
      </c>
      <c r="M151" s="15" t="str">
        <f t="shared" si="29"/>
        <v/>
      </c>
      <c r="N151" s="15">
        <f t="shared" si="30"/>
        <v>1779</v>
      </c>
      <c r="O151" s="15" t="str">
        <f t="shared" si="31"/>
        <v>휘발유 71,560원</v>
      </c>
      <c r="P151" s="15">
        <f t="shared" si="32"/>
        <v>71560</v>
      </c>
      <c r="Q151" s="15" t="s">
        <v>47</v>
      </c>
      <c r="R151" s="16">
        <f t="shared" si="33"/>
        <v>0.1</v>
      </c>
      <c r="S151" s="15">
        <f t="shared" si="34"/>
        <v>7156</v>
      </c>
      <c r="T151" s="15">
        <f t="shared" si="35"/>
        <v>64404</v>
      </c>
      <c r="U151" s="15">
        <f t="shared" si="36"/>
        <v>1610.1</v>
      </c>
      <c r="V151" s="15">
        <f t="shared" ref="V151:V214" si="37">IF($P151="","",IF($B$10=0,"",$P151/$B$10))</f>
        <v>1789</v>
      </c>
      <c r="W151" s="17">
        <f>IF($T151="",1000000000000000,$T151)</f>
        <v>64404</v>
      </c>
      <c r="XFB151" s="5"/>
      <c r="XFC151" s="3"/>
    </row>
    <row r="152" spans="1:23 16382:16383" s="4" customFormat="1" ht="28.5" customHeight="1">
      <c r="A152" s="14">
        <f t="shared" si="27"/>
        <v>129</v>
      </c>
      <c r="B152" s="14" t="s">
        <v>6</v>
      </c>
      <c r="C152" s="14" t="s">
        <v>565</v>
      </c>
      <c r="D152" s="14" t="s">
        <v>45</v>
      </c>
      <c r="E152" s="14" t="s">
        <v>26</v>
      </c>
      <c r="F152" s="14" t="s">
        <v>566</v>
      </c>
      <c r="G152" s="15">
        <v>1789</v>
      </c>
      <c r="H152" s="15"/>
      <c r="I152" s="15"/>
      <c r="J152" s="15">
        <v>1779</v>
      </c>
      <c r="K152" s="15">
        <f t="shared" si="26"/>
        <v>0</v>
      </c>
      <c r="L152" s="15">
        <f t="shared" si="28"/>
        <v>1789</v>
      </c>
      <c r="M152" s="15" t="str">
        <f t="shared" si="29"/>
        <v/>
      </c>
      <c r="N152" s="15">
        <f t="shared" si="30"/>
        <v>1779</v>
      </c>
      <c r="O152" s="15" t="str">
        <f t="shared" si="31"/>
        <v>휘발유 71,560원</v>
      </c>
      <c r="P152" s="15">
        <f t="shared" si="32"/>
        <v>71560</v>
      </c>
      <c r="Q152" s="15" t="s">
        <v>47</v>
      </c>
      <c r="R152" s="16">
        <f t="shared" si="33"/>
        <v>0.1</v>
      </c>
      <c r="S152" s="15">
        <f t="shared" si="34"/>
        <v>7156</v>
      </c>
      <c r="T152" s="15">
        <f t="shared" si="35"/>
        <v>64404</v>
      </c>
      <c r="U152" s="15">
        <f t="shared" si="36"/>
        <v>1610.1</v>
      </c>
      <c r="V152" s="15">
        <f t="shared" si="37"/>
        <v>1789</v>
      </c>
      <c r="W152" s="17">
        <f>IF($T152="",1000000000000000,$T152)</f>
        <v>64404</v>
      </c>
      <c r="XFB152" s="5"/>
      <c r="XFC152" s="3"/>
    </row>
    <row r="153" spans="1:23 16382:16383" s="4" customFormat="1" ht="28.5" customHeight="1">
      <c r="A153" s="14">
        <f t="shared" si="27"/>
        <v>129</v>
      </c>
      <c r="B153" s="14" t="s">
        <v>8</v>
      </c>
      <c r="C153" s="14" t="s">
        <v>567</v>
      </c>
      <c r="D153" s="14" t="s">
        <v>45</v>
      </c>
      <c r="E153" s="14" t="s">
        <v>26</v>
      </c>
      <c r="F153" s="14" t="s">
        <v>568</v>
      </c>
      <c r="G153" s="15">
        <v>1789</v>
      </c>
      <c r="H153" s="15"/>
      <c r="I153" s="15"/>
      <c r="J153" s="15">
        <v>1779</v>
      </c>
      <c r="K153" s="15">
        <f t="shared" si="26"/>
        <v>0</v>
      </c>
      <c r="L153" s="15">
        <f t="shared" si="28"/>
        <v>1789</v>
      </c>
      <c r="M153" s="15" t="str">
        <f t="shared" si="29"/>
        <v/>
      </c>
      <c r="N153" s="15">
        <f t="shared" si="30"/>
        <v>1779</v>
      </c>
      <c r="O153" s="15" t="str">
        <f t="shared" si="31"/>
        <v>휘발유 71,560원</v>
      </c>
      <c r="P153" s="15">
        <f t="shared" si="32"/>
        <v>71560</v>
      </c>
      <c r="Q153" s="15" t="s">
        <v>47</v>
      </c>
      <c r="R153" s="16">
        <f t="shared" si="33"/>
        <v>0.1</v>
      </c>
      <c r="S153" s="15">
        <f t="shared" si="34"/>
        <v>7156</v>
      </c>
      <c r="T153" s="15">
        <f t="shared" si="35"/>
        <v>64404</v>
      </c>
      <c r="U153" s="15">
        <f t="shared" si="36"/>
        <v>1610.1</v>
      </c>
      <c r="V153" s="15">
        <f t="shared" si="37"/>
        <v>1789</v>
      </c>
      <c r="W153" s="17">
        <f>IF($T153="",1000000000000000,$T153)</f>
        <v>64404</v>
      </c>
      <c r="XFB153" s="5"/>
      <c r="XFC153" s="3"/>
    </row>
    <row r="154" spans="1:23 16382:16383" s="4" customFormat="1" ht="28.5" customHeight="1">
      <c r="A154" s="14">
        <f t="shared" si="27"/>
        <v>129</v>
      </c>
      <c r="B154" s="14" t="s">
        <v>6</v>
      </c>
      <c r="C154" s="14" t="s">
        <v>571</v>
      </c>
      <c r="D154" s="14" t="s">
        <v>51</v>
      </c>
      <c r="E154" s="14" t="s">
        <v>26</v>
      </c>
      <c r="F154" s="14" t="s">
        <v>572</v>
      </c>
      <c r="G154" s="15">
        <v>1789</v>
      </c>
      <c r="H154" s="15"/>
      <c r="I154" s="15"/>
      <c r="J154" s="15">
        <v>1784</v>
      </c>
      <c r="K154" s="15">
        <f t="shared" si="26"/>
        <v>0</v>
      </c>
      <c r="L154" s="15">
        <f t="shared" si="28"/>
        <v>1789</v>
      </c>
      <c r="M154" s="15" t="str">
        <f t="shared" si="29"/>
        <v/>
      </c>
      <c r="N154" s="15">
        <f t="shared" si="30"/>
        <v>1784</v>
      </c>
      <c r="O154" s="15" t="str">
        <f t="shared" si="31"/>
        <v>휘발유 71,560원</v>
      </c>
      <c r="P154" s="15">
        <f t="shared" si="32"/>
        <v>71560</v>
      </c>
      <c r="Q154" s="15" t="s">
        <v>47</v>
      </c>
      <c r="R154" s="16">
        <f t="shared" si="33"/>
        <v>0.1</v>
      </c>
      <c r="S154" s="15">
        <f t="shared" si="34"/>
        <v>7156</v>
      </c>
      <c r="T154" s="15">
        <f t="shared" si="35"/>
        <v>64404</v>
      </c>
      <c r="U154" s="15">
        <f t="shared" si="36"/>
        <v>1610.1</v>
      </c>
      <c r="V154" s="15">
        <f t="shared" si="37"/>
        <v>1789</v>
      </c>
      <c r="W154" s="17">
        <f>IF($T154="",1000000000000000,$T154)</f>
        <v>64404</v>
      </c>
      <c r="XFB154" s="5"/>
      <c r="XFC154" s="3"/>
    </row>
    <row r="155" spans="1:23 16382:16383" s="4" customFormat="1" ht="28.5" customHeight="1">
      <c r="A155" s="14">
        <f t="shared" si="27"/>
        <v>129</v>
      </c>
      <c r="B155" s="14" t="s">
        <v>6</v>
      </c>
      <c r="C155" s="14" t="s">
        <v>573</v>
      </c>
      <c r="D155" s="18" t="s">
        <v>86</v>
      </c>
      <c r="E155" s="14" t="s">
        <v>26</v>
      </c>
      <c r="F155" s="14" t="s">
        <v>574</v>
      </c>
      <c r="G155" s="15">
        <v>1789</v>
      </c>
      <c r="H155" s="15"/>
      <c r="I155" s="15"/>
      <c r="J155" s="15">
        <v>1784</v>
      </c>
      <c r="K155" s="15">
        <f t="shared" si="26"/>
        <v>0</v>
      </c>
      <c r="L155" s="15">
        <f t="shared" si="28"/>
        <v>1789</v>
      </c>
      <c r="M155" s="15" t="str">
        <f t="shared" si="29"/>
        <v/>
      </c>
      <c r="N155" s="15">
        <f t="shared" si="30"/>
        <v>1784</v>
      </c>
      <c r="O155" s="15" t="str">
        <f t="shared" si="31"/>
        <v>휘발유 71,560원</v>
      </c>
      <c r="P155" s="15">
        <f t="shared" si="32"/>
        <v>71560</v>
      </c>
      <c r="Q155" s="15" t="s">
        <v>47</v>
      </c>
      <c r="R155" s="16">
        <f t="shared" si="33"/>
        <v>0.1</v>
      </c>
      <c r="S155" s="15">
        <f t="shared" si="34"/>
        <v>7156</v>
      </c>
      <c r="T155" s="15">
        <f t="shared" si="35"/>
        <v>64404</v>
      </c>
      <c r="U155" s="15">
        <f t="shared" si="36"/>
        <v>1610.1</v>
      </c>
      <c r="V155" s="15">
        <f t="shared" si="37"/>
        <v>1789</v>
      </c>
      <c r="W155" s="17">
        <f>IF($T155="",1000000000000000,$T155)</f>
        <v>64404</v>
      </c>
      <c r="XFB155" s="5"/>
      <c r="XFC155" s="3"/>
    </row>
    <row r="156" spans="1:23 16382:16383" s="4" customFormat="1" ht="28.5" customHeight="1">
      <c r="A156" s="14">
        <f t="shared" si="27"/>
        <v>129</v>
      </c>
      <c r="B156" s="14" t="s">
        <v>6</v>
      </c>
      <c r="C156" s="14" t="s">
        <v>575</v>
      </c>
      <c r="D156" s="14" t="s">
        <v>95</v>
      </c>
      <c r="E156" s="14" t="s">
        <v>26</v>
      </c>
      <c r="F156" s="14" t="s">
        <v>576</v>
      </c>
      <c r="G156" s="15">
        <v>1789</v>
      </c>
      <c r="H156" s="15"/>
      <c r="I156" s="15"/>
      <c r="J156" s="15">
        <v>1789</v>
      </c>
      <c r="K156" s="15">
        <f t="shared" si="26"/>
        <v>0</v>
      </c>
      <c r="L156" s="15">
        <f t="shared" si="28"/>
        <v>1789</v>
      </c>
      <c r="M156" s="15" t="str">
        <f t="shared" si="29"/>
        <v/>
      </c>
      <c r="N156" s="15">
        <f t="shared" si="30"/>
        <v>1789</v>
      </c>
      <c r="O156" s="15" t="str">
        <f t="shared" si="31"/>
        <v>휘발유 71,560원</v>
      </c>
      <c r="P156" s="15">
        <f t="shared" si="32"/>
        <v>71560</v>
      </c>
      <c r="Q156" s="15" t="s">
        <v>47</v>
      </c>
      <c r="R156" s="16">
        <f t="shared" si="33"/>
        <v>0.1</v>
      </c>
      <c r="S156" s="15">
        <f t="shared" si="34"/>
        <v>7156</v>
      </c>
      <c r="T156" s="15">
        <f t="shared" si="35"/>
        <v>64404</v>
      </c>
      <c r="U156" s="15">
        <f t="shared" si="36"/>
        <v>1610.1</v>
      </c>
      <c r="V156" s="15">
        <f t="shared" si="37"/>
        <v>1789</v>
      </c>
      <c r="W156" s="17">
        <f>IF($T156="",1000000000000000,$T156)</f>
        <v>64404</v>
      </c>
      <c r="XFB156" s="5"/>
      <c r="XFC156" s="3"/>
    </row>
    <row r="157" spans="1:23 16382:16383" s="4" customFormat="1" ht="28.5" customHeight="1">
      <c r="A157" s="14">
        <f t="shared" si="27"/>
        <v>129</v>
      </c>
      <c r="B157" s="14" t="s">
        <v>6</v>
      </c>
      <c r="C157" s="14" t="s">
        <v>577</v>
      </c>
      <c r="D157" s="14" t="s">
        <v>95</v>
      </c>
      <c r="E157" s="14" t="s">
        <v>26</v>
      </c>
      <c r="F157" s="14" t="s">
        <v>578</v>
      </c>
      <c r="G157" s="15">
        <v>1789</v>
      </c>
      <c r="H157" s="15"/>
      <c r="I157" s="15"/>
      <c r="J157" s="15">
        <v>1789</v>
      </c>
      <c r="K157" s="15">
        <f t="shared" si="26"/>
        <v>0</v>
      </c>
      <c r="L157" s="15">
        <f t="shared" si="28"/>
        <v>1789</v>
      </c>
      <c r="M157" s="15" t="str">
        <f t="shared" si="29"/>
        <v/>
      </c>
      <c r="N157" s="15">
        <f t="shared" si="30"/>
        <v>1789</v>
      </c>
      <c r="O157" s="15" t="str">
        <f t="shared" si="31"/>
        <v>휘발유 71,560원</v>
      </c>
      <c r="P157" s="15">
        <f t="shared" si="32"/>
        <v>71560</v>
      </c>
      <c r="Q157" s="15" t="s">
        <v>47</v>
      </c>
      <c r="R157" s="16">
        <f t="shared" si="33"/>
        <v>0.1</v>
      </c>
      <c r="S157" s="15">
        <f t="shared" si="34"/>
        <v>7156</v>
      </c>
      <c r="T157" s="15">
        <f t="shared" si="35"/>
        <v>64404</v>
      </c>
      <c r="U157" s="15">
        <f t="shared" si="36"/>
        <v>1610.1</v>
      </c>
      <c r="V157" s="15">
        <f t="shared" si="37"/>
        <v>1789</v>
      </c>
      <c r="W157" s="17">
        <f>IF($T157="",1000000000000000,$T157)</f>
        <v>64404</v>
      </c>
      <c r="XFB157" s="5"/>
      <c r="XFC157" s="3"/>
    </row>
    <row r="158" spans="1:23 16382:16383" s="4" customFormat="1" ht="28.5" customHeight="1">
      <c r="A158" s="14">
        <f t="shared" si="27"/>
        <v>129</v>
      </c>
      <c r="B158" s="14" t="s">
        <v>6</v>
      </c>
      <c r="C158" s="14" t="s">
        <v>579</v>
      </c>
      <c r="D158" s="14" t="s">
        <v>95</v>
      </c>
      <c r="E158" s="14" t="s">
        <v>26</v>
      </c>
      <c r="F158" s="14" t="s">
        <v>580</v>
      </c>
      <c r="G158" s="15">
        <v>1789</v>
      </c>
      <c r="H158" s="15"/>
      <c r="I158" s="15"/>
      <c r="J158" s="15">
        <v>1789</v>
      </c>
      <c r="K158" s="15">
        <f t="shared" si="26"/>
        <v>0</v>
      </c>
      <c r="L158" s="15">
        <f t="shared" si="28"/>
        <v>1789</v>
      </c>
      <c r="M158" s="15" t="str">
        <f t="shared" si="29"/>
        <v/>
      </c>
      <c r="N158" s="15">
        <f t="shared" si="30"/>
        <v>1789</v>
      </c>
      <c r="O158" s="15" t="str">
        <f t="shared" si="31"/>
        <v>휘발유 71,560원</v>
      </c>
      <c r="P158" s="15">
        <f t="shared" si="32"/>
        <v>71560</v>
      </c>
      <c r="Q158" s="15" t="s">
        <v>47</v>
      </c>
      <c r="R158" s="16">
        <f t="shared" si="33"/>
        <v>0.1</v>
      </c>
      <c r="S158" s="15">
        <f t="shared" si="34"/>
        <v>7156</v>
      </c>
      <c r="T158" s="15">
        <f t="shared" si="35"/>
        <v>64404</v>
      </c>
      <c r="U158" s="15">
        <f t="shared" si="36"/>
        <v>1610.1</v>
      </c>
      <c r="V158" s="15">
        <f t="shared" si="37"/>
        <v>1789</v>
      </c>
      <c r="W158" s="17">
        <f>IF($T158="",1000000000000000,$T158)</f>
        <v>64404</v>
      </c>
      <c r="XFB158" s="5"/>
      <c r="XFC158" s="3"/>
    </row>
    <row r="159" spans="1:23 16382:16383" s="4" customFormat="1" ht="28.5" customHeight="1">
      <c r="A159" s="14">
        <f t="shared" si="27"/>
        <v>129</v>
      </c>
      <c r="B159" s="14" t="s">
        <v>6</v>
      </c>
      <c r="C159" s="14" t="s">
        <v>581</v>
      </c>
      <c r="D159" s="14" t="s">
        <v>45</v>
      </c>
      <c r="E159" s="14" t="s">
        <v>26</v>
      </c>
      <c r="F159" s="14" t="s">
        <v>582</v>
      </c>
      <c r="G159" s="15">
        <v>1789</v>
      </c>
      <c r="H159" s="15"/>
      <c r="I159" s="15"/>
      <c r="J159" s="15">
        <v>1789</v>
      </c>
      <c r="K159" s="15">
        <f t="shared" si="26"/>
        <v>0</v>
      </c>
      <c r="L159" s="15">
        <f t="shared" si="28"/>
        <v>1789</v>
      </c>
      <c r="M159" s="15" t="str">
        <f t="shared" si="29"/>
        <v/>
      </c>
      <c r="N159" s="15">
        <f t="shared" si="30"/>
        <v>1789</v>
      </c>
      <c r="O159" s="15" t="str">
        <f t="shared" si="31"/>
        <v>휘발유 71,560원</v>
      </c>
      <c r="P159" s="15">
        <f t="shared" si="32"/>
        <v>71560</v>
      </c>
      <c r="Q159" s="15" t="s">
        <v>47</v>
      </c>
      <c r="R159" s="16">
        <f t="shared" si="33"/>
        <v>0.1</v>
      </c>
      <c r="S159" s="15">
        <f t="shared" si="34"/>
        <v>7156</v>
      </c>
      <c r="T159" s="15">
        <f t="shared" si="35"/>
        <v>64404</v>
      </c>
      <c r="U159" s="15">
        <f t="shared" si="36"/>
        <v>1610.1</v>
      </c>
      <c r="V159" s="15">
        <f t="shared" si="37"/>
        <v>1789</v>
      </c>
      <c r="W159" s="17">
        <f>IF($T159="",1000000000000000,$T159)</f>
        <v>64404</v>
      </c>
      <c r="XFB159" s="5"/>
      <c r="XFC159" s="3"/>
    </row>
    <row r="160" spans="1:23 16382:16383" s="4" customFormat="1" ht="28.5" customHeight="1">
      <c r="A160" s="14">
        <f t="shared" si="27"/>
        <v>129</v>
      </c>
      <c r="B160" s="14" t="s">
        <v>6</v>
      </c>
      <c r="C160" s="14" t="s">
        <v>718</v>
      </c>
      <c r="D160" s="14" t="s">
        <v>95</v>
      </c>
      <c r="E160" s="14" t="s">
        <v>26</v>
      </c>
      <c r="F160" s="14" t="s">
        <v>719</v>
      </c>
      <c r="G160" s="15">
        <v>1789</v>
      </c>
      <c r="H160" s="15"/>
      <c r="I160" s="15"/>
      <c r="J160" s="15">
        <v>1789</v>
      </c>
      <c r="K160" s="15">
        <f t="shared" si="26"/>
        <v>0</v>
      </c>
      <c r="L160" s="15">
        <f t="shared" si="28"/>
        <v>1789</v>
      </c>
      <c r="M160" s="15" t="str">
        <f t="shared" si="29"/>
        <v/>
      </c>
      <c r="N160" s="15">
        <f t="shared" si="30"/>
        <v>1789</v>
      </c>
      <c r="O160" s="15" t="str">
        <f t="shared" si="31"/>
        <v>휘발유 71,560원</v>
      </c>
      <c r="P160" s="15">
        <f t="shared" si="32"/>
        <v>71560</v>
      </c>
      <c r="Q160" s="15" t="s">
        <v>47</v>
      </c>
      <c r="R160" s="16">
        <f t="shared" si="33"/>
        <v>0.1</v>
      </c>
      <c r="S160" s="15">
        <f t="shared" si="34"/>
        <v>7156</v>
      </c>
      <c r="T160" s="15">
        <f t="shared" si="35"/>
        <v>64404</v>
      </c>
      <c r="U160" s="15">
        <f t="shared" si="36"/>
        <v>1610.1</v>
      </c>
      <c r="V160" s="15">
        <f t="shared" si="37"/>
        <v>1789</v>
      </c>
      <c r="W160" s="17">
        <f>IF($T160="",1000000000000000,$T160)</f>
        <v>64404</v>
      </c>
      <c r="XFB160" s="5"/>
      <c r="XFC160" s="3"/>
    </row>
    <row r="161" spans="1:23 16382:16383" s="4" customFormat="1" ht="28.5" customHeight="1">
      <c r="A161" s="14">
        <f t="shared" si="27"/>
        <v>129</v>
      </c>
      <c r="B161" s="14" t="s">
        <v>6</v>
      </c>
      <c r="C161" s="14" t="s">
        <v>585</v>
      </c>
      <c r="D161" s="14" t="s">
        <v>95</v>
      </c>
      <c r="E161" s="14" t="s">
        <v>26</v>
      </c>
      <c r="F161" s="14" t="s">
        <v>586</v>
      </c>
      <c r="G161" s="15">
        <v>1789</v>
      </c>
      <c r="H161" s="15"/>
      <c r="I161" s="15"/>
      <c r="J161" s="15">
        <v>1789</v>
      </c>
      <c r="K161" s="15">
        <f t="shared" si="26"/>
        <v>0</v>
      </c>
      <c r="L161" s="15">
        <f t="shared" si="28"/>
        <v>1789</v>
      </c>
      <c r="M161" s="15" t="str">
        <f t="shared" si="29"/>
        <v/>
      </c>
      <c r="N161" s="15">
        <f t="shared" si="30"/>
        <v>1789</v>
      </c>
      <c r="O161" s="15" t="str">
        <f t="shared" si="31"/>
        <v>휘발유 71,560원</v>
      </c>
      <c r="P161" s="15">
        <f t="shared" si="32"/>
        <v>71560</v>
      </c>
      <c r="Q161" s="15" t="s">
        <v>47</v>
      </c>
      <c r="R161" s="16">
        <f t="shared" si="33"/>
        <v>0.1</v>
      </c>
      <c r="S161" s="15">
        <f t="shared" si="34"/>
        <v>7156</v>
      </c>
      <c r="T161" s="15">
        <f t="shared" si="35"/>
        <v>64404</v>
      </c>
      <c r="U161" s="15">
        <f t="shared" si="36"/>
        <v>1610.1</v>
      </c>
      <c r="V161" s="15">
        <f t="shared" si="37"/>
        <v>1789</v>
      </c>
      <c r="W161" s="17">
        <f>IF($T161="",1000000000000000,$T161)</f>
        <v>64404</v>
      </c>
      <c r="XFB161" s="5"/>
      <c r="XFC161" s="3"/>
    </row>
    <row r="162" spans="1:23 16382:16383" s="4" customFormat="1" ht="28.5" customHeight="1">
      <c r="A162" s="14">
        <f t="shared" si="27"/>
        <v>129</v>
      </c>
      <c r="B162" s="14" t="s">
        <v>6</v>
      </c>
      <c r="C162" s="14" t="s">
        <v>508</v>
      </c>
      <c r="D162" s="14" t="s">
        <v>95</v>
      </c>
      <c r="E162" s="14" t="s">
        <v>26</v>
      </c>
      <c r="F162" s="14" t="s">
        <v>509</v>
      </c>
      <c r="G162" s="15">
        <v>1789</v>
      </c>
      <c r="H162" s="15"/>
      <c r="I162" s="15"/>
      <c r="J162" s="15">
        <v>1789</v>
      </c>
      <c r="K162" s="15">
        <f t="shared" si="26"/>
        <v>0</v>
      </c>
      <c r="L162" s="15">
        <f t="shared" si="28"/>
        <v>1789</v>
      </c>
      <c r="M162" s="15" t="str">
        <f t="shared" si="29"/>
        <v/>
      </c>
      <c r="N162" s="15">
        <f t="shared" si="30"/>
        <v>1789</v>
      </c>
      <c r="O162" s="15" t="str">
        <f t="shared" si="31"/>
        <v>휘발유 71,560원</v>
      </c>
      <c r="P162" s="15">
        <f t="shared" si="32"/>
        <v>71560</v>
      </c>
      <c r="Q162" s="15" t="s">
        <v>47</v>
      </c>
      <c r="R162" s="16">
        <f t="shared" si="33"/>
        <v>0.1</v>
      </c>
      <c r="S162" s="15">
        <f t="shared" si="34"/>
        <v>7156</v>
      </c>
      <c r="T162" s="15">
        <f t="shared" si="35"/>
        <v>64404</v>
      </c>
      <c r="U162" s="15">
        <f t="shared" si="36"/>
        <v>1610.1</v>
      </c>
      <c r="V162" s="15">
        <f t="shared" si="37"/>
        <v>1789</v>
      </c>
      <c r="W162" s="17">
        <f>IF($T162="",1000000000000000,$T162)</f>
        <v>64404</v>
      </c>
      <c r="XFB162" s="5"/>
      <c r="XFC162" s="3"/>
    </row>
    <row r="163" spans="1:23 16382:16383" s="4" customFormat="1" ht="28.5" customHeight="1">
      <c r="A163" s="14">
        <f t="shared" si="27"/>
        <v>129</v>
      </c>
      <c r="B163" s="14" t="s">
        <v>6</v>
      </c>
      <c r="C163" s="14" t="s">
        <v>587</v>
      </c>
      <c r="D163" s="14" t="s">
        <v>51</v>
      </c>
      <c r="E163" s="14" t="s">
        <v>26</v>
      </c>
      <c r="F163" s="14" t="s">
        <v>588</v>
      </c>
      <c r="G163" s="15">
        <v>1789</v>
      </c>
      <c r="H163" s="15"/>
      <c r="I163" s="15"/>
      <c r="J163" s="15">
        <v>1789</v>
      </c>
      <c r="K163" s="15">
        <f t="shared" si="26"/>
        <v>0</v>
      </c>
      <c r="L163" s="15">
        <f t="shared" si="28"/>
        <v>1789</v>
      </c>
      <c r="M163" s="15" t="str">
        <f t="shared" si="29"/>
        <v/>
      </c>
      <c r="N163" s="15">
        <f t="shared" si="30"/>
        <v>1789</v>
      </c>
      <c r="O163" s="15" t="str">
        <f t="shared" si="31"/>
        <v>휘발유 71,560원</v>
      </c>
      <c r="P163" s="15">
        <f t="shared" si="32"/>
        <v>71560</v>
      </c>
      <c r="Q163" s="15" t="s">
        <v>47</v>
      </c>
      <c r="R163" s="16">
        <f t="shared" si="33"/>
        <v>0.1</v>
      </c>
      <c r="S163" s="15">
        <f t="shared" si="34"/>
        <v>7156</v>
      </c>
      <c r="T163" s="15">
        <f t="shared" si="35"/>
        <v>64404</v>
      </c>
      <c r="U163" s="15">
        <f t="shared" si="36"/>
        <v>1610.1</v>
      </c>
      <c r="V163" s="15">
        <f t="shared" si="37"/>
        <v>1789</v>
      </c>
      <c r="W163" s="17">
        <f>IF($T163="",1000000000000000,$T163)</f>
        <v>64404</v>
      </c>
      <c r="XFB163" s="5"/>
      <c r="XFC163" s="3"/>
    </row>
    <row r="164" spans="1:23 16382:16383" s="4" customFormat="1" ht="28.5" customHeight="1">
      <c r="A164" s="14">
        <f t="shared" si="27"/>
        <v>129</v>
      </c>
      <c r="B164" s="14" t="s">
        <v>6</v>
      </c>
      <c r="C164" s="14" t="s">
        <v>589</v>
      </c>
      <c r="D164" s="14" t="s">
        <v>56</v>
      </c>
      <c r="E164" s="14" t="s">
        <v>26</v>
      </c>
      <c r="F164" s="14" t="s">
        <v>590</v>
      </c>
      <c r="G164" s="15">
        <v>1789</v>
      </c>
      <c r="H164" s="15"/>
      <c r="I164" s="15"/>
      <c r="J164" s="15">
        <v>1789</v>
      </c>
      <c r="K164" s="15">
        <f t="shared" si="26"/>
        <v>0</v>
      </c>
      <c r="L164" s="15">
        <f t="shared" si="28"/>
        <v>1789</v>
      </c>
      <c r="M164" s="15" t="str">
        <f t="shared" si="29"/>
        <v/>
      </c>
      <c r="N164" s="15">
        <f t="shared" si="30"/>
        <v>1789</v>
      </c>
      <c r="O164" s="15" t="str">
        <f t="shared" si="31"/>
        <v>휘발유 71,560원</v>
      </c>
      <c r="P164" s="15">
        <f t="shared" si="32"/>
        <v>71560</v>
      </c>
      <c r="Q164" s="15" t="s">
        <v>47</v>
      </c>
      <c r="R164" s="16">
        <f t="shared" si="33"/>
        <v>0.1</v>
      </c>
      <c r="S164" s="15">
        <f t="shared" si="34"/>
        <v>7156</v>
      </c>
      <c r="T164" s="15">
        <f t="shared" si="35"/>
        <v>64404</v>
      </c>
      <c r="U164" s="15">
        <f t="shared" si="36"/>
        <v>1610.1</v>
      </c>
      <c r="V164" s="15">
        <f t="shared" si="37"/>
        <v>1789</v>
      </c>
      <c r="W164" s="17">
        <f>IF($T164="",1000000000000000,$T164)</f>
        <v>64404</v>
      </c>
      <c r="XFB164" s="5"/>
      <c r="XFC164" s="3"/>
    </row>
    <row r="165" spans="1:23 16382:16383" s="4" customFormat="1" ht="28.5" customHeight="1">
      <c r="A165" s="14">
        <f t="shared" si="27"/>
        <v>129</v>
      </c>
      <c r="B165" s="14" t="s">
        <v>12</v>
      </c>
      <c r="C165" s="14" t="s">
        <v>593</v>
      </c>
      <c r="D165" s="18" t="s">
        <v>95</v>
      </c>
      <c r="E165" s="14" t="s">
        <v>26</v>
      </c>
      <c r="F165" s="14" t="s">
        <v>594</v>
      </c>
      <c r="G165" s="15">
        <v>1789</v>
      </c>
      <c r="H165" s="15"/>
      <c r="I165" s="15"/>
      <c r="J165" s="15">
        <v>1839</v>
      </c>
      <c r="K165" s="15">
        <f t="shared" si="26"/>
        <v>0</v>
      </c>
      <c r="L165" s="15">
        <f t="shared" si="28"/>
        <v>1789</v>
      </c>
      <c r="M165" s="15" t="str">
        <f t="shared" si="29"/>
        <v/>
      </c>
      <c r="N165" s="15">
        <f t="shared" si="30"/>
        <v>1839</v>
      </c>
      <c r="O165" s="15" t="str">
        <f t="shared" si="31"/>
        <v>휘발유 71,560원</v>
      </c>
      <c r="P165" s="15">
        <f t="shared" si="32"/>
        <v>71560</v>
      </c>
      <c r="Q165" s="15" t="s">
        <v>47</v>
      </c>
      <c r="R165" s="16">
        <f t="shared" si="33"/>
        <v>0.1</v>
      </c>
      <c r="S165" s="15">
        <f t="shared" si="34"/>
        <v>7156</v>
      </c>
      <c r="T165" s="15">
        <f t="shared" si="35"/>
        <v>64404</v>
      </c>
      <c r="U165" s="15">
        <f t="shared" si="36"/>
        <v>1610.1</v>
      </c>
      <c r="V165" s="15">
        <f t="shared" si="37"/>
        <v>1789</v>
      </c>
      <c r="W165" s="17">
        <f>IF($T165="",1000000000000000,$T165)</f>
        <v>64404</v>
      </c>
      <c r="XFB165" s="5"/>
      <c r="XFC165" s="3"/>
    </row>
    <row r="166" spans="1:23 16382:16383" s="4" customFormat="1" ht="28.5" customHeight="1">
      <c r="A166" s="14">
        <f t="shared" si="27"/>
        <v>152</v>
      </c>
      <c r="B166" s="14" t="s">
        <v>16</v>
      </c>
      <c r="C166" s="14" t="s">
        <v>109</v>
      </c>
      <c r="D166" s="14" t="s">
        <v>51</v>
      </c>
      <c r="E166" s="14" t="s">
        <v>26</v>
      </c>
      <c r="F166" s="14" t="s">
        <v>110</v>
      </c>
      <c r="G166" s="15">
        <v>1830</v>
      </c>
      <c r="H166" s="15">
        <v>2070</v>
      </c>
      <c r="I166" s="15"/>
      <c r="J166" s="15">
        <v>1820</v>
      </c>
      <c r="K166" s="15">
        <f t="shared" si="26"/>
        <v>0</v>
      </c>
      <c r="L166" s="15">
        <f t="shared" si="28"/>
        <v>1830</v>
      </c>
      <c r="M166" s="15">
        <f t="shared" si="29"/>
        <v>2070</v>
      </c>
      <c r="N166" s="15">
        <f t="shared" si="30"/>
        <v>1820</v>
      </c>
      <c r="O166" s="15" t="str">
        <f t="shared" si="31"/>
        <v>휘발유 73,200원</v>
      </c>
      <c r="P166" s="15">
        <f t="shared" si="32"/>
        <v>73200</v>
      </c>
      <c r="Q166" s="15" t="s">
        <v>47</v>
      </c>
      <c r="R166" s="16">
        <f t="shared" si="33"/>
        <v>0.12</v>
      </c>
      <c r="S166" s="15">
        <f t="shared" si="34"/>
        <v>8784</v>
      </c>
      <c r="T166" s="15">
        <f t="shared" si="35"/>
        <v>64416</v>
      </c>
      <c r="U166" s="15">
        <f t="shared" si="36"/>
        <v>1610.4</v>
      </c>
      <c r="V166" s="15">
        <f t="shared" si="37"/>
        <v>1830</v>
      </c>
      <c r="W166" s="17">
        <f>IF($T166="",1000000000000000,$T166)</f>
        <v>64416</v>
      </c>
      <c r="XFB166" s="5"/>
      <c r="XFC166" s="3"/>
    </row>
    <row r="167" spans="1:23 16382:16383" s="4" customFormat="1" ht="28.5" customHeight="1">
      <c r="A167" s="14">
        <f t="shared" si="27"/>
        <v>152</v>
      </c>
      <c r="B167" s="14" t="s">
        <v>16</v>
      </c>
      <c r="C167" s="14" t="s">
        <v>875</v>
      </c>
      <c r="D167" s="18" t="s">
        <v>86</v>
      </c>
      <c r="E167" s="14" t="s">
        <v>63</v>
      </c>
      <c r="F167" s="14" t="s">
        <v>876</v>
      </c>
      <c r="G167" s="15">
        <v>1830</v>
      </c>
      <c r="H167" s="15"/>
      <c r="I167" s="15"/>
      <c r="J167" s="15">
        <v>1850</v>
      </c>
      <c r="K167" s="15">
        <f t="shared" si="26"/>
        <v>0</v>
      </c>
      <c r="L167" s="15">
        <f t="shared" si="28"/>
        <v>1830</v>
      </c>
      <c r="M167" s="15" t="str">
        <f t="shared" si="29"/>
        <v/>
      </c>
      <c r="N167" s="15">
        <f t="shared" si="30"/>
        <v>1850</v>
      </c>
      <c r="O167" s="15" t="str">
        <f t="shared" si="31"/>
        <v>휘발유 73,200원</v>
      </c>
      <c r="P167" s="15">
        <f t="shared" si="32"/>
        <v>73200</v>
      </c>
      <c r="Q167" s="15" t="s">
        <v>47</v>
      </c>
      <c r="R167" s="16">
        <f t="shared" si="33"/>
        <v>0.12</v>
      </c>
      <c r="S167" s="15">
        <f t="shared" si="34"/>
        <v>8784</v>
      </c>
      <c r="T167" s="15">
        <f t="shared" si="35"/>
        <v>64416</v>
      </c>
      <c r="U167" s="15">
        <f t="shared" si="36"/>
        <v>1610.4</v>
      </c>
      <c r="V167" s="15">
        <f t="shared" si="37"/>
        <v>1830</v>
      </c>
      <c r="W167" s="17">
        <f>IF($T167="",1000000000000000,$T167)</f>
        <v>64416</v>
      </c>
      <c r="XFB167" s="5"/>
      <c r="XFC167" s="3"/>
    </row>
    <row r="168" spans="1:23 16382:16383" s="4" customFormat="1" ht="28.5" customHeight="1">
      <c r="A168" s="14">
        <f t="shared" si="27"/>
        <v>154</v>
      </c>
      <c r="B168" s="14" t="s">
        <v>8</v>
      </c>
      <c r="C168" s="14" t="s">
        <v>135</v>
      </c>
      <c r="D168" s="18" t="s">
        <v>86</v>
      </c>
      <c r="E168" s="14" t="s">
        <v>26</v>
      </c>
      <c r="F168" s="14" t="s">
        <v>136</v>
      </c>
      <c r="G168" s="15">
        <v>1790</v>
      </c>
      <c r="H168" s="15">
        <v>2060</v>
      </c>
      <c r="I168" s="15"/>
      <c r="J168" s="15">
        <v>1790</v>
      </c>
      <c r="K168" s="15">
        <f t="shared" si="26"/>
        <v>0</v>
      </c>
      <c r="L168" s="15">
        <f t="shared" si="28"/>
        <v>1790</v>
      </c>
      <c r="M168" s="15">
        <f t="shared" si="29"/>
        <v>2060</v>
      </c>
      <c r="N168" s="15">
        <f t="shared" si="30"/>
        <v>1790</v>
      </c>
      <c r="O168" s="15" t="str">
        <f t="shared" si="31"/>
        <v>휘발유 71,600원</v>
      </c>
      <c r="P168" s="15">
        <f t="shared" si="32"/>
        <v>71600</v>
      </c>
      <c r="Q168" s="15" t="s">
        <v>47</v>
      </c>
      <c r="R168" s="16">
        <f t="shared" si="33"/>
        <v>0.1</v>
      </c>
      <c r="S168" s="15">
        <f t="shared" si="34"/>
        <v>7160</v>
      </c>
      <c r="T168" s="15">
        <f t="shared" si="35"/>
        <v>64440</v>
      </c>
      <c r="U168" s="15">
        <f t="shared" si="36"/>
        <v>1611</v>
      </c>
      <c r="V168" s="15">
        <f t="shared" si="37"/>
        <v>1790</v>
      </c>
      <c r="W168" s="17">
        <f>IF($T168="",1000000000000000,$T168)</f>
        <v>64440</v>
      </c>
      <c r="XFB168" s="5"/>
      <c r="XFC168" s="3"/>
    </row>
    <row r="169" spans="1:23 16382:16383" s="4" customFormat="1" ht="28.5" customHeight="1">
      <c r="A169" s="14">
        <f t="shared" si="27"/>
        <v>154</v>
      </c>
      <c r="B169" s="14" t="s">
        <v>10</v>
      </c>
      <c r="C169" s="14" t="s">
        <v>595</v>
      </c>
      <c r="D169" s="14" t="s">
        <v>95</v>
      </c>
      <c r="E169" s="14" t="s">
        <v>26</v>
      </c>
      <c r="F169" s="14" t="s">
        <v>596</v>
      </c>
      <c r="G169" s="15">
        <v>1790</v>
      </c>
      <c r="H169" s="15"/>
      <c r="I169" s="15"/>
      <c r="J169" s="15">
        <v>1780</v>
      </c>
      <c r="K169" s="15">
        <f t="shared" si="26"/>
        <v>0</v>
      </c>
      <c r="L169" s="15">
        <f t="shared" si="28"/>
        <v>1790</v>
      </c>
      <c r="M169" s="15" t="str">
        <f t="shared" si="29"/>
        <v/>
      </c>
      <c r="N169" s="15">
        <f t="shared" si="30"/>
        <v>1780</v>
      </c>
      <c r="O169" s="15" t="str">
        <f t="shared" si="31"/>
        <v>휘발유 71,600원</v>
      </c>
      <c r="P169" s="15">
        <f t="shared" si="32"/>
        <v>71600</v>
      </c>
      <c r="Q169" s="15" t="s">
        <v>47</v>
      </c>
      <c r="R169" s="16">
        <f t="shared" si="33"/>
        <v>0.1</v>
      </c>
      <c r="S169" s="15">
        <f t="shared" si="34"/>
        <v>7160</v>
      </c>
      <c r="T169" s="15">
        <f t="shared" si="35"/>
        <v>64440</v>
      </c>
      <c r="U169" s="15">
        <f t="shared" si="36"/>
        <v>1611</v>
      </c>
      <c r="V169" s="15">
        <f t="shared" si="37"/>
        <v>1790</v>
      </c>
      <c r="W169" s="17">
        <f>IF($T169="",1000000000000000,$T169)</f>
        <v>64440</v>
      </c>
      <c r="XFB169" s="5"/>
      <c r="XFC169" s="3"/>
    </row>
    <row r="170" spans="1:23 16382:16383" s="4" customFormat="1" ht="28.5" customHeight="1">
      <c r="A170" s="14">
        <f t="shared" si="27"/>
        <v>156</v>
      </c>
      <c r="B170" s="14" t="s">
        <v>6</v>
      </c>
      <c r="C170" s="14" t="s">
        <v>597</v>
      </c>
      <c r="D170" s="14" t="s">
        <v>496</v>
      </c>
      <c r="E170" s="14" t="s">
        <v>26</v>
      </c>
      <c r="F170" s="14" t="s">
        <v>598</v>
      </c>
      <c r="G170" s="15">
        <v>1792</v>
      </c>
      <c r="H170" s="15"/>
      <c r="I170" s="15"/>
      <c r="J170" s="15">
        <v>1797</v>
      </c>
      <c r="K170" s="15">
        <f t="shared" si="26"/>
        <v>0</v>
      </c>
      <c r="L170" s="15">
        <f t="shared" si="28"/>
        <v>1792</v>
      </c>
      <c r="M170" s="15" t="str">
        <f t="shared" si="29"/>
        <v/>
      </c>
      <c r="N170" s="15">
        <f t="shared" si="30"/>
        <v>1797</v>
      </c>
      <c r="O170" s="15" t="str">
        <f t="shared" si="31"/>
        <v>휘발유 71,680원</v>
      </c>
      <c r="P170" s="15">
        <f t="shared" si="32"/>
        <v>71680</v>
      </c>
      <c r="Q170" s="15" t="s">
        <v>47</v>
      </c>
      <c r="R170" s="16">
        <f t="shared" si="33"/>
        <v>0.1</v>
      </c>
      <c r="S170" s="15">
        <f t="shared" si="34"/>
        <v>7168</v>
      </c>
      <c r="T170" s="15">
        <f t="shared" si="35"/>
        <v>64512</v>
      </c>
      <c r="U170" s="15">
        <f t="shared" si="36"/>
        <v>1612.8</v>
      </c>
      <c r="V170" s="15">
        <f t="shared" si="37"/>
        <v>1792</v>
      </c>
      <c r="W170" s="17">
        <f>IF($T170="",1000000000000000,$T170)</f>
        <v>64512</v>
      </c>
      <c r="XFB170" s="5"/>
      <c r="XFC170" s="3"/>
    </row>
    <row r="171" spans="1:23 16382:16383" s="4" customFormat="1" ht="28.5" customHeight="1">
      <c r="A171" s="14">
        <f t="shared" si="27"/>
        <v>157</v>
      </c>
      <c r="B171" s="14" t="s">
        <v>8</v>
      </c>
      <c r="C171" s="14" t="s">
        <v>145</v>
      </c>
      <c r="D171" s="14" t="s">
        <v>45</v>
      </c>
      <c r="E171" s="14" t="s">
        <v>26</v>
      </c>
      <c r="F171" s="14" t="s">
        <v>146</v>
      </c>
      <c r="G171" s="15">
        <v>1793</v>
      </c>
      <c r="H171" s="15">
        <v>2070</v>
      </c>
      <c r="I171" s="15"/>
      <c r="J171" s="15">
        <v>1793</v>
      </c>
      <c r="K171" s="15">
        <f t="shared" si="26"/>
        <v>0</v>
      </c>
      <c r="L171" s="15">
        <f t="shared" si="28"/>
        <v>1793</v>
      </c>
      <c r="M171" s="15">
        <f t="shared" si="29"/>
        <v>2070</v>
      </c>
      <c r="N171" s="15">
        <f t="shared" si="30"/>
        <v>1793</v>
      </c>
      <c r="O171" s="15" t="str">
        <f t="shared" si="31"/>
        <v>휘발유 71,720원</v>
      </c>
      <c r="P171" s="15">
        <f t="shared" si="32"/>
        <v>71720</v>
      </c>
      <c r="Q171" s="15" t="s">
        <v>47</v>
      </c>
      <c r="R171" s="16">
        <f t="shared" si="33"/>
        <v>0.1</v>
      </c>
      <c r="S171" s="15">
        <f t="shared" si="34"/>
        <v>7172</v>
      </c>
      <c r="T171" s="15">
        <f t="shared" si="35"/>
        <v>64548</v>
      </c>
      <c r="U171" s="15">
        <f t="shared" si="36"/>
        <v>1613.7</v>
      </c>
      <c r="V171" s="15">
        <f t="shared" si="37"/>
        <v>1793</v>
      </c>
      <c r="W171" s="17">
        <f>IF($T171="",1000000000000000,$T171)</f>
        <v>64548</v>
      </c>
      <c r="XFB171" s="5"/>
      <c r="XFC171" s="3"/>
    </row>
    <row r="172" spans="1:23 16382:16383" s="4" customFormat="1" ht="28.5" customHeight="1">
      <c r="A172" s="14">
        <f t="shared" si="27"/>
        <v>158</v>
      </c>
      <c r="B172" s="14" t="s">
        <v>18</v>
      </c>
      <c r="C172" s="14" t="s">
        <v>601</v>
      </c>
      <c r="D172" s="14" t="s">
        <v>95</v>
      </c>
      <c r="E172" s="14" t="s">
        <v>63</v>
      </c>
      <c r="F172" s="14" t="s">
        <v>602</v>
      </c>
      <c r="G172" s="15">
        <v>1899</v>
      </c>
      <c r="H172" s="15"/>
      <c r="I172" s="15"/>
      <c r="J172" s="15">
        <v>1899</v>
      </c>
      <c r="K172" s="15">
        <f t="shared" si="26"/>
        <v>0</v>
      </c>
      <c r="L172" s="15">
        <f t="shared" si="28"/>
        <v>1899</v>
      </c>
      <c r="M172" s="15" t="str">
        <f t="shared" si="29"/>
        <v/>
      </c>
      <c r="N172" s="15">
        <f t="shared" si="30"/>
        <v>1899</v>
      </c>
      <c r="O172" s="15" t="str">
        <f t="shared" si="31"/>
        <v>휘발유 75,960원</v>
      </c>
      <c r="P172" s="15">
        <f t="shared" si="32"/>
        <v>75960</v>
      </c>
      <c r="Q172" s="15" t="s">
        <v>47</v>
      </c>
      <c r="R172" s="16">
        <f t="shared" si="33"/>
        <v>0.15</v>
      </c>
      <c r="S172" s="15">
        <f t="shared" si="34"/>
        <v>11394</v>
      </c>
      <c r="T172" s="15">
        <f t="shared" si="35"/>
        <v>64566</v>
      </c>
      <c r="U172" s="15">
        <f t="shared" si="36"/>
        <v>1614.15</v>
      </c>
      <c r="V172" s="15">
        <f t="shared" si="37"/>
        <v>1899</v>
      </c>
      <c r="W172" s="17">
        <f>IF($T172="",1000000000000000,$T172)</f>
        <v>64566</v>
      </c>
      <c r="XFB172" s="5"/>
      <c r="XFC172" s="3"/>
    </row>
    <row r="173" spans="1:23 16382:16383" s="4" customFormat="1" ht="28.5" customHeight="1">
      <c r="A173" s="14">
        <f t="shared" si="27"/>
        <v>159</v>
      </c>
      <c r="B173" s="14" t="s">
        <v>6</v>
      </c>
      <c r="C173" s="14" t="s">
        <v>92</v>
      </c>
      <c r="D173" s="14" t="s">
        <v>45</v>
      </c>
      <c r="E173" s="14" t="s">
        <v>26</v>
      </c>
      <c r="F173" s="14" t="s">
        <v>93</v>
      </c>
      <c r="G173" s="15">
        <v>1794</v>
      </c>
      <c r="H173" s="15">
        <v>1994</v>
      </c>
      <c r="I173" s="15"/>
      <c r="J173" s="15">
        <v>1784</v>
      </c>
      <c r="K173" s="15">
        <f t="shared" si="26"/>
        <v>0</v>
      </c>
      <c r="L173" s="15">
        <f t="shared" si="28"/>
        <v>1794</v>
      </c>
      <c r="M173" s="15">
        <f t="shared" si="29"/>
        <v>1994</v>
      </c>
      <c r="N173" s="15">
        <f t="shared" si="30"/>
        <v>1784</v>
      </c>
      <c r="O173" s="15" t="str">
        <f t="shared" si="31"/>
        <v>휘발유 71,760원</v>
      </c>
      <c r="P173" s="15">
        <f t="shared" si="32"/>
        <v>71760</v>
      </c>
      <c r="Q173" s="15" t="s">
        <v>47</v>
      </c>
      <c r="R173" s="16">
        <f t="shared" si="33"/>
        <v>0.1</v>
      </c>
      <c r="S173" s="15">
        <f t="shared" si="34"/>
        <v>7176</v>
      </c>
      <c r="T173" s="15">
        <f t="shared" si="35"/>
        <v>64584</v>
      </c>
      <c r="U173" s="15">
        <f t="shared" si="36"/>
        <v>1614.6</v>
      </c>
      <c r="V173" s="15">
        <f t="shared" si="37"/>
        <v>1794</v>
      </c>
      <c r="W173" s="17">
        <f>IF($T173="",1000000000000000,$T173)</f>
        <v>64584</v>
      </c>
      <c r="XFB173" s="5"/>
      <c r="XFC173" s="3"/>
    </row>
    <row r="174" spans="1:23 16382:16383" s="4" customFormat="1" ht="28.5" customHeight="1">
      <c r="A174" s="14">
        <f t="shared" si="27"/>
        <v>159</v>
      </c>
      <c r="B174" s="14" t="s">
        <v>12</v>
      </c>
      <c r="C174" s="14" t="s">
        <v>603</v>
      </c>
      <c r="D174" s="18" t="s">
        <v>45</v>
      </c>
      <c r="E174" s="14" t="s">
        <v>26</v>
      </c>
      <c r="F174" s="14" t="s">
        <v>604</v>
      </c>
      <c r="G174" s="15">
        <v>1794</v>
      </c>
      <c r="H174" s="15"/>
      <c r="I174" s="15"/>
      <c r="J174" s="15">
        <v>1758</v>
      </c>
      <c r="K174" s="15">
        <f t="shared" si="26"/>
        <v>0</v>
      </c>
      <c r="L174" s="15">
        <f t="shared" si="28"/>
        <v>1794</v>
      </c>
      <c r="M174" s="15" t="str">
        <f t="shared" si="29"/>
        <v/>
      </c>
      <c r="N174" s="15">
        <f t="shared" si="30"/>
        <v>1758</v>
      </c>
      <c r="O174" s="15" t="str">
        <f t="shared" si="31"/>
        <v>휘발유 71,760원</v>
      </c>
      <c r="P174" s="15">
        <f t="shared" si="32"/>
        <v>71760</v>
      </c>
      <c r="Q174" s="15" t="s">
        <v>47</v>
      </c>
      <c r="R174" s="16">
        <f t="shared" si="33"/>
        <v>0.1</v>
      </c>
      <c r="S174" s="15">
        <f t="shared" si="34"/>
        <v>7176</v>
      </c>
      <c r="T174" s="15">
        <f t="shared" si="35"/>
        <v>64584</v>
      </c>
      <c r="U174" s="15">
        <f t="shared" si="36"/>
        <v>1614.6</v>
      </c>
      <c r="V174" s="15">
        <f t="shared" si="37"/>
        <v>1794</v>
      </c>
      <c r="W174" s="17">
        <f>IF($T174="",1000000000000000,$T174)</f>
        <v>64584</v>
      </c>
      <c r="XFB174" s="5"/>
      <c r="XFC174" s="3"/>
    </row>
    <row r="175" spans="1:23 16382:16383" s="4" customFormat="1" ht="28.5" customHeight="1">
      <c r="A175" s="14">
        <f t="shared" si="27"/>
        <v>159</v>
      </c>
      <c r="B175" s="14" t="s">
        <v>12</v>
      </c>
      <c r="C175" s="14" t="s">
        <v>605</v>
      </c>
      <c r="D175" s="18" t="s">
        <v>45</v>
      </c>
      <c r="E175" s="14" t="s">
        <v>26</v>
      </c>
      <c r="F175" s="14" t="s">
        <v>606</v>
      </c>
      <c r="G175" s="15">
        <v>1794</v>
      </c>
      <c r="H175" s="15"/>
      <c r="I175" s="15"/>
      <c r="J175" s="15">
        <v>1794</v>
      </c>
      <c r="K175" s="15">
        <f t="shared" si="26"/>
        <v>0</v>
      </c>
      <c r="L175" s="15">
        <f t="shared" si="28"/>
        <v>1794</v>
      </c>
      <c r="M175" s="15" t="str">
        <f t="shared" si="29"/>
        <v/>
      </c>
      <c r="N175" s="15">
        <f t="shared" si="30"/>
        <v>1794</v>
      </c>
      <c r="O175" s="15" t="str">
        <f t="shared" si="31"/>
        <v>휘발유 71,760원</v>
      </c>
      <c r="P175" s="15">
        <f t="shared" si="32"/>
        <v>71760</v>
      </c>
      <c r="Q175" s="15" t="s">
        <v>47</v>
      </c>
      <c r="R175" s="16">
        <f t="shared" si="33"/>
        <v>0.1</v>
      </c>
      <c r="S175" s="15">
        <f t="shared" si="34"/>
        <v>7176</v>
      </c>
      <c r="T175" s="15">
        <f t="shared" si="35"/>
        <v>64584</v>
      </c>
      <c r="U175" s="15">
        <f t="shared" si="36"/>
        <v>1614.6</v>
      </c>
      <c r="V175" s="15">
        <f t="shared" si="37"/>
        <v>1794</v>
      </c>
      <c r="W175" s="17">
        <f>IF($T175="",1000000000000000,$T175)</f>
        <v>64584</v>
      </c>
      <c r="XFB175" s="5"/>
      <c r="XFC175" s="3"/>
    </row>
    <row r="176" spans="1:23 16382:16383" s="4" customFormat="1" ht="28.5" customHeight="1">
      <c r="A176" s="14">
        <f t="shared" si="27"/>
        <v>159</v>
      </c>
      <c r="B176" s="14" t="s">
        <v>12</v>
      </c>
      <c r="C176" s="14" t="s">
        <v>607</v>
      </c>
      <c r="D176" s="18" t="s">
        <v>86</v>
      </c>
      <c r="E176" s="14" t="s">
        <v>26</v>
      </c>
      <c r="F176" s="14" t="s">
        <v>608</v>
      </c>
      <c r="G176" s="15">
        <v>1794</v>
      </c>
      <c r="H176" s="15"/>
      <c r="I176" s="15"/>
      <c r="J176" s="15">
        <v>1794</v>
      </c>
      <c r="K176" s="15">
        <f t="shared" si="26"/>
        <v>0</v>
      </c>
      <c r="L176" s="15">
        <f t="shared" si="28"/>
        <v>1794</v>
      </c>
      <c r="M176" s="15" t="str">
        <f t="shared" si="29"/>
        <v/>
      </c>
      <c r="N176" s="15">
        <f t="shared" si="30"/>
        <v>1794</v>
      </c>
      <c r="O176" s="15" t="str">
        <f t="shared" si="31"/>
        <v>휘발유 71,760원</v>
      </c>
      <c r="P176" s="15">
        <f t="shared" si="32"/>
        <v>71760</v>
      </c>
      <c r="Q176" s="15" t="s">
        <v>47</v>
      </c>
      <c r="R176" s="16">
        <f t="shared" si="33"/>
        <v>0.1</v>
      </c>
      <c r="S176" s="15">
        <f t="shared" si="34"/>
        <v>7176</v>
      </c>
      <c r="T176" s="15">
        <f t="shared" si="35"/>
        <v>64584</v>
      </c>
      <c r="U176" s="15">
        <f t="shared" si="36"/>
        <v>1614.6</v>
      </c>
      <c r="V176" s="15">
        <f t="shared" si="37"/>
        <v>1794</v>
      </c>
      <c r="W176" s="17">
        <f>IF($T176="",1000000000000000,$T176)</f>
        <v>64584</v>
      </c>
      <c r="XFB176" s="5"/>
      <c r="XFC176" s="3"/>
    </row>
    <row r="177" spans="1:23 16382:16383" s="4" customFormat="1" ht="28.5" customHeight="1">
      <c r="A177" s="14">
        <f t="shared" si="27"/>
        <v>163</v>
      </c>
      <c r="B177" s="14" t="s">
        <v>6</v>
      </c>
      <c r="C177" s="14" t="s">
        <v>133</v>
      </c>
      <c r="D177" s="18" t="s">
        <v>86</v>
      </c>
      <c r="E177" s="14" t="s">
        <v>26</v>
      </c>
      <c r="F177" s="14" t="s">
        <v>134</v>
      </c>
      <c r="G177" s="15">
        <v>1795</v>
      </c>
      <c r="H177" s="15">
        <v>2049</v>
      </c>
      <c r="I177" s="15"/>
      <c r="J177" s="15">
        <v>1785</v>
      </c>
      <c r="K177" s="15">
        <f t="shared" si="26"/>
        <v>0</v>
      </c>
      <c r="L177" s="15">
        <f t="shared" si="28"/>
        <v>1795</v>
      </c>
      <c r="M177" s="15">
        <f t="shared" si="29"/>
        <v>2049</v>
      </c>
      <c r="N177" s="15">
        <f t="shared" si="30"/>
        <v>1785</v>
      </c>
      <c r="O177" s="15" t="str">
        <f t="shared" si="31"/>
        <v>휘발유 71,800원</v>
      </c>
      <c r="P177" s="15">
        <f t="shared" si="32"/>
        <v>71800</v>
      </c>
      <c r="Q177" s="15" t="s">
        <v>47</v>
      </c>
      <c r="R177" s="16">
        <f t="shared" si="33"/>
        <v>0.1</v>
      </c>
      <c r="S177" s="15">
        <f t="shared" si="34"/>
        <v>7180</v>
      </c>
      <c r="T177" s="15">
        <f t="shared" si="35"/>
        <v>64620</v>
      </c>
      <c r="U177" s="15">
        <f t="shared" si="36"/>
        <v>1615.5</v>
      </c>
      <c r="V177" s="15">
        <f t="shared" si="37"/>
        <v>1795</v>
      </c>
      <c r="W177" s="17">
        <f>IF($T177="",1000000000000000,$T177)</f>
        <v>64620</v>
      </c>
      <c r="XFB177" s="5"/>
      <c r="XFC177" s="3"/>
    </row>
    <row r="178" spans="1:23 16382:16383" s="4" customFormat="1" ht="28.5" customHeight="1">
      <c r="A178" s="14">
        <f t="shared" si="27"/>
        <v>163</v>
      </c>
      <c r="B178" s="14" t="s">
        <v>6</v>
      </c>
      <c r="C178" s="14" t="s">
        <v>171</v>
      </c>
      <c r="D178" s="14" t="s">
        <v>45</v>
      </c>
      <c r="E178" s="14" t="s">
        <v>26</v>
      </c>
      <c r="F178" s="14" t="s">
        <v>172</v>
      </c>
      <c r="G178" s="15">
        <v>1795</v>
      </c>
      <c r="H178" s="15">
        <v>2149</v>
      </c>
      <c r="I178" s="15"/>
      <c r="J178" s="15">
        <v>1785</v>
      </c>
      <c r="K178" s="15">
        <f t="shared" si="26"/>
        <v>0</v>
      </c>
      <c r="L178" s="15">
        <f t="shared" si="28"/>
        <v>1795</v>
      </c>
      <c r="M178" s="15">
        <f t="shared" si="29"/>
        <v>2149</v>
      </c>
      <c r="N178" s="15">
        <f t="shared" si="30"/>
        <v>1785</v>
      </c>
      <c r="O178" s="15" t="str">
        <f t="shared" si="31"/>
        <v>휘발유 71,800원</v>
      </c>
      <c r="P178" s="15">
        <f t="shared" si="32"/>
        <v>71800</v>
      </c>
      <c r="Q178" s="15" t="s">
        <v>47</v>
      </c>
      <c r="R178" s="16">
        <f t="shared" si="33"/>
        <v>0.1</v>
      </c>
      <c r="S178" s="15">
        <f t="shared" si="34"/>
        <v>7180</v>
      </c>
      <c r="T178" s="15">
        <f t="shared" si="35"/>
        <v>64620</v>
      </c>
      <c r="U178" s="15">
        <f t="shared" si="36"/>
        <v>1615.5</v>
      </c>
      <c r="V178" s="15">
        <f t="shared" si="37"/>
        <v>1795</v>
      </c>
      <c r="W178" s="17">
        <f>IF($T178="",1000000000000000,$T178)</f>
        <v>64620</v>
      </c>
      <c r="XFB178" s="5"/>
      <c r="XFC178" s="3"/>
    </row>
    <row r="179" spans="1:23 16382:16383" s="4" customFormat="1" ht="28.5" customHeight="1">
      <c r="A179" s="14">
        <f t="shared" si="27"/>
        <v>163</v>
      </c>
      <c r="B179" s="14" t="s">
        <v>6</v>
      </c>
      <c r="C179" s="14" t="s">
        <v>173</v>
      </c>
      <c r="D179" s="18" t="s">
        <v>86</v>
      </c>
      <c r="E179" s="14" t="s">
        <v>26</v>
      </c>
      <c r="F179" s="14" t="s">
        <v>174</v>
      </c>
      <c r="G179" s="15">
        <v>1795</v>
      </c>
      <c r="H179" s="15">
        <v>2150</v>
      </c>
      <c r="I179" s="15"/>
      <c r="J179" s="15">
        <v>1775</v>
      </c>
      <c r="K179" s="15">
        <f t="shared" si="26"/>
        <v>0</v>
      </c>
      <c r="L179" s="15">
        <f t="shared" si="28"/>
        <v>1795</v>
      </c>
      <c r="M179" s="15">
        <f t="shared" si="29"/>
        <v>2150</v>
      </c>
      <c r="N179" s="15">
        <f t="shared" si="30"/>
        <v>1775</v>
      </c>
      <c r="O179" s="15" t="str">
        <f t="shared" si="31"/>
        <v>휘발유 71,800원</v>
      </c>
      <c r="P179" s="15">
        <f t="shared" si="32"/>
        <v>71800</v>
      </c>
      <c r="Q179" s="15" t="s">
        <v>47</v>
      </c>
      <c r="R179" s="16">
        <f t="shared" si="33"/>
        <v>0.1</v>
      </c>
      <c r="S179" s="15">
        <f t="shared" si="34"/>
        <v>7180</v>
      </c>
      <c r="T179" s="15">
        <f t="shared" si="35"/>
        <v>64620</v>
      </c>
      <c r="U179" s="15">
        <f t="shared" si="36"/>
        <v>1615.5</v>
      </c>
      <c r="V179" s="15">
        <f t="shared" si="37"/>
        <v>1795</v>
      </c>
      <c r="W179" s="17">
        <f>IF($T179="",1000000000000000,$T179)</f>
        <v>64620</v>
      </c>
      <c r="XFB179" s="5"/>
      <c r="XFC179" s="3"/>
    </row>
    <row r="180" spans="1:23 16382:16383" s="4" customFormat="1" ht="28.5" customHeight="1">
      <c r="A180" s="14">
        <f t="shared" si="27"/>
        <v>163</v>
      </c>
      <c r="B180" s="14" t="s">
        <v>6</v>
      </c>
      <c r="C180" s="14" t="s">
        <v>609</v>
      </c>
      <c r="D180" s="18" t="s">
        <v>86</v>
      </c>
      <c r="E180" s="14" t="s">
        <v>26</v>
      </c>
      <c r="F180" s="14" t="s">
        <v>610</v>
      </c>
      <c r="G180" s="15">
        <v>1795</v>
      </c>
      <c r="H180" s="15"/>
      <c r="I180" s="15"/>
      <c r="J180" s="15">
        <v>1785</v>
      </c>
      <c r="K180" s="15">
        <f t="shared" si="26"/>
        <v>0</v>
      </c>
      <c r="L180" s="15">
        <f t="shared" si="28"/>
        <v>1795</v>
      </c>
      <c r="M180" s="15" t="str">
        <f t="shared" si="29"/>
        <v/>
      </c>
      <c r="N180" s="15">
        <f t="shared" si="30"/>
        <v>1785</v>
      </c>
      <c r="O180" s="15" t="str">
        <f t="shared" si="31"/>
        <v>휘발유 71,800원</v>
      </c>
      <c r="P180" s="15">
        <f t="shared" si="32"/>
        <v>71800</v>
      </c>
      <c r="Q180" s="15" t="s">
        <v>47</v>
      </c>
      <c r="R180" s="16">
        <f t="shared" si="33"/>
        <v>0.1</v>
      </c>
      <c r="S180" s="15">
        <f t="shared" si="34"/>
        <v>7180</v>
      </c>
      <c r="T180" s="15">
        <f t="shared" si="35"/>
        <v>64620</v>
      </c>
      <c r="U180" s="15">
        <f t="shared" si="36"/>
        <v>1615.5</v>
      </c>
      <c r="V180" s="15">
        <f t="shared" si="37"/>
        <v>1795</v>
      </c>
      <c r="W180" s="17">
        <f>IF($T180="",1000000000000000,$T180)</f>
        <v>64620</v>
      </c>
      <c r="XFB180" s="5"/>
      <c r="XFC180" s="3"/>
    </row>
    <row r="181" spans="1:23 16382:16383" s="4" customFormat="1" ht="28.5" customHeight="1">
      <c r="A181" s="14">
        <f t="shared" si="27"/>
        <v>163</v>
      </c>
      <c r="B181" s="14" t="s">
        <v>6</v>
      </c>
      <c r="C181" s="14" t="s">
        <v>611</v>
      </c>
      <c r="D181" s="18" t="s">
        <v>86</v>
      </c>
      <c r="E181" s="14" t="s">
        <v>26</v>
      </c>
      <c r="F181" s="14" t="s">
        <v>612</v>
      </c>
      <c r="G181" s="15">
        <v>1795</v>
      </c>
      <c r="H181" s="15"/>
      <c r="I181" s="15"/>
      <c r="J181" s="15">
        <v>1785</v>
      </c>
      <c r="K181" s="15">
        <f t="shared" si="26"/>
        <v>0</v>
      </c>
      <c r="L181" s="15">
        <f t="shared" si="28"/>
        <v>1795</v>
      </c>
      <c r="M181" s="15" t="str">
        <f t="shared" si="29"/>
        <v/>
      </c>
      <c r="N181" s="15">
        <f t="shared" si="30"/>
        <v>1785</v>
      </c>
      <c r="O181" s="15" t="str">
        <f t="shared" si="31"/>
        <v>휘발유 71,800원</v>
      </c>
      <c r="P181" s="15">
        <f t="shared" si="32"/>
        <v>71800</v>
      </c>
      <c r="Q181" s="15" t="s">
        <v>47</v>
      </c>
      <c r="R181" s="16">
        <f t="shared" si="33"/>
        <v>0.1</v>
      </c>
      <c r="S181" s="15">
        <f t="shared" si="34"/>
        <v>7180</v>
      </c>
      <c r="T181" s="15">
        <f t="shared" si="35"/>
        <v>64620</v>
      </c>
      <c r="U181" s="15">
        <f t="shared" si="36"/>
        <v>1615.5</v>
      </c>
      <c r="V181" s="15">
        <f t="shared" si="37"/>
        <v>1795</v>
      </c>
      <c r="W181" s="17">
        <f>IF($T181="",1000000000000000,$T181)</f>
        <v>64620</v>
      </c>
      <c r="XFB181" s="5"/>
      <c r="XFC181" s="3"/>
    </row>
    <row r="182" spans="1:23 16382:16383" s="4" customFormat="1" ht="28.5" customHeight="1">
      <c r="A182" s="14">
        <f t="shared" si="27"/>
        <v>163</v>
      </c>
      <c r="B182" s="14" t="s">
        <v>6</v>
      </c>
      <c r="C182" s="14" t="s">
        <v>613</v>
      </c>
      <c r="D182" s="14" t="s">
        <v>45</v>
      </c>
      <c r="E182" s="14" t="s">
        <v>26</v>
      </c>
      <c r="F182" s="14" t="s">
        <v>614</v>
      </c>
      <c r="G182" s="15">
        <v>1795</v>
      </c>
      <c r="H182" s="15"/>
      <c r="I182" s="15"/>
      <c r="J182" s="15">
        <v>1785</v>
      </c>
      <c r="K182" s="15">
        <f t="shared" si="26"/>
        <v>0</v>
      </c>
      <c r="L182" s="15">
        <f t="shared" si="28"/>
        <v>1795</v>
      </c>
      <c r="M182" s="15" t="str">
        <f t="shared" si="29"/>
        <v/>
      </c>
      <c r="N182" s="15">
        <f t="shared" si="30"/>
        <v>1785</v>
      </c>
      <c r="O182" s="15" t="str">
        <f t="shared" si="31"/>
        <v>휘발유 71,800원</v>
      </c>
      <c r="P182" s="15">
        <f t="shared" si="32"/>
        <v>71800</v>
      </c>
      <c r="Q182" s="15" t="s">
        <v>47</v>
      </c>
      <c r="R182" s="16">
        <f t="shared" si="33"/>
        <v>0.1</v>
      </c>
      <c r="S182" s="15">
        <f t="shared" si="34"/>
        <v>7180</v>
      </c>
      <c r="T182" s="15">
        <f t="shared" si="35"/>
        <v>64620</v>
      </c>
      <c r="U182" s="15">
        <f t="shared" si="36"/>
        <v>1615.5</v>
      </c>
      <c r="V182" s="15">
        <f t="shared" si="37"/>
        <v>1795</v>
      </c>
      <c r="W182" s="17">
        <f>IF($T182="",1000000000000000,$T182)</f>
        <v>64620</v>
      </c>
      <c r="XFB182" s="5"/>
      <c r="XFC182" s="3"/>
    </row>
    <row r="183" spans="1:23 16382:16383" s="4" customFormat="1" ht="28.5" customHeight="1">
      <c r="A183" s="14">
        <f t="shared" si="27"/>
        <v>163</v>
      </c>
      <c r="B183" s="14" t="s">
        <v>6</v>
      </c>
      <c r="C183" s="14" t="s">
        <v>615</v>
      </c>
      <c r="D183" s="14" t="s">
        <v>95</v>
      </c>
      <c r="E183" s="14" t="s">
        <v>26</v>
      </c>
      <c r="F183" s="14" t="s">
        <v>616</v>
      </c>
      <c r="G183" s="15">
        <v>1795</v>
      </c>
      <c r="H183" s="15"/>
      <c r="I183" s="15"/>
      <c r="J183" s="15">
        <v>1785</v>
      </c>
      <c r="K183" s="15">
        <f t="shared" si="26"/>
        <v>0</v>
      </c>
      <c r="L183" s="15">
        <f t="shared" si="28"/>
        <v>1795</v>
      </c>
      <c r="M183" s="15" t="str">
        <f t="shared" si="29"/>
        <v/>
      </c>
      <c r="N183" s="15">
        <f t="shared" si="30"/>
        <v>1785</v>
      </c>
      <c r="O183" s="15" t="str">
        <f t="shared" si="31"/>
        <v>휘발유 71,800원</v>
      </c>
      <c r="P183" s="15">
        <f t="shared" si="32"/>
        <v>71800</v>
      </c>
      <c r="Q183" s="15" t="s">
        <v>47</v>
      </c>
      <c r="R183" s="16">
        <f t="shared" si="33"/>
        <v>0.1</v>
      </c>
      <c r="S183" s="15">
        <f t="shared" si="34"/>
        <v>7180</v>
      </c>
      <c r="T183" s="15">
        <f t="shared" si="35"/>
        <v>64620</v>
      </c>
      <c r="U183" s="15">
        <f t="shared" si="36"/>
        <v>1615.5</v>
      </c>
      <c r="V183" s="15">
        <f t="shared" si="37"/>
        <v>1795</v>
      </c>
      <c r="W183" s="17">
        <f>IF($T183="",1000000000000000,$T183)</f>
        <v>64620</v>
      </c>
      <c r="XFB183" s="5"/>
      <c r="XFC183" s="3"/>
    </row>
    <row r="184" spans="1:23 16382:16383" s="4" customFormat="1" ht="28.5" customHeight="1">
      <c r="A184" s="14">
        <f t="shared" si="27"/>
        <v>163</v>
      </c>
      <c r="B184" s="14" t="s">
        <v>6</v>
      </c>
      <c r="C184" s="14" t="s">
        <v>617</v>
      </c>
      <c r="D184" s="14" t="s">
        <v>95</v>
      </c>
      <c r="E184" s="14" t="s">
        <v>26</v>
      </c>
      <c r="F184" s="14" t="s">
        <v>618</v>
      </c>
      <c r="G184" s="15">
        <v>1795</v>
      </c>
      <c r="H184" s="15"/>
      <c r="I184" s="15"/>
      <c r="J184" s="15">
        <v>1795</v>
      </c>
      <c r="K184" s="15">
        <f t="shared" si="26"/>
        <v>0</v>
      </c>
      <c r="L184" s="15">
        <f t="shared" si="28"/>
        <v>1795</v>
      </c>
      <c r="M184" s="15" t="str">
        <f t="shared" si="29"/>
        <v/>
      </c>
      <c r="N184" s="15">
        <f t="shared" si="30"/>
        <v>1795</v>
      </c>
      <c r="O184" s="15" t="str">
        <f t="shared" si="31"/>
        <v>휘발유 71,800원</v>
      </c>
      <c r="P184" s="15">
        <f t="shared" si="32"/>
        <v>71800</v>
      </c>
      <c r="Q184" s="15" t="s">
        <v>47</v>
      </c>
      <c r="R184" s="16">
        <f t="shared" si="33"/>
        <v>0.1</v>
      </c>
      <c r="S184" s="15">
        <f t="shared" si="34"/>
        <v>7180</v>
      </c>
      <c r="T184" s="15">
        <f t="shared" si="35"/>
        <v>64620</v>
      </c>
      <c r="U184" s="15">
        <f t="shared" si="36"/>
        <v>1615.5</v>
      </c>
      <c r="V184" s="15">
        <f t="shared" si="37"/>
        <v>1795</v>
      </c>
      <c r="W184" s="17">
        <f>IF($T184="",1000000000000000,$T184)</f>
        <v>64620</v>
      </c>
      <c r="XFB184" s="5"/>
      <c r="XFC184" s="3"/>
    </row>
    <row r="185" spans="1:23 16382:16383" s="4" customFormat="1" ht="28.5" customHeight="1">
      <c r="A185" s="14">
        <f t="shared" si="27"/>
        <v>163</v>
      </c>
      <c r="B185" s="14" t="s">
        <v>6</v>
      </c>
      <c r="C185" s="14" t="s">
        <v>619</v>
      </c>
      <c r="D185" s="14" t="s">
        <v>45</v>
      </c>
      <c r="E185" s="14" t="s">
        <v>26</v>
      </c>
      <c r="F185" s="14" t="s">
        <v>620</v>
      </c>
      <c r="G185" s="15">
        <v>1795</v>
      </c>
      <c r="H185" s="15"/>
      <c r="I185" s="15"/>
      <c r="J185" s="15">
        <v>1795</v>
      </c>
      <c r="K185" s="15">
        <f t="shared" si="26"/>
        <v>0</v>
      </c>
      <c r="L185" s="15">
        <f t="shared" si="28"/>
        <v>1795</v>
      </c>
      <c r="M185" s="15" t="str">
        <f t="shared" si="29"/>
        <v/>
      </c>
      <c r="N185" s="15">
        <f t="shared" si="30"/>
        <v>1795</v>
      </c>
      <c r="O185" s="15" t="str">
        <f t="shared" si="31"/>
        <v>휘발유 71,800원</v>
      </c>
      <c r="P185" s="15">
        <f t="shared" si="32"/>
        <v>71800</v>
      </c>
      <c r="Q185" s="15" t="s">
        <v>47</v>
      </c>
      <c r="R185" s="16">
        <f t="shared" si="33"/>
        <v>0.1</v>
      </c>
      <c r="S185" s="15">
        <f t="shared" si="34"/>
        <v>7180</v>
      </c>
      <c r="T185" s="15">
        <f t="shared" si="35"/>
        <v>64620</v>
      </c>
      <c r="U185" s="15">
        <f t="shared" si="36"/>
        <v>1615.5</v>
      </c>
      <c r="V185" s="15">
        <f t="shared" si="37"/>
        <v>1795</v>
      </c>
      <c r="W185" s="17">
        <f>IF($T185="",1000000000000000,$T185)</f>
        <v>64620</v>
      </c>
      <c r="XFB185" s="5"/>
      <c r="XFC185" s="3"/>
    </row>
    <row r="186" spans="1:23 16382:16383" s="4" customFormat="1" ht="28.5" customHeight="1">
      <c r="A186" s="14">
        <f t="shared" si="27"/>
        <v>163</v>
      </c>
      <c r="B186" s="14" t="s">
        <v>6</v>
      </c>
      <c r="C186" s="14" t="s">
        <v>621</v>
      </c>
      <c r="D186" s="14" t="s">
        <v>95</v>
      </c>
      <c r="E186" s="14" t="s">
        <v>26</v>
      </c>
      <c r="F186" s="14" t="s">
        <v>622</v>
      </c>
      <c r="G186" s="15">
        <v>1795</v>
      </c>
      <c r="H186" s="15"/>
      <c r="I186" s="15"/>
      <c r="J186" s="15">
        <v>1795</v>
      </c>
      <c r="K186" s="15">
        <f t="shared" si="26"/>
        <v>0</v>
      </c>
      <c r="L186" s="15">
        <f t="shared" si="28"/>
        <v>1795</v>
      </c>
      <c r="M186" s="15" t="str">
        <f t="shared" si="29"/>
        <v/>
      </c>
      <c r="N186" s="15">
        <f t="shared" si="30"/>
        <v>1795</v>
      </c>
      <c r="O186" s="15" t="str">
        <f t="shared" si="31"/>
        <v>휘발유 71,800원</v>
      </c>
      <c r="P186" s="15">
        <f t="shared" si="32"/>
        <v>71800</v>
      </c>
      <c r="Q186" s="15" t="s">
        <v>47</v>
      </c>
      <c r="R186" s="16">
        <f t="shared" si="33"/>
        <v>0.1</v>
      </c>
      <c r="S186" s="15">
        <f t="shared" si="34"/>
        <v>7180</v>
      </c>
      <c r="T186" s="15">
        <f t="shared" si="35"/>
        <v>64620</v>
      </c>
      <c r="U186" s="15">
        <f t="shared" si="36"/>
        <v>1615.5</v>
      </c>
      <c r="V186" s="15">
        <f t="shared" si="37"/>
        <v>1795</v>
      </c>
      <c r="W186" s="17">
        <f>IF($T186="",1000000000000000,$T186)</f>
        <v>64620</v>
      </c>
      <c r="XFB186" s="5"/>
      <c r="XFC186" s="3"/>
    </row>
    <row r="187" spans="1:23 16382:16383" s="4" customFormat="1" ht="28.5" customHeight="1">
      <c r="A187" s="14">
        <f t="shared" si="27"/>
        <v>163</v>
      </c>
      <c r="B187" s="14" t="s">
        <v>6</v>
      </c>
      <c r="C187" s="14" t="s">
        <v>623</v>
      </c>
      <c r="D187" s="14" t="s">
        <v>45</v>
      </c>
      <c r="E187" s="14" t="s">
        <v>26</v>
      </c>
      <c r="F187" s="14" t="s">
        <v>624</v>
      </c>
      <c r="G187" s="15">
        <v>1795</v>
      </c>
      <c r="H187" s="15"/>
      <c r="I187" s="15"/>
      <c r="J187" s="15">
        <v>1795</v>
      </c>
      <c r="K187" s="15">
        <f t="shared" si="26"/>
        <v>0</v>
      </c>
      <c r="L187" s="15">
        <f t="shared" si="28"/>
        <v>1795</v>
      </c>
      <c r="M187" s="15" t="str">
        <f t="shared" si="29"/>
        <v/>
      </c>
      <c r="N187" s="15">
        <f t="shared" si="30"/>
        <v>1795</v>
      </c>
      <c r="O187" s="15" t="str">
        <f t="shared" si="31"/>
        <v>휘발유 71,800원</v>
      </c>
      <c r="P187" s="15">
        <f t="shared" si="32"/>
        <v>71800</v>
      </c>
      <c r="Q187" s="15" t="s">
        <v>47</v>
      </c>
      <c r="R187" s="16">
        <f t="shared" si="33"/>
        <v>0.1</v>
      </c>
      <c r="S187" s="15">
        <f t="shared" si="34"/>
        <v>7180</v>
      </c>
      <c r="T187" s="15">
        <f t="shared" si="35"/>
        <v>64620</v>
      </c>
      <c r="U187" s="15">
        <f t="shared" si="36"/>
        <v>1615.5</v>
      </c>
      <c r="V187" s="15">
        <f t="shared" si="37"/>
        <v>1795</v>
      </c>
      <c r="W187" s="17">
        <f>IF($T187="",1000000000000000,$T187)</f>
        <v>64620</v>
      </c>
      <c r="XFB187" s="5"/>
      <c r="XFC187" s="3"/>
    </row>
    <row r="188" spans="1:23 16382:16383" s="4" customFormat="1" ht="28.5" customHeight="1">
      <c r="A188" s="14">
        <f t="shared" si="27"/>
        <v>163</v>
      </c>
      <c r="B188" s="14" t="s">
        <v>6</v>
      </c>
      <c r="C188" s="14" t="s">
        <v>625</v>
      </c>
      <c r="D188" s="14" t="s">
        <v>95</v>
      </c>
      <c r="E188" s="14" t="s">
        <v>26</v>
      </c>
      <c r="F188" s="14" t="s">
        <v>626</v>
      </c>
      <c r="G188" s="15">
        <v>1795</v>
      </c>
      <c r="H188" s="15"/>
      <c r="I188" s="15"/>
      <c r="J188" s="15">
        <v>1795</v>
      </c>
      <c r="K188" s="15">
        <f t="shared" si="26"/>
        <v>0</v>
      </c>
      <c r="L188" s="15">
        <f t="shared" si="28"/>
        <v>1795</v>
      </c>
      <c r="M188" s="15" t="str">
        <f t="shared" si="29"/>
        <v/>
      </c>
      <c r="N188" s="15">
        <f t="shared" si="30"/>
        <v>1795</v>
      </c>
      <c r="O188" s="15" t="str">
        <f t="shared" si="31"/>
        <v>휘발유 71,800원</v>
      </c>
      <c r="P188" s="15">
        <f t="shared" si="32"/>
        <v>71800</v>
      </c>
      <c r="Q188" s="15" t="s">
        <v>47</v>
      </c>
      <c r="R188" s="16">
        <f t="shared" si="33"/>
        <v>0.1</v>
      </c>
      <c r="S188" s="15">
        <f t="shared" si="34"/>
        <v>7180</v>
      </c>
      <c r="T188" s="15">
        <f t="shared" si="35"/>
        <v>64620</v>
      </c>
      <c r="U188" s="15">
        <f t="shared" si="36"/>
        <v>1615.5</v>
      </c>
      <c r="V188" s="15">
        <f t="shared" si="37"/>
        <v>1795</v>
      </c>
      <c r="W188" s="17">
        <f>IF($T188="",1000000000000000,$T188)</f>
        <v>64620</v>
      </c>
      <c r="XFB188" s="5"/>
      <c r="XFC188" s="3"/>
    </row>
    <row r="189" spans="1:23 16382:16383" s="4" customFormat="1" ht="28.5" customHeight="1">
      <c r="A189" s="14">
        <f t="shared" si="27"/>
        <v>163</v>
      </c>
      <c r="B189" s="14" t="s">
        <v>6</v>
      </c>
      <c r="C189" s="14" t="s">
        <v>745</v>
      </c>
      <c r="D189" s="14" t="s">
        <v>45</v>
      </c>
      <c r="E189" s="14" t="s">
        <v>26</v>
      </c>
      <c r="F189" s="14" t="s">
        <v>746</v>
      </c>
      <c r="G189" s="15">
        <v>1795</v>
      </c>
      <c r="H189" s="15"/>
      <c r="I189" s="15"/>
      <c r="J189" s="15">
        <v>1795</v>
      </c>
      <c r="K189" s="15">
        <f t="shared" si="26"/>
        <v>0</v>
      </c>
      <c r="L189" s="15">
        <f t="shared" si="28"/>
        <v>1795</v>
      </c>
      <c r="M189" s="15" t="str">
        <f t="shared" si="29"/>
        <v/>
      </c>
      <c r="N189" s="15">
        <f t="shared" si="30"/>
        <v>1795</v>
      </c>
      <c r="O189" s="15" t="str">
        <f t="shared" si="31"/>
        <v>휘발유 71,800원</v>
      </c>
      <c r="P189" s="15">
        <f t="shared" si="32"/>
        <v>71800</v>
      </c>
      <c r="Q189" s="15" t="s">
        <v>47</v>
      </c>
      <c r="R189" s="16">
        <f t="shared" si="33"/>
        <v>0.1</v>
      </c>
      <c r="S189" s="15">
        <f t="shared" si="34"/>
        <v>7180</v>
      </c>
      <c r="T189" s="15">
        <f t="shared" si="35"/>
        <v>64620</v>
      </c>
      <c r="U189" s="15">
        <f t="shared" si="36"/>
        <v>1615.5</v>
      </c>
      <c r="V189" s="15">
        <f t="shared" si="37"/>
        <v>1795</v>
      </c>
      <c r="W189" s="17">
        <f>IF($T189="",1000000000000000,$T189)</f>
        <v>64620</v>
      </c>
      <c r="XFB189" s="5"/>
      <c r="XFC189" s="3"/>
    </row>
    <row r="190" spans="1:23 16382:16383" s="4" customFormat="1" ht="28.5" customHeight="1">
      <c r="A190" s="14">
        <f t="shared" si="27"/>
        <v>163</v>
      </c>
      <c r="B190" s="14" t="s">
        <v>6</v>
      </c>
      <c r="C190" s="14" t="s">
        <v>627</v>
      </c>
      <c r="D190" s="18" t="s">
        <v>86</v>
      </c>
      <c r="E190" s="14" t="s">
        <v>26</v>
      </c>
      <c r="F190" s="14" t="s">
        <v>628</v>
      </c>
      <c r="G190" s="15">
        <v>1795</v>
      </c>
      <c r="H190" s="15"/>
      <c r="I190" s="15"/>
      <c r="J190" s="15">
        <v>1795</v>
      </c>
      <c r="K190" s="15">
        <f t="shared" si="26"/>
        <v>0</v>
      </c>
      <c r="L190" s="15">
        <f t="shared" si="28"/>
        <v>1795</v>
      </c>
      <c r="M190" s="15" t="str">
        <f t="shared" si="29"/>
        <v/>
      </c>
      <c r="N190" s="15">
        <f t="shared" si="30"/>
        <v>1795</v>
      </c>
      <c r="O190" s="15" t="str">
        <f t="shared" si="31"/>
        <v>휘발유 71,800원</v>
      </c>
      <c r="P190" s="15">
        <f t="shared" si="32"/>
        <v>71800</v>
      </c>
      <c r="Q190" s="15" t="s">
        <v>47</v>
      </c>
      <c r="R190" s="16">
        <f t="shared" si="33"/>
        <v>0.1</v>
      </c>
      <c r="S190" s="15">
        <f t="shared" si="34"/>
        <v>7180</v>
      </c>
      <c r="T190" s="15">
        <f t="shared" si="35"/>
        <v>64620</v>
      </c>
      <c r="U190" s="15">
        <f t="shared" si="36"/>
        <v>1615.5</v>
      </c>
      <c r="V190" s="15">
        <f t="shared" si="37"/>
        <v>1795</v>
      </c>
      <c r="W190" s="17">
        <f>IF($T190="",1000000000000000,$T190)</f>
        <v>64620</v>
      </c>
      <c r="XFB190" s="5"/>
      <c r="XFC190" s="3"/>
    </row>
    <row r="191" spans="1:23 16382:16383" s="4" customFormat="1" ht="28.5" customHeight="1">
      <c r="A191" s="14">
        <f t="shared" si="27"/>
        <v>163</v>
      </c>
      <c r="B191" s="14" t="s">
        <v>6</v>
      </c>
      <c r="C191" s="14" t="s">
        <v>629</v>
      </c>
      <c r="D191" s="14" t="s">
        <v>45</v>
      </c>
      <c r="E191" s="14" t="s">
        <v>26</v>
      </c>
      <c r="F191" s="14" t="s">
        <v>630</v>
      </c>
      <c r="G191" s="15">
        <v>1795</v>
      </c>
      <c r="H191" s="15"/>
      <c r="I191" s="15"/>
      <c r="J191" s="15">
        <v>1795</v>
      </c>
      <c r="K191" s="15">
        <f t="shared" si="26"/>
        <v>0</v>
      </c>
      <c r="L191" s="15">
        <f t="shared" si="28"/>
        <v>1795</v>
      </c>
      <c r="M191" s="15" t="str">
        <f t="shared" si="29"/>
        <v/>
      </c>
      <c r="N191" s="15">
        <f t="shared" si="30"/>
        <v>1795</v>
      </c>
      <c r="O191" s="15" t="str">
        <f t="shared" si="31"/>
        <v>휘발유 71,800원</v>
      </c>
      <c r="P191" s="15">
        <f t="shared" si="32"/>
        <v>71800</v>
      </c>
      <c r="Q191" s="15" t="s">
        <v>47</v>
      </c>
      <c r="R191" s="16">
        <f t="shared" si="33"/>
        <v>0.1</v>
      </c>
      <c r="S191" s="15">
        <f t="shared" si="34"/>
        <v>7180</v>
      </c>
      <c r="T191" s="15">
        <f t="shared" si="35"/>
        <v>64620</v>
      </c>
      <c r="U191" s="15">
        <f t="shared" si="36"/>
        <v>1615.5</v>
      </c>
      <c r="V191" s="15">
        <f t="shared" si="37"/>
        <v>1795</v>
      </c>
      <c r="W191" s="17">
        <f>IF($T191="",1000000000000000,$T191)</f>
        <v>64620</v>
      </c>
      <c r="XFB191" s="5"/>
      <c r="XFC191" s="3"/>
    </row>
    <row r="192" spans="1:23 16382:16383" s="4" customFormat="1" ht="28.5" customHeight="1">
      <c r="A192" s="14">
        <f t="shared" si="27"/>
        <v>163</v>
      </c>
      <c r="B192" s="14" t="s">
        <v>8</v>
      </c>
      <c r="C192" s="14" t="s">
        <v>631</v>
      </c>
      <c r="D192" s="14" t="s">
        <v>51</v>
      </c>
      <c r="E192" s="14" t="s">
        <v>26</v>
      </c>
      <c r="F192" s="14" t="s">
        <v>632</v>
      </c>
      <c r="G192" s="15">
        <v>1795</v>
      </c>
      <c r="H192" s="15"/>
      <c r="I192" s="15"/>
      <c r="J192" s="15">
        <v>1795</v>
      </c>
      <c r="K192" s="15">
        <f t="shared" si="26"/>
        <v>0</v>
      </c>
      <c r="L192" s="15">
        <f t="shared" si="28"/>
        <v>1795</v>
      </c>
      <c r="M192" s="15" t="str">
        <f t="shared" si="29"/>
        <v/>
      </c>
      <c r="N192" s="15">
        <f t="shared" si="30"/>
        <v>1795</v>
      </c>
      <c r="O192" s="15" t="str">
        <f t="shared" si="31"/>
        <v>휘발유 71,800원</v>
      </c>
      <c r="P192" s="15">
        <f t="shared" si="32"/>
        <v>71800</v>
      </c>
      <c r="Q192" s="15" t="s">
        <v>47</v>
      </c>
      <c r="R192" s="16">
        <f t="shared" si="33"/>
        <v>0.1</v>
      </c>
      <c r="S192" s="15">
        <f t="shared" si="34"/>
        <v>7180</v>
      </c>
      <c r="T192" s="15">
        <f t="shared" si="35"/>
        <v>64620</v>
      </c>
      <c r="U192" s="15">
        <f t="shared" si="36"/>
        <v>1615.5</v>
      </c>
      <c r="V192" s="15">
        <f t="shared" si="37"/>
        <v>1795</v>
      </c>
      <c r="W192" s="17">
        <f>IF($T192="",1000000000000000,$T192)</f>
        <v>64620</v>
      </c>
      <c r="XFB192" s="5"/>
      <c r="XFC192" s="3"/>
    </row>
    <row r="193" spans="1:23 16382:16383" s="4" customFormat="1" ht="28.5" customHeight="1">
      <c r="A193" s="14">
        <f t="shared" si="27"/>
        <v>163</v>
      </c>
      <c r="B193" s="14" t="s">
        <v>12</v>
      </c>
      <c r="C193" s="14" t="s">
        <v>633</v>
      </c>
      <c r="D193" s="18" t="s">
        <v>45</v>
      </c>
      <c r="E193" s="14" t="s">
        <v>26</v>
      </c>
      <c r="F193" s="14" t="s">
        <v>634</v>
      </c>
      <c r="G193" s="15">
        <v>1795</v>
      </c>
      <c r="H193" s="15"/>
      <c r="I193" s="15"/>
      <c r="J193" s="15">
        <v>1795</v>
      </c>
      <c r="K193" s="15">
        <f t="shared" si="26"/>
        <v>0</v>
      </c>
      <c r="L193" s="15">
        <f t="shared" si="28"/>
        <v>1795</v>
      </c>
      <c r="M193" s="15" t="str">
        <f t="shared" si="29"/>
        <v/>
      </c>
      <c r="N193" s="15">
        <f t="shared" si="30"/>
        <v>1795</v>
      </c>
      <c r="O193" s="15" t="str">
        <f t="shared" si="31"/>
        <v>휘발유 71,800원</v>
      </c>
      <c r="P193" s="15">
        <f t="shared" si="32"/>
        <v>71800</v>
      </c>
      <c r="Q193" s="15" t="s">
        <v>47</v>
      </c>
      <c r="R193" s="16">
        <f t="shared" si="33"/>
        <v>0.1</v>
      </c>
      <c r="S193" s="15">
        <f t="shared" si="34"/>
        <v>7180</v>
      </c>
      <c r="T193" s="15">
        <f t="shared" si="35"/>
        <v>64620</v>
      </c>
      <c r="U193" s="15">
        <f t="shared" si="36"/>
        <v>1615.5</v>
      </c>
      <c r="V193" s="15">
        <f t="shared" si="37"/>
        <v>1795</v>
      </c>
      <c r="W193" s="17">
        <f>IF($T193="",1000000000000000,$T193)</f>
        <v>64620</v>
      </c>
      <c r="XFB193" s="5"/>
      <c r="XFC193" s="3"/>
    </row>
    <row r="194" spans="1:23 16382:16383" s="4" customFormat="1" ht="28.5" customHeight="1">
      <c r="A194" s="14">
        <f t="shared" si="27"/>
        <v>163</v>
      </c>
      <c r="B194" s="14" t="s">
        <v>10</v>
      </c>
      <c r="C194" s="14" t="s">
        <v>635</v>
      </c>
      <c r="D194" s="18" t="s">
        <v>86</v>
      </c>
      <c r="E194" s="14" t="s">
        <v>26</v>
      </c>
      <c r="F194" s="14" t="s">
        <v>636</v>
      </c>
      <c r="G194" s="15">
        <v>1795</v>
      </c>
      <c r="H194" s="15"/>
      <c r="I194" s="15"/>
      <c r="J194" s="15">
        <v>1795</v>
      </c>
      <c r="K194" s="15">
        <f t="shared" si="26"/>
        <v>0</v>
      </c>
      <c r="L194" s="15">
        <f t="shared" si="28"/>
        <v>1795</v>
      </c>
      <c r="M194" s="15" t="str">
        <f t="shared" si="29"/>
        <v/>
      </c>
      <c r="N194" s="15">
        <f t="shared" si="30"/>
        <v>1795</v>
      </c>
      <c r="O194" s="15" t="str">
        <f t="shared" si="31"/>
        <v>휘발유 71,800원</v>
      </c>
      <c r="P194" s="15">
        <f t="shared" si="32"/>
        <v>71800</v>
      </c>
      <c r="Q194" s="15" t="s">
        <v>47</v>
      </c>
      <c r="R194" s="16">
        <f t="shared" si="33"/>
        <v>0.1</v>
      </c>
      <c r="S194" s="15">
        <f t="shared" si="34"/>
        <v>7180</v>
      </c>
      <c r="T194" s="15">
        <f t="shared" si="35"/>
        <v>64620</v>
      </c>
      <c r="U194" s="15">
        <f t="shared" si="36"/>
        <v>1615.5</v>
      </c>
      <c r="V194" s="15">
        <f t="shared" si="37"/>
        <v>1795</v>
      </c>
      <c r="W194" s="17">
        <f>IF($T194="",1000000000000000,$T194)</f>
        <v>64620</v>
      </c>
      <c r="XFB194" s="5"/>
      <c r="XFC194" s="3"/>
    </row>
    <row r="195" spans="1:23 16382:16383" s="4" customFormat="1" ht="28.5" customHeight="1">
      <c r="A195" s="14">
        <f t="shared" si="27"/>
        <v>163</v>
      </c>
      <c r="B195" s="14" t="s">
        <v>10</v>
      </c>
      <c r="C195" s="14" t="s">
        <v>696</v>
      </c>
      <c r="D195" s="14" t="s">
        <v>95</v>
      </c>
      <c r="E195" s="14" t="s">
        <v>26</v>
      </c>
      <c r="F195" s="14" t="s">
        <v>697</v>
      </c>
      <c r="G195" s="15">
        <v>1795</v>
      </c>
      <c r="H195" s="15"/>
      <c r="I195" s="15"/>
      <c r="J195" s="15">
        <v>1795</v>
      </c>
      <c r="K195" s="15">
        <f t="shared" si="26"/>
        <v>0</v>
      </c>
      <c r="L195" s="15">
        <f t="shared" si="28"/>
        <v>1795</v>
      </c>
      <c r="M195" s="15" t="str">
        <f t="shared" si="29"/>
        <v/>
      </c>
      <c r="N195" s="15">
        <f t="shared" si="30"/>
        <v>1795</v>
      </c>
      <c r="O195" s="15" t="str">
        <f t="shared" si="31"/>
        <v>휘발유 71,800원</v>
      </c>
      <c r="P195" s="15">
        <f t="shared" si="32"/>
        <v>71800</v>
      </c>
      <c r="Q195" s="15" t="s">
        <v>47</v>
      </c>
      <c r="R195" s="16">
        <f t="shared" si="33"/>
        <v>0.1</v>
      </c>
      <c r="S195" s="15">
        <f t="shared" si="34"/>
        <v>7180</v>
      </c>
      <c r="T195" s="15">
        <f t="shared" si="35"/>
        <v>64620</v>
      </c>
      <c r="U195" s="15">
        <f t="shared" si="36"/>
        <v>1615.5</v>
      </c>
      <c r="V195" s="15">
        <f t="shared" si="37"/>
        <v>1795</v>
      </c>
      <c r="W195" s="17">
        <f>IF($T195="",1000000000000000,$T195)</f>
        <v>64620</v>
      </c>
      <c r="XFB195" s="5"/>
      <c r="XFC195" s="3"/>
    </row>
    <row r="196" spans="1:23 16382:16383" s="4" customFormat="1" ht="28.5" customHeight="1">
      <c r="A196" s="14">
        <f t="shared" si="27"/>
        <v>163</v>
      </c>
      <c r="B196" s="14" t="s">
        <v>6</v>
      </c>
      <c r="C196" s="14" t="s">
        <v>637</v>
      </c>
      <c r="D196" s="14" t="s">
        <v>389</v>
      </c>
      <c r="E196" s="14" t="s">
        <v>63</v>
      </c>
      <c r="F196" s="14" t="s">
        <v>638</v>
      </c>
      <c r="G196" s="15">
        <v>1795</v>
      </c>
      <c r="H196" s="15"/>
      <c r="I196" s="15"/>
      <c r="J196" s="15">
        <v>1797</v>
      </c>
      <c r="K196" s="15">
        <f t="shared" si="26"/>
        <v>0</v>
      </c>
      <c r="L196" s="15">
        <f t="shared" si="28"/>
        <v>1795</v>
      </c>
      <c r="M196" s="15" t="str">
        <f t="shared" si="29"/>
        <v/>
      </c>
      <c r="N196" s="15">
        <f t="shared" si="30"/>
        <v>1797</v>
      </c>
      <c r="O196" s="15" t="str">
        <f t="shared" si="31"/>
        <v>휘발유 71,800원</v>
      </c>
      <c r="P196" s="15">
        <f t="shared" si="32"/>
        <v>71800</v>
      </c>
      <c r="Q196" s="15" t="s">
        <v>47</v>
      </c>
      <c r="R196" s="16">
        <f t="shared" si="33"/>
        <v>0.1</v>
      </c>
      <c r="S196" s="15">
        <f t="shared" si="34"/>
        <v>7180</v>
      </c>
      <c r="T196" s="15">
        <f t="shared" si="35"/>
        <v>64620</v>
      </c>
      <c r="U196" s="15">
        <f t="shared" si="36"/>
        <v>1615.5</v>
      </c>
      <c r="V196" s="15">
        <f t="shared" si="37"/>
        <v>1795</v>
      </c>
      <c r="W196" s="17">
        <f>IF($T196="",1000000000000000,$T196)</f>
        <v>64620</v>
      </c>
      <c r="XFB196" s="5"/>
      <c r="XFC196" s="3"/>
    </row>
    <row r="197" spans="1:23 16382:16383" s="4" customFormat="1" ht="28.5" customHeight="1">
      <c r="A197" s="14">
        <f t="shared" si="27"/>
        <v>163</v>
      </c>
      <c r="B197" s="14" t="s">
        <v>6</v>
      </c>
      <c r="C197" s="14" t="s">
        <v>639</v>
      </c>
      <c r="D197" s="14" t="s">
        <v>51</v>
      </c>
      <c r="E197" s="14" t="s">
        <v>26</v>
      </c>
      <c r="F197" s="14" t="s">
        <v>640</v>
      </c>
      <c r="G197" s="15">
        <v>1795</v>
      </c>
      <c r="H197" s="15"/>
      <c r="I197" s="15"/>
      <c r="J197" s="15">
        <v>1798</v>
      </c>
      <c r="K197" s="15">
        <f t="shared" si="26"/>
        <v>0</v>
      </c>
      <c r="L197" s="15">
        <f t="shared" si="28"/>
        <v>1795</v>
      </c>
      <c r="M197" s="15" t="str">
        <f t="shared" si="29"/>
        <v/>
      </c>
      <c r="N197" s="15">
        <f t="shared" si="30"/>
        <v>1798</v>
      </c>
      <c r="O197" s="15" t="str">
        <f t="shared" si="31"/>
        <v>휘발유 71,800원</v>
      </c>
      <c r="P197" s="15">
        <f t="shared" si="32"/>
        <v>71800</v>
      </c>
      <c r="Q197" s="15" t="s">
        <v>47</v>
      </c>
      <c r="R197" s="16">
        <f t="shared" si="33"/>
        <v>0.1</v>
      </c>
      <c r="S197" s="15">
        <f t="shared" si="34"/>
        <v>7180</v>
      </c>
      <c r="T197" s="15">
        <f t="shared" si="35"/>
        <v>64620</v>
      </c>
      <c r="U197" s="15">
        <f t="shared" si="36"/>
        <v>1615.5</v>
      </c>
      <c r="V197" s="15">
        <f t="shared" si="37"/>
        <v>1795</v>
      </c>
      <c r="W197" s="17">
        <f>IF($T197="",1000000000000000,$T197)</f>
        <v>64620</v>
      </c>
      <c r="XFB197" s="5"/>
      <c r="XFC197" s="3"/>
    </row>
    <row r="198" spans="1:23 16382:16383" s="4" customFormat="1" ht="28.5" customHeight="1">
      <c r="A198" s="14">
        <f t="shared" si="27"/>
        <v>163</v>
      </c>
      <c r="B198" s="14" t="s">
        <v>6</v>
      </c>
      <c r="C198" s="14" t="s">
        <v>611</v>
      </c>
      <c r="D198" s="14" t="s">
        <v>45</v>
      </c>
      <c r="E198" s="14" t="s">
        <v>26</v>
      </c>
      <c r="F198" s="14" t="s">
        <v>641</v>
      </c>
      <c r="G198" s="15">
        <v>1795</v>
      </c>
      <c r="H198" s="15"/>
      <c r="I198" s="15"/>
      <c r="J198" s="15">
        <v>1798</v>
      </c>
      <c r="K198" s="15">
        <f t="shared" ref="K198:K261" si="38">IF(AND(IFERROR(SEARCH("현대오일뱅크",$C198),0)&gt;0,IFERROR(SEARCH("직영",$C198),0)&gt;0),$B$13,0)</f>
        <v>0</v>
      </c>
      <c r="L198" s="15">
        <f t="shared" si="28"/>
        <v>1795</v>
      </c>
      <c r="M198" s="15" t="str">
        <f t="shared" si="29"/>
        <v/>
      </c>
      <c r="N198" s="15">
        <f t="shared" si="30"/>
        <v>1798</v>
      </c>
      <c r="O198" s="15" t="str">
        <f t="shared" si="31"/>
        <v>휘발유 71,800원</v>
      </c>
      <c r="P198" s="15">
        <f t="shared" si="32"/>
        <v>71800</v>
      </c>
      <c r="Q198" s="15" t="s">
        <v>47</v>
      </c>
      <c r="R198" s="16">
        <f t="shared" si="33"/>
        <v>0.1</v>
      </c>
      <c r="S198" s="15">
        <f t="shared" si="34"/>
        <v>7180</v>
      </c>
      <c r="T198" s="15">
        <f t="shared" si="35"/>
        <v>64620</v>
      </c>
      <c r="U198" s="15">
        <f t="shared" si="36"/>
        <v>1615.5</v>
      </c>
      <c r="V198" s="15">
        <f t="shared" si="37"/>
        <v>1795</v>
      </c>
      <c r="W198" s="17">
        <f>IF($T198="",1000000000000000,$T198)</f>
        <v>64620</v>
      </c>
      <c r="XFB198" s="5"/>
      <c r="XFC198" s="3"/>
    </row>
    <row r="199" spans="1:23 16382:16383" s="4" customFormat="1" ht="28.5" customHeight="1">
      <c r="A199" s="14">
        <f t="shared" si="27"/>
        <v>163</v>
      </c>
      <c r="B199" s="14" t="s">
        <v>6</v>
      </c>
      <c r="C199" s="14" t="s">
        <v>591</v>
      </c>
      <c r="D199" s="14" t="s">
        <v>45</v>
      </c>
      <c r="E199" s="14" t="s">
        <v>26</v>
      </c>
      <c r="F199" s="14" t="s">
        <v>642</v>
      </c>
      <c r="G199" s="15">
        <v>1795</v>
      </c>
      <c r="H199" s="15"/>
      <c r="I199" s="15"/>
      <c r="J199" s="15">
        <v>1798</v>
      </c>
      <c r="K199" s="15">
        <f t="shared" si="38"/>
        <v>0</v>
      </c>
      <c r="L199" s="15">
        <f t="shared" si="28"/>
        <v>1795</v>
      </c>
      <c r="M199" s="15" t="str">
        <f t="shared" si="29"/>
        <v/>
      </c>
      <c r="N199" s="15">
        <f t="shared" si="30"/>
        <v>1798</v>
      </c>
      <c r="O199" s="15" t="str">
        <f t="shared" si="31"/>
        <v>휘발유 71,800원</v>
      </c>
      <c r="P199" s="15">
        <f t="shared" si="32"/>
        <v>71800</v>
      </c>
      <c r="Q199" s="15" t="s">
        <v>47</v>
      </c>
      <c r="R199" s="16">
        <f t="shared" si="33"/>
        <v>0.1</v>
      </c>
      <c r="S199" s="15">
        <f t="shared" si="34"/>
        <v>7180</v>
      </c>
      <c r="T199" s="15">
        <f t="shared" si="35"/>
        <v>64620</v>
      </c>
      <c r="U199" s="15">
        <f t="shared" si="36"/>
        <v>1615.5</v>
      </c>
      <c r="V199" s="15">
        <f t="shared" si="37"/>
        <v>1795</v>
      </c>
      <c r="W199" s="17">
        <f>IF($T199="",1000000000000000,$T199)</f>
        <v>64620</v>
      </c>
      <c r="XFB199" s="5"/>
      <c r="XFC199" s="3"/>
    </row>
    <row r="200" spans="1:23 16382:16383" s="4" customFormat="1" ht="28.5" customHeight="1">
      <c r="A200" s="14">
        <f t="shared" si="27"/>
        <v>163</v>
      </c>
      <c r="B200" s="14" t="s">
        <v>6</v>
      </c>
      <c r="C200" s="14" t="s">
        <v>643</v>
      </c>
      <c r="D200" s="18" t="s">
        <v>86</v>
      </c>
      <c r="E200" s="14" t="s">
        <v>26</v>
      </c>
      <c r="F200" s="14" t="s">
        <v>644</v>
      </c>
      <c r="G200" s="15">
        <v>1795</v>
      </c>
      <c r="H200" s="15"/>
      <c r="I200" s="15"/>
      <c r="J200" s="15">
        <v>1798</v>
      </c>
      <c r="K200" s="15">
        <f t="shared" si="38"/>
        <v>0</v>
      </c>
      <c r="L200" s="15">
        <f t="shared" si="28"/>
        <v>1795</v>
      </c>
      <c r="M200" s="15" t="str">
        <f t="shared" si="29"/>
        <v/>
      </c>
      <c r="N200" s="15">
        <f t="shared" si="30"/>
        <v>1798</v>
      </c>
      <c r="O200" s="15" t="str">
        <f t="shared" si="31"/>
        <v>휘발유 71,800원</v>
      </c>
      <c r="P200" s="15">
        <f t="shared" si="32"/>
        <v>71800</v>
      </c>
      <c r="Q200" s="15" t="s">
        <v>47</v>
      </c>
      <c r="R200" s="16">
        <f t="shared" si="33"/>
        <v>0.1</v>
      </c>
      <c r="S200" s="15">
        <f t="shared" si="34"/>
        <v>7180</v>
      </c>
      <c r="T200" s="15">
        <f t="shared" si="35"/>
        <v>64620</v>
      </c>
      <c r="U200" s="15">
        <f t="shared" si="36"/>
        <v>1615.5</v>
      </c>
      <c r="V200" s="15">
        <f t="shared" si="37"/>
        <v>1795</v>
      </c>
      <c r="W200" s="17">
        <f>IF($T200="",1000000000000000,$T200)</f>
        <v>64620</v>
      </c>
      <c r="XFB200" s="5"/>
      <c r="XFC200" s="3"/>
    </row>
    <row r="201" spans="1:23 16382:16383" s="4" customFormat="1" ht="28.5" customHeight="1">
      <c r="A201" s="14">
        <f t="shared" si="27"/>
        <v>163</v>
      </c>
      <c r="B201" s="14" t="s">
        <v>6</v>
      </c>
      <c r="C201" s="14" t="s">
        <v>645</v>
      </c>
      <c r="D201" s="14" t="s">
        <v>95</v>
      </c>
      <c r="E201" s="14" t="s">
        <v>26</v>
      </c>
      <c r="F201" s="14" t="s">
        <v>646</v>
      </c>
      <c r="G201" s="15">
        <v>1795</v>
      </c>
      <c r="H201" s="15"/>
      <c r="I201" s="15"/>
      <c r="J201" s="15">
        <v>1798</v>
      </c>
      <c r="K201" s="15">
        <f t="shared" si="38"/>
        <v>0</v>
      </c>
      <c r="L201" s="15">
        <f t="shared" si="28"/>
        <v>1795</v>
      </c>
      <c r="M201" s="15" t="str">
        <f t="shared" si="29"/>
        <v/>
      </c>
      <c r="N201" s="15">
        <f t="shared" si="30"/>
        <v>1798</v>
      </c>
      <c r="O201" s="15" t="str">
        <f t="shared" si="31"/>
        <v>휘발유 71,800원</v>
      </c>
      <c r="P201" s="15">
        <f t="shared" si="32"/>
        <v>71800</v>
      </c>
      <c r="Q201" s="15" t="s">
        <v>47</v>
      </c>
      <c r="R201" s="16">
        <f t="shared" si="33"/>
        <v>0.1</v>
      </c>
      <c r="S201" s="15">
        <f t="shared" si="34"/>
        <v>7180</v>
      </c>
      <c r="T201" s="15">
        <f t="shared" si="35"/>
        <v>64620</v>
      </c>
      <c r="U201" s="15">
        <f t="shared" si="36"/>
        <v>1615.5</v>
      </c>
      <c r="V201" s="15">
        <f t="shared" si="37"/>
        <v>1795</v>
      </c>
      <c r="W201" s="17">
        <f>IF($T201="",1000000000000000,$T201)</f>
        <v>64620</v>
      </c>
      <c r="XFB201" s="5"/>
      <c r="XFC201" s="3"/>
    </row>
    <row r="202" spans="1:23 16382:16383" s="4" customFormat="1" ht="28.5" customHeight="1">
      <c r="A202" s="14">
        <f t="shared" si="27"/>
        <v>188</v>
      </c>
      <c r="B202" s="14" t="s">
        <v>12</v>
      </c>
      <c r="C202" s="14" t="s">
        <v>647</v>
      </c>
      <c r="D202" s="18" t="s">
        <v>51</v>
      </c>
      <c r="E202" s="14" t="s">
        <v>26</v>
      </c>
      <c r="F202" s="14" t="s">
        <v>648</v>
      </c>
      <c r="G202" s="15">
        <v>1796</v>
      </c>
      <c r="H202" s="15"/>
      <c r="I202" s="15"/>
      <c r="J202" s="15">
        <v>1796</v>
      </c>
      <c r="K202" s="15">
        <f t="shared" si="38"/>
        <v>0</v>
      </c>
      <c r="L202" s="15">
        <f t="shared" si="28"/>
        <v>1796</v>
      </c>
      <c r="M202" s="15" t="str">
        <f t="shared" si="29"/>
        <v/>
      </c>
      <c r="N202" s="15">
        <f t="shared" si="30"/>
        <v>1796</v>
      </c>
      <c r="O202" s="15" t="str">
        <f t="shared" si="31"/>
        <v>휘발유 71,840원</v>
      </c>
      <c r="P202" s="15">
        <f t="shared" si="32"/>
        <v>71840</v>
      </c>
      <c r="Q202" s="15" t="s">
        <v>47</v>
      </c>
      <c r="R202" s="16">
        <f t="shared" si="33"/>
        <v>0.1</v>
      </c>
      <c r="S202" s="15">
        <f t="shared" si="34"/>
        <v>7184</v>
      </c>
      <c r="T202" s="15">
        <f t="shared" si="35"/>
        <v>64656</v>
      </c>
      <c r="U202" s="15">
        <f t="shared" si="36"/>
        <v>1616.4</v>
      </c>
      <c r="V202" s="15">
        <f t="shared" si="37"/>
        <v>1796</v>
      </c>
      <c r="W202" s="17">
        <f>IF($T202="",1000000000000000,$T202)</f>
        <v>64656</v>
      </c>
      <c r="XFB202" s="5"/>
      <c r="XFC202" s="3"/>
    </row>
    <row r="203" spans="1:23 16382:16383" s="4" customFormat="1" ht="28.5" customHeight="1">
      <c r="A203" s="14">
        <f t="shared" si="27"/>
        <v>189</v>
      </c>
      <c r="B203" s="14" t="s">
        <v>16</v>
      </c>
      <c r="C203" s="14" t="s">
        <v>649</v>
      </c>
      <c r="D203" s="14" t="s">
        <v>51</v>
      </c>
      <c r="E203" s="14" t="s">
        <v>26</v>
      </c>
      <c r="F203" s="14" t="s">
        <v>650</v>
      </c>
      <c r="G203" s="15">
        <v>1837</v>
      </c>
      <c r="H203" s="15"/>
      <c r="I203" s="15"/>
      <c r="J203" s="15">
        <v>1828</v>
      </c>
      <c r="K203" s="15">
        <f t="shared" si="38"/>
        <v>0</v>
      </c>
      <c r="L203" s="15">
        <f t="shared" si="28"/>
        <v>1837</v>
      </c>
      <c r="M203" s="15" t="str">
        <f t="shared" si="29"/>
        <v/>
      </c>
      <c r="N203" s="15">
        <f t="shared" si="30"/>
        <v>1828</v>
      </c>
      <c r="O203" s="15" t="str">
        <f t="shared" si="31"/>
        <v>휘발유 73,480원</v>
      </c>
      <c r="P203" s="15">
        <f t="shared" si="32"/>
        <v>73480</v>
      </c>
      <c r="Q203" s="15" t="s">
        <v>47</v>
      </c>
      <c r="R203" s="16">
        <f t="shared" si="33"/>
        <v>0.12</v>
      </c>
      <c r="S203" s="15">
        <f t="shared" si="34"/>
        <v>8817</v>
      </c>
      <c r="T203" s="15">
        <f t="shared" si="35"/>
        <v>64663</v>
      </c>
      <c r="U203" s="15">
        <f t="shared" si="36"/>
        <v>1616.575</v>
      </c>
      <c r="V203" s="15">
        <f t="shared" si="37"/>
        <v>1837</v>
      </c>
      <c r="W203" s="17">
        <f>IF($T203="",1000000000000000,$T203)</f>
        <v>64663</v>
      </c>
      <c r="XFB203" s="5"/>
      <c r="XFC203" s="3"/>
    </row>
    <row r="204" spans="1:23 16382:16383" s="4" customFormat="1" ht="28.5" customHeight="1">
      <c r="A204" s="14">
        <f t="shared" si="27"/>
        <v>189</v>
      </c>
      <c r="B204" s="14" t="s">
        <v>16</v>
      </c>
      <c r="C204" s="14" t="s">
        <v>472</v>
      </c>
      <c r="D204" s="18" t="s">
        <v>86</v>
      </c>
      <c r="E204" s="14" t="s">
        <v>63</v>
      </c>
      <c r="F204" s="14" t="s">
        <v>473</v>
      </c>
      <c r="G204" s="15">
        <v>1837</v>
      </c>
      <c r="H204" s="15"/>
      <c r="I204" s="15"/>
      <c r="J204" s="15">
        <v>1837</v>
      </c>
      <c r="K204" s="15">
        <f t="shared" si="38"/>
        <v>0</v>
      </c>
      <c r="L204" s="15">
        <f t="shared" si="28"/>
        <v>1837</v>
      </c>
      <c r="M204" s="15" t="str">
        <f t="shared" si="29"/>
        <v/>
      </c>
      <c r="N204" s="15">
        <f t="shared" si="30"/>
        <v>1837</v>
      </c>
      <c r="O204" s="15" t="str">
        <f t="shared" si="31"/>
        <v>휘발유 73,480원</v>
      </c>
      <c r="P204" s="15">
        <f t="shared" si="32"/>
        <v>73480</v>
      </c>
      <c r="Q204" s="15" t="s">
        <v>47</v>
      </c>
      <c r="R204" s="16">
        <f t="shared" si="33"/>
        <v>0.12</v>
      </c>
      <c r="S204" s="15">
        <f t="shared" si="34"/>
        <v>8817</v>
      </c>
      <c r="T204" s="15">
        <f t="shared" si="35"/>
        <v>64663</v>
      </c>
      <c r="U204" s="15">
        <f t="shared" si="36"/>
        <v>1616.575</v>
      </c>
      <c r="V204" s="15">
        <f t="shared" si="37"/>
        <v>1837</v>
      </c>
      <c r="W204" s="17">
        <f>IF($T204="",1000000000000000,$T204)</f>
        <v>64663</v>
      </c>
      <c r="XFB204" s="5"/>
      <c r="XFC204" s="3"/>
    </row>
    <row r="205" spans="1:23 16382:16383" s="4" customFormat="1" ht="28.5" customHeight="1">
      <c r="A205" s="14">
        <f t="shared" si="27"/>
        <v>191</v>
      </c>
      <c r="B205" s="14" t="s">
        <v>14</v>
      </c>
      <c r="C205" s="14" t="s">
        <v>651</v>
      </c>
      <c r="D205" s="14" t="s">
        <v>45</v>
      </c>
      <c r="E205" s="14" t="s">
        <v>26</v>
      </c>
      <c r="F205" s="14" t="s">
        <v>652</v>
      </c>
      <c r="G205" s="15">
        <v>1817</v>
      </c>
      <c r="H205" s="15"/>
      <c r="I205" s="15"/>
      <c r="J205" s="15">
        <v>1834</v>
      </c>
      <c r="K205" s="15">
        <f t="shared" si="38"/>
        <v>0</v>
      </c>
      <c r="L205" s="15">
        <f t="shared" si="28"/>
        <v>1817</v>
      </c>
      <c r="M205" s="15" t="str">
        <f t="shared" si="29"/>
        <v/>
      </c>
      <c r="N205" s="15">
        <f t="shared" si="30"/>
        <v>1834</v>
      </c>
      <c r="O205" s="15" t="str">
        <f t="shared" si="31"/>
        <v>휘발유 72,680원</v>
      </c>
      <c r="P205" s="15">
        <f t="shared" si="32"/>
        <v>72680</v>
      </c>
      <c r="Q205" s="15" t="s">
        <v>47</v>
      </c>
      <c r="R205" s="16">
        <f t="shared" si="33"/>
        <v>0.11</v>
      </c>
      <c r="S205" s="15">
        <f t="shared" si="34"/>
        <v>7994</v>
      </c>
      <c r="T205" s="15">
        <f t="shared" si="35"/>
        <v>64686</v>
      </c>
      <c r="U205" s="15">
        <f t="shared" si="36"/>
        <v>1617.15</v>
      </c>
      <c r="V205" s="15">
        <f t="shared" si="37"/>
        <v>1817</v>
      </c>
      <c r="W205" s="17">
        <f>IF($T205="",1000000000000000,$T205)</f>
        <v>64686</v>
      </c>
      <c r="XFB205" s="5"/>
      <c r="XFC205" s="3"/>
    </row>
    <row r="206" spans="1:23 16382:16383" s="19" customFormat="1" ht="28.5" customHeight="1">
      <c r="A206" s="14">
        <f t="shared" si="27"/>
        <v>192</v>
      </c>
      <c r="B206" s="14" t="s">
        <v>6</v>
      </c>
      <c r="C206" s="14" t="s">
        <v>94</v>
      </c>
      <c r="D206" s="14" t="s">
        <v>95</v>
      </c>
      <c r="E206" s="14" t="s">
        <v>26</v>
      </c>
      <c r="F206" s="14" t="s">
        <v>96</v>
      </c>
      <c r="G206" s="15">
        <v>1797</v>
      </c>
      <c r="H206" s="15">
        <v>1997</v>
      </c>
      <c r="I206" s="15"/>
      <c r="J206" s="15">
        <v>1796</v>
      </c>
      <c r="K206" s="15">
        <f t="shared" si="38"/>
        <v>0</v>
      </c>
      <c r="L206" s="15">
        <f t="shared" si="28"/>
        <v>1797</v>
      </c>
      <c r="M206" s="15">
        <f t="shared" si="29"/>
        <v>1997</v>
      </c>
      <c r="N206" s="15">
        <f t="shared" si="30"/>
        <v>1796</v>
      </c>
      <c r="O206" s="15" t="str">
        <f t="shared" si="31"/>
        <v>휘발유 71,880원</v>
      </c>
      <c r="P206" s="15">
        <f t="shared" si="32"/>
        <v>71880</v>
      </c>
      <c r="Q206" s="15" t="s">
        <v>47</v>
      </c>
      <c r="R206" s="16">
        <f t="shared" si="33"/>
        <v>0.1</v>
      </c>
      <c r="S206" s="15">
        <f t="shared" si="34"/>
        <v>7188</v>
      </c>
      <c r="T206" s="15">
        <f t="shared" si="35"/>
        <v>64692</v>
      </c>
      <c r="U206" s="15">
        <f t="shared" si="36"/>
        <v>1617.3</v>
      </c>
      <c r="V206" s="15">
        <f t="shared" si="37"/>
        <v>1797</v>
      </c>
      <c r="W206" s="17">
        <f>IF($T206="",1000000000000000,$T206)</f>
        <v>64692</v>
      </c>
      <c r="XFB206" s="5"/>
      <c r="XFC206" s="3"/>
    </row>
    <row r="207" spans="1:23 16382:16383" s="4" customFormat="1" ht="28.5" customHeight="1">
      <c r="A207" s="14">
        <f t="shared" ref="A207:A270" si="39">IF($T207="","",1+COUNTIF($W$15:$W$890,"&lt;"&amp;W207))</f>
        <v>192</v>
      </c>
      <c r="B207" s="14" t="s">
        <v>8</v>
      </c>
      <c r="C207" s="14" t="s">
        <v>653</v>
      </c>
      <c r="D207" s="14" t="s">
        <v>95</v>
      </c>
      <c r="E207" s="14" t="s">
        <v>26</v>
      </c>
      <c r="F207" s="14" t="s">
        <v>654</v>
      </c>
      <c r="G207" s="15">
        <v>1797</v>
      </c>
      <c r="H207" s="15"/>
      <c r="I207" s="15"/>
      <c r="J207" s="15">
        <v>1795</v>
      </c>
      <c r="K207" s="15">
        <f t="shared" si="38"/>
        <v>0</v>
      </c>
      <c r="L207" s="15">
        <f t="shared" ref="L207:L270" si="40">IF($G207="","",$G207+$K207)</f>
        <v>1797</v>
      </c>
      <c r="M207" s="15" t="str">
        <f t="shared" ref="M207:M270" si="41">IF($H207="","",$H207+$K207)</f>
        <v/>
      </c>
      <c r="N207" s="15">
        <f t="shared" ref="N207:N270" si="42">IF($J207="","",$J207+$K207)</f>
        <v>1795</v>
      </c>
      <c r="O207" s="15" t="str">
        <f t="shared" ref="O207:O270" si="43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>휘발유 71,880원</v>
      </c>
      <c r="P207" s="15">
        <f t="shared" ref="P207:P270" si="44">IF($B$10=0,"",IFERROR(IF($B$4&gt;0,IF($L207="",1/0,$L207*$B$4),0)+IF($B$5&gt;0,IF($M207="",1/0,$M207*$B$5),0)+IF($B$6&gt;0,IF($N207="",1/0,$N207*$B$6),0),""))</f>
        <v>71880</v>
      </c>
      <c r="Q207" s="15" t="s">
        <v>47</v>
      </c>
      <c r="R207" s="16">
        <f t="shared" ref="R207:R270" si="45">IF($P207="","",IF($Q207="Y",IFERROR(VLOOKUP($B207,$C$4:$D$13,2,FALSE()),0),0))</f>
        <v>0.1</v>
      </c>
      <c r="S207" s="15">
        <f t="shared" ref="S207:S270" si="46">IF($P207="","",ROUNDDOWN($P207*$R207,0))</f>
        <v>7188</v>
      </c>
      <c r="T207" s="15">
        <f t="shared" ref="T207:T270" si="47">IF($P207="","",$P207-$S207)</f>
        <v>64692</v>
      </c>
      <c r="U207" s="15">
        <f t="shared" ref="U207:U270" si="48">IF($T207="","",IF($B$10=0,"",$T207/$B$10))</f>
        <v>1617.3</v>
      </c>
      <c r="V207" s="15">
        <f t="shared" si="37"/>
        <v>1797</v>
      </c>
      <c r="W207" s="17">
        <f>IF($T207="",1000000000000000,$T207)</f>
        <v>64692</v>
      </c>
      <c r="XFB207" s="5"/>
      <c r="XFC207" s="3"/>
    </row>
    <row r="208" spans="1:23 16382:16383" s="4" customFormat="1" ht="28.5" customHeight="1">
      <c r="A208" s="14">
        <f t="shared" si="39"/>
        <v>192</v>
      </c>
      <c r="B208" s="14" t="s">
        <v>6</v>
      </c>
      <c r="C208" s="14" t="s">
        <v>655</v>
      </c>
      <c r="D208" s="14" t="s">
        <v>45</v>
      </c>
      <c r="E208" s="14" t="s">
        <v>26</v>
      </c>
      <c r="F208" s="14" t="s">
        <v>656</v>
      </c>
      <c r="G208" s="15">
        <v>1797</v>
      </c>
      <c r="H208" s="15"/>
      <c r="I208" s="15"/>
      <c r="J208" s="15">
        <v>1797</v>
      </c>
      <c r="K208" s="15">
        <f t="shared" si="38"/>
        <v>0</v>
      </c>
      <c r="L208" s="15">
        <f t="shared" si="40"/>
        <v>1797</v>
      </c>
      <c r="M208" s="15" t="str">
        <f t="shared" si="41"/>
        <v/>
      </c>
      <c r="N208" s="15">
        <f t="shared" si="42"/>
        <v>1797</v>
      </c>
      <c r="O208" s="15" t="str">
        <f t="shared" si="43"/>
        <v>휘발유 71,880원</v>
      </c>
      <c r="P208" s="15">
        <f t="shared" si="44"/>
        <v>71880</v>
      </c>
      <c r="Q208" s="15" t="s">
        <v>47</v>
      </c>
      <c r="R208" s="16">
        <f t="shared" si="45"/>
        <v>0.1</v>
      </c>
      <c r="S208" s="15">
        <f t="shared" si="46"/>
        <v>7188</v>
      </c>
      <c r="T208" s="15">
        <f t="shared" si="47"/>
        <v>64692</v>
      </c>
      <c r="U208" s="15">
        <f t="shared" si="48"/>
        <v>1617.3</v>
      </c>
      <c r="V208" s="15">
        <f t="shared" si="37"/>
        <v>1797</v>
      </c>
      <c r="W208" s="17">
        <f>IF($T208="",1000000000000000,$T208)</f>
        <v>64692</v>
      </c>
      <c r="XFB208" s="5"/>
      <c r="XFC208" s="3"/>
    </row>
    <row r="209" spans="1:23 16382:16383" s="4" customFormat="1" ht="28.5" customHeight="1">
      <c r="A209" s="14">
        <f t="shared" si="39"/>
        <v>192</v>
      </c>
      <c r="B209" s="14" t="s">
        <v>10</v>
      </c>
      <c r="C209" s="14" t="s">
        <v>845</v>
      </c>
      <c r="D209" s="18" t="s">
        <v>86</v>
      </c>
      <c r="E209" s="14" t="s">
        <v>26</v>
      </c>
      <c r="F209" s="14" t="s">
        <v>846</v>
      </c>
      <c r="G209" s="15">
        <v>1797</v>
      </c>
      <c r="H209" s="15"/>
      <c r="I209" s="15"/>
      <c r="J209" s="15">
        <v>1797</v>
      </c>
      <c r="K209" s="15">
        <f t="shared" si="38"/>
        <v>0</v>
      </c>
      <c r="L209" s="15">
        <f t="shared" si="40"/>
        <v>1797</v>
      </c>
      <c r="M209" s="15" t="str">
        <f t="shared" si="41"/>
        <v/>
      </c>
      <c r="N209" s="15">
        <f t="shared" si="42"/>
        <v>1797</v>
      </c>
      <c r="O209" s="15" t="str">
        <f t="shared" si="43"/>
        <v>휘발유 71,880원</v>
      </c>
      <c r="P209" s="15">
        <f t="shared" si="44"/>
        <v>71880</v>
      </c>
      <c r="Q209" s="15" t="s">
        <v>47</v>
      </c>
      <c r="R209" s="16">
        <f t="shared" si="45"/>
        <v>0.1</v>
      </c>
      <c r="S209" s="15">
        <f t="shared" si="46"/>
        <v>7188</v>
      </c>
      <c r="T209" s="15">
        <f t="shared" si="47"/>
        <v>64692</v>
      </c>
      <c r="U209" s="15">
        <f t="shared" si="48"/>
        <v>1617.3</v>
      </c>
      <c r="V209" s="15">
        <f t="shared" si="37"/>
        <v>1797</v>
      </c>
      <c r="W209" s="17">
        <f>IF($T209="",1000000000000000,$T209)</f>
        <v>64692</v>
      </c>
      <c r="XFB209" s="5"/>
      <c r="XFC209" s="3"/>
    </row>
    <row r="210" spans="1:23 16382:16383" s="4" customFormat="1" ht="28.5" customHeight="1">
      <c r="A210" s="14">
        <f t="shared" si="39"/>
        <v>192</v>
      </c>
      <c r="B210" s="14" t="s">
        <v>6</v>
      </c>
      <c r="C210" s="14" t="s">
        <v>657</v>
      </c>
      <c r="D210" s="14" t="s">
        <v>95</v>
      </c>
      <c r="E210" s="14" t="s">
        <v>26</v>
      </c>
      <c r="F210" s="14" t="s">
        <v>658</v>
      </c>
      <c r="G210" s="15">
        <v>1797</v>
      </c>
      <c r="H210" s="15"/>
      <c r="I210" s="15"/>
      <c r="J210" s="15">
        <v>1798</v>
      </c>
      <c r="K210" s="15">
        <f t="shared" si="38"/>
        <v>0</v>
      </c>
      <c r="L210" s="15">
        <f t="shared" si="40"/>
        <v>1797</v>
      </c>
      <c r="M210" s="15" t="str">
        <f t="shared" si="41"/>
        <v/>
      </c>
      <c r="N210" s="15">
        <f t="shared" si="42"/>
        <v>1798</v>
      </c>
      <c r="O210" s="15" t="str">
        <f t="shared" si="43"/>
        <v>휘발유 71,880원</v>
      </c>
      <c r="P210" s="15">
        <f t="shared" si="44"/>
        <v>71880</v>
      </c>
      <c r="Q210" s="15" t="s">
        <v>47</v>
      </c>
      <c r="R210" s="16">
        <f t="shared" si="45"/>
        <v>0.1</v>
      </c>
      <c r="S210" s="15">
        <f t="shared" si="46"/>
        <v>7188</v>
      </c>
      <c r="T210" s="15">
        <f t="shared" si="47"/>
        <v>64692</v>
      </c>
      <c r="U210" s="15">
        <f t="shared" si="48"/>
        <v>1617.3</v>
      </c>
      <c r="V210" s="15">
        <f t="shared" si="37"/>
        <v>1797</v>
      </c>
      <c r="W210" s="17">
        <f>IF($T210="",1000000000000000,$T210)</f>
        <v>64692</v>
      </c>
      <c r="XFB210" s="5"/>
      <c r="XFC210" s="3"/>
    </row>
    <row r="211" spans="1:23 16382:16383" s="4" customFormat="1" ht="28.5" customHeight="1">
      <c r="A211" s="14">
        <f t="shared" si="39"/>
        <v>192</v>
      </c>
      <c r="B211" s="14" t="s">
        <v>6</v>
      </c>
      <c r="C211" s="14" t="s">
        <v>659</v>
      </c>
      <c r="D211" s="14" t="s">
        <v>95</v>
      </c>
      <c r="E211" s="14" t="s">
        <v>26</v>
      </c>
      <c r="F211" s="14" t="s">
        <v>660</v>
      </c>
      <c r="G211" s="15">
        <v>1797</v>
      </c>
      <c r="H211" s="15"/>
      <c r="I211" s="15"/>
      <c r="J211" s="15">
        <v>1798</v>
      </c>
      <c r="K211" s="15">
        <f t="shared" si="38"/>
        <v>0</v>
      </c>
      <c r="L211" s="15">
        <f t="shared" si="40"/>
        <v>1797</v>
      </c>
      <c r="M211" s="15" t="str">
        <f t="shared" si="41"/>
        <v/>
      </c>
      <c r="N211" s="15">
        <f t="shared" si="42"/>
        <v>1798</v>
      </c>
      <c r="O211" s="15" t="str">
        <f t="shared" si="43"/>
        <v>휘발유 71,880원</v>
      </c>
      <c r="P211" s="15">
        <f t="shared" si="44"/>
        <v>71880</v>
      </c>
      <c r="Q211" s="15" t="s">
        <v>47</v>
      </c>
      <c r="R211" s="16">
        <f t="shared" si="45"/>
        <v>0.1</v>
      </c>
      <c r="S211" s="15">
        <f t="shared" si="46"/>
        <v>7188</v>
      </c>
      <c r="T211" s="15">
        <f t="shared" si="47"/>
        <v>64692</v>
      </c>
      <c r="U211" s="15">
        <f t="shared" si="48"/>
        <v>1617.3</v>
      </c>
      <c r="V211" s="15">
        <f t="shared" si="37"/>
        <v>1797</v>
      </c>
      <c r="W211" s="17">
        <f>IF($T211="",1000000000000000,$T211)</f>
        <v>64692</v>
      </c>
      <c r="XFB211" s="5"/>
      <c r="XFC211" s="3"/>
    </row>
    <row r="212" spans="1:23 16382:16383" s="4" customFormat="1" ht="28.5" customHeight="1">
      <c r="A212" s="14">
        <f t="shared" si="39"/>
        <v>198</v>
      </c>
      <c r="B212" s="14" t="s">
        <v>6</v>
      </c>
      <c r="C212" s="14" t="s">
        <v>81</v>
      </c>
      <c r="D212" s="14" t="s">
        <v>51</v>
      </c>
      <c r="E212" s="14" t="s">
        <v>26</v>
      </c>
      <c r="F212" s="14" t="s">
        <v>82</v>
      </c>
      <c r="G212" s="15">
        <v>1798</v>
      </c>
      <c r="H212" s="15">
        <v>2034</v>
      </c>
      <c r="I212" s="15"/>
      <c r="J212" s="15">
        <v>1774</v>
      </c>
      <c r="K212" s="15">
        <f t="shared" si="38"/>
        <v>0</v>
      </c>
      <c r="L212" s="15">
        <f t="shared" si="40"/>
        <v>1798</v>
      </c>
      <c r="M212" s="15">
        <f t="shared" si="41"/>
        <v>2034</v>
      </c>
      <c r="N212" s="15">
        <f t="shared" si="42"/>
        <v>1774</v>
      </c>
      <c r="O212" s="15" t="str">
        <f t="shared" si="43"/>
        <v>휘발유 71,920원</v>
      </c>
      <c r="P212" s="15">
        <f t="shared" si="44"/>
        <v>71920</v>
      </c>
      <c r="Q212" s="15" t="s">
        <v>47</v>
      </c>
      <c r="R212" s="16">
        <f t="shared" si="45"/>
        <v>0.1</v>
      </c>
      <c r="S212" s="15">
        <f t="shared" si="46"/>
        <v>7192</v>
      </c>
      <c r="T212" s="15">
        <f t="shared" si="47"/>
        <v>64728</v>
      </c>
      <c r="U212" s="15">
        <f t="shared" si="48"/>
        <v>1618.2</v>
      </c>
      <c r="V212" s="15">
        <f t="shared" si="37"/>
        <v>1798</v>
      </c>
      <c r="W212" s="17">
        <f>IF($T212="",1000000000000000,$T212)</f>
        <v>64728</v>
      </c>
      <c r="XFB212" s="5"/>
      <c r="XFC212" s="3"/>
    </row>
    <row r="213" spans="1:23 16382:16383" s="4" customFormat="1" ht="28.5" customHeight="1">
      <c r="A213" s="14">
        <f t="shared" si="39"/>
        <v>198</v>
      </c>
      <c r="B213" s="14" t="s">
        <v>12</v>
      </c>
      <c r="C213" s="14" t="s">
        <v>175</v>
      </c>
      <c r="D213" s="18" t="s">
        <v>51</v>
      </c>
      <c r="E213" s="14" t="s">
        <v>26</v>
      </c>
      <c r="F213" s="14" t="s">
        <v>176</v>
      </c>
      <c r="G213" s="15">
        <v>1798</v>
      </c>
      <c r="H213" s="15">
        <v>2149</v>
      </c>
      <c r="I213" s="15"/>
      <c r="J213" s="15">
        <v>1798</v>
      </c>
      <c r="K213" s="15">
        <f t="shared" si="38"/>
        <v>0</v>
      </c>
      <c r="L213" s="15">
        <f t="shared" si="40"/>
        <v>1798</v>
      </c>
      <c r="M213" s="15">
        <f t="shared" si="41"/>
        <v>2149</v>
      </c>
      <c r="N213" s="15">
        <f t="shared" si="42"/>
        <v>1798</v>
      </c>
      <c r="O213" s="15" t="str">
        <f t="shared" si="43"/>
        <v>휘발유 71,920원</v>
      </c>
      <c r="P213" s="15">
        <f t="shared" si="44"/>
        <v>71920</v>
      </c>
      <c r="Q213" s="15" t="s">
        <v>47</v>
      </c>
      <c r="R213" s="16">
        <f t="shared" si="45"/>
        <v>0.1</v>
      </c>
      <c r="S213" s="15">
        <f t="shared" si="46"/>
        <v>7192</v>
      </c>
      <c r="T213" s="15">
        <f t="shared" si="47"/>
        <v>64728</v>
      </c>
      <c r="U213" s="15">
        <f t="shared" si="48"/>
        <v>1618.2</v>
      </c>
      <c r="V213" s="15">
        <f t="shared" si="37"/>
        <v>1798</v>
      </c>
      <c r="W213" s="17">
        <f>IF($T213="",1000000000000000,$T213)</f>
        <v>64728</v>
      </c>
      <c r="XFB213" s="5"/>
      <c r="XFC213" s="3"/>
    </row>
    <row r="214" spans="1:23 16382:16383" s="4" customFormat="1" ht="28.5" customHeight="1">
      <c r="A214" s="14">
        <f t="shared" si="39"/>
        <v>198</v>
      </c>
      <c r="B214" s="14" t="s">
        <v>6</v>
      </c>
      <c r="C214" s="14" t="s">
        <v>177</v>
      </c>
      <c r="D214" s="14" t="s">
        <v>45</v>
      </c>
      <c r="E214" s="14" t="s">
        <v>26</v>
      </c>
      <c r="F214" s="14" t="s">
        <v>178</v>
      </c>
      <c r="G214" s="15">
        <v>1798</v>
      </c>
      <c r="H214" s="15">
        <v>2158</v>
      </c>
      <c r="I214" s="15"/>
      <c r="J214" s="15">
        <v>1798</v>
      </c>
      <c r="K214" s="15">
        <f t="shared" si="38"/>
        <v>0</v>
      </c>
      <c r="L214" s="15">
        <f t="shared" si="40"/>
        <v>1798</v>
      </c>
      <c r="M214" s="15">
        <f t="shared" si="41"/>
        <v>2158</v>
      </c>
      <c r="N214" s="15">
        <f t="shared" si="42"/>
        <v>1798</v>
      </c>
      <c r="O214" s="15" t="str">
        <f t="shared" si="43"/>
        <v>휘발유 71,920원</v>
      </c>
      <c r="P214" s="15">
        <f t="shared" si="44"/>
        <v>71920</v>
      </c>
      <c r="Q214" s="15" t="s">
        <v>47</v>
      </c>
      <c r="R214" s="16">
        <f t="shared" si="45"/>
        <v>0.1</v>
      </c>
      <c r="S214" s="15">
        <f t="shared" si="46"/>
        <v>7192</v>
      </c>
      <c r="T214" s="15">
        <f t="shared" si="47"/>
        <v>64728</v>
      </c>
      <c r="U214" s="15">
        <f t="shared" si="48"/>
        <v>1618.2</v>
      </c>
      <c r="V214" s="15">
        <f t="shared" si="37"/>
        <v>1798</v>
      </c>
      <c r="W214" s="17">
        <f>IF($T214="",1000000000000000,$T214)</f>
        <v>64728</v>
      </c>
      <c r="XFB214" s="5"/>
      <c r="XFC214" s="3"/>
    </row>
    <row r="215" spans="1:23 16382:16383" s="4" customFormat="1" ht="28.5" customHeight="1">
      <c r="A215" s="14">
        <f t="shared" si="39"/>
        <v>198</v>
      </c>
      <c r="B215" s="14" t="s">
        <v>6</v>
      </c>
      <c r="C215" s="14" t="s">
        <v>181</v>
      </c>
      <c r="D215" s="14" t="s">
        <v>95</v>
      </c>
      <c r="E215" s="14" t="s">
        <v>26</v>
      </c>
      <c r="F215" s="14" t="s">
        <v>182</v>
      </c>
      <c r="G215" s="15">
        <v>1798</v>
      </c>
      <c r="H215" s="15">
        <v>2159</v>
      </c>
      <c r="I215" s="15"/>
      <c r="J215" s="15">
        <v>1798</v>
      </c>
      <c r="K215" s="15">
        <f t="shared" si="38"/>
        <v>0</v>
      </c>
      <c r="L215" s="15">
        <f t="shared" si="40"/>
        <v>1798</v>
      </c>
      <c r="M215" s="15">
        <f t="shared" si="41"/>
        <v>2159</v>
      </c>
      <c r="N215" s="15">
        <f t="shared" si="42"/>
        <v>1798</v>
      </c>
      <c r="O215" s="15" t="str">
        <f t="shared" si="43"/>
        <v>휘발유 71,920원</v>
      </c>
      <c r="P215" s="15">
        <f t="shared" si="44"/>
        <v>71920</v>
      </c>
      <c r="Q215" s="15" t="s">
        <v>47</v>
      </c>
      <c r="R215" s="16">
        <f t="shared" si="45"/>
        <v>0.1</v>
      </c>
      <c r="S215" s="15">
        <f t="shared" si="46"/>
        <v>7192</v>
      </c>
      <c r="T215" s="15">
        <f t="shared" si="47"/>
        <v>64728</v>
      </c>
      <c r="U215" s="15">
        <f t="shared" si="48"/>
        <v>1618.2</v>
      </c>
      <c r="V215" s="15">
        <f t="shared" ref="V215:V278" si="49">IF($P215="","",IF($B$10=0,"",$P215/$B$10))</f>
        <v>1798</v>
      </c>
      <c r="W215" s="17">
        <f>IF($T215="",1000000000000000,$T215)</f>
        <v>64728</v>
      </c>
      <c r="XFB215" s="5"/>
      <c r="XFC215" s="3"/>
    </row>
    <row r="216" spans="1:23 16382:16383" s="4" customFormat="1" ht="28.5" customHeight="1">
      <c r="A216" s="14">
        <f t="shared" si="39"/>
        <v>198</v>
      </c>
      <c r="B216" s="14" t="s">
        <v>6</v>
      </c>
      <c r="C216" s="14" t="s">
        <v>183</v>
      </c>
      <c r="D216" s="18" t="s">
        <v>86</v>
      </c>
      <c r="E216" s="14" t="s">
        <v>26</v>
      </c>
      <c r="F216" s="14" t="s">
        <v>184</v>
      </c>
      <c r="G216" s="15">
        <v>1798</v>
      </c>
      <c r="H216" s="15">
        <v>2167</v>
      </c>
      <c r="I216" s="15"/>
      <c r="J216" s="15">
        <v>1809</v>
      </c>
      <c r="K216" s="15">
        <f t="shared" si="38"/>
        <v>0</v>
      </c>
      <c r="L216" s="15">
        <f t="shared" si="40"/>
        <v>1798</v>
      </c>
      <c r="M216" s="15">
        <f t="shared" si="41"/>
        <v>2167</v>
      </c>
      <c r="N216" s="15">
        <f t="shared" si="42"/>
        <v>1809</v>
      </c>
      <c r="O216" s="15" t="str">
        <f t="shared" si="43"/>
        <v>휘발유 71,920원</v>
      </c>
      <c r="P216" s="15">
        <f t="shared" si="44"/>
        <v>71920</v>
      </c>
      <c r="Q216" s="15" t="s">
        <v>47</v>
      </c>
      <c r="R216" s="16">
        <f t="shared" si="45"/>
        <v>0.1</v>
      </c>
      <c r="S216" s="15">
        <f t="shared" si="46"/>
        <v>7192</v>
      </c>
      <c r="T216" s="15">
        <f t="shared" si="47"/>
        <v>64728</v>
      </c>
      <c r="U216" s="15">
        <f t="shared" si="48"/>
        <v>1618.2</v>
      </c>
      <c r="V216" s="15">
        <f t="shared" si="49"/>
        <v>1798</v>
      </c>
      <c r="W216" s="17">
        <f>IF($T216="",1000000000000000,$T216)</f>
        <v>64728</v>
      </c>
      <c r="XFB216" s="5"/>
      <c r="XFC216" s="3"/>
    </row>
    <row r="217" spans="1:23 16382:16383" s="4" customFormat="1" ht="28.5" customHeight="1">
      <c r="A217" s="14">
        <f t="shared" si="39"/>
        <v>198</v>
      </c>
      <c r="B217" s="14" t="s">
        <v>6</v>
      </c>
      <c r="C217" s="14" t="s">
        <v>193</v>
      </c>
      <c r="D217" s="14" t="s">
        <v>45</v>
      </c>
      <c r="E217" s="14" t="s">
        <v>26</v>
      </c>
      <c r="F217" s="14" t="s">
        <v>194</v>
      </c>
      <c r="G217" s="15">
        <v>1798</v>
      </c>
      <c r="H217" s="15">
        <v>2197</v>
      </c>
      <c r="I217" s="15"/>
      <c r="J217" s="15">
        <v>1815</v>
      </c>
      <c r="K217" s="15">
        <f t="shared" si="38"/>
        <v>0</v>
      </c>
      <c r="L217" s="15">
        <f t="shared" si="40"/>
        <v>1798</v>
      </c>
      <c r="M217" s="15">
        <f t="shared" si="41"/>
        <v>2197</v>
      </c>
      <c r="N217" s="15">
        <f t="shared" si="42"/>
        <v>1815</v>
      </c>
      <c r="O217" s="15" t="str">
        <f t="shared" si="43"/>
        <v>휘발유 71,920원</v>
      </c>
      <c r="P217" s="15">
        <f t="shared" si="44"/>
        <v>71920</v>
      </c>
      <c r="Q217" s="15" t="s">
        <v>47</v>
      </c>
      <c r="R217" s="16">
        <f t="shared" si="45"/>
        <v>0.1</v>
      </c>
      <c r="S217" s="15">
        <f t="shared" si="46"/>
        <v>7192</v>
      </c>
      <c r="T217" s="15">
        <f t="shared" si="47"/>
        <v>64728</v>
      </c>
      <c r="U217" s="15">
        <f t="shared" si="48"/>
        <v>1618.2</v>
      </c>
      <c r="V217" s="15">
        <f t="shared" si="49"/>
        <v>1798</v>
      </c>
      <c r="W217" s="17">
        <f>IF($T217="",1000000000000000,$T217)</f>
        <v>64728</v>
      </c>
      <c r="XFB217" s="5"/>
      <c r="XFC217" s="3"/>
    </row>
    <row r="218" spans="1:23 16382:16383" s="4" customFormat="1" ht="28.5" customHeight="1">
      <c r="A218" s="14">
        <f t="shared" si="39"/>
        <v>198</v>
      </c>
      <c r="B218" s="14" t="s">
        <v>6</v>
      </c>
      <c r="C218" s="14" t="s">
        <v>661</v>
      </c>
      <c r="D218" s="18" t="s">
        <v>86</v>
      </c>
      <c r="E218" s="14" t="s">
        <v>26</v>
      </c>
      <c r="F218" s="14" t="s">
        <v>662</v>
      </c>
      <c r="G218" s="15">
        <v>1798</v>
      </c>
      <c r="H218" s="15"/>
      <c r="I218" s="15"/>
      <c r="J218" s="15">
        <v>1793</v>
      </c>
      <c r="K218" s="15">
        <f t="shared" si="38"/>
        <v>0</v>
      </c>
      <c r="L218" s="15">
        <f t="shared" si="40"/>
        <v>1798</v>
      </c>
      <c r="M218" s="15" t="str">
        <f t="shared" si="41"/>
        <v/>
      </c>
      <c r="N218" s="15">
        <f t="shared" si="42"/>
        <v>1793</v>
      </c>
      <c r="O218" s="15" t="str">
        <f t="shared" si="43"/>
        <v>휘발유 71,920원</v>
      </c>
      <c r="P218" s="15">
        <f t="shared" si="44"/>
        <v>71920</v>
      </c>
      <c r="Q218" s="15" t="s">
        <v>47</v>
      </c>
      <c r="R218" s="16">
        <f t="shared" si="45"/>
        <v>0.1</v>
      </c>
      <c r="S218" s="15">
        <f t="shared" si="46"/>
        <v>7192</v>
      </c>
      <c r="T218" s="15">
        <f t="shared" si="47"/>
        <v>64728</v>
      </c>
      <c r="U218" s="15">
        <f t="shared" si="48"/>
        <v>1618.2</v>
      </c>
      <c r="V218" s="15">
        <f t="shared" si="49"/>
        <v>1798</v>
      </c>
      <c r="W218" s="17">
        <f>IF($T218="",1000000000000000,$T218)</f>
        <v>64728</v>
      </c>
      <c r="XFB218" s="5"/>
      <c r="XFC218" s="3"/>
    </row>
    <row r="219" spans="1:23 16382:16383" s="4" customFormat="1" ht="28.5" customHeight="1">
      <c r="A219" s="14">
        <f t="shared" si="39"/>
        <v>198</v>
      </c>
      <c r="B219" s="14" t="s">
        <v>6</v>
      </c>
      <c r="C219" s="14" t="s">
        <v>663</v>
      </c>
      <c r="D219" s="14" t="s">
        <v>389</v>
      </c>
      <c r="E219" s="14" t="s">
        <v>63</v>
      </c>
      <c r="F219" s="14" t="s">
        <v>664</v>
      </c>
      <c r="G219" s="15">
        <v>1798</v>
      </c>
      <c r="H219" s="15"/>
      <c r="I219" s="15"/>
      <c r="J219" s="15">
        <v>1795</v>
      </c>
      <c r="K219" s="15">
        <f t="shared" si="38"/>
        <v>0</v>
      </c>
      <c r="L219" s="15">
        <f t="shared" si="40"/>
        <v>1798</v>
      </c>
      <c r="M219" s="15" t="str">
        <f t="shared" si="41"/>
        <v/>
      </c>
      <c r="N219" s="15">
        <f t="shared" si="42"/>
        <v>1795</v>
      </c>
      <c r="O219" s="15" t="str">
        <f t="shared" si="43"/>
        <v>휘발유 71,920원</v>
      </c>
      <c r="P219" s="15">
        <f t="shared" si="44"/>
        <v>71920</v>
      </c>
      <c r="Q219" s="15" t="s">
        <v>47</v>
      </c>
      <c r="R219" s="16">
        <f t="shared" si="45"/>
        <v>0.1</v>
      </c>
      <c r="S219" s="15">
        <f t="shared" si="46"/>
        <v>7192</v>
      </c>
      <c r="T219" s="15">
        <f t="shared" si="47"/>
        <v>64728</v>
      </c>
      <c r="U219" s="15">
        <f t="shared" si="48"/>
        <v>1618.2</v>
      </c>
      <c r="V219" s="15">
        <f t="shared" si="49"/>
        <v>1798</v>
      </c>
      <c r="W219" s="17">
        <f>IF($T219="",1000000000000000,$T219)</f>
        <v>64728</v>
      </c>
      <c r="XFB219" s="5"/>
      <c r="XFC219" s="3"/>
    </row>
    <row r="220" spans="1:23 16382:16383" s="4" customFormat="1" ht="28.5" customHeight="1">
      <c r="A220" s="14">
        <f t="shared" si="39"/>
        <v>198</v>
      </c>
      <c r="B220" s="14" t="s">
        <v>10</v>
      </c>
      <c r="C220" s="14" t="s">
        <v>665</v>
      </c>
      <c r="D220" s="14" t="s">
        <v>45</v>
      </c>
      <c r="E220" s="14" t="s">
        <v>26</v>
      </c>
      <c r="F220" s="14" t="s">
        <v>666</v>
      </c>
      <c r="G220" s="15">
        <v>1798</v>
      </c>
      <c r="H220" s="15"/>
      <c r="I220" s="15"/>
      <c r="J220" s="15">
        <v>1796</v>
      </c>
      <c r="K220" s="15">
        <f t="shared" si="38"/>
        <v>0</v>
      </c>
      <c r="L220" s="15">
        <f t="shared" si="40"/>
        <v>1798</v>
      </c>
      <c r="M220" s="15" t="str">
        <f t="shared" si="41"/>
        <v/>
      </c>
      <c r="N220" s="15">
        <f t="shared" si="42"/>
        <v>1796</v>
      </c>
      <c r="O220" s="15" t="str">
        <f t="shared" si="43"/>
        <v>휘발유 71,920원</v>
      </c>
      <c r="P220" s="15">
        <f t="shared" si="44"/>
        <v>71920</v>
      </c>
      <c r="Q220" s="15" t="s">
        <v>47</v>
      </c>
      <c r="R220" s="16">
        <f t="shared" si="45"/>
        <v>0.1</v>
      </c>
      <c r="S220" s="15">
        <f t="shared" si="46"/>
        <v>7192</v>
      </c>
      <c r="T220" s="15">
        <f t="shared" si="47"/>
        <v>64728</v>
      </c>
      <c r="U220" s="15">
        <f t="shared" si="48"/>
        <v>1618.2</v>
      </c>
      <c r="V220" s="15">
        <f t="shared" si="49"/>
        <v>1798</v>
      </c>
      <c r="W220" s="17">
        <f>IF($T220="",1000000000000000,$T220)</f>
        <v>64728</v>
      </c>
      <c r="XFB220" s="5"/>
      <c r="XFC220" s="3"/>
    </row>
    <row r="221" spans="1:23 16382:16383" s="4" customFormat="1" ht="28.5" customHeight="1">
      <c r="A221" s="14">
        <f t="shared" si="39"/>
        <v>198</v>
      </c>
      <c r="B221" s="14" t="s">
        <v>6</v>
      </c>
      <c r="C221" s="14" t="s">
        <v>667</v>
      </c>
      <c r="D221" s="14" t="s">
        <v>45</v>
      </c>
      <c r="E221" s="14" t="s">
        <v>26</v>
      </c>
      <c r="F221" s="14" t="s">
        <v>668</v>
      </c>
      <c r="G221" s="15">
        <v>1798</v>
      </c>
      <c r="H221" s="15"/>
      <c r="I221" s="15"/>
      <c r="J221" s="15">
        <v>1798</v>
      </c>
      <c r="K221" s="15">
        <f t="shared" si="38"/>
        <v>0</v>
      </c>
      <c r="L221" s="15">
        <f t="shared" si="40"/>
        <v>1798</v>
      </c>
      <c r="M221" s="15" t="str">
        <f t="shared" si="41"/>
        <v/>
      </c>
      <c r="N221" s="15">
        <f t="shared" si="42"/>
        <v>1798</v>
      </c>
      <c r="O221" s="15" t="str">
        <f t="shared" si="43"/>
        <v>휘발유 71,920원</v>
      </c>
      <c r="P221" s="15">
        <f t="shared" si="44"/>
        <v>71920</v>
      </c>
      <c r="Q221" s="15" t="s">
        <v>47</v>
      </c>
      <c r="R221" s="16">
        <f t="shared" si="45"/>
        <v>0.1</v>
      </c>
      <c r="S221" s="15">
        <f t="shared" si="46"/>
        <v>7192</v>
      </c>
      <c r="T221" s="15">
        <f t="shared" si="47"/>
        <v>64728</v>
      </c>
      <c r="U221" s="15">
        <f t="shared" si="48"/>
        <v>1618.2</v>
      </c>
      <c r="V221" s="15">
        <f t="shared" si="49"/>
        <v>1798</v>
      </c>
      <c r="W221" s="17">
        <f>IF($T221="",1000000000000000,$T221)</f>
        <v>64728</v>
      </c>
      <c r="XFB221" s="5"/>
      <c r="XFC221" s="3"/>
    </row>
    <row r="222" spans="1:23 16382:16383" s="4" customFormat="1" ht="28.5" customHeight="1">
      <c r="A222" s="14">
        <f t="shared" si="39"/>
        <v>198</v>
      </c>
      <c r="B222" s="14" t="s">
        <v>6</v>
      </c>
      <c r="C222" s="14" t="s">
        <v>669</v>
      </c>
      <c r="D222" s="14" t="s">
        <v>45</v>
      </c>
      <c r="E222" s="14" t="s">
        <v>26</v>
      </c>
      <c r="F222" s="14" t="s">
        <v>670</v>
      </c>
      <c r="G222" s="15">
        <v>1798</v>
      </c>
      <c r="H222" s="15"/>
      <c r="I222" s="15"/>
      <c r="J222" s="15">
        <v>1798</v>
      </c>
      <c r="K222" s="15">
        <f t="shared" si="38"/>
        <v>0</v>
      </c>
      <c r="L222" s="15">
        <f t="shared" si="40"/>
        <v>1798</v>
      </c>
      <c r="M222" s="15" t="str">
        <f t="shared" si="41"/>
        <v/>
      </c>
      <c r="N222" s="15">
        <f t="shared" si="42"/>
        <v>1798</v>
      </c>
      <c r="O222" s="15" t="str">
        <f t="shared" si="43"/>
        <v>휘발유 71,920원</v>
      </c>
      <c r="P222" s="15">
        <f t="shared" si="44"/>
        <v>71920</v>
      </c>
      <c r="Q222" s="15" t="s">
        <v>47</v>
      </c>
      <c r="R222" s="16">
        <f t="shared" si="45"/>
        <v>0.1</v>
      </c>
      <c r="S222" s="15">
        <f t="shared" si="46"/>
        <v>7192</v>
      </c>
      <c r="T222" s="15">
        <f t="shared" si="47"/>
        <v>64728</v>
      </c>
      <c r="U222" s="15">
        <f t="shared" si="48"/>
        <v>1618.2</v>
      </c>
      <c r="V222" s="15">
        <f t="shared" si="49"/>
        <v>1798</v>
      </c>
      <c r="W222" s="17">
        <f>IF($T222="",1000000000000000,$T222)</f>
        <v>64728</v>
      </c>
      <c r="XFB222" s="5"/>
      <c r="XFC222" s="3"/>
    </row>
    <row r="223" spans="1:23 16382:16383" s="4" customFormat="1" ht="28.5" customHeight="1">
      <c r="A223" s="14">
        <f t="shared" si="39"/>
        <v>198</v>
      </c>
      <c r="B223" s="14" t="s">
        <v>6</v>
      </c>
      <c r="C223" s="14" t="s">
        <v>671</v>
      </c>
      <c r="D223" s="14" t="s">
        <v>45</v>
      </c>
      <c r="E223" s="14" t="s">
        <v>63</v>
      </c>
      <c r="F223" s="14" t="s">
        <v>672</v>
      </c>
      <c r="G223" s="15">
        <v>1798</v>
      </c>
      <c r="H223" s="15"/>
      <c r="I223" s="15"/>
      <c r="J223" s="15">
        <v>1798</v>
      </c>
      <c r="K223" s="15">
        <f t="shared" si="38"/>
        <v>0</v>
      </c>
      <c r="L223" s="15">
        <f t="shared" si="40"/>
        <v>1798</v>
      </c>
      <c r="M223" s="15" t="str">
        <f t="shared" si="41"/>
        <v/>
      </c>
      <c r="N223" s="15">
        <f t="shared" si="42"/>
        <v>1798</v>
      </c>
      <c r="O223" s="15" t="str">
        <f t="shared" si="43"/>
        <v>휘발유 71,920원</v>
      </c>
      <c r="P223" s="15">
        <f t="shared" si="44"/>
        <v>71920</v>
      </c>
      <c r="Q223" s="15" t="s">
        <v>47</v>
      </c>
      <c r="R223" s="16">
        <f t="shared" si="45"/>
        <v>0.1</v>
      </c>
      <c r="S223" s="15">
        <f t="shared" si="46"/>
        <v>7192</v>
      </c>
      <c r="T223" s="15">
        <f t="shared" si="47"/>
        <v>64728</v>
      </c>
      <c r="U223" s="15">
        <f t="shared" si="48"/>
        <v>1618.2</v>
      </c>
      <c r="V223" s="15">
        <f t="shared" si="49"/>
        <v>1798</v>
      </c>
      <c r="W223" s="17">
        <f>IF($T223="",1000000000000000,$T223)</f>
        <v>64728</v>
      </c>
      <c r="XFB223" s="5"/>
      <c r="XFC223" s="3"/>
    </row>
    <row r="224" spans="1:23 16382:16383" s="4" customFormat="1" ht="28.5" customHeight="1">
      <c r="A224" s="14">
        <f t="shared" si="39"/>
        <v>198</v>
      </c>
      <c r="B224" s="14" t="s">
        <v>6</v>
      </c>
      <c r="C224" s="14" t="s">
        <v>673</v>
      </c>
      <c r="D224" s="14" t="s">
        <v>51</v>
      </c>
      <c r="E224" s="14" t="s">
        <v>26</v>
      </c>
      <c r="F224" s="14" t="s">
        <v>674</v>
      </c>
      <c r="G224" s="15">
        <v>1798</v>
      </c>
      <c r="H224" s="15"/>
      <c r="I224" s="15"/>
      <c r="J224" s="15">
        <v>1798</v>
      </c>
      <c r="K224" s="15">
        <f t="shared" si="38"/>
        <v>0</v>
      </c>
      <c r="L224" s="15">
        <f t="shared" si="40"/>
        <v>1798</v>
      </c>
      <c r="M224" s="15" t="str">
        <f t="shared" si="41"/>
        <v/>
      </c>
      <c r="N224" s="15">
        <f t="shared" si="42"/>
        <v>1798</v>
      </c>
      <c r="O224" s="15" t="str">
        <f t="shared" si="43"/>
        <v>휘발유 71,920원</v>
      </c>
      <c r="P224" s="15">
        <f t="shared" si="44"/>
        <v>71920</v>
      </c>
      <c r="Q224" s="15" t="s">
        <v>47</v>
      </c>
      <c r="R224" s="16">
        <f t="shared" si="45"/>
        <v>0.1</v>
      </c>
      <c r="S224" s="15">
        <f t="shared" si="46"/>
        <v>7192</v>
      </c>
      <c r="T224" s="15">
        <f t="shared" si="47"/>
        <v>64728</v>
      </c>
      <c r="U224" s="15">
        <f t="shared" si="48"/>
        <v>1618.2</v>
      </c>
      <c r="V224" s="15">
        <f t="shared" si="49"/>
        <v>1798</v>
      </c>
      <c r="W224" s="17">
        <f>IF($T224="",1000000000000000,$T224)</f>
        <v>64728</v>
      </c>
      <c r="XFB224" s="5"/>
      <c r="XFC224" s="3"/>
    </row>
    <row r="225" spans="1:23 16382:16383" s="4" customFormat="1" ht="28.5" customHeight="1">
      <c r="A225" s="14">
        <f t="shared" si="39"/>
        <v>198</v>
      </c>
      <c r="B225" s="14" t="s">
        <v>6</v>
      </c>
      <c r="C225" s="14" t="s">
        <v>675</v>
      </c>
      <c r="D225" s="14" t="s">
        <v>51</v>
      </c>
      <c r="E225" s="14" t="s">
        <v>26</v>
      </c>
      <c r="F225" s="14" t="s">
        <v>676</v>
      </c>
      <c r="G225" s="15">
        <v>1798</v>
      </c>
      <c r="H225" s="15"/>
      <c r="I225" s="15"/>
      <c r="J225" s="15">
        <v>1798</v>
      </c>
      <c r="K225" s="15">
        <f t="shared" si="38"/>
        <v>0</v>
      </c>
      <c r="L225" s="15">
        <f t="shared" si="40"/>
        <v>1798</v>
      </c>
      <c r="M225" s="15" t="str">
        <f t="shared" si="41"/>
        <v/>
      </c>
      <c r="N225" s="15">
        <f t="shared" si="42"/>
        <v>1798</v>
      </c>
      <c r="O225" s="15" t="str">
        <f t="shared" si="43"/>
        <v>휘발유 71,920원</v>
      </c>
      <c r="P225" s="15">
        <f t="shared" si="44"/>
        <v>71920</v>
      </c>
      <c r="Q225" s="15" t="s">
        <v>47</v>
      </c>
      <c r="R225" s="16">
        <f t="shared" si="45"/>
        <v>0.1</v>
      </c>
      <c r="S225" s="15">
        <f t="shared" si="46"/>
        <v>7192</v>
      </c>
      <c r="T225" s="15">
        <f t="shared" si="47"/>
        <v>64728</v>
      </c>
      <c r="U225" s="15">
        <f t="shared" si="48"/>
        <v>1618.2</v>
      </c>
      <c r="V225" s="15">
        <f t="shared" si="49"/>
        <v>1798</v>
      </c>
      <c r="W225" s="17">
        <f>IF($T225="",1000000000000000,$T225)</f>
        <v>64728</v>
      </c>
      <c r="XFB225" s="5"/>
      <c r="XFC225" s="3"/>
    </row>
    <row r="226" spans="1:23 16382:16383" s="4" customFormat="1" ht="28.5" customHeight="1">
      <c r="A226" s="14">
        <f t="shared" si="39"/>
        <v>198</v>
      </c>
      <c r="B226" s="14" t="s">
        <v>6</v>
      </c>
      <c r="C226" s="14" t="s">
        <v>677</v>
      </c>
      <c r="D226" s="14" t="s">
        <v>51</v>
      </c>
      <c r="E226" s="14" t="s">
        <v>63</v>
      </c>
      <c r="F226" s="14" t="s">
        <v>678</v>
      </c>
      <c r="G226" s="15">
        <v>1798</v>
      </c>
      <c r="H226" s="15"/>
      <c r="I226" s="15"/>
      <c r="J226" s="15">
        <v>1798</v>
      </c>
      <c r="K226" s="15">
        <f t="shared" si="38"/>
        <v>0</v>
      </c>
      <c r="L226" s="15">
        <f t="shared" si="40"/>
        <v>1798</v>
      </c>
      <c r="M226" s="15" t="str">
        <f t="shared" si="41"/>
        <v/>
      </c>
      <c r="N226" s="15">
        <f t="shared" si="42"/>
        <v>1798</v>
      </c>
      <c r="O226" s="15" t="str">
        <f t="shared" si="43"/>
        <v>휘발유 71,920원</v>
      </c>
      <c r="P226" s="15">
        <f t="shared" si="44"/>
        <v>71920</v>
      </c>
      <c r="Q226" s="15" t="s">
        <v>47</v>
      </c>
      <c r="R226" s="16">
        <f t="shared" si="45"/>
        <v>0.1</v>
      </c>
      <c r="S226" s="15">
        <f t="shared" si="46"/>
        <v>7192</v>
      </c>
      <c r="T226" s="15">
        <f t="shared" si="47"/>
        <v>64728</v>
      </c>
      <c r="U226" s="15">
        <f t="shared" si="48"/>
        <v>1618.2</v>
      </c>
      <c r="V226" s="15">
        <f t="shared" si="49"/>
        <v>1798</v>
      </c>
      <c r="W226" s="17">
        <f>IF($T226="",1000000000000000,$T226)</f>
        <v>64728</v>
      </c>
      <c r="XFB226" s="5"/>
      <c r="XFC226" s="3"/>
    </row>
    <row r="227" spans="1:23 16382:16383" s="4" customFormat="1" ht="28.5" customHeight="1">
      <c r="A227" s="14">
        <f t="shared" si="39"/>
        <v>198</v>
      </c>
      <c r="B227" s="14" t="s">
        <v>6</v>
      </c>
      <c r="C227" s="14" t="s">
        <v>679</v>
      </c>
      <c r="D227" s="14" t="s">
        <v>95</v>
      </c>
      <c r="E227" s="14" t="s">
        <v>26</v>
      </c>
      <c r="F227" s="14" t="s">
        <v>680</v>
      </c>
      <c r="G227" s="15">
        <v>1798</v>
      </c>
      <c r="H227" s="15"/>
      <c r="I227" s="15"/>
      <c r="J227" s="15">
        <v>1798</v>
      </c>
      <c r="K227" s="15">
        <f t="shared" si="38"/>
        <v>0</v>
      </c>
      <c r="L227" s="15">
        <f t="shared" si="40"/>
        <v>1798</v>
      </c>
      <c r="M227" s="15" t="str">
        <f t="shared" si="41"/>
        <v/>
      </c>
      <c r="N227" s="15">
        <f t="shared" si="42"/>
        <v>1798</v>
      </c>
      <c r="O227" s="15" t="str">
        <f t="shared" si="43"/>
        <v>휘발유 71,920원</v>
      </c>
      <c r="P227" s="15">
        <f t="shared" si="44"/>
        <v>71920</v>
      </c>
      <c r="Q227" s="15" t="s">
        <v>47</v>
      </c>
      <c r="R227" s="16">
        <f t="shared" si="45"/>
        <v>0.1</v>
      </c>
      <c r="S227" s="15">
        <f t="shared" si="46"/>
        <v>7192</v>
      </c>
      <c r="T227" s="15">
        <f t="shared" si="47"/>
        <v>64728</v>
      </c>
      <c r="U227" s="15">
        <f t="shared" si="48"/>
        <v>1618.2</v>
      </c>
      <c r="V227" s="15">
        <f t="shared" si="49"/>
        <v>1798</v>
      </c>
      <c r="W227" s="17">
        <f>IF($T227="",1000000000000000,$T227)</f>
        <v>64728</v>
      </c>
      <c r="XFB227" s="5"/>
      <c r="XFC227" s="3"/>
    </row>
    <row r="228" spans="1:23 16382:16383" s="4" customFormat="1" ht="28.5" customHeight="1">
      <c r="A228" s="14">
        <f t="shared" si="39"/>
        <v>198</v>
      </c>
      <c r="B228" s="14" t="s">
        <v>6</v>
      </c>
      <c r="C228" s="14" t="s">
        <v>681</v>
      </c>
      <c r="D228" s="14" t="s">
        <v>45</v>
      </c>
      <c r="E228" s="14" t="s">
        <v>63</v>
      </c>
      <c r="F228" s="14" t="s">
        <v>682</v>
      </c>
      <c r="G228" s="15">
        <v>1798</v>
      </c>
      <c r="H228" s="15"/>
      <c r="I228" s="15"/>
      <c r="J228" s="15">
        <v>1798</v>
      </c>
      <c r="K228" s="15">
        <f t="shared" si="38"/>
        <v>0</v>
      </c>
      <c r="L228" s="15">
        <f t="shared" si="40"/>
        <v>1798</v>
      </c>
      <c r="M228" s="15" t="str">
        <f t="shared" si="41"/>
        <v/>
      </c>
      <c r="N228" s="15">
        <f t="shared" si="42"/>
        <v>1798</v>
      </c>
      <c r="O228" s="15" t="str">
        <f t="shared" si="43"/>
        <v>휘발유 71,920원</v>
      </c>
      <c r="P228" s="15">
        <f t="shared" si="44"/>
        <v>71920</v>
      </c>
      <c r="Q228" s="15" t="s">
        <v>47</v>
      </c>
      <c r="R228" s="16">
        <f t="shared" si="45"/>
        <v>0.1</v>
      </c>
      <c r="S228" s="15">
        <f t="shared" si="46"/>
        <v>7192</v>
      </c>
      <c r="T228" s="15">
        <f t="shared" si="47"/>
        <v>64728</v>
      </c>
      <c r="U228" s="15">
        <f t="shared" si="48"/>
        <v>1618.2</v>
      </c>
      <c r="V228" s="15">
        <f t="shared" si="49"/>
        <v>1798</v>
      </c>
      <c r="W228" s="17">
        <f>IF($T228="",1000000000000000,$T228)</f>
        <v>64728</v>
      </c>
      <c r="XFB228" s="5"/>
      <c r="XFC228" s="3"/>
    </row>
    <row r="229" spans="1:23 16382:16383" s="4" customFormat="1" ht="28.5" customHeight="1">
      <c r="A229" s="14">
        <f t="shared" si="39"/>
        <v>198</v>
      </c>
      <c r="B229" s="14" t="s">
        <v>6</v>
      </c>
      <c r="C229" s="14" t="s">
        <v>683</v>
      </c>
      <c r="D229" s="14" t="s">
        <v>95</v>
      </c>
      <c r="E229" s="14" t="s">
        <v>26</v>
      </c>
      <c r="F229" s="14" t="s">
        <v>684</v>
      </c>
      <c r="G229" s="15">
        <v>1798</v>
      </c>
      <c r="H229" s="15"/>
      <c r="I229" s="15"/>
      <c r="J229" s="15">
        <v>1798</v>
      </c>
      <c r="K229" s="15">
        <f t="shared" si="38"/>
        <v>0</v>
      </c>
      <c r="L229" s="15">
        <f t="shared" si="40"/>
        <v>1798</v>
      </c>
      <c r="M229" s="15" t="str">
        <f t="shared" si="41"/>
        <v/>
      </c>
      <c r="N229" s="15">
        <f t="shared" si="42"/>
        <v>1798</v>
      </c>
      <c r="O229" s="15" t="str">
        <f t="shared" si="43"/>
        <v>휘발유 71,920원</v>
      </c>
      <c r="P229" s="15">
        <f t="shared" si="44"/>
        <v>71920</v>
      </c>
      <c r="Q229" s="15" t="s">
        <v>47</v>
      </c>
      <c r="R229" s="16">
        <f t="shared" si="45"/>
        <v>0.1</v>
      </c>
      <c r="S229" s="15">
        <f t="shared" si="46"/>
        <v>7192</v>
      </c>
      <c r="T229" s="15">
        <f t="shared" si="47"/>
        <v>64728</v>
      </c>
      <c r="U229" s="15">
        <f t="shared" si="48"/>
        <v>1618.2</v>
      </c>
      <c r="V229" s="15">
        <f t="shared" si="49"/>
        <v>1798</v>
      </c>
      <c r="W229" s="17">
        <f>IF($T229="",1000000000000000,$T229)</f>
        <v>64728</v>
      </c>
      <c r="XFB229" s="5"/>
      <c r="XFC229" s="3"/>
    </row>
    <row r="230" spans="1:23 16382:16383" s="4" customFormat="1" ht="28.5" customHeight="1">
      <c r="A230" s="14">
        <f t="shared" si="39"/>
        <v>198</v>
      </c>
      <c r="B230" s="14" t="s">
        <v>6</v>
      </c>
      <c r="C230" s="14" t="s">
        <v>685</v>
      </c>
      <c r="D230" s="18" t="s">
        <v>86</v>
      </c>
      <c r="E230" s="14" t="s">
        <v>26</v>
      </c>
      <c r="F230" s="14" t="s">
        <v>686</v>
      </c>
      <c r="G230" s="15">
        <v>1798</v>
      </c>
      <c r="H230" s="15"/>
      <c r="I230" s="15"/>
      <c r="J230" s="15">
        <v>1798</v>
      </c>
      <c r="K230" s="15">
        <f t="shared" si="38"/>
        <v>0</v>
      </c>
      <c r="L230" s="15">
        <f t="shared" si="40"/>
        <v>1798</v>
      </c>
      <c r="M230" s="15" t="str">
        <f t="shared" si="41"/>
        <v/>
      </c>
      <c r="N230" s="15">
        <f t="shared" si="42"/>
        <v>1798</v>
      </c>
      <c r="O230" s="15" t="str">
        <f t="shared" si="43"/>
        <v>휘발유 71,920원</v>
      </c>
      <c r="P230" s="15">
        <f t="shared" si="44"/>
        <v>71920</v>
      </c>
      <c r="Q230" s="15" t="s">
        <v>47</v>
      </c>
      <c r="R230" s="16">
        <f t="shared" si="45"/>
        <v>0.1</v>
      </c>
      <c r="S230" s="15">
        <f t="shared" si="46"/>
        <v>7192</v>
      </c>
      <c r="T230" s="15">
        <f t="shared" si="47"/>
        <v>64728</v>
      </c>
      <c r="U230" s="15">
        <f t="shared" si="48"/>
        <v>1618.2</v>
      </c>
      <c r="V230" s="15">
        <f t="shared" si="49"/>
        <v>1798</v>
      </c>
      <c r="W230" s="17">
        <f>IF($T230="",1000000000000000,$T230)</f>
        <v>64728</v>
      </c>
      <c r="XFB230" s="5"/>
      <c r="XFC230" s="3"/>
    </row>
    <row r="231" spans="1:23 16382:16383" s="4" customFormat="1" ht="28.5" customHeight="1">
      <c r="A231" s="14">
        <f t="shared" si="39"/>
        <v>198</v>
      </c>
      <c r="B231" s="14" t="s">
        <v>6</v>
      </c>
      <c r="C231" s="14" t="s">
        <v>687</v>
      </c>
      <c r="D231" s="14" t="s">
        <v>45</v>
      </c>
      <c r="E231" s="14" t="s">
        <v>63</v>
      </c>
      <c r="F231" s="14" t="s">
        <v>688</v>
      </c>
      <c r="G231" s="15">
        <v>1798</v>
      </c>
      <c r="H231" s="15"/>
      <c r="I231" s="15"/>
      <c r="J231" s="15">
        <v>1798</v>
      </c>
      <c r="K231" s="15">
        <f t="shared" si="38"/>
        <v>0</v>
      </c>
      <c r="L231" s="15">
        <f t="shared" si="40"/>
        <v>1798</v>
      </c>
      <c r="M231" s="15" t="str">
        <f t="shared" si="41"/>
        <v/>
      </c>
      <c r="N231" s="15">
        <f t="shared" si="42"/>
        <v>1798</v>
      </c>
      <c r="O231" s="15" t="str">
        <f t="shared" si="43"/>
        <v>휘발유 71,920원</v>
      </c>
      <c r="P231" s="15">
        <f t="shared" si="44"/>
        <v>71920</v>
      </c>
      <c r="Q231" s="15" t="s">
        <v>47</v>
      </c>
      <c r="R231" s="16">
        <f t="shared" si="45"/>
        <v>0.1</v>
      </c>
      <c r="S231" s="15">
        <f t="shared" si="46"/>
        <v>7192</v>
      </c>
      <c r="T231" s="15">
        <f t="shared" si="47"/>
        <v>64728</v>
      </c>
      <c r="U231" s="15">
        <f t="shared" si="48"/>
        <v>1618.2</v>
      </c>
      <c r="V231" s="15">
        <f t="shared" si="49"/>
        <v>1798</v>
      </c>
      <c r="W231" s="17">
        <f>IF($T231="",1000000000000000,$T231)</f>
        <v>64728</v>
      </c>
      <c r="XFB231" s="5"/>
      <c r="XFC231" s="3"/>
    </row>
    <row r="232" spans="1:23 16382:16383" s="4" customFormat="1" ht="28.5" customHeight="1">
      <c r="A232" s="14">
        <f t="shared" si="39"/>
        <v>198</v>
      </c>
      <c r="B232" s="14" t="s">
        <v>6</v>
      </c>
      <c r="C232" s="14" t="s">
        <v>689</v>
      </c>
      <c r="D232" s="18" t="s">
        <v>86</v>
      </c>
      <c r="E232" s="14" t="s">
        <v>26</v>
      </c>
      <c r="F232" s="14" t="s">
        <v>690</v>
      </c>
      <c r="G232" s="15">
        <v>1798</v>
      </c>
      <c r="H232" s="15"/>
      <c r="I232" s="15"/>
      <c r="J232" s="15">
        <v>1798</v>
      </c>
      <c r="K232" s="15">
        <f t="shared" si="38"/>
        <v>0</v>
      </c>
      <c r="L232" s="15">
        <f t="shared" si="40"/>
        <v>1798</v>
      </c>
      <c r="M232" s="15" t="str">
        <f t="shared" si="41"/>
        <v/>
      </c>
      <c r="N232" s="15">
        <f t="shared" si="42"/>
        <v>1798</v>
      </c>
      <c r="O232" s="15" t="str">
        <f t="shared" si="43"/>
        <v>휘발유 71,920원</v>
      </c>
      <c r="P232" s="15">
        <f t="shared" si="44"/>
        <v>71920</v>
      </c>
      <c r="Q232" s="15" t="s">
        <v>47</v>
      </c>
      <c r="R232" s="16">
        <f t="shared" si="45"/>
        <v>0.1</v>
      </c>
      <c r="S232" s="15">
        <f t="shared" si="46"/>
        <v>7192</v>
      </c>
      <c r="T232" s="15">
        <f t="shared" si="47"/>
        <v>64728</v>
      </c>
      <c r="U232" s="15">
        <f t="shared" si="48"/>
        <v>1618.2</v>
      </c>
      <c r="V232" s="15">
        <f t="shared" si="49"/>
        <v>1798</v>
      </c>
      <c r="W232" s="17">
        <f>IF($T232="",1000000000000000,$T232)</f>
        <v>64728</v>
      </c>
      <c r="XFB232" s="5"/>
      <c r="XFC232" s="3"/>
    </row>
    <row r="233" spans="1:23 16382:16383" s="4" customFormat="1" ht="28.5" customHeight="1">
      <c r="A233" s="14">
        <f t="shared" si="39"/>
        <v>198</v>
      </c>
      <c r="B233" s="14" t="s">
        <v>12</v>
      </c>
      <c r="C233" s="14" t="s">
        <v>691</v>
      </c>
      <c r="D233" s="18" t="s">
        <v>86</v>
      </c>
      <c r="E233" s="14" t="s">
        <v>26</v>
      </c>
      <c r="F233" s="14" t="s">
        <v>692</v>
      </c>
      <c r="G233" s="15">
        <v>1798</v>
      </c>
      <c r="H233" s="15"/>
      <c r="I233" s="15"/>
      <c r="J233" s="15">
        <v>1798</v>
      </c>
      <c r="K233" s="15">
        <f t="shared" si="38"/>
        <v>0</v>
      </c>
      <c r="L233" s="15">
        <f t="shared" si="40"/>
        <v>1798</v>
      </c>
      <c r="M233" s="15" t="str">
        <f t="shared" si="41"/>
        <v/>
      </c>
      <c r="N233" s="15">
        <f t="shared" si="42"/>
        <v>1798</v>
      </c>
      <c r="O233" s="15" t="str">
        <f t="shared" si="43"/>
        <v>휘발유 71,920원</v>
      </c>
      <c r="P233" s="15">
        <f t="shared" si="44"/>
        <v>71920</v>
      </c>
      <c r="Q233" s="15" t="s">
        <v>47</v>
      </c>
      <c r="R233" s="16">
        <f t="shared" si="45"/>
        <v>0.1</v>
      </c>
      <c r="S233" s="15">
        <f t="shared" si="46"/>
        <v>7192</v>
      </c>
      <c r="T233" s="15">
        <f t="shared" si="47"/>
        <v>64728</v>
      </c>
      <c r="U233" s="15">
        <f t="shared" si="48"/>
        <v>1618.2</v>
      </c>
      <c r="V233" s="15">
        <f t="shared" si="49"/>
        <v>1798</v>
      </c>
      <c r="W233" s="17">
        <f>IF($T233="",1000000000000000,$T233)</f>
        <v>64728</v>
      </c>
      <c r="XFB233" s="5"/>
      <c r="XFC233" s="3"/>
    </row>
    <row r="234" spans="1:23 16382:16383" s="4" customFormat="1" ht="28.5" customHeight="1">
      <c r="A234" s="14">
        <f t="shared" si="39"/>
        <v>198</v>
      </c>
      <c r="B234" s="14" t="s">
        <v>10</v>
      </c>
      <c r="C234" s="14" t="s">
        <v>393</v>
      </c>
      <c r="D234" s="18" t="s">
        <v>86</v>
      </c>
      <c r="E234" s="14" t="s">
        <v>26</v>
      </c>
      <c r="F234" s="14" t="s">
        <v>693</v>
      </c>
      <c r="G234" s="15">
        <v>1798</v>
      </c>
      <c r="H234" s="15"/>
      <c r="I234" s="15"/>
      <c r="J234" s="15">
        <v>1798</v>
      </c>
      <c r="K234" s="15">
        <f t="shared" si="38"/>
        <v>0</v>
      </c>
      <c r="L234" s="15">
        <f t="shared" si="40"/>
        <v>1798</v>
      </c>
      <c r="M234" s="15" t="str">
        <f t="shared" si="41"/>
        <v/>
      </c>
      <c r="N234" s="15">
        <f t="shared" si="42"/>
        <v>1798</v>
      </c>
      <c r="O234" s="15" t="str">
        <f t="shared" si="43"/>
        <v>휘발유 71,920원</v>
      </c>
      <c r="P234" s="15">
        <f t="shared" si="44"/>
        <v>71920</v>
      </c>
      <c r="Q234" s="15" t="s">
        <v>47</v>
      </c>
      <c r="R234" s="16">
        <f t="shared" si="45"/>
        <v>0.1</v>
      </c>
      <c r="S234" s="15">
        <f t="shared" si="46"/>
        <v>7192</v>
      </c>
      <c r="T234" s="15">
        <f t="shared" si="47"/>
        <v>64728</v>
      </c>
      <c r="U234" s="15">
        <f t="shared" si="48"/>
        <v>1618.2</v>
      </c>
      <c r="V234" s="15">
        <f t="shared" si="49"/>
        <v>1798</v>
      </c>
      <c r="W234" s="17">
        <f>IF($T234="",1000000000000000,$T234)</f>
        <v>64728</v>
      </c>
      <c r="XFB234" s="5"/>
      <c r="XFC234" s="3"/>
    </row>
    <row r="235" spans="1:23 16382:16383" s="4" customFormat="1" ht="28.5" customHeight="1">
      <c r="A235" s="14">
        <f t="shared" si="39"/>
        <v>198</v>
      </c>
      <c r="B235" s="14" t="s">
        <v>6</v>
      </c>
      <c r="C235" s="14" t="s">
        <v>698</v>
      </c>
      <c r="D235" s="18" t="s">
        <v>86</v>
      </c>
      <c r="E235" s="14" t="s">
        <v>26</v>
      </c>
      <c r="F235" s="14" t="s">
        <v>699</v>
      </c>
      <c r="G235" s="15">
        <v>1798</v>
      </c>
      <c r="H235" s="15"/>
      <c r="I235" s="15"/>
      <c r="J235" s="15">
        <v>1799</v>
      </c>
      <c r="K235" s="15">
        <f t="shared" si="38"/>
        <v>0</v>
      </c>
      <c r="L235" s="15">
        <f t="shared" si="40"/>
        <v>1798</v>
      </c>
      <c r="M235" s="15" t="str">
        <f t="shared" si="41"/>
        <v/>
      </c>
      <c r="N235" s="15">
        <f t="shared" si="42"/>
        <v>1799</v>
      </c>
      <c r="O235" s="15" t="str">
        <f t="shared" si="43"/>
        <v>휘발유 71,920원</v>
      </c>
      <c r="P235" s="15">
        <f t="shared" si="44"/>
        <v>71920</v>
      </c>
      <c r="Q235" s="15" t="s">
        <v>47</v>
      </c>
      <c r="R235" s="16">
        <f t="shared" si="45"/>
        <v>0.1</v>
      </c>
      <c r="S235" s="15">
        <f t="shared" si="46"/>
        <v>7192</v>
      </c>
      <c r="T235" s="15">
        <f t="shared" si="47"/>
        <v>64728</v>
      </c>
      <c r="U235" s="15">
        <f t="shared" si="48"/>
        <v>1618.2</v>
      </c>
      <c r="V235" s="15">
        <f t="shared" si="49"/>
        <v>1798</v>
      </c>
      <c r="W235" s="17">
        <f>IF($T235="",1000000000000000,$T235)</f>
        <v>64728</v>
      </c>
      <c r="XFB235" s="5"/>
      <c r="XFC235" s="3"/>
    </row>
    <row r="236" spans="1:23 16382:16383" s="4" customFormat="1" ht="28.5" customHeight="1">
      <c r="A236" s="14">
        <f t="shared" si="39"/>
        <v>198</v>
      </c>
      <c r="B236" s="14" t="s">
        <v>6</v>
      </c>
      <c r="C236" s="14" t="s">
        <v>700</v>
      </c>
      <c r="D236" s="18" t="s">
        <v>86</v>
      </c>
      <c r="E236" s="14" t="s">
        <v>26</v>
      </c>
      <c r="F236" s="14" t="s">
        <v>701</v>
      </c>
      <c r="G236" s="15">
        <v>1798</v>
      </c>
      <c r="H236" s="15"/>
      <c r="I236" s="15"/>
      <c r="J236" s="15">
        <v>1815</v>
      </c>
      <c r="K236" s="15">
        <f t="shared" si="38"/>
        <v>0</v>
      </c>
      <c r="L236" s="15">
        <f t="shared" si="40"/>
        <v>1798</v>
      </c>
      <c r="M236" s="15" t="str">
        <f t="shared" si="41"/>
        <v/>
      </c>
      <c r="N236" s="15">
        <f t="shared" si="42"/>
        <v>1815</v>
      </c>
      <c r="O236" s="15" t="str">
        <f t="shared" si="43"/>
        <v>휘발유 71,920원</v>
      </c>
      <c r="P236" s="15">
        <f t="shared" si="44"/>
        <v>71920</v>
      </c>
      <c r="Q236" s="15" t="s">
        <v>47</v>
      </c>
      <c r="R236" s="16">
        <f t="shared" si="45"/>
        <v>0.1</v>
      </c>
      <c r="S236" s="15">
        <f t="shared" si="46"/>
        <v>7192</v>
      </c>
      <c r="T236" s="15">
        <f t="shared" si="47"/>
        <v>64728</v>
      </c>
      <c r="U236" s="15">
        <f t="shared" si="48"/>
        <v>1618.2</v>
      </c>
      <c r="V236" s="15">
        <f t="shared" si="49"/>
        <v>1798</v>
      </c>
      <c r="W236" s="17">
        <f>IF($T236="",1000000000000000,$T236)</f>
        <v>64728</v>
      </c>
      <c r="XFB236" s="5"/>
      <c r="XFC236" s="3"/>
    </row>
    <row r="237" spans="1:23 16382:16383" s="4" customFormat="1" ht="28.5" customHeight="1">
      <c r="A237" s="14">
        <f t="shared" si="39"/>
        <v>223</v>
      </c>
      <c r="B237" s="14" t="s">
        <v>16</v>
      </c>
      <c r="C237" s="14" t="s">
        <v>704</v>
      </c>
      <c r="D237" s="18" t="s">
        <v>86</v>
      </c>
      <c r="E237" s="14" t="s">
        <v>63</v>
      </c>
      <c r="F237" s="14" t="s">
        <v>705</v>
      </c>
      <c r="G237" s="15">
        <v>1839</v>
      </c>
      <c r="H237" s="15"/>
      <c r="I237" s="15"/>
      <c r="J237" s="15">
        <v>1839</v>
      </c>
      <c r="K237" s="15">
        <f t="shared" si="38"/>
        <v>0</v>
      </c>
      <c r="L237" s="15">
        <f t="shared" si="40"/>
        <v>1839</v>
      </c>
      <c r="M237" s="15" t="str">
        <f t="shared" si="41"/>
        <v/>
      </c>
      <c r="N237" s="15">
        <f t="shared" si="42"/>
        <v>1839</v>
      </c>
      <c r="O237" s="15" t="str">
        <f t="shared" si="43"/>
        <v>휘발유 73,560원</v>
      </c>
      <c r="P237" s="15">
        <f t="shared" si="44"/>
        <v>73560</v>
      </c>
      <c r="Q237" s="15" t="s">
        <v>47</v>
      </c>
      <c r="R237" s="16">
        <f t="shared" si="45"/>
        <v>0.12</v>
      </c>
      <c r="S237" s="15">
        <f t="shared" si="46"/>
        <v>8827</v>
      </c>
      <c r="T237" s="15">
        <f t="shared" si="47"/>
        <v>64733</v>
      </c>
      <c r="U237" s="15">
        <f t="shared" si="48"/>
        <v>1618.325</v>
      </c>
      <c r="V237" s="15">
        <f t="shared" si="49"/>
        <v>1839</v>
      </c>
      <c r="W237" s="17">
        <f>IF($T237="",1000000000000000,$T237)</f>
        <v>64733</v>
      </c>
      <c r="XFB237" s="5"/>
      <c r="XFC237" s="3"/>
    </row>
    <row r="238" spans="1:23 16382:16383" s="4" customFormat="1" ht="28.5" customHeight="1">
      <c r="A238" s="14">
        <f t="shared" si="39"/>
        <v>224</v>
      </c>
      <c r="B238" s="14" t="s">
        <v>14</v>
      </c>
      <c r="C238" s="14" t="s">
        <v>143</v>
      </c>
      <c r="D238" s="14" t="s">
        <v>51</v>
      </c>
      <c r="E238" s="14" t="s">
        <v>26</v>
      </c>
      <c r="F238" s="14" t="s">
        <v>144</v>
      </c>
      <c r="G238" s="15">
        <v>1819</v>
      </c>
      <c r="H238" s="15">
        <v>2085</v>
      </c>
      <c r="I238" s="15"/>
      <c r="J238" s="15">
        <v>1839</v>
      </c>
      <c r="K238" s="15">
        <f t="shared" si="38"/>
        <v>0</v>
      </c>
      <c r="L238" s="15">
        <f t="shared" si="40"/>
        <v>1819</v>
      </c>
      <c r="M238" s="15">
        <f t="shared" si="41"/>
        <v>2085</v>
      </c>
      <c r="N238" s="15">
        <f t="shared" si="42"/>
        <v>1839</v>
      </c>
      <c r="O238" s="15" t="str">
        <f t="shared" si="43"/>
        <v>휘발유 72,760원</v>
      </c>
      <c r="P238" s="15">
        <f t="shared" si="44"/>
        <v>72760</v>
      </c>
      <c r="Q238" s="15" t="s">
        <v>47</v>
      </c>
      <c r="R238" s="16">
        <f t="shared" si="45"/>
        <v>0.11</v>
      </c>
      <c r="S238" s="15">
        <f t="shared" si="46"/>
        <v>8003</v>
      </c>
      <c r="T238" s="15">
        <f t="shared" si="47"/>
        <v>64757</v>
      </c>
      <c r="U238" s="15">
        <f t="shared" si="48"/>
        <v>1618.925</v>
      </c>
      <c r="V238" s="15">
        <f t="shared" si="49"/>
        <v>1819</v>
      </c>
      <c r="W238" s="17">
        <f>IF($T238="",1000000000000000,$T238)</f>
        <v>64757</v>
      </c>
      <c r="XFB238" s="5"/>
      <c r="XFC238" s="3"/>
    </row>
    <row r="239" spans="1:23 16382:16383" s="4" customFormat="1" ht="28.5" customHeight="1">
      <c r="A239" s="14">
        <f t="shared" si="39"/>
        <v>224</v>
      </c>
      <c r="B239" s="14" t="s">
        <v>14</v>
      </c>
      <c r="C239" s="14" t="s">
        <v>161</v>
      </c>
      <c r="D239" s="14" t="s">
        <v>45</v>
      </c>
      <c r="E239" s="14" t="s">
        <v>26</v>
      </c>
      <c r="F239" s="14" t="s">
        <v>162</v>
      </c>
      <c r="G239" s="15">
        <v>1819</v>
      </c>
      <c r="H239" s="15">
        <v>2135</v>
      </c>
      <c r="I239" s="15"/>
      <c r="J239" s="15">
        <v>1839</v>
      </c>
      <c r="K239" s="15">
        <f t="shared" si="38"/>
        <v>0</v>
      </c>
      <c r="L239" s="15">
        <f t="shared" si="40"/>
        <v>1819</v>
      </c>
      <c r="M239" s="15">
        <f t="shared" si="41"/>
        <v>2135</v>
      </c>
      <c r="N239" s="15">
        <f t="shared" si="42"/>
        <v>1839</v>
      </c>
      <c r="O239" s="15" t="str">
        <f t="shared" si="43"/>
        <v>휘발유 72,760원</v>
      </c>
      <c r="P239" s="15">
        <f t="shared" si="44"/>
        <v>72760</v>
      </c>
      <c r="Q239" s="15" t="s">
        <v>47</v>
      </c>
      <c r="R239" s="16">
        <f t="shared" si="45"/>
        <v>0.11</v>
      </c>
      <c r="S239" s="15">
        <f t="shared" si="46"/>
        <v>8003</v>
      </c>
      <c r="T239" s="15">
        <f t="shared" si="47"/>
        <v>64757</v>
      </c>
      <c r="U239" s="15">
        <f t="shared" si="48"/>
        <v>1618.925</v>
      </c>
      <c r="V239" s="15">
        <f t="shared" si="49"/>
        <v>1819</v>
      </c>
      <c r="W239" s="17">
        <f>IF($T239="",1000000000000000,$T239)</f>
        <v>64757</v>
      </c>
      <c r="XFB239" s="5"/>
      <c r="XFC239" s="3"/>
    </row>
    <row r="240" spans="1:23 16382:16383" s="4" customFormat="1" ht="28.5" customHeight="1">
      <c r="A240" s="14">
        <f t="shared" si="39"/>
        <v>226</v>
      </c>
      <c r="B240" s="14" t="s">
        <v>6</v>
      </c>
      <c r="C240" s="14" t="s">
        <v>85</v>
      </c>
      <c r="D240" s="18" t="s">
        <v>86</v>
      </c>
      <c r="E240" s="14" t="s">
        <v>63</v>
      </c>
      <c r="F240" s="14" t="s">
        <v>87</v>
      </c>
      <c r="G240" s="15">
        <v>1799</v>
      </c>
      <c r="H240" s="15">
        <v>2009</v>
      </c>
      <c r="I240" s="15"/>
      <c r="J240" s="15">
        <v>1799</v>
      </c>
      <c r="K240" s="15">
        <f t="shared" si="38"/>
        <v>0</v>
      </c>
      <c r="L240" s="15">
        <f t="shared" si="40"/>
        <v>1799</v>
      </c>
      <c r="M240" s="15">
        <f t="shared" si="41"/>
        <v>2009</v>
      </c>
      <c r="N240" s="15">
        <f t="shared" si="42"/>
        <v>1799</v>
      </c>
      <c r="O240" s="15" t="str">
        <f t="shared" si="43"/>
        <v>휘발유 71,960원</v>
      </c>
      <c r="P240" s="15">
        <f t="shared" si="44"/>
        <v>71960</v>
      </c>
      <c r="Q240" s="15" t="s">
        <v>47</v>
      </c>
      <c r="R240" s="16">
        <f t="shared" si="45"/>
        <v>0.1</v>
      </c>
      <c r="S240" s="15">
        <f t="shared" si="46"/>
        <v>7196</v>
      </c>
      <c r="T240" s="15">
        <f t="shared" si="47"/>
        <v>64764</v>
      </c>
      <c r="U240" s="15">
        <f t="shared" si="48"/>
        <v>1619.1</v>
      </c>
      <c r="V240" s="15">
        <f t="shared" si="49"/>
        <v>1799</v>
      </c>
      <c r="W240" s="17">
        <f>IF($T240="",1000000000000000,$T240)</f>
        <v>64764</v>
      </c>
      <c r="XFB240" s="5"/>
      <c r="XFC240" s="3"/>
    </row>
    <row r="241" spans="1:23 16382:16383" s="4" customFormat="1" ht="28.5" customHeight="1">
      <c r="A241" s="14">
        <f t="shared" si="39"/>
        <v>226</v>
      </c>
      <c r="B241" s="14" t="s">
        <v>6</v>
      </c>
      <c r="C241" s="14" t="s">
        <v>137</v>
      </c>
      <c r="D241" s="18" t="s">
        <v>86</v>
      </c>
      <c r="E241" s="14" t="s">
        <v>26</v>
      </c>
      <c r="F241" s="14" t="s">
        <v>138</v>
      </c>
      <c r="G241" s="15">
        <v>1799</v>
      </c>
      <c r="H241" s="15">
        <v>2049</v>
      </c>
      <c r="I241" s="15"/>
      <c r="J241" s="15">
        <v>1799</v>
      </c>
      <c r="K241" s="15">
        <f t="shared" si="38"/>
        <v>0</v>
      </c>
      <c r="L241" s="15">
        <f t="shared" si="40"/>
        <v>1799</v>
      </c>
      <c r="M241" s="15">
        <f t="shared" si="41"/>
        <v>2049</v>
      </c>
      <c r="N241" s="15">
        <f t="shared" si="42"/>
        <v>1799</v>
      </c>
      <c r="O241" s="15" t="str">
        <f t="shared" si="43"/>
        <v>휘발유 71,960원</v>
      </c>
      <c r="P241" s="15">
        <f t="shared" si="44"/>
        <v>71960</v>
      </c>
      <c r="Q241" s="15" t="s">
        <v>47</v>
      </c>
      <c r="R241" s="16">
        <f t="shared" si="45"/>
        <v>0.1</v>
      </c>
      <c r="S241" s="15">
        <f t="shared" si="46"/>
        <v>7196</v>
      </c>
      <c r="T241" s="15">
        <f t="shared" si="47"/>
        <v>64764</v>
      </c>
      <c r="U241" s="15">
        <f t="shared" si="48"/>
        <v>1619.1</v>
      </c>
      <c r="V241" s="15">
        <f t="shared" si="49"/>
        <v>1799</v>
      </c>
      <c r="W241" s="17">
        <f>IF($T241="",1000000000000000,$T241)</f>
        <v>64764</v>
      </c>
      <c r="XFB241" s="5"/>
      <c r="XFC241" s="3"/>
    </row>
    <row r="242" spans="1:23 16382:16383" s="4" customFormat="1" ht="28.5" customHeight="1">
      <c r="A242" s="14">
        <f t="shared" si="39"/>
        <v>226</v>
      </c>
      <c r="B242" s="14" t="s">
        <v>6</v>
      </c>
      <c r="C242" s="14" t="s">
        <v>139</v>
      </c>
      <c r="D242" s="18" t="s">
        <v>86</v>
      </c>
      <c r="E242" s="14" t="s">
        <v>26</v>
      </c>
      <c r="F242" s="14" t="s">
        <v>140</v>
      </c>
      <c r="G242" s="15">
        <v>1799</v>
      </c>
      <c r="H242" s="15">
        <v>2049</v>
      </c>
      <c r="I242" s="15"/>
      <c r="J242" s="15">
        <v>1799</v>
      </c>
      <c r="K242" s="15">
        <f t="shared" si="38"/>
        <v>0</v>
      </c>
      <c r="L242" s="15">
        <f t="shared" si="40"/>
        <v>1799</v>
      </c>
      <c r="M242" s="15">
        <f t="shared" si="41"/>
        <v>2049</v>
      </c>
      <c r="N242" s="15">
        <f t="shared" si="42"/>
        <v>1799</v>
      </c>
      <c r="O242" s="15" t="str">
        <f t="shared" si="43"/>
        <v>휘발유 71,960원</v>
      </c>
      <c r="P242" s="15">
        <f t="shared" si="44"/>
        <v>71960</v>
      </c>
      <c r="Q242" s="15" t="s">
        <v>47</v>
      </c>
      <c r="R242" s="16">
        <f t="shared" si="45"/>
        <v>0.1</v>
      </c>
      <c r="S242" s="15">
        <f t="shared" si="46"/>
        <v>7196</v>
      </c>
      <c r="T242" s="15">
        <f t="shared" si="47"/>
        <v>64764</v>
      </c>
      <c r="U242" s="15">
        <f t="shared" si="48"/>
        <v>1619.1</v>
      </c>
      <c r="V242" s="15">
        <f t="shared" si="49"/>
        <v>1799</v>
      </c>
      <c r="W242" s="17">
        <f>IF($T242="",1000000000000000,$T242)</f>
        <v>64764</v>
      </c>
      <c r="XFB242" s="5"/>
      <c r="XFC242" s="3"/>
    </row>
    <row r="243" spans="1:23 16382:16383" s="4" customFormat="1" ht="28.5" customHeight="1">
      <c r="A243" s="14">
        <f t="shared" si="39"/>
        <v>226</v>
      </c>
      <c r="B243" s="14" t="s">
        <v>10</v>
      </c>
      <c r="C243" s="14" t="s">
        <v>131</v>
      </c>
      <c r="D243" s="14" t="s">
        <v>45</v>
      </c>
      <c r="E243" s="14" t="s">
        <v>26</v>
      </c>
      <c r="F243" s="14" t="s">
        <v>132</v>
      </c>
      <c r="G243" s="15">
        <v>1799</v>
      </c>
      <c r="H243" s="15">
        <v>2099</v>
      </c>
      <c r="I243" s="15"/>
      <c r="J243" s="15">
        <v>1799</v>
      </c>
      <c r="K243" s="15">
        <f t="shared" si="38"/>
        <v>0</v>
      </c>
      <c r="L243" s="15">
        <f t="shared" si="40"/>
        <v>1799</v>
      </c>
      <c r="M243" s="15">
        <f t="shared" si="41"/>
        <v>2099</v>
      </c>
      <c r="N243" s="15">
        <f t="shared" si="42"/>
        <v>1799</v>
      </c>
      <c r="O243" s="15" t="str">
        <f t="shared" si="43"/>
        <v>휘발유 71,960원</v>
      </c>
      <c r="P243" s="15">
        <f t="shared" si="44"/>
        <v>71960</v>
      </c>
      <c r="Q243" s="15" t="s">
        <v>47</v>
      </c>
      <c r="R243" s="16">
        <f t="shared" si="45"/>
        <v>0.1</v>
      </c>
      <c r="S243" s="15">
        <f t="shared" si="46"/>
        <v>7196</v>
      </c>
      <c r="T243" s="15">
        <f t="shared" si="47"/>
        <v>64764</v>
      </c>
      <c r="U243" s="15">
        <f t="shared" si="48"/>
        <v>1619.1</v>
      </c>
      <c r="V243" s="15">
        <f t="shared" si="49"/>
        <v>1799</v>
      </c>
      <c r="W243" s="17">
        <f>IF($T243="",1000000000000000,$T243)</f>
        <v>64764</v>
      </c>
      <c r="XFB243" s="5"/>
      <c r="XFC243" s="3"/>
    </row>
    <row r="244" spans="1:23 16382:16383" s="4" customFormat="1" ht="28.5" customHeight="1">
      <c r="A244" s="14">
        <f t="shared" si="39"/>
        <v>226</v>
      </c>
      <c r="B244" s="14" t="s">
        <v>12</v>
      </c>
      <c r="C244" s="14" t="s">
        <v>569</v>
      </c>
      <c r="D244" s="18" t="s">
        <v>95</v>
      </c>
      <c r="E244" s="14" t="s">
        <v>26</v>
      </c>
      <c r="F244" s="14" t="s">
        <v>570</v>
      </c>
      <c r="G244" s="15">
        <v>1799</v>
      </c>
      <c r="H244" s="15"/>
      <c r="I244" s="15"/>
      <c r="J244" s="15">
        <v>1779</v>
      </c>
      <c r="K244" s="15">
        <f t="shared" si="38"/>
        <v>0</v>
      </c>
      <c r="L244" s="15">
        <f t="shared" si="40"/>
        <v>1799</v>
      </c>
      <c r="M244" s="15" t="str">
        <f t="shared" si="41"/>
        <v/>
      </c>
      <c r="N244" s="15">
        <f t="shared" si="42"/>
        <v>1779</v>
      </c>
      <c r="O244" s="15" t="str">
        <f t="shared" si="43"/>
        <v>휘발유 71,960원</v>
      </c>
      <c r="P244" s="15">
        <f t="shared" si="44"/>
        <v>71960</v>
      </c>
      <c r="Q244" s="15" t="s">
        <v>47</v>
      </c>
      <c r="R244" s="16">
        <f t="shared" si="45"/>
        <v>0.1</v>
      </c>
      <c r="S244" s="15">
        <f t="shared" si="46"/>
        <v>7196</v>
      </c>
      <c r="T244" s="15">
        <f t="shared" si="47"/>
        <v>64764</v>
      </c>
      <c r="U244" s="15">
        <f t="shared" si="48"/>
        <v>1619.1</v>
      </c>
      <c r="V244" s="15">
        <f t="shared" si="49"/>
        <v>1799</v>
      </c>
      <c r="W244" s="17">
        <f>IF($T244="",1000000000000000,$T244)</f>
        <v>64764</v>
      </c>
      <c r="XFB244" s="5"/>
      <c r="XFC244" s="3"/>
    </row>
    <row r="245" spans="1:23 16382:16383" s="4" customFormat="1" ht="28.5" customHeight="1">
      <c r="A245" s="14">
        <f t="shared" si="39"/>
        <v>226</v>
      </c>
      <c r="B245" s="14" t="s">
        <v>10</v>
      </c>
      <c r="C245" s="14" t="s">
        <v>1009</v>
      </c>
      <c r="D245" s="14" t="s">
        <v>95</v>
      </c>
      <c r="E245" s="14" t="s">
        <v>26</v>
      </c>
      <c r="F245" s="14" t="s">
        <v>1010</v>
      </c>
      <c r="G245" s="15">
        <v>1799</v>
      </c>
      <c r="H245" s="15"/>
      <c r="I245" s="15"/>
      <c r="J245" s="15">
        <v>1779</v>
      </c>
      <c r="K245" s="15">
        <f t="shared" si="38"/>
        <v>0</v>
      </c>
      <c r="L245" s="15">
        <f t="shared" si="40"/>
        <v>1799</v>
      </c>
      <c r="M245" s="15" t="str">
        <f t="shared" si="41"/>
        <v/>
      </c>
      <c r="N245" s="15">
        <f t="shared" si="42"/>
        <v>1779</v>
      </c>
      <c r="O245" s="15" t="str">
        <f t="shared" si="43"/>
        <v>휘발유 71,960원</v>
      </c>
      <c r="P245" s="15">
        <f t="shared" si="44"/>
        <v>71960</v>
      </c>
      <c r="Q245" s="15" t="s">
        <v>47</v>
      </c>
      <c r="R245" s="16">
        <f t="shared" si="45"/>
        <v>0.1</v>
      </c>
      <c r="S245" s="15">
        <f t="shared" si="46"/>
        <v>7196</v>
      </c>
      <c r="T245" s="15">
        <f t="shared" si="47"/>
        <v>64764</v>
      </c>
      <c r="U245" s="15">
        <f t="shared" si="48"/>
        <v>1619.1</v>
      </c>
      <c r="V245" s="15">
        <f t="shared" si="49"/>
        <v>1799</v>
      </c>
      <c r="W245" s="17">
        <f>IF($T245="",1000000000000000,$T245)</f>
        <v>64764</v>
      </c>
      <c r="XFB245" s="5"/>
      <c r="XFC245" s="3"/>
    </row>
    <row r="246" spans="1:23 16382:16383" s="4" customFormat="1" ht="28.5" customHeight="1">
      <c r="A246" s="14">
        <f t="shared" si="39"/>
        <v>226</v>
      </c>
      <c r="B246" s="14" t="s">
        <v>6</v>
      </c>
      <c r="C246" s="14" t="s">
        <v>706</v>
      </c>
      <c r="D246" s="14" t="s">
        <v>45</v>
      </c>
      <c r="E246" s="14" t="s">
        <v>26</v>
      </c>
      <c r="F246" s="14" t="s">
        <v>707</v>
      </c>
      <c r="G246" s="15">
        <v>1799</v>
      </c>
      <c r="H246" s="15"/>
      <c r="I246" s="15"/>
      <c r="J246" s="15">
        <v>1789</v>
      </c>
      <c r="K246" s="15">
        <f t="shared" si="38"/>
        <v>0</v>
      </c>
      <c r="L246" s="15">
        <f t="shared" si="40"/>
        <v>1799</v>
      </c>
      <c r="M246" s="15" t="str">
        <f t="shared" si="41"/>
        <v/>
      </c>
      <c r="N246" s="15">
        <f t="shared" si="42"/>
        <v>1789</v>
      </c>
      <c r="O246" s="15" t="str">
        <f t="shared" si="43"/>
        <v>휘발유 71,960원</v>
      </c>
      <c r="P246" s="15">
        <f t="shared" si="44"/>
        <v>71960</v>
      </c>
      <c r="Q246" s="15" t="s">
        <v>47</v>
      </c>
      <c r="R246" s="16">
        <f t="shared" si="45"/>
        <v>0.1</v>
      </c>
      <c r="S246" s="15">
        <f t="shared" si="46"/>
        <v>7196</v>
      </c>
      <c r="T246" s="15">
        <f t="shared" si="47"/>
        <v>64764</v>
      </c>
      <c r="U246" s="15">
        <f t="shared" si="48"/>
        <v>1619.1</v>
      </c>
      <c r="V246" s="15">
        <f t="shared" si="49"/>
        <v>1799</v>
      </c>
      <c r="W246" s="17">
        <f>IF($T246="",1000000000000000,$T246)</f>
        <v>64764</v>
      </c>
      <c r="XFB246" s="5"/>
      <c r="XFC246" s="3"/>
    </row>
    <row r="247" spans="1:23 16382:16383" s="4" customFormat="1" ht="28.5" customHeight="1">
      <c r="A247" s="14">
        <f t="shared" si="39"/>
        <v>226</v>
      </c>
      <c r="B247" s="14" t="s">
        <v>6</v>
      </c>
      <c r="C247" s="14" t="s">
        <v>708</v>
      </c>
      <c r="D247" s="18" t="s">
        <v>86</v>
      </c>
      <c r="E247" s="14" t="s">
        <v>26</v>
      </c>
      <c r="F247" s="14" t="s">
        <v>709</v>
      </c>
      <c r="G247" s="15">
        <v>1799</v>
      </c>
      <c r="H247" s="15"/>
      <c r="I247" s="15"/>
      <c r="J247" s="15">
        <v>1794</v>
      </c>
      <c r="K247" s="15">
        <f t="shared" si="38"/>
        <v>0</v>
      </c>
      <c r="L247" s="15">
        <f t="shared" si="40"/>
        <v>1799</v>
      </c>
      <c r="M247" s="15" t="str">
        <f t="shared" si="41"/>
        <v/>
      </c>
      <c r="N247" s="15">
        <f t="shared" si="42"/>
        <v>1794</v>
      </c>
      <c r="O247" s="15" t="str">
        <f t="shared" si="43"/>
        <v>휘발유 71,960원</v>
      </c>
      <c r="P247" s="15">
        <f t="shared" si="44"/>
        <v>71960</v>
      </c>
      <c r="Q247" s="15" t="s">
        <v>47</v>
      </c>
      <c r="R247" s="16">
        <f t="shared" si="45"/>
        <v>0.1</v>
      </c>
      <c r="S247" s="15">
        <f t="shared" si="46"/>
        <v>7196</v>
      </c>
      <c r="T247" s="15">
        <f t="shared" si="47"/>
        <v>64764</v>
      </c>
      <c r="U247" s="15">
        <f t="shared" si="48"/>
        <v>1619.1</v>
      </c>
      <c r="V247" s="15">
        <f t="shared" si="49"/>
        <v>1799</v>
      </c>
      <c r="W247" s="17">
        <f>IF($T247="",1000000000000000,$T247)</f>
        <v>64764</v>
      </c>
      <c r="XFB247" s="5"/>
      <c r="XFC247" s="3"/>
    </row>
    <row r="248" spans="1:23 16382:16383" s="4" customFormat="1" ht="28.5" customHeight="1">
      <c r="A248" s="14">
        <f t="shared" si="39"/>
        <v>226</v>
      </c>
      <c r="B248" s="14" t="s">
        <v>6</v>
      </c>
      <c r="C248" s="14" t="s">
        <v>710</v>
      </c>
      <c r="D248" s="14" t="s">
        <v>45</v>
      </c>
      <c r="E248" s="14" t="s">
        <v>26</v>
      </c>
      <c r="F248" s="14" t="s">
        <v>711</v>
      </c>
      <c r="G248" s="15">
        <v>1799</v>
      </c>
      <c r="H248" s="15"/>
      <c r="I248" s="15"/>
      <c r="J248" s="15">
        <v>1794</v>
      </c>
      <c r="K248" s="15">
        <f t="shared" si="38"/>
        <v>0</v>
      </c>
      <c r="L248" s="15">
        <f t="shared" si="40"/>
        <v>1799</v>
      </c>
      <c r="M248" s="15" t="str">
        <f t="shared" si="41"/>
        <v/>
      </c>
      <c r="N248" s="15">
        <f t="shared" si="42"/>
        <v>1794</v>
      </c>
      <c r="O248" s="15" t="str">
        <f t="shared" si="43"/>
        <v>휘발유 71,960원</v>
      </c>
      <c r="P248" s="15">
        <f t="shared" si="44"/>
        <v>71960</v>
      </c>
      <c r="Q248" s="15" t="s">
        <v>47</v>
      </c>
      <c r="R248" s="16">
        <f t="shared" si="45"/>
        <v>0.1</v>
      </c>
      <c r="S248" s="15">
        <f t="shared" si="46"/>
        <v>7196</v>
      </c>
      <c r="T248" s="15">
        <f t="shared" si="47"/>
        <v>64764</v>
      </c>
      <c r="U248" s="15">
        <f t="shared" si="48"/>
        <v>1619.1</v>
      </c>
      <c r="V248" s="15">
        <f t="shared" si="49"/>
        <v>1799</v>
      </c>
      <c r="W248" s="17">
        <f>IF($T248="",1000000000000000,$T248)</f>
        <v>64764</v>
      </c>
      <c r="XFB248" s="5"/>
      <c r="XFC248" s="3"/>
    </row>
    <row r="249" spans="1:23 16382:16383" s="4" customFormat="1" ht="28.5" customHeight="1">
      <c r="A249" s="14">
        <f t="shared" si="39"/>
        <v>226</v>
      </c>
      <c r="B249" s="14" t="s">
        <v>6</v>
      </c>
      <c r="C249" s="14" t="s">
        <v>716</v>
      </c>
      <c r="D249" s="14" t="s">
        <v>45</v>
      </c>
      <c r="E249" s="14" t="s">
        <v>63</v>
      </c>
      <c r="F249" s="14" t="s">
        <v>717</v>
      </c>
      <c r="G249" s="15">
        <v>1799</v>
      </c>
      <c r="H249" s="15"/>
      <c r="I249" s="15"/>
      <c r="J249" s="15">
        <v>1795</v>
      </c>
      <c r="K249" s="15">
        <f t="shared" si="38"/>
        <v>0</v>
      </c>
      <c r="L249" s="15">
        <f t="shared" si="40"/>
        <v>1799</v>
      </c>
      <c r="M249" s="15" t="str">
        <f t="shared" si="41"/>
        <v/>
      </c>
      <c r="N249" s="15">
        <f t="shared" si="42"/>
        <v>1795</v>
      </c>
      <c r="O249" s="15" t="str">
        <f t="shared" si="43"/>
        <v>휘발유 71,960원</v>
      </c>
      <c r="P249" s="15">
        <f t="shared" si="44"/>
        <v>71960</v>
      </c>
      <c r="Q249" s="15" t="s">
        <v>47</v>
      </c>
      <c r="R249" s="16">
        <f t="shared" si="45"/>
        <v>0.1</v>
      </c>
      <c r="S249" s="15">
        <f t="shared" si="46"/>
        <v>7196</v>
      </c>
      <c r="T249" s="15">
        <f t="shared" si="47"/>
        <v>64764</v>
      </c>
      <c r="U249" s="15">
        <f t="shared" si="48"/>
        <v>1619.1</v>
      </c>
      <c r="V249" s="15">
        <f t="shared" si="49"/>
        <v>1799</v>
      </c>
      <c r="W249" s="17">
        <f>IF($T249="",1000000000000000,$T249)</f>
        <v>64764</v>
      </c>
      <c r="XFB249" s="5"/>
      <c r="XFC249" s="3"/>
    </row>
    <row r="250" spans="1:23 16382:16383" s="4" customFormat="1" ht="28.5" customHeight="1">
      <c r="A250" s="14">
        <f t="shared" si="39"/>
        <v>226</v>
      </c>
      <c r="B250" s="14" t="s">
        <v>6</v>
      </c>
      <c r="C250" s="14" t="s">
        <v>712</v>
      </c>
      <c r="D250" s="18" t="s">
        <v>86</v>
      </c>
      <c r="E250" s="14" t="s">
        <v>63</v>
      </c>
      <c r="F250" s="14" t="s">
        <v>713</v>
      </c>
      <c r="G250" s="15">
        <v>1799</v>
      </c>
      <c r="H250" s="15"/>
      <c r="I250" s="15"/>
      <c r="J250" s="15">
        <v>1798</v>
      </c>
      <c r="K250" s="15">
        <f t="shared" si="38"/>
        <v>0</v>
      </c>
      <c r="L250" s="15">
        <f t="shared" si="40"/>
        <v>1799</v>
      </c>
      <c r="M250" s="15" t="str">
        <f t="shared" si="41"/>
        <v/>
      </c>
      <c r="N250" s="15">
        <f t="shared" si="42"/>
        <v>1798</v>
      </c>
      <c r="O250" s="15" t="str">
        <f t="shared" si="43"/>
        <v>휘발유 71,960원</v>
      </c>
      <c r="P250" s="15">
        <f t="shared" si="44"/>
        <v>71960</v>
      </c>
      <c r="Q250" s="15" t="s">
        <v>47</v>
      </c>
      <c r="R250" s="16">
        <f t="shared" si="45"/>
        <v>0.1</v>
      </c>
      <c r="S250" s="15">
        <f t="shared" si="46"/>
        <v>7196</v>
      </c>
      <c r="T250" s="15">
        <f t="shared" si="47"/>
        <v>64764</v>
      </c>
      <c r="U250" s="15">
        <f t="shared" si="48"/>
        <v>1619.1</v>
      </c>
      <c r="V250" s="15">
        <f t="shared" si="49"/>
        <v>1799</v>
      </c>
      <c r="W250" s="17">
        <f>IF($T250="",1000000000000000,$T250)</f>
        <v>64764</v>
      </c>
      <c r="XFB250" s="5"/>
      <c r="XFC250" s="3"/>
    </row>
    <row r="251" spans="1:23 16382:16383" s="4" customFormat="1" ht="28.5" customHeight="1">
      <c r="A251" s="14">
        <f t="shared" si="39"/>
        <v>226</v>
      </c>
      <c r="B251" s="14" t="s">
        <v>6</v>
      </c>
      <c r="C251" s="14" t="s">
        <v>714</v>
      </c>
      <c r="D251" s="14" t="s">
        <v>95</v>
      </c>
      <c r="E251" s="14" t="s">
        <v>26</v>
      </c>
      <c r="F251" s="14" t="s">
        <v>715</v>
      </c>
      <c r="G251" s="15">
        <v>1799</v>
      </c>
      <c r="H251" s="15"/>
      <c r="I251" s="15"/>
      <c r="J251" s="15">
        <v>1799</v>
      </c>
      <c r="K251" s="15">
        <f t="shared" si="38"/>
        <v>0</v>
      </c>
      <c r="L251" s="15">
        <f t="shared" si="40"/>
        <v>1799</v>
      </c>
      <c r="M251" s="15" t="str">
        <f t="shared" si="41"/>
        <v/>
      </c>
      <c r="N251" s="15">
        <f t="shared" si="42"/>
        <v>1799</v>
      </c>
      <c r="O251" s="15" t="str">
        <f t="shared" si="43"/>
        <v>휘발유 71,960원</v>
      </c>
      <c r="P251" s="15">
        <f t="shared" si="44"/>
        <v>71960</v>
      </c>
      <c r="Q251" s="15" t="s">
        <v>47</v>
      </c>
      <c r="R251" s="16">
        <f t="shared" si="45"/>
        <v>0.1</v>
      </c>
      <c r="S251" s="15">
        <f t="shared" si="46"/>
        <v>7196</v>
      </c>
      <c r="T251" s="15">
        <f t="shared" si="47"/>
        <v>64764</v>
      </c>
      <c r="U251" s="15">
        <f t="shared" si="48"/>
        <v>1619.1</v>
      </c>
      <c r="V251" s="15">
        <f t="shared" si="49"/>
        <v>1799</v>
      </c>
      <c r="W251" s="17">
        <f>IF($T251="",1000000000000000,$T251)</f>
        <v>64764</v>
      </c>
      <c r="XFB251" s="5"/>
      <c r="XFC251" s="3"/>
    </row>
    <row r="252" spans="1:23 16382:16383" s="4" customFormat="1" ht="28.5" customHeight="1">
      <c r="A252" s="14">
        <f t="shared" si="39"/>
        <v>226</v>
      </c>
      <c r="B252" s="14" t="s">
        <v>6</v>
      </c>
      <c r="C252" s="14" t="s">
        <v>996</v>
      </c>
      <c r="D252" s="18" t="s">
        <v>86</v>
      </c>
      <c r="E252" s="14" t="s">
        <v>63</v>
      </c>
      <c r="F252" s="14" t="s">
        <v>997</v>
      </c>
      <c r="G252" s="15">
        <v>1799</v>
      </c>
      <c r="H252" s="15"/>
      <c r="I252" s="15"/>
      <c r="J252" s="15">
        <v>1799</v>
      </c>
      <c r="K252" s="15">
        <f t="shared" si="38"/>
        <v>0</v>
      </c>
      <c r="L252" s="15">
        <f t="shared" si="40"/>
        <v>1799</v>
      </c>
      <c r="M252" s="15" t="str">
        <f t="shared" si="41"/>
        <v/>
      </c>
      <c r="N252" s="15">
        <f t="shared" si="42"/>
        <v>1799</v>
      </c>
      <c r="O252" s="15" t="str">
        <f t="shared" si="43"/>
        <v>휘발유 71,960원</v>
      </c>
      <c r="P252" s="15">
        <f t="shared" si="44"/>
        <v>71960</v>
      </c>
      <c r="Q252" s="15" t="s">
        <v>47</v>
      </c>
      <c r="R252" s="16">
        <f t="shared" si="45"/>
        <v>0.1</v>
      </c>
      <c r="S252" s="15">
        <f t="shared" si="46"/>
        <v>7196</v>
      </c>
      <c r="T252" s="15">
        <f t="shared" si="47"/>
        <v>64764</v>
      </c>
      <c r="U252" s="15">
        <f t="shared" si="48"/>
        <v>1619.1</v>
      </c>
      <c r="V252" s="15">
        <f t="shared" si="49"/>
        <v>1799</v>
      </c>
      <c r="W252" s="17">
        <f>IF($T252="",1000000000000000,$T252)</f>
        <v>64764</v>
      </c>
      <c r="XFB252" s="5"/>
      <c r="XFC252" s="3"/>
    </row>
    <row r="253" spans="1:23 16382:16383" s="4" customFormat="1" ht="28.5" customHeight="1">
      <c r="A253" s="14">
        <f t="shared" si="39"/>
        <v>226</v>
      </c>
      <c r="B253" s="14" t="s">
        <v>6</v>
      </c>
      <c r="C253" s="14" t="s">
        <v>749</v>
      </c>
      <c r="D253" s="14" t="s">
        <v>95</v>
      </c>
      <c r="E253" s="14" t="s">
        <v>26</v>
      </c>
      <c r="F253" s="14" t="s">
        <v>750</v>
      </c>
      <c r="G253" s="15">
        <v>1799</v>
      </c>
      <c r="H253" s="15"/>
      <c r="I253" s="15"/>
      <c r="J253" s="15">
        <v>1799</v>
      </c>
      <c r="K253" s="15">
        <f t="shared" si="38"/>
        <v>0</v>
      </c>
      <c r="L253" s="15">
        <f t="shared" si="40"/>
        <v>1799</v>
      </c>
      <c r="M253" s="15" t="str">
        <f t="shared" si="41"/>
        <v/>
      </c>
      <c r="N253" s="15">
        <f t="shared" si="42"/>
        <v>1799</v>
      </c>
      <c r="O253" s="15" t="str">
        <f t="shared" si="43"/>
        <v>휘발유 71,960원</v>
      </c>
      <c r="P253" s="15">
        <f t="shared" si="44"/>
        <v>71960</v>
      </c>
      <c r="Q253" s="15" t="s">
        <v>47</v>
      </c>
      <c r="R253" s="16">
        <f t="shared" si="45"/>
        <v>0.1</v>
      </c>
      <c r="S253" s="15">
        <f t="shared" si="46"/>
        <v>7196</v>
      </c>
      <c r="T253" s="15">
        <f t="shared" si="47"/>
        <v>64764</v>
      </c>
      <c r="U253" s="15">
        <f t="shared" si="48"/>
        <v>1619.1</v>
      </c>
      <c r="V253" s="15">
        <f t="shared" si="49"/>
        <v>1799</v>
      </c>
      <c r="W253" s="17">
        <f>IF($T253="",1000000000000000,$T253)</f>
        <v>64764</v>
      </c>
      <c r="XFB253" s="5"/>
      <c r="XFC253" s="3"/>
    </row>
    <row r="254" spans="1:23 16382:16383" s="4" customFormat="1" ht="28.5" customHeight="1">
      <c r="A254" s="14">
        <f t="shared" si="39"/>
        <v>226</v>
      </c>
      <c r="B254" s="14" t="s">
        <v>6</v>
      </c>
      <c r="C254" s="14" t="s">
        <v>720</v>
      </c>
      <c r="D254" s="14" t="s">
        <v>45</v>
      </c>
      <c r="E254" s="14" t="s">
        <v>26</v>
      </c>
      <c r="F254" s="14" t="s">
        <v>721</v>
      </c>
      <c r="G254" s="15">
        <v>1799</v>
      </c>
      <c r="H254" s="15"/>
      <c r="I254" s="15"/>
      <c r="J254" s="15">
        <v>1799</v>
      </c>
      <c r="K254" s="15">
        <f t="shared" si="38"/>
        <v>0</v>
      </c>
      <c r="L254" s="15">
        <f t="shared" si="40"/>
        <v>1799</v>
      </c>
      <c r="M254" s="15" t="str">
        <f t="shared" si="41"/>
        <v/>
      </c>
      <c r="N254" s="15">
        <f t="shared" si="42"/>
        <v>1799</v>
      </c>
      <c r="O254" s="15" t="str">
        <f t="shared" si="43"/>
        <v>휘발유 71,960원</v>
      </c>
      <c r="P254" s="15">
        <f t="shared" si="44"/>
        <v>71960</v>
      </c>
      <c r="Q254" s="15" t="s">
        <v>47</v>
      </c>
      <c r="R254" s="16">
        <f t="shared" si="45"/>
        <v>0.1</v>
      </c>
      <c r="S254" s="15">
        <f t="shared" si="46"/>
        <v>7196</v>
      </c>
      <c r="T254" s="15">
        <f t="shared" si="47"/>
        <v>64764</v>
      </c>
      <c r="U254" s="15">
        <f t="shared" si="48"/>
        <v>1619.1</v>
      </c>
      <c r="V254" s="15">
        <f t="shared" si="49"/>
        <v>1799</v>
      </c>
      <c r="W254" s="17">
        <f>IF($T254="",1000000000000000,$T254)</f>
        <v>64764</v>
      </c>
      <c r="XFB254" s="5"/>
      <c r="XFC254" s="3"/>
    </row>
    <row r="255" spans="1:23 16382:16383" s="4" customFormat="1" ht="28.5" customHeight="1">
      <c r="A255" s="14">
        <f t="shared" si="39"/>
        <v>226</v>
      </c>
      <c r="B255" s="14" t="s">
        <v>6</v>
      </c>
      <c r="C255" s="14" t="s">
        <v>481</v>
      </c>
      <c r="D255" s="14" t="s">
        <v>45</v>
      </c>
      <c r="E255" s="14" t="s">
        <v>26</v>
      </c>
      <c r="F255" s="14" t="s">
        <v>482</v>
      </c>
      <c r="G255" s="15">
        <v>1799</v>
      </c>
      <c r="H255" s="15"/>
      <c r="I255" s="15"/>
      <c r="J255" s="15">
        <v>1799</v>
      </c>
      <c r="K255" s="15">
        <f t="shared" si="38"/>
        <v>0</v>
      </c>
      <c r="L255" s="15">
        <f t="shared" si="40"/>
        <v>1799</v>
      </c>
      <c r="M255" s="15" t="str">
        <f t="shared" si="41"/>
        <v/>
      </c>
      <c r="N255" s="15">
        <f t="shared" si="42"/>
        <v>1799</v>
      </c>
      <c r="O255" s="15" t="str">
        <f t="shared" si="43"/>
        <v>휘발유 71,960원</v>
      </c>
      <c r="P255" s="15">
        <f t="shared" si="44"/>
        <v>71960</v>
      </c>
      <c r="Q255" s="15" t="s">
        <v>47</v>
      </c>
      <c r="R255" s="16">
        <f t="shared" si="45"/>
        <v>0.1</v>
      </c>
      <c r="S255" s="15">
        <f t="shared" si="46"/>
        <v>7196</v>
      </c>
      <c r="T255" s="15">
        <f t="shared" si="47"/>
        <v>64764</v>
      </c>
      <c r="U255" s="15">
        <f t="shared" si="48"/>
        <v>1619.1</v>
      </c>
      <c r="V255" s="15">
        <f t="shared" si="49"/>
        <v>1799</v>
      </c>
      <c r="W255" s="17">
        <f>IF($T255="",1000000000000000,$T255)</f>
        <v>64764</v>
      </c>
      <c r="XFB255" s="5"/>
      <c r="XFC255" s="3"/>
    </row>
    <row r="256" spans="1:23 16382:16383" s="4" customFormat="1" ht="28.5" customHeight="1">
      <c r="A256" s="14">
        <f t="shared" si="39"/>
        <v>226</v>
      </c>
      <c r="B256" s="14" t="s">
        <v>6</v>
      </c>
      <c r="C256" s="14" t="s">
        <v>722</v>
      </c>
      <c r="D256" s="14" t="s">
        <v>51</v>
      </c>
      <c r="E256" s="14" t="s">
        <v>26</v>
      </c>
      <c r="F256" s="14" t="s">
        <v>723</v>
      </c>
      <c r="G256" s="15">
        <v>1799</v>
      </c>
      <c r="H256" s="15"/>
      <c r="I256" s="15"/>
      <c r="J256" s="15">
        <v>1799</v>
      </c>
      <c r="K256" s="15">
        <f t="shared" si="38"/>
        <v>0</v>
      </c>
      <c r="L256" s="15">
        <f t="shared" si="40"/>
        <v>1799</v>
      </c>
      <c r="M256" s="15" t="str">
        <f t="shared" si="41"/>
        <v/>
      </c>
      <c r="N256" s="15">
        <f t="shared" si="42"/>
        <v>1799</v>
      </c>
      <c r="O256" s="15" t="str">
        <f t="shared" si="43"/>
        <v>휘발유 71,960원</v>
      </c>
      <c r="P256" s="15">
        <f t="shared" si="44"/>
        <v>71960</v>
      </c>
      <c r="Q256" s="15" t="s">
        <v>47</v>
      </c>
      <c r="R256" s="16">
        <f t="shared" si="45"/>
        <v>0.1</v>
      </c>
      <c r="S256" s="15">
        <f t="shared" si="46"/>
        <v>7196</v>
      </c>
      <c r="T256" s="15">
        <f t="shared" si="47"/>
        <v>64764</v>
      </c>
      <c r="U256" s="15">
        <f t="shared" si="48"/>
        <v>1619.1</v>
      </c>
      <c r="V256" s="15">
        <f t="shared" si="49"/>
        <v>1799</v>
      </c>
      <c r="W256" s="17">
        <f>IF($T256="",1000000000000000,$T256)</f>
        <v>64764</v>
      </c>
      <c r="XFB256" s="5"/>
      <c r="XFC256" s="3"/>
    </row>
    <row r="257" spans="1:23 16382:16383" s="4" customFormat="1" ht="28.5" customHeight="1">
      <c r="A257" s="14">
        <f t="shared" si="39"/>
        <v>226</v>
      </c>
      <c r="B257" s="14" t="s">
        <v>6</v>
      </c>
      <c r="C257" s="14" t="s">
        <v>595</v>
      </c>
      <c r="D257" s="14" t="s">
        <v>95</v>
      </c>
      <c r="E257" s="14" t="s">
        <v>26</v>
      </c>
      <c r="F257" s="14" t="s">
        <v>724</v>
      </c>
      <c r="G257" s="15">
        <v>1799</v>
      </c>
      <c r="H257" s="15"/>
      <c r="I257" s="15"/>
      <c r="J257" s="15">
        <v>1799</v>
      </c>
      <c r="K257" s="15">
        <f t="shared" si="38"/>
        <v>0</v>
      </c>
      <c r="L257" s="15">
        <f t="shared" si="40"/>
        <v>1799</v>
      </c>
      <c r="M257" s="15" t="str">
        <f t="shared" si="41"/>
        <v/>
      </c>
      <c r="N257" s="15">
        <f t="shared" si="42"/>
        <v>1799</v>
      </c>
      <c r="O257" s="15" t="str">
        <f t="shared" si="43"/>
        <v>휘발유 71,960원</v>
      </c>
      <c r="P257" s="15">
        <f t="shared" si="44"/>
        <v>71960</v>
      </c>
      <c r="Q257" s="15" t="s">
        <v>47</v>
      </c>
      <c r="R257" s="16">
        <f t="shared" si="45"/>
        <v>0.1</v>
      </c>
      <c r="S257" s="15">
        <f t="shared" si="46"/>
        <v>7196</v>
      </c>
      <c r="T257" s="15">
        <f t="shared" si="47"/>
        <v>64764</v>
      </c>
      <c r="U257" s="15">
        <f t="shared" si="48"/>
        <v>1619.1</v>
      </c>
      <c r="V257" s="15">
        <f t="shared" si="49"/>
        <v>1799</v>
      </c>
      <c r="W257" s="17">
        <f>IF($T257="",1000000000000000,$T257)</f>
        <v>64764</v>
      </c>
      <c r="XFB257" s="5"/>
      <c r="XFC257" s="3"/>
    </row>
    <row r="258" spans="1:23 16382:16383" s="4" customFormat="1" ht="28.5" customHeight="1">
      <c r="A258" s="14">
        <f t="shared" si="39"/>
        <v>226</v>
      </c>
      <c r="B258" s="14" t="s">
        <v>8</v>
      </c>
      <c r="C258" s="14" t="s">
        <v>725</v>
      </c>
      <c r="D258" s="14" t="s">
        <v>45</v>
      </c>
      <c r="E258" s="14" t="s">
        <v>26</v>
      </c>
      <c r="F258" s="14" t="s">
        <v>726</v>
      </c>
      <c r="G258" s="15">
        <v>1799</v>
      </c>
      <c r="H258" s="15"/>
      <c r="I258" s="15"/>
      <c r="J258" s="15">
        <v>1799</v>
      </c>
      <c r="K258" s="15">
        <f t="shared" si="38"/>
        <v>0</v>
      </c>
      <c r="L258" s="15">
        <f t="shared" si="40"/>
        <v>1799</v>
      </c>
      <c r="M258" s="15" t="str">
        <f t="shared" si="41"/>
        <v/>
      </c>
      <c r="N258" s="15">
        <f t="shared" si="42"/>
        <v>1799</v>
      </c>
      <c r="O258" s="15" t="str">
        <f t="shared" si="43"/>
        <v>휘발유 71,960원</v>
      </c>
      <c r="P258" s="15">
        <f t="shared" si="44"/>
        <v>71960</v>
      </c>
      <c r="Q258" s="15" t="s">
        <v>47</v>
      </c>
      <c r="R258" s="16">
        <f t="shared" si="45"/>
        <v>0.1</v>
      </c>
      <c r="S258" s="15">
        <f t="shared" si="46"/>
        <v>7196</v>
      </c>
      <c r="T258" s="15">
        <f t="shared" si="47"/>
        <v>64764</v>
      </c>
      <c r="U258" s="15">
        <f t="shared" si="48"/>
        <v>1619.1</v>
      </c>
      <c r="V258" s="15">
        <f t="shared" si="49"/>
        <v>1799</v>
      </c>
      <c r="W258" s="17">
        <f>IF($T258="",1000000000000000,$T258)</f>
        <v>64764</v>
      </c>
      <c r="XFB258" s="5"/>
      <c r="XFC258" s="3"/>
    </row>
    <row r="259" spans="1:23 16382:16383" s="4" customFormat="1" ht="28.5" customHeight="1">
      <c r="A259" s="14">
        <f t="shared" si="39"/>
        <v>226</v>
      </c>
      <c r="B259" s="14" t="s">
        <v>12</v>
      </c>
      <c r="C259" s="14" t="s">
        <v>727</v>
      </c>
      <c r="D259" s="18" t="s">
        <v>95</v>
      </c>
      <c r="E259" s="14" t="s">
        <v>26</v>
      </c>
      <c r="F259" s="14" t="s">
        <v>728</v>
      </c>
      <c r="G259" s="15">
        <v>1799</v>
      </c>
      <c r="H259" s="15"/>
      <c r="I259" s="15"/>
      <c r="J259" s="15">
        <v>1799</v>
      </c>
      <c r="K259" s="15">
        <f t="shared" si="38"/>
        <v>0</v>
      </c>
      <c r="L259" s="15">
        <f t="shared" si="40"/>
        <v>1799</v>
      </c>
      <c r="M259" s="15" t="str">
        <f t="shared" si="41"/>
        <v/>
      </c>
      <c r="N259" s="15">
        <f t="shared" si="42"/>
        <v>1799</v>
      </c>
      <c r="O259" s="15" t="str">
        <f t="shared" si="43"/>
        <v>휘발유 71,960원</v>
      </c>
      <c r="P259" s="15">
        <f t="shared" si="44"/>
        <v>71960</v>
      </c>
      <c r="Q259" s="15" t="s">
        <v>47</v>
      </c>
      <c r="R259" s="16">
        <f t="shared" si="45"/>
        <v>0.1</v>
      </c>
      <c r="S259" s="15">
        <f t="shared" si="46"/>
        <v>7196</v>
      </c>
      <c r="T259" s="15">
        <f t="shared" si="47"/>
        <v>64764</v>
      </c>
      <c r="U259" s="15">
        <f t="shared" si="48"/>
        <v>1619.1</v>
      </c>
      <c r="V259" s="15">
        <f t="shared" si="49"/>
        <v>1799</v>
      </c>
      <c r="W259" s="17">
        <f>IF($T259="",1000000000000000,$T259)</f>
        <v>64764</v>
      </c>
      <c r="XFB259" s="5"/>
      <c r="XFC259" s="3"/>
    </row>
    <row r="260" spans="1:23 16382:16383" s="4" customFormat="1" ht="28.5" customHeight="1">
      <c r="A260" s="14">
        <f t="shared" si="39"/>
        <v>226</v>
      </c>
      <c r="B260" s="14" t="s">
        <v>12</v>
      </c>
      <c r="C260" s="14" t="s">
        <v>444</v>
      </c>
      <c r="D260" s="18" t="s">
        <v>45</v>
      </c>
      <c r="E260" s="14" t="s">
        <v>26</v>
      </c>
      <c r="F260" s="14" t="s">
        <v>445</v>
      </c>
      <c r="G260" s="15">
        <v>1799</v>
      </c>
      <c r="H260" s="15"/>
      <c r="I260" s="15"/>
      <c r="J260" s="15">
        <v>1799</v>
      </c>
      <c r="K260" s="15">
        <f t="shared" si="38"/>
        <v>0</v>
      </c>
      <c r="L260" s="15">
        <f t="shared" si="40"/>
        <v>1799</v>
      </c>
      <c r="M260" s="15" t="str">
        <f t="shared" si="41"/>
        <v/>
      </c>
      <c r="N260" s="15">
        <f t="shared" si="42"/>
        <v>1799</v>
      </c>
      <c r="O260" s="15" t="str">
        <f t="shared" si="43"/>
        <v>휘발유 71,960원</v>
      </c>
      <c r="P260" s="15">
        <f t="shared" si="44"/>
        <v>71960</v>
      </c>
      <c r="Q260" s="15" t="s">
        <v>47</v>
      </c>
      <c r="R260" s="16">
        <f t="shared" si="45"/>
        <v>0.1</v>
      </c>
      <c r="S260" s="15">
        <f t="shared" si="46"/>
        <v>7196</v>
      </c>
      <c r="T260" s="15">
        <f t="shared" si="47"/>
        <v>64764</v>
      </c>
      <c r="U260" s="15">
        <f t="shared" si="48"/>
        <v>1619.1</v>
      </c>
      <c r="V260" s="15">
        <f t="shared" si="49"/>
        <v>1799</v>
      </c>
      <c r="W260" s="17">
        <f>IF($T260="",1000000000000000,$T260)</f>
        <v>64764</v>
      </c>
      <c r="XFB260" s="5"/>
      <c r="XFC260" s="3"/>
    </row>
    <row r="261" spans="1:23 16382:16383" s="4" customFormat="1" ht="28.5" customHeight="1">
      <c r="A261" s="14">
        <f t="shared" si="39"/>
        <v>226</v>
      </c>
      <c r="B261" s="14" t="s">
        <v>12</v>
      </c>
      <c r="C261" s="14" t="s">
        <v>729</v>
      </c>
      <c r="D261" s="14" t="s">
        <v>56</v>
      </c>
      <c r="E261" s="14" t="s">
        <v>26</v>
      </c>
      <c r="F261" s="14" t="s">
        <v>730</v>
      </c>
      <c r="G261" s="15">
        <v>1799</v>
      </c>
      <c r="H261" s="15"/>
      <c r="I261" s="15"/>
      <c r="J261" s="15">
        <v>1799</v>
      </c>
      <c r="K261" s="15">
        <f t="shared" si="38"/>
        <v>0</v>
      </c>
      <c r="L261" s="15">
        <f t="shared" si="40"/>
        <v>1799</v>
      </c>
      <c r="M261" s="15" t="str">
        <f t="shared" si="41"/>
        <v/>
      </c>
      <c r="N261" s="15">
        <f t="shared" si="42"/>
        <v>1799</v>
      </c>
      <c r="O261" s="15" t="str">
        <f t="shared" si="43"/>
        <v>휘발유 71,960원</v>
      </c>
      <c r="P261" s="15">
        <f t="shared" si="44"/>
        <v>71960</v>
      </c>
      <c r="Q261" s="15" t="s">
        <v>47</v>
      </c>
      <c r="R261" s="16">
        <f t="shared" si="45"/>
        <v>0.1</v>
      </c>
      <c r="S261" s="15">
        <f t="shared" si="46"/>
        <v>7196</v>
      </c>
      <c r="T261" s="15">
        <f t="shared" si="47"/>
        <v>64764</v>
      </c>
      <c r="U261" s="15">
        <f t="shared" si="48"/>
        <v>1619.1</v>
      </c>
      <c r="V261" s="15">
        <f t="shared" si="49"/>
        <v>1799</v>
      </c>
      <c r="W261" s="17">
        <f>IF($T261="",1000000000000000,$T261)</f>
        <v>64764</v>
      </c>
      <c r="XFB261" s="5"/>
      <c r="XFC261" s="3"/>
    </row>
    <row r="262" spans="1:23 16382:16383" s="4" customFormat="1" ht="28.5" customHeight="1">
      <c r="A262" s="14">
        <f t="shared" si="39"/>
        <v>226</v>
      </c>
      <c r="B262" s="14" t="s">
        <v>10</v>
      </c>
      <c r="C262" s="14" t="s">
        <v>733</v>
      </c>
      <c r="D262" s="18" t="s">
        <v>86</v>
      </c>
      <c r="E262" s="14" t="s">
        <v>26</v>
      </c>
      <c r="F262" s="14" t="s">
        <v>734</v>
      </c>
      <c r="G262" s="15">
        <v>1799</v>
      </c>
      <c r="H262" s="15"/>
      <c r="I262" s="15"/>
      <c r="J262" s="15">
        <v>1799</v>
      </c>
      <c r="K262" s="15">
        <f t="shared" ref="K262:K325" si="50">IF(AND(IFERROR(SEARCH("현대오일뱅크",$C262),0)&gt;0,IFERROR(SEARCH("직영",$C262),0)&gt;0),$B$13,0)</f>
        <v>0</v>
      </c>
      <c r="L262" s="15">
        <f t="shared" si="40"/>
        <v>1799</v>
      </c>
      <c r="M262" s="15" t="str">
        <f t="shared" si="41"/>
        <v/>
      </c>
      <c r="N262" s="15">
        <f t="shared" si="42"/>
        <v>1799</v>
      </c>
      <c r="O262" s="15" t="str">
        <f t="shared" si="43"/>
        <v>휘발유 71,960원</v>
      </c>
      <c r="P262" s="15">
        <f t="shared" si="44"/>
        <v>71960</v>
      </c>
      <c r="Q262" s="15" t="s">
        <v>47</v>
      </c>
      <c r="R262" s="16">
        <f t="shared" si="45"/>
        <v>0.1</v>
      </c>
      <c r="S262" s="15">
        <f t="shared" si="46"/>
        <v>7196</v>
      </c>
      <c r="T262" s="15">
        <f t="shared" si="47"/>
        <v>64764</v>
      </c>
      <c r="U262" s="15">
        <f t="shared" si="48"/>
        <v>1619.1</v>
      </c>
      <c r="V262" s="15">
        <f t="shared" si="49"/>
        <v>1799</v>
      </c>
      <c r="W262" s="17">
        <f>IF($T262="",1000000000000000,$T262)</f>
        <v>64764</v>
      </c>
      <c r="XFB262" s="5"/>
      <c r="XFC262" s="3"/>
    </row>
    <row r="263" spans="1:23 16382:16383" s="4" customFormat="1" ht="28.5" customHeight="1">
      <c r="A263" s="14">
        <f t="shared" si="39"/>
        <v>226</v>
      </c>
      <c r="B263" s="14" t="s">
        <v>10</v>
      </c>
      <c r="C263" s="14" t="s">
        <v>735</v>
      </c>
      <c r="D263" s="14" t="s">
        <v>56</v>
      </c>
      <c r="E263" s="14" t="s">
        <v>63</v>
      </c>
      <c r="F263" s="14" t="s">
        <v>736</v>
      </c>
      <c r="G263" s="15">
        <v>1799</v>
      </c>
      <c r="H263" s="15"/>
      <c r="I263" s="15"/>
      <c r="J263" s="15">
        <v>1799</v>
      </c>
      <c r="K263" s="15">
        <f t="shared" si="50"/>
        <v>0</v>
      </c>
      <c r="L263" s="15">
        <f t="shared" si="40"/>
        <v>1799</v>
      </c>
      <c r="M263" s="15" t="str">
        <f t="shared" si="41"/>
        <v/>
      </c>
      <c r="N263" s="15">
        <f t="shared" si="42"/>
        <v>1799</v>
      </c>
      <c r="O263" s="15" t="str">
        <f t="shared" si="43"/>
        <v>휘발유 71,960원</v>
      </c>
      <c r="P263" s="15">
        <f t="shared" si="44"/>
        <v>71960</v>
      </c>
      <c r="Q263" s="15" t="s">
        <v>47</v>
      </c>
      <c r="R263" s="16">
        <f t="shared" si="45"/>
        <v>0.1</v>
      </c>
      <c r="S263" s="15">
        <f t="shared" si="46"/>
        <v>7196</v>
      </c>
      <c r="T263" s="15">
        <f t="shared" si="47"/>
        <v>64764</v>
      </c>
      <c r="U263" s="15">
        <f t="shared" si="48"/>
        <v>1619.1</v>
      </c>
      <c r="V263" s="15">
        <f t="shared" si="49"/>
        <v>1799</v>
      </c>
      <c r="W263" s="17">
        <f>IF($T263="",1000000000000000,$T263)</f>
        <v>64764</v>
      </c>
      <c r="XFB263" s="5"/>
      <c r="XFC263" s="3"/>
    </row>
    <row r="264" spans="1:23 16382:16383" s="4" customFormat="1" ht="28.5" customHeight="1">
      <c r="A264" s="14">
        <f t="shared" si="39"/>
        <v>226</v>
      </c>
      <c r="B264" s="14" t="s">
        <v>10</v>
      </c>
      <c r="C264" s="14" t="s">
        <v>737</v>
      </c>
      <c r="D264" s="14" t="s">
        <v>95</v>
      </c>
      <c r="E264" s="14" t="s">
        <v>26</v>
      </c>
      <c r="F264" s="14" t="s">
        <v>738</v>
      </c>
      <c r="G264" s="15">
        <v>1799</v>
      </c>
      <c r="H264" s="15"/>
      <c r="I264" s="15"/>
      <c r="J264" s="15">
        <v>1799</v>
      </c>
      <c r="K264" s="15">
        <f t="shared" si="50"/>
        <v>0</v>
      </c>
      <c r="L264" s="15">
        <f t="shared" si="40"/>
        <v>1799</v>
      </c>
      <c r="M264" s="15" t="str">
        <f t="shared" si="41"/>
        <v/>
      </c>
      <c r="N264" s="15">
        <f t="shared" si="42"/>
        <v>1799</v>
      </c>
      <c r="O264" s="15" t="str">
        <f t="shared" si="43"/>
        <v>휘발유 71,960원</v>
      </c>
      <c r="P264" s="15">
        <f t="shared" si="44"/>
        <v>71960</v>
      </c>
      <c r="Q264" s="15" t="s">
        <v>47</v>
      </c>
      <c r="R264" s="16">
        <f t="shared" si="45"/>
        <v>0.1</v>
      </c>
      <c r="S264" s="15">
        <f t="shared" si="46"/>
        <v>7196</v>
      </c>
      <c r="T264" s="15">
        <f t="shared" si="47"/>
        <v>64764</v>
      </c>
      <c r="U264" s="15">
        <f t="shared" si="48"/>
        <v>1619.1</v>
      </c>
      <c r="V264" s="15">
        <f t="shared" si="49"/>
        <v>1799</v>
      </c>
      <c r="W264" s="17">
        <f>IF($T264="",1000000000000000,$T264)</f>
        <v>64764</v>
      </c>
      <c r="XFB264" s="5"/>
      <c r="XFC264" s="3"/>
    </row>
    <row r="265" spans="1:23 16382:16383" s="4" customFormat="1" ht="28.5" customHeight="1">
      <c r="A265" s="14">
        <f t="shared" si="39"/>
        <v>226</v>
      </c>
      <c r="B265" s="14" t="s">
        <v>10</v>
      </c>
      <c r="C265" s="14" t="s">
        <v>725</v>
      </c>
      <c r="D265" s="14" t="s">
        <v>51</v>
      </c>
      <c r="E265" s="14" t="s">
        <v>26</v>
      </c>
      <c r="F265" s="14" t="s">
        <v>739</v>
      </c>
      <c r="G265" s="15">
        <v>1799</v>
      </c>
      <c r="H265" s="15"/>
      <c r="I265" s="15"/>
      <c r="J265" s="15">
        <v>1799</v>
      </c>
      <c r="K265" s="15">
        <f t="shared" si="50"/>
        <v>0</v>
      </c>
      <c r="L265" s="15">
        <f t="shared" si="40"/>
        <v>1799</v>
      </c>
      <c r="M265" s="15" t="str">
        <f t="shared" si="41"/>
        <v/>
      </c>
      <c r="N265" s="15">
        <f t="shared" si="42"/>
        <v>1799</v>
      </c>
      <c r="O265" s="15" t="str">
        <f t="shared" si="43"/>
        <v>휘발유 71,960원</v>
      </c>
      <c r="P265" s="15">
        <f t="shared" si="44"/>
        <v>71960</v>
      </c>
      <c r="Q265" s="15" t="s">
        <v>47</v>
      </c>
      <c r="R265" s="16">
        <f t="shared" si="45"/>
        <v>0.1</v>
      </c>
      <c r="S265" s="15">
        <f t="shared" si="46"/>
        <v>7196</v>
      </c>
      <c r="T265" s="15">
        <f t="shared" si="47"/>
        <v>64764</v>
      </c>
      <c r="U265" s="15">
        <f t="shared" si="48"/>
        <v>1619.1</v>
      </c>
      <c r="V265" s="15">
        <f t="shared" si="49"/>
        <v>1799</v>
      </c>
      <c r="W265" s="17">
        <f>IF($T265="",1000000000000000,$T265)</f>
        <v>64764</v>
      </c>
      <c r="XFB265" s="5"/>
      <c r="XFC265" s="3"/>
    </row>
    <row r="266" spans="1:23 16382:16383" s="4" customFormat="1" ht="28.5" customHeight="1">
      <c r="A266" s="14">
        <f t="shared" si="39"/>
        <v>226</v>
      </c>
      <c r="B266" s="14" t="s">
        <v>10</v>
      </c>
      <c r="C266" s="14" t="s">
        <v>740</v>
      </c>
      <c r="D266" s="14" t="s">
        <v>56</v>
      </c>
      <c r="E266" s="14" t="s">
        <v>26</v>
      </c>
      <c r="F266" s="14" t="s">
        <v>741</v>
      </c>
      <c r="G266" s="15">
        <v>1799</v>
      </c>
      <c r="H266" s="15"/>
      <c r="I266" s="15"/>
      <c r="J266" s="15">
        <v>1799</v>
      </c>
      <c r="K266" s="15">
        <f t="shared" si="50"/>
        <v>0</v>
      </c>
      <c r="L266" s="15">
        <f t="shared" si="40"/>
        <v>1799</v>
      </c>
      <c r="M266" s="15" t="str">
        <f t="shared" si="41"/>
        <v/>
      </c>
      <c r="N266" s="15">
        <f t="shared" si="42"/>
        <v>1799</v>
      </c>
      <c r="O266" s="15" t="str">
        <f t="shared" si="43"/>
        <v>휘발유 71,960원</v>
      </c>
      <c r="P266" s="15">
        <f t="shared" si="44"/>
        <v>71960</v>
      </c>
      <c r="Q266" s="15" t="s">
        <v>47</v>
      </c>
      <c r="R266" s="16">
        <f t="shared" si="45"/>
        <v>0.1</v>
      </c>
      <c r="S266" s="15">
        <f t="shared" si="46"/>
        <v>7196</v>
      </c>
      <c r="T266" s="15">
        <f t="shared" si="47"/>
        <v>64764</v>
      </c>
      <c r="U266" s="15">
        <f t="shared" si="48"/>
        <v>1619.1</v>
      </c>
      <c r="V266" s="15">
        <f t="shared" si="49"/>
        <v>1799</v>
      </c>
      <c r="W266" s="17">
        <f>IF($T266="",1000000000000000,$T266)</f>
        <v>64764</v>
      </c>
      <c r="XFB266" s="5"/>
      <c r="XFC266" s="3"/>
    </row>
    <row r="267" spans="1:23 16382:16383" s="4" customFormat="1" ht="28.5" customHeight="1">
      <c r="A267" s="14">
        <f t="shared" si="39"/>
        <v>226</v>
      </c>
      <c r="B267" s="14" t="s">
        <v>10</v>
      </c>
      <c r="C267" s="14" t="s">
        <v>742</v>
      </c>
      <c r="D267" s="18" t="s">
        <v>86</v>
      </c>
      <c r="E267" s="14" t="s">
        <v>63</v>
      </c>
      <c r="F267" s="14" t="s">
        <v>743</v>
      </c>
      <c r="G267" s="15">
        <v>1799</v>
      </c>
      <c r="H267" s="15"/>
      <c r="I267" s="15"/>
      <c r="J267" s="15">
        <v>1799</v>
      </c>
      <c r="K267" s="15">
        <f t="shared" si="50"/>
        <v>0</v>
      </c>
      <c r="L267" s="15">
        <f t="shared" si="40"/>
        <v>1799</v>
      </c>
      <c r="M267" s="15" t="str">
        <f t="shared" si="41"/>
        <v/>
      </c>
      <c r="N267" s="15">
        <f t="shared" si="42"/>
        <v>1799</v>
      </c>
      <c r="O267" s="15" t="str">
        <f t="shared" si="43"/>
        <v>휘발유 71,960원</v>
      </c>
      <c r="P267" s="15">
        <f t="shared" si="44"/>
        <v>71960</v>
      </c>
      <c r="Q267" s="15" t="s">
        <v>47</v>
      </c>
      <c r="R267" s="16">
        <f t="shared" si="45"/>
        <v>0.1</v>
      </c>
      <c r="S267" s="15">
        <f t="shared" si="46"/>
        <v>7196</v>
      </c>
      <c r="T267" s="15">
        <f t="shared" si="47"/>
        <v>64764</v>
      </c>
      <c r="U267" s="15">
        <f t="shared" si="48"/>
        <v>1619.1</v>
      </c>
      <c r="V267" s="15">
        <f t="shared" si="49"/>
        <v>1799</v>
      </c>
      <c r="W267" s="17">
        <f>IF($T267="",1000000000000000,$T267)</f>
        <v>64764</v>
      </c>
      <c r="XFB267" s="5"/>
      <c r="XFC267" s="3"/>
    </row>
    <row r="268" spans="1:23 16382:16383" s="4" customFormat="1" ht="28.5" customHeight="1">
      <c r="A268" s="14">
        <f t="shared" si="39"/>
        <v>226</v>
      </c>
      <c r="B268" s="14" t="s">
        <v>10</v>
      </c>
      <c r="C268" s="14" t="s">
        <v>552</v>
      </c>
      <c r="D268" s="14" t="s">
        <v>45</v>
      </c>
      <c r="E268" s="14" t="s">
        <v>26</v>
      </c>
      <c r="F268" s="14" t="s">
        <v>744</v>
      </c>
      <c r="G268" s="15">
        <v>1799</v>
      </c>
      <c r="H268" s="15"/>
      <c r="I268" s="15"/>
      <c r="J268" s="15">
        <v>1799</v>
      </c>
      <c r="K268" s="15">
        <f t="shared" si="50"/>
        <v>0</v>
      </c>
      <c r="L268" s="15">
        <f t="shared" si="40"/>
        <v>1799</v>
      </c>
      <c r="M268" s="15" t="str">
        <f t="shared" si="41"/>
        <v/>
      </c>
      <c r="N268" s="15">
        <f t="shared" si="42"/>
        <v>1799</v>
      </c>
      <c r="O268" s="15" t="str">
        <f t="shared" si="43"/>
        <v>휘발유 71,960원</v>
      </c>
      <c r="P268" s="15">
        <f t="shared" si="44"/>
        <v>71960</v>
      </c>
      <c r="Q268" s="15" t="s">
        <v>47</v>
      </c>
      <c r="R268" s="16">
        <f t="shared" si="45"/>
        <v>0.1</v>
      </c>
      <c r="S268" s="15">
        <f t="shared" si="46"/>
        <v>7196</v>
      </c>
      <c r="T268" s="15">
        <f t="shared" si="47"/>
        <v>64764</v>
      </c>
      <c r="U268" s="15">
        <f t="shared" si="48"/>
        <v>1619.1</v>
      </c>
      <c r="V268" s="15">
        <f t="shared" si="49"/>
        <v>1799</v>
      </c>
      <c r="W268" s="17">
        <f>IF($T268="",1000000000000000,$T268)</f>
        <v>64764</v>
      </c>
      <c r="XFB268" s="5"/>
      <c r="XFC268" s="3"/>
    </row>
    <row r="269" spans="1:23 16382:16383" s="4" customFormat="1" ht="28.5" customHeight="1">
      <c r="A269" s="14">
        <f t="shared" si="39"/>
        <v>226</v>
      </c>
      <c r="B269" s="14" t="s">
        <v>10</v>
      </c>
      <c r="C269" s="14" t="s">
        <v>747</v>
      </c>
      <c r="D269" s="14" t="s">
        <v>51</v>
      </c>
      <c r="E269" s="14" t="s">
        <v>26</v>
      </c>
      <c r="F269" s="14" t="s">
        <v>748</v>
      </c>
      <c r="G269" s="15">
        <v>1799</v>
      </c>
      <c r="H269" s="15"/>
      <c r="I269" s="15"/>
      <c r="J269" s="15">
        <v>1809</v>
      </c>
      <c r="K269" s="15">
        <f t="shared" si="50"/>
        <v>0</v>
      </c>
      <c r="L269" s="15">
        <f t="shared" si="40"/>
        <v>1799</v>
      </c>
      <c r="M269" s="15" t="str">
        <f t="shared" si="41"/>
        <v/>
      </c>
      <c r="N269" s="15">
        <f t="shared" si="42"/>
        <v>1809</v>
      </c>
      <c r="O269" s="15" t="str">
        <f t="shared" si="43"/>
        <v>휘발유 71,960원</v>
      </c>
      <c r="P269" s="15">
        <f t="shared" si="44"/>
        <v>71960</v>
      </c>
      <c r="Q269" s="15" t="s">
        <v>47</v>
      </c>
      <c r="R269" s="16">
        <f t="shared" si="45"/>
        <v>0.1</v>
      </c>
      <c r="S269" s="15">
        <f t="shared" si="46"/>
        <v>7196</v>
      </c>
      <c r="T269" s="15">
        <f t="shared" si="47"/>
        <v>64764</v>
      </c>
      <c r="U269" s="15">
        <f t="shared" si="48"/>
        <v>1619.1</v>
      </c>
      <c r="V269" s="15">
        <f t="shared" si="49"/>
        <v>1799</v>
      </c>
      <c r="W269" s="17">
        <f>IF($T269="",1000000000000000,$T269)</f>
        <v>64764</v>
      </c>
      <c r="XFB269" s="5"/>
      <c r="XFC269" s="3"/>
    </row>
    <row r="270" spans="1:23 16382:16383" s="4" customFormat="1" ht="28.5" customHeight="1">
      <c r="A270" s="14">
        <f t="shared" si="39"/>
        <v>226</v>
      </c>
      <c r="B270" s="14" t="s">
        <v>12</v>
      </c>
      <c r="C270" s="14" t="s">
        <v>731</v>
      </c>
      <c r="D270" s="18" t="s">
        <v>95</v>
      </c>
      <c r="E270" s="14" t="s">
        <v>26</v>
      </c>
      <c r="F270" s="14" t="s">
        <v>732</v>
      </c>
      <c r="G270" s="15">
        <v>1799</v>
      </c>
      <c r="H270" s="15"/>
      <c r="I270" s="15"/>
      <c r="J270" s="15">
        <v>1839</v>
      </c>
      <c r="K270" s="15">
        <f t="shared" si="50"/>
        <v>0</v>
      </c>
      <c r="L270" s="15">
        <f t="shared" si="40"/>
        <v>1799</v>
      </c>
      <c r="M270" s="15" t="str">
        <f t="shared" si="41"/>
        <v/>
      </c>
      <c r="N270" s="15">
        <f t="shared" si="42"/>
        <v>1839</v>
      </c>
      <c r="O270" s="15" t="str">
        <f t="shared" si="43"/>
        <v>휘발유 71,960원</v>
      </c>
      <c r="P270" s="15">
        <f t="shared" si="44"/>
        <v>71960</v>
      </c>
      <c r="Q270" s="15" t="s">
        <v>47</v>
      </c>
      <c r="R270" s="16">
        <f t="shared" si="45"/>
        <v>0.1</v>
      </c>
      <c r="S270" s="15">
        <f t="shared" si="46"/>
        <v>7196</v>
      </c>
      <c r="T270" s="15">
        <f t="shared" si="47"/>
        <v>64764</v>
      </c>
      <c r="U270" s="15">
        <f t="shared" si="48"/>
        <v>1619.1</v>
      </c>
      <c r="V270" s="15">
        <f t="shared" si="49"/>
        <v>1799</v>
      </c>
      <c r="W270" s="17">
        <f>IF($T270="",1000000000000000,$T270)</f>
        <v>64764</v>
      </c>
      <c r="XFB270" s="5"/>
      <c r="XFC270" s="3"/>
    </row>
    <row r="271" spans="1:23 16382:16383" s="4" customFormat="1" ht="28.5" customHeight="1">
      <c r="A271" s="14">
        <f t="shared" ref="A271:A334" si="51">IF($T271="","",1+COUNTIF($W$15:$W$890,"&lt;"&amp;W271))</f>
        <v>257</v>
      </c>
      <c r="B271" s="14" t="s">
        <v>14</v>
      </c>
      <c r="C271" s="14" t="s">
        <v>751</v>
      </c>
      <c r="D271" s="14" t="s">
        <v>95</v>
      </c>
      <c r="E271" s="14" t="s">
        <v>63</v>
      </c>
      <c r="F271" s="14" t="s">
        <v>752</v>
      </c>
      <c r="G271" s="15">
        <v>1825</v>
      </c>
      <c r="H271" s="15"/>
      <c r="I271" s="15"/>
      <c r="J271" s="15">
        <v>1815</v>
      </c>
      <c r="K271" s="15">
        <f t="shared" si="50"/>
        <v>0</v>
      </c>
      <c r="L271" s="15">
        <f t="shared" ref="L271:L334" si="52">IF($G271="","",$G271+$K271)</f>
        <v>1825</v>
      </c>
      <c r="M271" s="15" t="str">
        <f t="shared" ref="M271:M334" si="53">IF($H271="","",$H271+$K271)</f>
        <v/>
      </c>
      <c r="N271" s="15">
        <f t="shared" ref="N271:N334" si="54">IF($J271="","",$J271+$K271)</f>
        <v>1815</v>
      </c>
      <c r="O271" s="15" t="str">
        <f t="shared" ref="O271:O334" si="55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>휘발유 73,000원</v>
      </c>
      <c r="P271" s="15">
        <f t="shared" ref="P271:P334" si="56">IF($B$10=0,"",IFERROR(IF($B$4&gt;0,IF($L271="",1/0,$L271*$B$4),0)+IF($B$5&gt;0,IF($M271="",1/0,$M271*$B$5),0)+IF($B$6&gt;0,IF($N271="",1/0,$N271*$B$6),0),""))</f>
        <v>73000</v>
      </c>
      <c r="Q271" s="15" t="s">
        <v>47</v>
      </c>
      <c r="R271" s="16">
        <f t="shared" ref="R271:R334" si="57">IF($P271="","",IF($Q271="Y",IFERROR(VLOOKUP($B271,$C$4:$D$13,2,FALSE()),0),0))</f>
        <v>0.11</v>
      </c>
      <c r="S271" s="15">
        <f t="shared" ref="S271:S334" si="58">IF($P271="","",ROUNDDOWN($P271*$R271,0))</f>
        <v>8030</v>
      </c>
      <c r="T271" s="15">
        <f t="shared" ref="T271:T334" si="59">IF($P271="","",$P271-$S271)</f>
        <v>64970</v>
      </c>
      <c r="U271" s="15">
        <f t="shared" ref="U271:U334" si="60">IF($T271="","",IF($B$10=0,"",$T271/$B$10))</f>
        <v>1624.25</v>
      </c>
      <c r="V271" s="15">
        <f t="shared" si="49"/>
        <v>1825</v>
      </c>
      <c r="W271" s="17">
        <f>IF($T271="",1000000000000000,$T271)</f>
        <v>64970</v>
      </c>
      <c r="XFB271" s="5"/>
      <c r="XFC271" s="3"/>
    </row>
    <row r="272" spans="1:23 16382:16383" s="4" customFormat="1" ht="28.5" customHeight="1">
      <c r="A272" s="14">
        <f t="shared" si="51"/>
        <v>258</v>
      </c>
      <c r="B272" s="14" t="s">
        <v>8</v>
      </c>
      <c r="C272" s="14" t="s">
        <v>753</v>
      </c>
      <c r="D272" s="14" t="s">
        <v>95</v>
      </c>
      <c r="E272" s="14" t="s">
        <v>26</v>
      </c>
      <c r="F272" s="14" t="s">
        <v>754</v>
      </c>
      <c r="G272" s="15">
        <v>1805</v>
      </c>
      <c r="H272" s="15"/>
      <c r="I272" s="15"/>
      <c r="J272" s="15">
        <v>1795</v>
      </c>
      <c r="K272" s="15">
        <f t="shared" si="50"/>
        <v>0</v>
      </c>
      <c r="L272" s="15">
        <f t="shared" si="52"/>
        <v>1805</v>
      </c>
      <c r="M272" s="15" t="str">
        <f t="shared" si="53"/>
        <v/>
      </c>
      <c r="N272" s="15">
        <f t="shared" si="54"/>
        <v>1795</v>
      </c>
      <c r="O272" s="15" t="str">
        <f t="shared" si="55"/>
        <v>휘발유 72,200원</v>
      </c>
      <c r="P272" s="15">
        <f t="shared" si="56"/>
        <v>72200</v>
      </c>
      <c r="Q272" s="15" t="s">
        <v>47</v>
      </c>
      <c r="R272" s="16">
        <f t="shared" si="57"/>
        <v>0.1</v>
      </c>
      <c r="S272" s="15">
        <f t="shared" si="58"/>
        <v>7220</v>
      </c>
      <c r="T272" s="15">
        <f t="shared" si="59"/>
        <v>64980</v>
      </c>
      <c r="U272" s="15">
        <f t="shared" si="60"/>
        <v>1624.5</v>
      </c>
      <c r="V272" s="15">
        <f t="shared" si="49"/>
        <v>1805</v>
      </c>
      <c r="W272" s="17">
        <f>IF($T272="",1000000000000000,$T272)</f>
        <v>64980</v>
      </c>
      <c r="XFB272" s="5"/>
      <c r="XFC272" s="3"/>
    </row>
    <row r="273" spans="1:23 16382:16383" s="4" customFormat="1" ht="28.5" customHeight="1">
      <c r="A273" s="14">
        <f t="shared" si="51"/>
        <v>259</v>
      </c>
      <c r="B273" s="14" t="s">
        <v>14</v>
      </c>
      <c r="C273" s="14" t="s">
        <v>755</v>
      </c>
      <c r="D273" s="14" t="s">
        <v>95</v>
      </c>
      <c r="E273" s="14" t="s">
        <v>26</v>
      </c>
      <c r="F273" s="14" t="s">
        <v>756</v>
      </c>
      <c r="G273" s="15">
        <v>1828</v>
      </c>
      <c r="H273" s="15"/>
      <c r="I273" s="15"/>
      <c r="J273" s="15">
        <v>1818</v>
      </c>
      <c r="K273" s="15">
        <f t="shared" si="50"/>
        <v>0</v>
      </c>
      <c r="L273" s="15">
        <f t="shared" si="52"/>
        <v>1828</v>
      </c>
      <c r="M273" s="15" t="str">
        <f t="shared" si="53"/>
        <v/>
      </c>
      <c r="N273" s="15">
        <f t="shared" si="54"/>
        <v>1818</v>
      </c>
      <c r="O273" s="15" t="str">
        <f t="shared" si="55"/>
        <v>휘발유 73,120원</v>
      </c>
      <c r="P273" s="15">
        <f t="shared" si="56"/>
        <v>73120</v>
      </c>
      <c r="Q273" s="15" t="s">
        <v>47</v>
      </c>
      <c r="R273" s="16">
        <f t="shared" si="57"/>
        <v>0.11</v>
      </c>
      <c r="S273" s="15">
        <f t="shared" si="58"/>
        <v>8043</v>
      </c>
      <c r="T273" s="15">
        <f t="shared" si="59"/>
        <v>65077</v>
      </c>
      <c r="U273" s="15">
        <f t="shared" si="60"/>
        <v>1626.925</v>
      </c>
      <c r="V273" s="15">
        <f t="shared" si="49"/>
        <v>1828</v>
      </c>
      <c r="W273" s="17">
        <f>IF($T273="",1000000000000000,$T273)</f>
        <v>65077</v>
      </c>
      <c r="XFB273" s="5"/>
      <c r="XFC273" s="3"/>
    </row>
    <row r="274" spans="1:23 16382:16383" s="4" customFormat="1" ht="28.5" customHeight="1">
      <c r="A274" s="14">
        <f t="shared" si="51"/>
        <v>260</v>
      </c>
      <c r="B274" s="14" t="s">
        <v>16</v>
      </c>
      <c r="C274" s="14" t="s">
        <v>757</v>
      </c>
      <c r="D274" s="18" t="s">
        <v>86</v>
      </c>
      <c r="E274" s="14" t="s">
        <v>26</v>
      </c>
      <c r="F274" s="14" t="s">
        <v>758</v>
      </c>
      <c r="G274" s="15">
        <v>1849</v>
      </c>
      <c r="H274" s="15"/>
      <c r="I274" s="15"/>
      <c r="J274" s="15">
        <v>1839</v>
      </c>
      <c r="K274" s="15">
        <f t="shared" si="50"/>
        <v>0</v>
      </c>
      <c r="L274" s="15">
        <f t="shared" si="52"/>
        <v>1849</v>
      </c>
      <c r="M274" s="15" t="str">
        <f t="shared" si="53"/>
        <v/>
      </c>
      <c r="N274" s="15">
        <f t="shared" si="54"/>
        <v>1839</v>
      </c>
      <c r="O274" s="15" t="str">
        <f t="shared" si="55"/>
        <v>휘발유 73,960원</v>
      </c>
      <c r="P274" s="15">
        <f t="shared" si="56"/>
        <v>73960</v>
      </c>
      <c r="Q274" s="15" t="s">
        <v>47</v>
      </c>
      <c r="R274" s="16">
        <f t="shared" si="57"/>
        <v>0.12</v>
      </c>
      <c r="S274" s="15">
        <f t="shared" si="58"/>
        <v>8875</v>
      </c>
      <c r="T274" s="15">
        <f t="shared" si="59"/>
        <v>65085</v>
      </c>
      <c r="U274" s="15">
        <f t="shared" si="60"/>
        <v>1627.125</v>
      </c>
      <c r="V274" s="15">
        <f t="shared" si="49"/>
        <v>1849</v>
      </c>
      <c r="W274" s="17">
        <f>IF($T274="",1000000000000000,$T274)</f>
        <v>65085</v>
      </c>
      <c r="XFB274" s="5"/>
      <c r="XFC274" s="3"/>
    </row>
    <row r="275" spans="1:23 16382:16383" s="4" customFormat="1" ht="28.5" customHeight="1">
      <c r="A275" s="14">
        <f t="shared" si="51"/>
        <v>260</v>
      </c>
      <c r="B275" s="14" t="s">
        <v>16</v>
      </c>
      <c r="C275" s="14" t="s">
        <v>759</v>
      </c>
      <c r="D275" s="18" t="s">
        <v>86</v>
      </c>
      <c r="E275" s="14" t="s">
        <v>63</v>
      </c>
      <c r="F275" s="14" t="s">
        <v>760</v>
      </c>
      <c r="G275" s="15">
        <v>1849</v>
      </c>
      <c r="H275" s="15"/>
      <c r="I275" s="15"/>
      <c r="J275" s="15">
        <v>1849</v>
      </c>
      <c r="K275" s="15">
        <f t="shared" si="50"/>
        <v>0</v>
      </c>
      <c r="L275" s="15">
        <f t="shared" si="52"/>
        <v>1849</v>
      </c>
      <c r="M275" s="15" t="str">
        <f t="shared" si="53"/>
        <v/>
      </c>
      <c r="N275" s="15">
        <f t="shared" si="54"/>
        <v>1849</v>
      </c>
      <c r="O275" s="15" t="str">
        <f t="shared" si="55"/>
        <v>휘발유 73,960원</v>
      </c>
      <c r="P275" s="15">
        <f t="shared" si="56"/>
        <v>73960</v>
      </c>
      <c r="Q275" s="15" t="s">
        <v>47</v>
      </c>
      <c r="R275" s="16">
        <f t="shared" si="57"/>
        <v>0.12</v>
      </c>
      <c r="S275" s="15">
        <f t="shared" si="58"/>
        <v>8875</v>
      </c>
      <c r="T275" s="15">
        <f t="shared" si="59"/>
        <v>65085</v>
      </c>
      <c r="U275" s="15">
        <f t="shared" si="60"/>
        <v>1627.125</v>
      </c>
      <c r="V275" s="15">
        <f t="shared" si="49"/>
        <v>1849</v>
      </c>
      <c r="W275" s="17">
        <f>IF($T275="",1000000000000000,$T275)</f>
        <v>65085</v>
      </c>
      <c r="XFB275" s="5"/>
      <c r="XFC275" s="3"/>
    </row>
    <row r="276" spans="1:23 16382:16383" s="4" customFormat="1" ht="28.5" customHeight="1">
      <c r="A276" s="14">
        <f t="shared" si="51"/>
        <v>262</v>
      </c>
      <c r="B276" s="14" t="s">
        <v>6</v>
      </c>
      <c r="C276" s="14" t="s">
        <v>121</v>
      </c>
      <c r="D276" s="18" t="s">
        <v>86</v>
      </c>
      <c r="E276" s="14" t="s">
        <v>26</v>
      </c>
      <c r="F276" s="14" t="s">
        <v>122</v>
      </c>
      <c r="G276" s="15">
        <v>1808</v>
      </c>
      <c r="H276" s="15">
        <v>2015</v>
      </c>
      <c r="I276" s="15"/>
      <c r="J276" s="15">
        <v>1805</v>
      </c>
      <c r="K276" s="15">
        <f t="shared" si="50"/>
        <v>0</v>
      </c>
      <c r="L276" s="15">
        <f t="shared" si="52"/>
        <v>1808</v>
      </c>
      <c r="M276" s="15">
        <f t="shared" si="53"/>
        <v>2015</v>
      </c>
      <c r="N276" s="15">
        <f t="shared" si="54"/>
        <v>1805</v>
      </c>
      <c r="O276" s="15" t="str">
        <f t="shared" si="55"/>
        <v>휘발유 72,320원</v>
      </c>
      <c r="P276" s="15">
        <f t="shared" si="56"/>
        <v>72320</v>
      </c>
      <c r="Q276" s="15" t="s">
        <v>47</v>
      </c>
      <c r="R276" s="16">
        <f t="shared" si="57"/>
        <v>0.1</v>
      </c>
      <c r="S276" s="15">
        <f t="shared" si="58"/>
        <v>7232</v>
      </c>
      <c r="T276" s="15">
        <f t="shared" si="59"/>
        <v>65088</v>
      </c>
      <c r="U276" s="15">
        <f t="shared" si="60"/>
        <v>1627.2</v>
      </c>
      <c r="V276" s="15">
        <f t="shared" si="49"/>
        <v>1808</v>
      </c>
      <c r="W276" s="17">
        <f>IF($T276="",1000000000000000,$T276)</f>
        <v>65088</v>
      </c>
      <c r="XFB276" s="5"/>
      <c r="XFC276" s="3"/>
    </row>
    <row r="277" spans="1:23 16382:16383" s="4" customFormat="1" ht="28.5" customHeight="1">
      <c r="A277" s="14">
        <f t="shared" si="51"/>
        <v>262</v>
      </c>
      <c r="B277" s="14" t="s">
        <v>6</v>
      </c>
      <c r="C277" s="14" t="s">
        <v>761</v>
      </c>
      <c r="D277" s="14" t="s">
        <v>95</v>
      </c>
      <c r="E277" s="14" t="s">
        <v>63</v>
      </c>
      <c r="F277" s="14" t="s">
        <v>762</v>
      </c>
      <c r="G277" s="15">
        <v>1808</v>
      </c>
      <c r="H277" s="15"/>
      <c r="I277" s="15"/>
      <c r="J277" s="15">
        <v>1795</v>
      </c>
      <c r="K277" s="15">
        <f t="shared" si="50"/>
        <v>0</v>
      </c>
      <c r="L277" s="15">
        <f t="shared" si="52"/>
        <v>1808</v>
      </c>
      <c r="M277" s="15" t="str">
        <f t="shared" si="53"/>
        <v/>
      </c>
      <c r="N277" s="15">
        <f t="shared" si="54"/>
        <v>1795</v>
      </c>
      <c r="O277" s="15" t="str">
        <f t="shared" si="55"/>
        <v>휘발유 72,320원</v>
      </c>
      <c r="P277" s="15">
        <f t="shared" si="56"/>
        <v>72320</v>
      </c>
      <c r="Q277" s="15" t="s">
        <v>47</v>
      </c>
      <c r="R277" s="16">
        <f t="shared" si="57"/>
        <v>0.1</v>
      </c>
      <c r="S277" s="15">
        <f t="shared" si="58"/>
        <v>7232</v>
      </c>
      <c r="T277" s="15">
        <f t="shared" si="59"/>
        <v>65088</v>
      </c>
      <c r="U277" s="15">
        <f t="shared" si="60"/>
        <v>1627.2</v>
      </c>
      <c r="V277" s="15">
        <f t="shared" si="49"/>
        <v>1808</v>
      </c>
      <c r="W277" s="17">
        <f>IF($T277="",1000000000000000,$T277)</f>
        <v>65088</v>
      </c>
      <c r="XFB277" s="5"/>
      <c r="XFC277" s="3"/>
    </row>
    <row r="278" spans="1:23 16382:16383" s="4" customFormat="1" ht="28.5" customHeight="1">
      <c r="A278" s="14">
        <f t="shared" si="51"/>
        <v>264</v>
      </c>
      <c r="B278" s="14" t="s">
        <v>14</v>
      </c>
      <c r="C278" s="14" t="s">
        <v>763</v>
      </c>
      <c r="D278" s="18" t="s">
        <v>86</v>
      </c>
      <c r="E278" s="14" t="s">
        <v>63</v>
      </c>
      <c r="F278" s="14" t="s">
        <v>764</v>
      </c>
      <c r="G278" s="15">
        <v>1829</v>
      </c>
      <c r="H278" s="15"/>
      <c r="I278" s="15"/>
      <c r="J278" s="15">
        <v>1819</v>
      </c>
      <c r="K278" s="15">
        <f t="shared" si="50"/>
        <v>0</v>
      </c>
      <c r="L278" s="15">
        <f t="shared" si="52"/>
        <v>1829</v>
      </c>
      <c r="M278" s="15" t="str">
        <f t="shared" si="53"/>
        <v/>
      </c>
      <c r="N278" s="15">
        <f t="shared" si="54"/>
        <v>1819</v>
      </c>
      <c r="O278" s="15" t="str">
        <f t="shared" si="55"/>
        <v>휘발유 73,160원</v>
      </c>
      <c r="P278" s="15">
        <f t="shared" si="56"/>
        <v>73160</v>
      </c>
      <c r="Q278" s="15" t="s">
        <v>47</v>
      </c>
      <c r="R278" s="16">
        <f t="shared" si="57"/>
        <v>0.11</v>
      </c>
      <c r="S278" s="15">
        <f t="shared" si="58"/>
        <v>8047</v>
      </c>
      <c r="T278" s="15">
        <f t="shared" si="59"/>
        <v>65113</v>
      </c>
      <c r="U278" s="15">
        <f t="shared" si="60"/>
        <v>1627.825</v>
      </c>
      <c r="V278" s="15">
        <f t="shared" si="49"/>
        <v>1829</v>
      </c>
      <c r="W278" s="17">
        <f>IF($T278="",1000000000000000,$T278)</f>
        <v>65113</v>
      </c>
      <c r="XFB278" s="5"/>
      <c r="XFC278" s="3"/>
    </row>
    <row r="279" spans="1:23 16382:16383" s="4" customFormat="1" ht="28.5" customHeight="1">
      <c r="A279" s="14">
        <f t="shared" si="51"/>
        <v>264</v>
      </c>
      <c r="B279" s="14" t="s">
        <v>14</v>
      </c>
      <c r="C279" s="14" t="s">
        <v>765</v>
      </c>
      <c r="D279" s="14" t="s">
        <v>45</v>
      </c>
      <c r="E279" s="14" t="s">
        <v>26</v>
      </c>
      <c r="F279" s="14" t="s">
        <v>766</v>
      </c>
      <c r="G279" s="15">
        <v>1829</v>
      </c>
      <c r="H279" s="15"/>
      <c r="I279" s="15"/>
      <c r="J279" s="15">
        <v>1839</v>
      </c>
      <c r="K279" s="15">
        <f t="shared" si="50"/>
        <v>0</v>
      </c>
      <c r="L279" s="15">
        <f t="shared" si="52"/>
        <v>1829</v>
      </c>
      <c r="M279" s="15" t="str">
        <f t="shared" si="53"/>
        <v/>
      </c>
      <c r="N279" s="15">
        <f t="shared" si="54"/>
        <v>1839</v>
      </c>
      <c r="O279" s="15" t="str">
        <f t="shared" si="55"/>
        <v>휘발유 73,160원</v>
      </c>
      <c r="P279" s="15">
        <f t="shared" si="56"/>
        <v>73160</v>
      </c>
      <c r="Q279" s="15" t="s">
        <v>47</v>
      </c>
      <c r="R279" s="16">
        <f t="shared" si="57"/>
        <v>0.11</v>
      </c>
      <c r="S279" s="15">
        <f t="shared" si="58"/>
        <v>8047</v>
      </c>
      <c r="T279" s="15">
        <f t="shared" si="59"/>
        <v>65113</v>
      </c>
      <c r="U279" s="15">
        <f t="shared" si="60"/>
        <v>1627.825</v>
      </c>
      <c r="V279" s="15">
        <f t="shared" ref="V279:V342" si="61">IF($P279="","",IF($B$10=0,"",$P279/$B$10))</f>
        <v>1829</v>
      </c>
      <c r="W279" s="17">
        <f>IF($T279="",1000000000000000,$T279)</f>
        <v>65113</v>
      </c>
      <c r="XFB279" s="5"/>
      <c r="XFC279" s="3"/>
    </row>
    <row r="280" spans="1:23 16382:16383" s="4" customFormat="1" ht="28.5" customHeight="1">
      <c r="A280" s="14">
        <f t="shared" si="51"/>
        <v>266</v>
      </c>
      <c r="B280" s="14" t="s">
        <v>16</v>
      </c>
      <c r="C280" s="14" t="s">
        <v>869</v>
      </c>
      <c r="D280" s="14" t="s">
        <v>45</v>
      </c>
      <c r="E280" s="14" t="s">
        <v>26</v>
      </c>
      <c r="F280" s="14" t="s">
        <v>870</v>
      </c>
      <c r="G280" s="15">
        <v>1850</v>
      </c>
      <c r="H280" s="15"/>
      <c r="I280" s="15"/>
      <c r="J280" s="15">
        <v>1850</v>
      </c>
      <c r="K280" s="15">
        <f t="shared" si="50"/>
        <v>0</v>
      </c>
      <c r="L280" s="15">
        <f t="shared" si="52"/>
        <v>1850</v>
      </c>
      <c r="M280" s="15" t="str">
        <f t="shared" si="53"/>
        <v/>
      </c>
      <c r="N280" s="15">
        <f t="shared" si="54"/>
        <v>1850</v>
      </c>
      <c r="O280" s="15" t="str">
        <f t="shared" si="55"/>
        <v>휘발유 74,000원</v>
      </c>
      <c r="P280" s="15">
        <f t="shared" si="56"/>
        <v>74000</v>
      </c>
      <c r="Q280" s="15" t="s">
        <v>47</v>
      </c>
      <c r="R280" s="16">
        <f t="shared" si="57"/>
        <v>0.12</v>
      </c>
      <c r="S280" s="15">
        <f t="shared" si="58"/>
        <v>8880</v>
      </c>
      <c r="T280" s="15">
        <f t="shared" si="59"/>
        <v>65120</v>
      </c>
      <c r="U280" s="15">
        <f t="shared" si="60"/>
        <v>1628</v>
      </c>
      <c r="V280" s="15">
        <f t="shared" si="61"/>
        <v>1850</v>
      </c>
      <c r="W280" s="17">
        <f>IF($T280="",1000000000000000,$T280)</f>
        <v>65120</v>
      </c>
      <c r="XFB280" s="5"/>
      <c r="XFC280" s="3"/>
    </row>
    <row r="281" spans="1:23 16382:16383" s="4" customFormat="1" ht="28.5" customHeight="1">
      <c r="A281" s="14">
        <f t="shared" si="51"/>
        <v>267</v>
      </c>
      <c r="B281" s="14" t="s">
        <v>8</v>
      </c>
      <c r="C281" s="14" t="s">
        <v>767</v>
      </c>
      <c r="D281" s="14" t="s">
        <v>95</v>
      </c>
      <c r="E281" s="14" t="s">
        <v>63</v>
      </c>
      <c r="F281" s="14" t="s">
        <v>768</v>
      </c>
      <c r="G281" s="15">
        <v>1809</v>
      </c>
      <c r="H281" s="15"/>
      <c r="I281" s="15"/>
      <c r="J281" s="15">
        <v>1799</v>
      </c>
      <c r="K281" s="15">
        <f t="shared" si="50"/>
        <v>0</v>
      </c>
      <c r="L281" s="15">
        <f t="shared" si="52"/>
        <v>1809</v>
      </c>
      <c r="M281" s="15" t="str">
        <f t="shared" si="53"/>
        <v/>
      </c>
      <c r="N281" s="15">
        <f t="shared" si="54"/>
        <v>1799</v>
      </c>
      <c r="O281" s="15" t="str">
        <f t="shared" si="55"/>
        <v>휘발유 72,360원</v>
      </c>
      <c r="P281" s="15">
        <f t="shared" si="56"/>
        <v>72360</v>
      </c>
      <c r="Q281" s="15" t="s">
        <v>47</v>
      </c>
      <c r="R281" s="16">
        <f t="shared" si="57"/>
        <v>0.1</v>
      </c>
      <c r="S281" s="15">
        <f t="shared" si="58"/>
        <v>7236</v>
      </c>
      <c r="T281" s="15">
        <f t="shared" si="59"/>
        <v>65124</v>
      </c>
      <c r="U281" s="15">
        <f t="shared" si="60"/>
        <v>1628.1</v>
      </c>
      <c r="V281" s="15">
        <f t="shared" si="61"/>
        <v>1809</v>
      </c>
      <c r="W281" s="17">
        <f>IF($T281="",1000000000000000,$T281)</f>
        <v>65124</v>
      </c>
      <c r="XFB281" s="5"/>
      <c r="XFC281" s="3"/>
    </row>
    <row r="282" spans="1:23 16382:16383" s="4" customFormat="1" ht="28.5" customHeight="1">
      <c r="A282" s="14">
        <f t="shared" si="51"/>
        <v>267</v>
      </c>
      <c r="B282" s="14" t="s">
        <v>10</v>
      </c>
      <c r="C282" s="14" t="s">
        <v>769</v>
      </c>
      <c r="D282" s="14" t="s">
        <v>45</v>
      </c>
      <c r="E282" s="14" t="s">
        <v>63</v>
      </c>
      <c r="F282" s="14" t="s">
        <v>770</v>
      </c>
      <c r="G282" s="15">
        <v>1809</v>
      </c>
      <c r="H282" s="15"/>
      <c r="I282" s="15"/>
      <c r="J282" s="15">
        <v>1799</v>
      </c>
      <c r="K282" s="15">
        <f t="shared" si="50"/>
        <v>0</v>
      </c>
      <c r="L282" s="15">
        <f t="shared" si="52"/>
        <v>1809</v>
      </c>
      <c r="M282" s="15" t="str">
        <f t="shared" si="53"/>
        <v/>
      </c>
      <c r="N282" s="15">
        <f t="shared" si="54"/>
        <v>1799</v>
      </c>
      <c r="O282" s="15" t="str">
        <f t="shared" si="55"/>
        <v>휘발유 72,360원</v>
      </c>
      <c r="P282" s="15">
        <f t="shared" si="56"/>
        <v>72360</v>
      </c>
      <c r="Q282" s="15" t="s">
        <v>47</v>
      </c>
      <c r="R282" s="16">
        <f t="shared" si="57"/>
        <v>0.1</v>
      </c>
      <c r="S282" s="15">
        <f t="shared" si="58"/>
        <v>7236</v>
      </c>
      <c r="T282" s="15">
        <f t="shared" si="59"/>
        <v>65124</v>
      </c>
      <c r="U282" s="15">
        <f t="shared" si="60"/>
        <v>1628.1</v>
      </c>
      <c r="V282" s="15">
        <f t="shared" si="61"/>
        <v>1809</v>
      </c>
      <c r="W282" s="17">
        <f>IF($T282="",1000000000000000,$T282)</f>
        <v>65124</v>
      </c>
      <c r="XFB282" s="5"/>
      <c r="XFC282" s="3"/>
    </row>
    <row r="283" spans="1:23 16382:16383" s="4" customFormat="1" ht="28.5" customHeight="1">
      <c r="A283" s="14">
        <f t="shared" si="51"/>
        <v>267</v>
      </c>
      <c r="B283" s="14" t="s">
        <v>6</v>
      </c>
      <c r="C283" s="14" t="s">
        <v>771</v>
      </c>
      <c r="D283" s="14" t="s">
        <v>51</v>
      </c>
      <c r="E283" s="14" t="s">
        <v>63</v>
      </c>
      <c r="F283" s="14" t="s">
        <v>772</v>
      </c>
      <c r="G283" s="15">
        <v>1809</v>
      </c>
      <c r="H283" s="15"/>
      <c r="I283" s="15"/>
      <c r="J283" s="15">
        <v>1809</v>
      </c>
      <c r="K283" s="15">
        <f t="shared" si="50"/>
        <v>0</v>
      </c>
      <c r="L283" s="15">
        <f t="shared" si="52"/>
        <v>1809</v>
      </c>
      <c r="M283" s="15" t="str">
        <f t="shared" si="53"/>
        <v/>
      </c>
      <c r="N283" s="15">
        <f t="shared" si="54"/>
        <v>1809</v>
      </c>
      <c r="O283" s="15" t="str">
        <f t="shared" si="55"/>
        <v>휘발유 72,360원</v>
      </c>
      <c r="P283" s="15">
        <f t="shared" si="56"/>
        <v>72360</v>
      </c>
      <c r="Q283" s="15" t="s">
        <v>47</v>
      </c>
      <c r="R283" s="16">
        <f t="shared" si="57"/>
        <v>0.1</v>
      </c>
      <c r="S283" s="15">
        <f t="shared" si="58"/>
        <v>7236</v>
      </c>
      <c r="T283" s="15">
        <f t="shared" si="59"/>
        <v>65124</v>
      </c>
      <c r="U283" s="15">
        <f t="shared" si="60"/>
        <v>1628.1</v>
      </c>
      <c r="V283" s="15">
        <f t="shared" si="61"/>
        <v>1809</v>
      </c>
      <c r="W283" s="17">
        <f>IF($T283="",1000000000000000,$T283)</f>
        <v>65124</v>
      </c>
      <c r="XFB283" s="5"/>
      <c r="XFC283" s="3"/>
    </row>
    <row r="284" spans="1:23 16382:16383" s="4" customFormat="1" ht="28.5" customHeight="1">
      <c r="A284" s="14">
        <f t="shared" si="51"/>
        <v>267</v>
      </c>
      <c r="B284" s="14" t="s">
        <v>12</v>
      </c>
      <c r="C284" s="14" t="s">
        <v>975</v>
      </c>
      <c r="D284" s="18" t="s">
        <v>95</v>
      </c>
      <c r="E284" s="14" t="s">
        <v>26</v>
      </c>
      <c r="F284" s="14" t="s">
        <v>976</v>
      </c>
      <c r="G284" s="15">
        <v>1809</v>
      </c>
      <c r="H284" s="15"/>
      <c r="I284" s="15"/>
      <c r="J284" s="15">
        <v>1809</v>
      </c>
      <c r="K284" s="15">
        <f t="shared" si="50"/>
        <v>0</v>
      </c>
      <c r="L284" s="15">
        <f t="shared" si="52"/>
        <v>1809</v>
      </c>
      <c r="M284" s="15" t="str">
        <f t="shared" si="53"/>
        <v/>
      </c>
      <c r="N284" s="15">
        <f t="shared" si="54"/>
        <v>1809</v>
      </c>
      <c r="O284" s="15" t="str">
        <f t="shared" si="55"/>
        <v>휘발유 72,360원</v>
      </c>
      <c r="P284" s="15">
        <f t="shared" si="56"/>
        <v>72360</v>
      </c>
      <c r="Q284" s="15" t="s">
        <v>47</v>
      </c>
      <c r="R284" s="16">
        <f t="shared" si="57"/>
        <v>0.1</v>
      </c>
      <c r="S284" s="15">
        <f t="shared" si="58"/>
        <v>7236</v>
      </c>
      <c r="T284" s="15">
        <f t="shared" si="59"/>
        <v>65124</v>
      </c>
      <c r="U284" s="15">
        <f t="shared" si="60"/>
        <v>1628.1</v>
      </c>
      <c r="V284" s="15">
        <f t="shared" si="61"/>
        <v>1809</v>
      </c>
      <c r="W284" s="17">
        <f>IF($T284="",1000000000000000,$T284)</f>
        <v>65124</v>
      </c>
      <c r="XFB284" s="5"/>
      <c r="XFC284" s="3"/>
    </row>
    <row r="285" spans="1:23 16382:16383" s="4" customFormat="1" ht="28.5" customHeight="1">
      <c r="A285" s="14">
        <f t="shared" si="51"/>
        <v>271</v>
      </c>
      <c r="B285" s="14" t="s">
        <v>14</v>
      </c>
      <c r="C285" s="14" t="s">
        <v>858</v>
      </c>
      <c r="D285" s="14" t="s">
        <v>95</v>
      </c>
      <c r="E285" s="14" t="s">
        <v>63</v>
      </c>
      <c r="F285" s="14" t="s">
        <v>859</v>
      </c>
      <c r="G285" s="15">
        <v>1830</v>
      </c>
      <c r="H285" s="15"/>
      <c r="I285" s="15"/>
      <c r="J285" s="15">
        <v>1830</v>
      </c>
      <c r="K285" s="15">
        <f t="shared" si="50"/>
        <v>0</v>
      </c>
      <c r="L285" s="15">
        <f t="shared" si="52"/>
        <v>1830</v>
      </c>
      <c r="M285" s="15" t="str">
        <f t="shared" si="53"/>
        <v/>
      </c>
      <c r="N285" s="15">
        <f t="shared" si="54"/>
        <v>1830</v>
      </c>
      <c r="O285" s="15" t="str">
        <f t="shared" si="55"/>
        <v>휘발유 73,200원</v>
      </c>
      <c r="P285" s="15">
        <f t="shared" si="56"/>
        <v>73200</v>
      </c>
      <c r="Q285" s="15" t="s">
        <v>47</v>
      </c>
      <c r="R285" s="16">
        <f t="shared" si="57"/>
        <v>0.11</v>
      </c>
      <c r="S285" s="15">
        <f t="shared" si="58"/>
        <v>8052</v>
      </c>
      <c r="T285" s="15">
        <f t="shared" si="59"/>
        <v>65148</v>
      </c>
      <c r="U285" s="15">
        <f t="shared" si="60"/>
        <v>1628.7</v>
      </c>
      <c r="V285" s="15">
        <f t="shared" si="61"/>
        <v>1830</v>
      </c>
      <c r="W285" s="17">
        <f>IF($T285="",1000000000000000,$T285)</f>
        <v>65148</v>
      </c>
      <c r="XFB285" s="5"/>
      <c r="XFC285" s="3"/>
    </row>
    <row r="286" spans="1:23 16382:16383" s="4" customFormat="1" ht="28.5" customHeight="1">
      <c r="A286" s="14">
        <f t="shared" si="51"/>
        <v>272</v>
      </c>
      <c r="B286" s="14" t="s">
        <v>6</v>
      </c>
      <c r="C286" s="14" t="s">
        <v>525</v>
      </c>
      <c r="D286" s="14" t="s">
        <v>45</v>
      </c>
      <c r="E286" s="14" t="s">
        <v>26</v>
      </c>
      <c r="F286" s="14" t="s">
        <v>526</v>
      </c>
      <c r="G286" s="15">
        <v>1812</v>
      </c>
      <c r="H286" s="15"/>
      <c r="I286" s="15"/>
      <c r="J286" s="15">
        <v>1812</v>
      </c>
      <c r="K286" s="15">
        <f t="shared" si="50"/>
        <v>0</v>
      </c>
      <c r="L286" s="15">
        <f t="shared" si="52"/>
        <v>1812</v>
      </c>
      <c r="M286" s="15" t="str">
        <f t="shared" si="53"/>
        <v/>
      </c>
      <c r="N286" s="15">
        <f t="shared" si="54"/>
        <v>1812</v>
      </c>
      <c r="O286" s="15" t="str">
        <f t="shared" si="55"/>
        <v>휘발유 72,480원</v>
      </c>
      <c r="P286" s="15">
        <f t="shared" si="56"/>
        <v>72480</v>
      </c>
      <c r="Q286" s="15" t="s">
        <v>47</v>
      </c>
      <c r="R286" s="16">
        <f t="shared" si="57"/>
        <v>0.1</v>
      </c>
      <c r="S286" s="15">
        <f t="shared" si="58"/>
        <v>7248</v>
      </c>
      <c r="T286" s="15">
        <f t="shared" si="59"/>
        <v>65232</v>
      </c>
      <c r="U286" s="15">
        <f t="shared" si="60"/>
        <v>1630.8</v>
      </c>
      <c r="V286" s="15">
        <f t="shared" si="61"/>
        <v>1812</v>
      </c>
      <c r="W286" s="17">
        <f>IF($T286="",1000000000000000,$T286)</f>
        <v>65232</v>
      </c>
      <c r="XFB286" s="5"/>
      <c r="XFC286" s="3"/>
    </row>
    <row r="287" spans="1:23 16382:16383" s="4" customFormat="1" ht="28.5" customHeight="1">
      <c r="A287" s="14">
        <f t="shared" si="51"/>
        <v>273</v>
      </c>
      <c r="B287" s="14" t="s">
        <v>14</v>
      </c>
      <c r="C287" s="14" t="s">
        <v>58</v>
      </c>
      <c r="D287" s="14" t="s">
        <v>45</v>
      </c>
      <c r="E287" s="14" t="s">
        <v>26</v>
      </c>
      <c r="F287" s="14" t="s">
        <v>59</v>
      </c>
      <c r="G287" s="15">
        <v>1835</v>
      </c>
      <c r="H287" s="15">
        <v>1985</v>
      </c>
      <c r="I287" s="15"/>
      <c r="J287" s="15">
        <v>1787</v>
      </c>
      <c r="K287" s="15">
        <f t="shared" si="50"/>
        <v>0</v>
      </c>
      <c r="L287" s="15">
        <f t="shared" si="52"/>
        <v>1835</v>
      </c>
      <c r="M287" s="15">
        <f t="shared" si="53"/>
        <v>1985</v>
      </c>
      <c r="N287" s="15">
        <f t="shared" si="54"/>
        <v>1787</v>
      </c>
      <c r="O287" s="15" t="str">
        <f t="shared" si="55"/>
        <v>휘발유 73,400원</v>
      </c>
      <c r="P287" s="15">
        <f t="shared" si="56"/>
        <v>73400</v>
      </c>
      <c r="Q287" s="15" t="s">
        <v>47</v>
      </c>
      <c r="R287" s="16">
        <f t="shared" si="57"/>
        <v>0.11</v>
      </c>
      <c r="S287" s="15">
        <f t="shared" si="58"/>
        <v>8074</v>
      </c>
      <c r="T287" s="15">
        <f t="shared" si="59"/>
        <v>65326</v>
      </c>
      <c r="U287" s="15">
        <f t="shared" si="60"/>
        <v>1633.15</v>
      </c>
      <c r="V287" s="15">
        <f t="shared" si="61"/>
        <v>1835</v>
      </c>
      <c r="W287" s="17">
        <f>IF($T287="",1000000000000000,$T287)</f>
        <v>65326</v>
      </c>
      <c r="XFB287" s="5"/>
      <c r="XFC287" s="3"/>
    </row>
    <row r="288" spans="1:23 16382:16383" s="4" customFormat="1" ht="28.5" customHeight="1">
      <c r="A288" s="14">
        <f t="shared" si="51"/>
        <v>274</v>
      </c>
      <c r="B288" s="14" t="s">
        <v>6</v>
      </c>
      <c r="C288" s="14" t="s">
        <v>773</v>
      </c>
      <c r="D288" s="14" t="s">
        <v>45</v>
      </c>
      <c r="E288" s="14" t="s">
        <v>26</v>
      </c>
      <c r="F288" s="14" t="s">
        <v>774</v>
      </c>
      <c r="G288" s="15">
        <v>1815</v>
      </c>
      <c r="H288" s="15"/>
      <c r="I288" s="15"/>
      <c r="J288" s="15">
        <v>1799</v>
      </c>
      <c r="K288" s="15">
        <f t="shared" si="50"/>
        <v>0</v>
      </c>
      <c r="L288" s="15">
        <f t="shared" si="52"/>
        <v>1815</v>
      </c>
      <c r="M288" s="15" t="str">
        <f t="shared" si="53"/>
        <v/>
      </c>
      <c r="N288" s="15">
        <f t="shared" si="54"/>
        <v>1799</v>
      </c>
      <c r="O288" s="15" t="str">
        <f t="shared" si="55"/>
        <v>휘발유 72,600원</v>
      </c>
      <c r="P288" s="15">
        <f t="shared" si="56"/>
        <v>72600</v>
      </c>
      <c r="Q288" s="15" t="s">
        <v>47</v>
      </c>
      <c r="R288" s="16">
        <f t="shared" si="57"/>
        <v>0.1</v>
      </c>
      <c r="S288" s="15">
        <f t="shared" si="58"/>
        <v>7260</v>
      </c>
      <c r="T288" s="15">
        <f t="shared" si="59"/>
        <v>65340</v>
      </c>
      <c r="U288" s="15">
        <f t="shared" si="60"/>
        <v>1633.5</v>
      </c>
      <c r="V288" s="15">
        <f t="shared" si="61"/>
        <v>1815</v>
      </c>
      <c r="W288" s="17">
        <f>IF($T288="",1000000000000000,$T288)</f>
        <v>65340</v>
      </c>
      <c r="XFB288" s="5"/>
      <c r="XFC288" s="3"/>
    </row>
    <row r="289" spans="1:23 16382:16383" s="4" customFormat="1" ht="28.5" customHeight="1">
      <c r="A289" s="14">
        <f t="shared" si="51"/>
        <v>275</v>
      </c>
      <c r="B289" s="14" t="s">
        <v>10</v>
      </c>
      <c r="C289" s="14" t="s">
        <v>775</v>
      </c>
      <c r="D289" s="14" t="s">
        <v>51</v>
      </c>
      <c r="E289" s="14" t="s">
        <v>26</v>
      </c>
      <c r="F289" s="14" t="s">
        <v>776</v>
      </c>
      <c r="G289" s="15">
        <v>1817</v>
      </c>
      <c r="H289" s="15"/>
      <c r="I289" s="15"/>
      <c r="J289" s="15">
        <v>1817</v>
      </c>
      <c r="K289" s="15">
        <f t="shared" si="50"/>
        <v>0</v>
      </c>
      <c r="L289" s="15">
        <f t="shared" si="52"/>
        <v>1817</v>
      </c>
      <c r="M289" s="15" t="str">
        <f t="shared" si="53"/>
        <v/>
      </c>
      <c r="N289" s="15">
        <f t="shared" si="54"/>
        <v>1817</v>
      </c>
      <c r="O289" s="15" t="str">
        <f t="shared" si="55"/>
        <v>휘발유 72,680원</v>
      </c>
      <c r="P289" s="15">
        <f t="shared" si="56"/>
        <v>72680</v>
      </c>
      <c r="Q289" s="15" t="s">
        <v>47</v>
      </c>
      <c r="R289" s="16">
        <f t="shared" si="57"/>
        <v>0.1</v>
      </c>
      <c r="S289" s="15">
        <f t="shared" si="58"/>
        <v>7268</v>
      </c>
      <c r="T289" s="15">
        <f t="shared" si="59"/>
        <v>65412</v>
      </c>
      <c r="U289" s="15">
        <f t="shared" si="60"/>
        <v>1635.3</v>
      </c>
      <c r="V289" s="15">
        <f t="shared" si="61"/>
        <v>1817</v>
      </c>
      <c r="W289" s="17">
        <f>IF($T289="",1000000000000000,$T289)</f>
        <v>65412</v>
      </c>
      <c r="XFB289" s="5"/>
      <c r="XFC289" s="3"/>
    </row>
    <row r="290" spans="1:23 16382:16383" s="4" customFormat="1" ht="28.5" customHeight="1">
      <c r="A290" s="14">
        <f t="shared" si="51"/>
        <v>276</v>
      </c>
      <c r="B290" s="14" t="s">
        <v>16</v>
      </c>
      <c r="C290" s="14" t="s">
        <v>777</v>
      </c>
      <c r="D290" s="14" t="s">
        <v>45</v>
      </c>
      <c r="E290" s="14" t="s">
        <v>63</v>
      </c>
      <c r="F290" s="14" t="s">
        <v>778</v>
      </c>
      <c r="G290" s="15">
        <v>1859</v>
      </c>
      <c r="H290" s="15"/>
      <c r="I290" s="15"/>
      <c r="J290" s="15">
        <v>1959</v>
      </c>
      <c r="K290" s="15">
        <f t="shared" si="50"/>
        <v>0</v>
      </c>
      <c r="L290" s="15">
        <f t="shared" si="52"/>
        <v>1859</v>
      </c>
      <c r="M290" s="15" t="str">
        <f t="shared" si="53"/>
        <v/>
      </c>
      <c r="N290" s="15">
        <f t="shared" si="54"/>
        <v>1959</v>
      </c>
      <c r="O290" s="15" t="str">
        <f t="shared" si="55"/>
        <v>휘발유 74,360원</v>
      </c>
      <c r="P290" s="15">
        <f t="shared" si="56"/>
        <v>74360</v>
      </c>
      <c r="Q290" s="15" t="s">
        <v>47</v>
      </c>
      <c r="R290" s="16">
        <f t="shared" si="57"/>
        <v>0.12</v>
      </c>
      <c r="S290" s="15">
        <f t="shared" si="58"/>
        <v>8923</v>
      </c>
      <c r="T290" s="15">
        <f t="shared" si="59"/>
        <v>65437</v>
      </c>
      <c r="U290" s="15">
        <f t="shared" si="60"/>
        <v>1635.925</v>
      </c>
      <c r="V290" s="15">
        <f t="shared" si="61"/>
        <v>1859</v>
      </c>
      <c r="W290" s="17">
        <f>IF($T290="",1000000000000000,$T290)</f>
        <v>65437</v>
      </c>
      <c r="XFB290" s="5"/>
      <c r="XFC290" s="3"/>
    </row>
    <row r="291" spans="1:23 16382:16383" s="4" customFormat="1" ht="28.5" customHeight="1">
      <c r="A291" s="14">
        <f t="shared" si="51"/>
        <v>277</v>
      </c>
      <c r="B291" s="14" t="s">
        <v>14</v>
      </c>
      <c r="C291" s="14" t="s">
        <v>779</v>
      </c>
      <c r="D291" s="14" t="s">
        <v>95</v>
      </c>
      <c r="E291" s="14" t="s">
        <v>63</v>
      </c>
      <c r="F291" s="14" t="s">
        <v>780</v>
      </c>
      <c r="G291" s="15">
        <v>1839</v>
      </c>
      <c r="H291" s="15"/>
      <c r="I291" s="15"/>
      <c r="J291" s="15">
        <v>1829</v>
      </c>
      <c r="K291" s="15">
        <f t="shared" si="50"/>
        <v>0</v>
      </c>
      <c r="L291" s="15">
        <f t="shared" si="52"/>
        <v>1839</v>
      </c>
      <c r="M291" s="15" t="str">
        <f t="shared" si="53"/>
        <v/>
      </c>
      <c r="N291" s="15">
        <f t="shared" si="54"/>
        <v>1829</v>
      </c>
      <c r="O291" s="15" t="str">
        <f t="shared" si="55"/>
        <v>휘발유 73,560원</v>
      </c>
      <c r="P291" s="15">
        <f t="shared" si="56"/>
        <v>73560</v>
      </c>
      <c r="Q291" s="15" t="s">
        <v>47</v>
      </c>
      <c r="R291" s="16">
        <f t="shared" si="57"/>
        <v>0.11</v>
      </c>
      <c r="S291" s="15">
        <f t="shared" si="58"/>
        <v>8091</v>
      </c>
      <c r="T291" s="15">
        <f t="shared" si="59"/>
        <v>65469</v>
      </c>
      <c r="U291" s="15">
        <f t="shared" si="60"/>
        <v>1636.7249999999999</v>
      </c>
      <c r="V291" s="15">
        <f t="shared" si="61"/>
        <v>1839</v>
      </c>
      <c r="W291" s="17">
        <f>IF($T291="",1000000000000000,$T291)</f>
        <v>65469</v>
      </c>
      <c r="XFB291" s="5"/>
      <c r="XFC291" s="3"/>
    </row>
    <row r="292" spans="1:23 16382:16383" s="4" customFormat="1" ht="28.5" customHeight="1">
      <c r="A292" s="14">
        <f t="shared" si="51"/>
        <v>278</v>
      </c>
      <c r="B292" s="14" t="s">
        <v>16</v>
      </c>
      <c r="C292" s="14" t="s">
        <v>873</v>
      </c>
      <c r="D292" s="18" t="s">
        <v>86</v>
      </c>
      <c r="E292" s="14" t="s">
        <v>63</v>
      </c>
      <c r="F292" s="14" t="s">
        <v>874</v>
      </c>
      <c r="G292" s="15">
        <v>1860</v>
      </c>
      <c r="H292" s="15"/>
      <c r="I292" s="15"/>
      <c r="J292" s="15">
        <v>1890</v>
      </c>
      <c r="K292" s="15">
        <f t="shared" si="50"/>
        <v>0</v>
      </c>
      <c r="L292" s="15">
        <f t="shared" si="52"/>
        <v>1860</v>
      </c>
      <c r="M292" s="15" t="str">
        <f t="shared" si="53"/>
        <v/>
      </c>
      <c r="N292" s="15">
        <f t="shared" si="54"/>
        <v>1890</v>
      </c>
      <c r="O292" s="15" t="str">
        <f t="shared" si="55"/>
        <v>휘발유 74,400원</v>
      </c>
      <c r="P292" s="15">
        <f t="shared" si="56"/>
        <v>74400</v>
      </c>
      <c r="Q292" s="15" t="s">
        <v>47</v>
      </c>
      <c r="R292" s="16">
        <f t="shared" si="57"/>
        <v>0.12</v>
      </c>
      <c r="S292" s="15">
        <f t="shared" si="58"/>
        <v>8928</v>
      </c>
      <c r="T292" s="15">
        <f t="shared" si="59"/>
        <v>65472</v>
      </c>
      <c r="U292" s="15">
        <f t="shared" si="60"/>
        <v>1636.8</v>
      </c>
      <c r="V292" s="15">
        <f t="shared" si="61"/>
        <v>1860</v>
      </c>
      <c r="W292" s="17">
        <f>IF($T292="",1000000000000000,$T292)</f>
        <v>65472</v>
      </c>
      <c r="XFB292" s="5"/>
      <c r="XFC292" s="3"/>
    </row>
    <row r="293" spans="1:23 16382:16383" s="4" customFormat="1" ht="28.5" customHeight="1">
      <c r="A293" s="14">
        <f t="shared" si="51"/>
        <v>279</v>
      </c>
      <c r="B293" s="14" t="s">
        <v>6</v>
      </c>
      <c r="C293" s="14" t="s">
        <v>187</v>
      </c>
      <c r="D293" s="14" t="s">
        <v>45</v>
      </c>
      <c r="E293" s="14" t="s">
        <v>26</v>
      </c>
      <c r="F293" s="14" t="s">
        <v>188</v>
      </c>
      <c r="G293" s="15">
        <v>1819</v>
      </c>
      <c r="H293" s="15">
        <v>2150</v>
      </c>
      <c r="I293" s="15"/>
      <c r="J293" s="15">
        <v>1799</v>
      </c>
      <c r="K293" s="15">
        <f t="shared" si="50"/>
        <v>0</v>
      </c>
      <c r="L293" s="15">
        <f t="shared" si="52"/>
        <v>1819</v>
      </c>
      <c r="M293" s="15">
        <f t="shared" si="53"/>
        <v>2150</v>
      </c>
      <c r="N293" s="15">
        <f t="shared" si="54"/>
        <v>1799</v>
      </c>
      <c r="O293" s="15" t="str">
        <f t="shared" si="55"/>
        <v>휘발유 72,760원</v>
      </c>
      <c r="P293" s="15">
        <f t="shared" si="56"/>
        <v>72760</v>
      </c>
      <c r="Q293" s="15" t="s">
        <v>47</v>
      </c>
      <c r="R293" s="16">
        <f t="shared" si="57"/>
        <v>0.1</v>
      </c>
      <c r="S293" s="15">
        <f t="shared" si="58"/>
        <v>7276</v>
      </c>
      <c r="T293" s="15">
        <f t="shared" si="59"/>
        <v>65484</v>
      </c>
      <c r="U293" s="15">
        <f t="shared" si="60"/>
        <v>1637.1</v>
      </c>
      <c r="V293" s="15">
        <f t="shared" si="61"/>
        <v>1819</v>
      </c>
      <c r="W293" s="17">
        <f>IF($T293="",1000000000000000,$T293)</f>
        <v>65484</v>
      </c>
      <c r="XFB293" s="5"/>
      <c r="XFC293" s="3"/>
    </row>
    <row r="294" spans="1:23 16382:16383" s="4" customFormat="1" ht="28.5" customHeight="1">
      <c r="A294" s="14">
        <f t="shared" si="51"/>
        <v>279</v>
      </c>
      <c r="B294" s="14" t="s">
        <v>6</v>
      </c>
      <c r="C294" s="14" t="s">
        <v>787</v>
      </c>
      <c r="D294" s="14" t="s">
        <v>95</v>
      </c>
      <c r="E294" s="14" t="s">
        <v>26</v>
      </c>
      <c r="F294" s="14" t="s">
        <v>788</v>
      </c>
      <c r="G294" s="15">
        <v>1819</v>
      </c>
      <c r="H294" s="15"/>
      <c r="I294" s="15"/>
      <c r="J294" s="15">
        <v>1789</v>
      </c>
      <c r="K294" s="15">
        <f t="shared" si="50"/>
        <v>0</v>
      </c>
      <c r="L294" s="15">
        <f t="shared" si="52"/>
        <v>1819</v>
      </c>
      <c r="M294" s="15" t="str">
        <f t="shared" si="53"/>
        <v/>
      </c>
      <c r="N294" s="15">
        <f t="shared" si="54"/>
        <v>1789</v>
      </c>
      <c r="O294" s="15" t="str">
        <f t="shared" si="55"/>
        <v>휘발유 72,760원</v>
      </c>
      <c r="P294" s="15">
        <f t="shared" si="56"/>
        <v>72760</v>
      </c>
      <c r="Q294" s="15" t="s">
        <v>47</v>
      </c>
      <c r="R294" s="16">
        <f t="shared" si="57"/>
        <v>0.1</v>
      </c>
      <c r="S294" s="15">
        <f t="shared" si="58"/>
        <v>7276</v>
      </c>
      <c r="T294" s="15">
        <f t="shared" si="59"/>
        <v>65484</v>
      </c>
      <c r="U294" s="15">
        <f t="shared" si="60"/>
        <v>1637.1</v>
      </c>
      <c r="V294" s="15">
        <f t="shared" si="61"/>
        <v>1819</v>
      </c>
      <c r="W294" s="17">
        <f>IF($T294="",1000000000000000,$T294)</f>
        <v>65484</v>
      </c>
      <c r="XFB294" s="5"/>
      <c r="XFC294" s="3"/>
    </row>
    <row r="295" spans="1:23 16382:16383" s="4" customFormat="1" ht="28.5" customHeight="1">
      <c r="A295" s="14">
        <f t="shared" si="51"/>
        <v>279</v>
      </c>
      <c r="B295" s="14" t="s">
        <v>10</v>
      </c>
      <c r="C295" s="14" t="s">
        <v>783</v>
      </c>
      <c r="D295" s="14" t="s">
        <v>95</v>
      </c>
      <c r="E295" s="14" t="s">
        <v>63</v>
      </c>
      <c r="F295" s="14" t="s">
        <v>784</v>
      </c>
      <c r="G295" s="15">
        <v>1819</v>
      </c>
      <c r="H295" s="15"/>
      <c r="I295" s="15"/>
      <c r="J295" s="15">
        <v>1808</v>
      </c>
      <c r="K295" s="15">
        <f t="shared" si="50"/>
        <v>0</v>
      </c>
      <c r="L295" s="15">
        <f t="shared" si="52"/>
        <v>1819</v>
      </c>
      <c r="M295" s="15" t="str">
        <f t="shared" si="53"/>
        <v/>
      </c>
      <c r="N295" s="15">
        <f t="shared" si="54"/>
        <v>1808</v>
      </c>
      <c r="O295" s="15" t="str">
        <f t="shared" si="55"/>
        <v>휘발유 72,760원</v>
      </c>
      <c r="P295" s="15">
        <f t="shared" si="56"/>
        <v>72760</v>
      </c>
      <c r="Q295" s="15" t="s">
        <v>47</v>
      </c>
      <c r="R295" s="16">
        <f t="shared" si="57"/>
        <v>0.1</v>
      </c>
      <c r="S295" s="15">
        <f t="shared" si="58"/>
        <v>7276</v>
      </c>
      <c r="T295" s="15">
        <f t="shared" si="59"/>
        <v>65484</v>
      </c>
      <c r="U295" s="15">
        <f t="shared" si="60"/>
        <v>1637.1</v>
      </c>
      <c r="V295" s="15">
        <f t="shared" si="61"/>
        <v>1819</v>
      </c>
      <c r="W295" s="17">
        <f>IF($T295="",1000000000000000,$T295)</f>
        <v>65484</v>
      </c>
      <c r="XFB295" s="5"/>
      <c r="XFC295" s="3"/>
    </row>
    <row r="296" spans="1:23 16382:16383" s="4" customFormat="1" ht="28.5" customHeight="1">
      <c r="A296" s="14">
        <f t="shared" si="51"/>
        <v>279</v>
      </c>
      <c r="B296" s="14" t="s">
        <v>6</v>
      </c>
      <c r="C296" s="14" t="s">
        <v>785</v>
      </c>
      <c r="D296" s="14" t="s">
        <v>95</v>
      </c>
      <c r="E296" s="14" t="s">
        <v>26</v>
      </c>
      <c r="F296" s="14" t="s">
        <v>786</v>
      </c>
      <c r="G296" s="15">
        <v>1819</v>
      </c>
      <c r="H296" s="15"/>
      <c r="I296" s="15"/>
      <c r="J296" s="15">
        <v>1809</v>
      </c>
      <c r="K296" s="15">
        <f t="shared" si="50"/>
        <v>0</v>
      </c>
      <c r="L296" s="15">
        <f t="shared" si="52"/>
        <v>1819</v>
      </c>
      <c r="M296" s="15" t="str">
        <f t="shared" si="53"/>
        <v/>
      </c>
      <c r="N296" s="15">
        <f t="shared" si="54"/>
        <v>1809</v>
      </c>
      <c r="O296" s="15" t="str">
        <f t="shared" si="55"/>
        <v>휘발유 72,760원</v>
      </c>
      <c r="P296" s="15">
        <f t="shared" si="56"/>
        <v>72760</v>
      </c>
      <c r="Q296" s="15" t="s">
        <v>47</v>
      </c>
      <c r="R296" s="16">
        <f t="shared" si="57"/>
        <v>0.1</v>
      </c>
      <c r="S296" s="15">
        <f t="shared" si="58"/>
        <v>7276</v>
      </c>
      <c r="T296" s="15">
        <f t="shared" si="59"/>
        <v>65484</v>
      </c>
      <c r="U296" s="15">
        <f t="shared" si="60"/>
        <v>1637.1</v>
      </c>
      <c r="V296" s="15">
        <f t="shared" si="61"/>
        <v>1819</v>
      </c>
      <c r="W296" s="17">
        <f>IF($T296="",1000000000000000,$T296)</f>
        <v>65484</v>
      </c>
      <c r="XFB296" s="5"/>
      <c r="XFC296" s="3"/>
    </row>
    <row r="297" spans="1:23 16382:16383" s="4" customFormat="1" ht="28.5" customHeight="1">
      <c r="A297" s="14">
        <f t="shared" si="51"/>
        <v>279</v>
      </c>
      <c r="B297" s="14" t="s">
        <v>12</v>
      </c>
      <c r="C297" s="14" t="s">
        <v>891</v>
      </c>
      <c r="D297" s="18" t="s">
        <v>45</v>
      </c>
      <c r="E297" s="14" t="s">
        <v>26</v>
      </c>
      <c r="F297" s="14" t="s">
        <v>892</v>
      </c>
      <c r="G297" s="15">
        <v>1819</v>
      </c>
      <c r="H297" s="15"/>
      <c r="I297" s="15"/>
      <c r="J297" s="15">
        <v>1809</v>
      </c>
      <c r="K297" s="15">
        <f t="shared" si="50"/>
        <v>0</v>
      </c>
      <c r="L297" s="15">
        <f t="shared" si="52"/>
        <v>1819</v>
      </c>
      <c r="M297" s="15" t="str">
        <f t="shared" si="53"/>
        <v/>
      </c>
      <c r="N297" s="15">
        <f t="shared" si="54"/>
        <v>1809</v>
      </c>
      <c r="O297" s="15" t="str">
        <f t="shared" si="55"/>
        <v>휘발유 72,760원</v>
      </c>
      <c r="P297" s="15">
        <f t="shared" si="56"/>
        <v>72760</v>
      </c>
      <c r="Q297" s="15" t="s">
        <v>47</v>
      </c>
      <c r="R297" s="16">
        <f t="shared" si="57"/>
        <v>0.1</v>
      </c>
      <c r="S297" s="15">
        <f t="shared" si="58"/>
        <v>7276</v>
      </c>
      <c r="T297" s="15">
        <f t="shared" si="59"/>
        <v>65484</v>
      </c>
      <c r="U297" s="15">
        <f t="shared" si="60"/>
        <v>1637.1</v>
      </c>
      <c r="V297" s="15">
        <f t="shared" si="61"/>
        <v>1819</v>
      </c>
      <c r="W297" s="17">
        <f>IF($T297="",1000000000000000,$T297)</f>
        <v>65484</v>
      </c>
      <c r="XFB297" s="5"/>
      <c r="XFC297" s="3"/>
    </row>
    <row r="298" spans="1:23 16382:16383" s="4" customFormat="1" ht="28.5" customHeight="1">
      <c r="A298" s="14">
        <f t="shared" si="51"/>
        <v>279</v>
      </c>
      <c r="B298" s="14" t="s">
        <v>6</v>
      </c>
      <c r="C298" s="14" t="s">
        <v>820</v>
      </c>
      <c r="D298" s="14" t="s">
        <v>45</v>
      </c>
      <c r="E298" s="14" t="s">
        <v>63</v>
      </c>
      <c r="F298" s="14" t="s">
        <v>821</v>
      </c>
      <c r="G298" s="15">
        <v>1819</v>
      </c>
      <c r="H298" s="15"/>
      <c r="I298" s="15"/>
      <c r="J298" s="15">
        <v>1819</v>
      </c>
      <c r="K298" s="15">
        <f t="shared" si="50"/>
        <v>0</v>
      </c>
      <c r="L298" s="15">
        <f t="shared" si="52"/>
        <v>1819</v>
      </c>
      <c r="M298" s="15" t="str">
        <f t="shared" si="53"/>
        <v/>
      </c>
      <c r="N298" s="15">
        <f t="shared" si="54"/>
        <v>1819</v>
      </c>
      <c r="O298" s="15" t="str">
        <f t="shared" si="55"/>
        <v>휘발유 72,760원</v>
      </c>
      <c r="P298" s="15">
        <f t="shared" si="56"/>
        <v>72760</v>
      </c>
      <c r="Q298" s="15" t="s">
        <v>47</v>
      </c>
      <c r="R298" s="16">
        <f t="shared" si="57"/>
        <v>0.1</v>
      </c>
      <c r="S298" s="15">
        <f t="shared" si="58"/>
        <v>7276</v>
      </c>
      <c r="T298" s="15">
        <f t="shared" si="59"/>
        <v>65484</v>
      </c>
      <c r="U298" s="15">
        <f t="shared" si="60"/>
        <v>1637.1</v>
      </c>
      <c r="V298" s="15">
        <f t="shared" si="61"/>
        <v>1819</v>
      </c>
      <c r="W298" s="17">
        <f>IF($T298="",1000000000000000,$T298)</f>
        <v>65484</v>
      </c>
      <c r="XFB298" s="5"/>
      <c r="XFC298" s="3"/>
    </row>
    <row r="299" spans="1:23 16382:16383" s="4" customFormat="1" ht="28.5" customHeight="1">
      <c r="A299" s="14">
        <f t="shared" si="51"/>
        <v>279</v>
      </c>
      <c r="B299" s="14" t="s">
        <v>8</v>
      </c>
      <c r="C299" s="14" t="s">
        <v>826</v>
      </c>
      <c r="D299" s="14" t="s">
        <v>45</v>
      </c>
      <c r="E299" s="14" t="s">
        <v>26</v>
      </c>
      <c r="F299" s="14" t="s">
        <v>827</v>
      </c>
      <c r="G299" s="15">
        <v>1819</v>
      </c>
      <c r="H299" s="15"/>
      <c r="I299" s="15"/>
      <c r="J299" s="15">
        <v>1829</v>
      </c>
      <c r="K299" s="15">
        <f t="shared" si="50"/>
        <v>0</v>
      </c>
      <c r="L299" s="15">
        <f t="shared" si="52"/>
        <v>1819</v>
      </c>
      <c r="M299" s="15" t="str">
        <f t="shared" si="53"/>
        <v/>
      </c>
      <c r="N299" s="15">
        <f t="shared" si="54"/>
        <v>1829</v>
      </c>
      <c r="O299" s="15" t="str">
        <f t="shared" si="55"/>
        <v>휘발유 72,760원</v>
      </c>
      <c r="P299" s="15">
        <f t="shared" si="56"/>
        <v>72760</v>
      </c>
      <c r="Q299" s="15" t="s">
        <v>47</v>
      </c>
      <c r="R299" s="16">
        <f t="shared" si="57"/>
        <v>0.1</v>
      </c>
      <c r="S299" s="15">
        <f t="shared" si="58"/>
        <v>7276</v>
      </c>
      <c r="T299" s="15">
        <f t="shared" si="59"/>
        <v>65484</v>
      </c>
      <c r="U299" s="15">
        <f t="shared" si="60"/>
        <v>1637.1</v>
      </c>
      <c r="V299" s="15">
        <f t="shared" si="61"/>
        <v>1819</v>
      </c>
      <c r="W299" s="17">
        <f>IF($T299="",1000000000000000,$T299)</f>
        <v>65484</v>
      </c>
      <c r="XFB299" s="5"/>
      <c r="XFC299" s="3"/>
    </row>
    <row r="300" spans="1:23 16382:16383" s="4" customFormat="1" ht="28.5" customHeight="1">
      <c r="A300" s="14">
        <f t="shared" si="51"/>
        <v>279</v>
      </c>
      <c r="B300" s="14" t="s">
        <v>6</v>
      </c>
      <c r="C300" s="14" t="s">
        <v>789</v>
      </c>
      <c r="D300" s="14" t="s">
        <v>95</v>
      </c>
      <c r="E300" s="14" t="s">
        <v>26</v>
      </c>
      <c r="F300" s="14" t="s">
        <v>790</v>
      </c>
      <c r="G300" s="15">
        <v>1819</v>
      </c>
      <c r="H300" s="15"/>
      <c r="I300" s="15"/>
      <c r="J300" s="15">
        <v>1849</v>
      </c>
      <c r="K300" s="15">
        <f t="shared" si="50"/>
        <v>0</v>
      </c>
      <c r="L300" s="15">
        <f t="shared" si="52"/>
        <v>1819</v>
      </c>
      <c r="M300" s="15" t="str">
        <f t="shared" si="53"/>
        <v/>
      </c>
      <c r="N300" s="15">
        <f t="shared" si="54"/>
        <v>1849</v>
      </c>
      <c r="O300" s="15" t="str">
        <f t="shared" si="55"/>
        <v>휘발유 72,760원</v>
      </c>
      <c r="P300" s="15">
        <f t="shared" si="56"/>
        <v>72760</v>
      </c>
      <c r="Q300" s="15" t="s">
        <v>47</v>
      </c>
      <c r="R300" s="16">
        <f t="shared" si="57"/>
        <v>0.1</v>
      </c>
      <c r="S300" s="15">
        <f t="shared" si="58"/>
        <v>7276</v>
      </c>
      <c r="T300" s="15">
        <f t="shared" si="59"/>
        <v>65484</v>
      </c>
      <c r="U300" s="15">
        <f t="shared" si="60"/>
        <v>1637.1</v>
      </c>
      <c r="V300" s="15">
        <f t="shared" si="61"/>
        <v>1819</v>
      </c>
      <c r="W300" s="17">
        <f>IF($T300="",1000000000000000,$T300)</f>
        <v>65484</v>
      </c>
      <c r="XFB300" s="5"/>
      <c r="XFC300" s="3"/>
    </row>
    <row r="301" spans="1:23 16382:16383" s="4" customFormat="1" ht="28.5" customHeight="1">
      <c r="A301" s="14">
        <f t="shared" si="51"/>
        <v>287</v>
      </c>
      <c r="B301" s="14" t="s">
        <v>6</v>
      </c>
      <c r="C301" s="14" t="s">
        <v>791</v>
      </c>
      <c r="D301" s="14" t="s">
        <v>389</v>
      </c>
      <c r="E301" s="14" t="s">
        <v>26</v>
      </c>
      <c r="F301" s="14" t="s">
        <v>792</v>
      </c>
      <c r="G301" s="15">
        <v>1820</v>
      </c>
      <c r="H301" s="15"/>
      <c r="I301" s="15"/>
      <c r="J301" s="15">
        <v>1789</v>
      </c>
      <c r="K301" s="15">
        <f t="shared" si="50"/>
        <v>0</v>
      </c>
      <c r="L301" s="15">
        <f t="shared" si="52"/>
        <v>1820</v>
      </c>
      <c r="M301" s="15" t="str">
        <f t="shared" si="53"/>
        <v/>
      </c>
      <c r="N301" s="15">
        <f t="shared" si="54"/>
        <v>1789</v>
      </c>
      <c r="O301" s="15" t="str">
        <f t="shared" si="55"/>
        <v>휘발유 72,800원</v>
      </c>
      <c r="P301" s="15">
        <f t="shared" si="56"/>
        <v>72800</v>
      </c>
      <c r="Q301" s="15" t="s">
        <v>47</v>
      </c>
      <c r="R301" s="16">
        <f t="shared" si="57"/>
        <v>0.1</v>
      </c>
      <c r="S301" s="15">
        <f t="shared" si="58"/>
        <v>7280</v>
      </c>
      <c r="T301" s="15">
        <f t="shared" si="59"/>
        <v>65520</v>
      </c>
      <c r="U301" s="15">
        <f t="shared" si="60"/>
        <v>1638</v>
      </c>
      <c r="V301" s="15">
        <f t="shared" si="61"/>
        <v>1820</v>
      </c>
      <c r="W301" s="17">
        <f>IF($T301="",1000000000000000,$T301)</f>
        <v>65520</v>
      </c>
      <c r="XFB301" s="5"/>
      <c r="XFC301" s="3"/>
    </row>
    <row r="302" spans="1:23 16382:16383" s="4" customFormat="1" ht="28.5" customHeight="1">
      <c r="A302" s="14">
        <f t="shared" si="51"/>
        <v>287</v>
      </c>
      <c r="B302" s="14" t="s">
        <v>8</v>
      </c>
      <c r="C302" s="14" t="s">
        <v>793</v>
      </c>
      <c r="D302" s="18" t="s">
        <v>86</v>
      </c>
      <c r="E302" s="14" t="s">
        <v>63</v>
      </c>
      <c r="F302" s="14" t="s">
        <v>794</v>
      </c>
      <c r="G302" s="15">
        <v>1820</v>
      </c>
      <c r="H302" s="15"/>
      <c r="I302" s="15"/>
      <c r="J302" s="15">
        <v>1820</v>
      </c>
      <c r="K302" s="15">
        <f t="shared" si="50"/>
        <v>0</v>
      </c>
      <c r="L302" s="15">
        <f t="shared" si="52"/>
        <v>1820</v>
      </c>
      <c r="M302" s="15" t="str">
        <f t="shared" si="53"/>
        <v/>
      </c>
      <c r="N302" s="15">
        <f t="shared" si="54"/>
        <v>1820</v>
      </c>
      <c r="O302" s="15" t="str">
        <f t="shared" si="55"/>
        <v>휘발유 72,800원</v>
      </c>
      <c r="P302" s="15">
        <f t="shared" si="56"/>
        <v>72800</v>
      </c>
      <c r="Q302" s="15" t="s">
        <v>47</v>
      </c>
      <c r="R302" s="16">
        <f t="shared" si="57"/>
        <v>0.1</v>
      </c>
      <c r="S302" s="15">
        <f t="shared" si="58"/>
        <v>7280</v>
      </c>
      <c r="T302" s="15">
        <f t="shared" si="59"/>
        <v>65520</v>
      </c>
      <c r="U302" s="15">
        <f t="shared" si="60"/>
        <v>1638</v>
      </c>
      <c r="V302" s="15">
        <f t="shared" si="61"/>
        <v>1820</v>
      </c>
      <c r="W302" s="17">
        <f>IF($T302="",1000000000000000,$T302)</f>
        <v>65520</v>
      </c>
      <c r="XFB302" s="5"/>
      <c r="XFC302" s="3"/>
    </row>
    <row r="303" spans="1:23 16382:16383" s="4" customFormat="1" ht="28.5" customHeight="1">
      <c r="A303" s="14">
        <f t="shared" si="51"/>
        <v>289</v>
      </c>
      <c r="B303" s="14" t="s">
        <v>8</v>
      </c>
      <c r="C303" s="14" t="s">
        <v>153</v>
      </c>
      <c r="D303" s="14" t="s">
        <v>45</v>
      </c>
      <c r="E303" s="14" t="s">
        <v>26</v>
      </c>
      <c r="F303" s="14" t="s">
        <v>154</v>
      </c>
      <c r="G303" s="15">
        <v>1823</v>
      </c>
      <c r="H303" s="15">
        <v>2070</v>
      </c>
      <c r="I303" s="15"/>
      <c r="J303" s="15">
        <v>1825</v>
      </c>
      <c r="K303" s="15">
        <f t="shared" si="50"/>
        <v>0</v>
      </c>
      <c r="L303" s="15">
        <f t="shared" si="52"/>
        <v>1823</v>
      </c>
      <c r="M303" s="15">
        <f t="shared" si="53"/>
        <v>2070</v>
      </c>
      <c r="N303" s="15">
        <f t="shared" si="54"/>
        <v>1825</v>
      </c>
      <c r="O303" s="15" t="str">
        <f t="shared" si="55"/>
        <v>휘발유 72,920원</v>
      </c>
      <c r="P303" s="15">
        <f t="shared" si="56"/>
        <v>72920</v>
      </c>
      <c r="Q303" s="15" t="s">
        <v>47</v>
      </c>
      <c r="R303" s="16">
        <f t="shared" si="57"/>
        <v>0.1</v>
      </c>
      <c r="S303" s="15">
        <f t="shared" si="58"/>
        <v>7292</v>
      </c>
      <c r="T303" s="15">
        <f t="shared" si="59"/>
        <v>65628</v>
      </c>
      <c r="U303" s="15">
        <f t="shared" si="60"/>
        <v>1640.7</v>
      </c>
      <c r="V303" s="15">
        <f t="shared" si="61"/>
        <v>1823</v>
      </c>
      <c r="W303" s="17">
        <f>IF($T303="",1000000000000000,$T303)</f>
        <v>65628</v>
      </c>
      <c r="XFB303" s="5"/>
      <c r="XFC303" s="3"/>
    </row>
    <row r="304" spans="1:23 16382:16383" s="4" customFormat="1" ht="28.5" customHeight="1">
      <c r="A304" s="14">
        <f t="shared" si="51"/>
        <v>289</v>
      </c>
      <c r="B304" s="14" t="s">
        <v>8</v>
      </c>
      <c r="C304" s="14" t="s">
        <v>797</v>
      </c>
      <c r="D304" s="14" t="s">
        <v>95</v>
      </c>
      <c r="E304" s="14" t="s">
        <v>26</v>
      </c>
      <c r="F304" s="14" t="s">
        <v>798</v>
      </c>
      <c r="G304" s="15">
        <v>1823</v>
      </c>
      <c r="H304" s="15"/>
      <c r="I304" s="15"/>
      <c r="J304" s="15">
        <v>1825</v>
      </c>
      <c r="K304" s="15">
        <f t="shared" si="50"/>
        <v>0</v>
      </c>
      <c r="L304" s="15">
        <f t="shared" si="52"/>
        <v>1823</v>
      </c>
      <c r="M304" s="15" t="str">
        <f t="shared" si="53"/>
        <v/>
      </c>
      <c r="N304" s="15">
        <f t="shared" si="54"/>
        <v>1825</v>
      </c>
      <c r="O304" s="15" t="str">
        <f t="shared" si="55"/>
        <v>휘발유 72,920원</v>
      </c>
      <c r="P304" s="15">
        <f t="shared" si="56"/>
        <v>72920</v>
      </c>
      <c r="Q304" s="15" t="s">
        <v>47</v>
      </c>
      <c r="R304" s="16">
        <f t="shared" si="57"/>
        <v>0.1</v>
      </c>
      <c r="S304" s="15">
        <f t="shared" si="58"/>
        <v>7292</v>
      </c>
      <c r="T304" s="15">
        <f t="shared" si="59"/>
        <v>65628</v>
      </c>
      <c r="U304" s="15">
        <f t="shared" si="60"/>
        <v>1640.7</v>
      </c>
      <c r="V304" s="15">
        <f t="shared" si="61"/>
        <v>1823</v>
      </c>
      <c r="W304" s="17">
        <f>IF($T304="",1000000000000000,$T304)</f>
        <v>65628</v>
      </c>
      <c r="XFB304" s="5"/>
      <c r="XFC304" s="3"/>
    </row>
    <row r="305" spans="1:23 16382:16383" s="4" customFormat="1" ht="28.5" customHeight="1">
      <c r="A305" s="14">
        <f t="shared" si="51"/>
        <v>291</v>
      </c>
      <c r="B305" s="14" t="s">
        <v>6</v>
      </c>
      <c r="C305" s="14" t="s">
        <v>799</v>
      </c>
      <c r="D305" s="14" t="s">
        <v>95</v>
      </c>
      <c r="E305" s="14" t="s">
        <v>26</v>
      </c>
      <c r="F305" s="14" t="s">
        <v>800</v>
      </c>
      <c r="G305" s="15">
        <v>1824</v>
      </c>
      <c r="H305" s="15"/>
      <c r="I305" s="15"/>
      <c r="J305" s="15">
        <v>1799</v>
      </c>
      <c r="K305" s="15">
        <f t="shared" si="50"/>
        <v>0</v>
      </c>
      <c r="L305" s="15">
        <f t="shared" si="52"/>
        <v>1824</v>
      </c>
      <c r="M305" s="15" t="str">
        <f t="shared" si="53"/>
        <v/>
      </c>
      <c r="N305" s="15">
        <f t="shared" si="54"/>
        <v>1799</v>
      </c>
      <c r="O305" s="15" t="str">
        <f t="shared" si="55"/>
        <v>휘발유 72,960원</v>
      </c>
      <c r="P305" s="15">
        <f t="shared" si="56"/>
        <v>72960</v>
      </c>
      <c r="Q305" s="15" t="s">
        <v>47</v>
      </c>
      <c r="R305" s="16">
        <f t="shared" si="57"/>
        <v>0.1</v>
      </c>
      <c r="S305" s="15">
        <f t="shared" si="58"/>
        <v>7296</v>
      </c>
      <c r="T305" s="15">
        <f t="shared" si="59"/>
        <v>65664</v>
      </c>
      <c r="U305" s="15">
        <f t="shared" si="60"/>
        <v>1641.6</v>
      </c>
      <c r="V305" s="15">
        <f t="shared" si="61"/>
        <v>1824</v>
      </c>
      <c r="W305" s="17">
        <f>IF($T305="",1000000000000000,$T305)</f>
        <v>65664</v>
      </c>
      <c r="XFB305" s="5"/>
      <c r="XFC305" s="3"/>
    </row>
    <row r="306" spans="1:23 16382:16383" s="4" customFormat="1" ht="28.5" customHeight="1">
      <c r="A306" s="14">
        <f t="shared" si="51"/>
        <v>291</v>
      </c>
      <c r="B306" s="14" t="s">
        <v>6</v>
      </c>
      <c r="C306" s="14" t="s">
        <v>801</v>
      </c>
      <c r="D306" s="14" t="s">
        <v>45</v>
      </c>
      <c r="E306" s="14" t="s">
        <v>26</v>
      </c>
      <c r="F306" s="14" t="s">
        <v>802</v>
      </c>
      <c r="G306" s="15">
        <v>1824</v>
      </c>
      <c r="H306" s="15"/>
      <c r="I306" s="15"/>
      <c r="J306" s="15">
        <v>1814</v>
      </c>
      <c r="K306" s="15">
        <f t="shared" si="50"/>
        <v>0</v>
      </c>
      <c r="L306" s="15">
        <f t="shared" si="52"/>
        <v>1824</v>
      </c>
      <c r="M306" s="15" t="str">
        <f t="shared" si="53"/>
        <v/>
      </c>
      <c r="N306" s="15">
        <f t="shared" si="54"/>
        <v>1814</v>
      </c>
      <c r="O306" s="15" t="str">
        <f t="shared" si="55"/>
        <v>휘발유 72,960원</v>
      </c>
      <c r="P306" s="15">
        <f t="shared" si="56"/>
        <v>72960</v>
      </c>
      <c r="Q306" s="15" t="s">
        <v>47</v>
      </c>
      <c r="R306" s="16">
        <f t="shared" si="57"/>
        <v>0.1</v>
      </c>
      <c r="S306" s="15">
        <f t="shared" si="58"/>
        <v>7296</v>
      </c>
      <c r="T306" s="15">
        <f t="shared" si="59"/>
        <v>65664</v>
      </c>
      <c r="U306" s="15">
        <f t="shared" si="60"/>
        <v>1641.6</v>
      </c>
      <c r="V306" s="15">
        <f t="shared" si="61"/>
        <v>1824</v>
      </c>
      <c r="W306" s="17">
        <f>IF($T306="",1000000000000000,$T306)</f>
        <v>65664</v>
      </c>
      <c r="XFB306" s="5"/>
      <c r="XFC306" s="3"/>
    </row>
    <row r="307" spans="1:23 16382:16383" s="4" customFormat="1" ht="28.5" customHeight="1">
      <c r="A307" s="14">
        <f t="shared" si="51"/>
        <v>293</v>
      </c>
      <c r="B307" s="14" t="s">
        <v>6</v>
      </c>
      <c r="C307" s="14" t="s">
        <v>141</v>
      </c>
      <c r="D307" s="14" t="s">
        <v>45</v>
      </c>
      <c r="E307" s="14" t="s">
        <v>26</v>
      </c>
      <c r="F307" s="14" t="s">
        <v>142</v>
      </c>
      <c r="G307" s="15">
        <v>1825</v>
      </c>
      <c r="H307" s="15">
        <v>2019</v>
      </c>
      <c r="I307" s="15"/>
      <c r="J307" s="15">
        <v>1835</v>
      </c>
      <c r="K307" s="15">
        <f t="shared" si="50"/>
        <v>0</v>
      </c>
      <c r="L307" s="15">
        <f t="shared" si="52"/>
        <v>1825</v>
      </c>
      <c r="M307" s="15">
        <f t="shared" si="53"/>
        <v>2019</v>
      </c>
      <c r="N307" s="15">
        <f t="shared" si="54"/>
        <v>1835</v>
      </c>
      <c r="O307" s="15" t="str">
        <f t="shared" si="55"/>
        <v>휘발유 73,000원</v>
      </c>
      <c r="P307" s="15">
        <f t="shared" si="56"/>
        <v>73000</v>
      </c>
      <c r="Q307" s="15" t="s">
        <v>47</v>
      </c>
      <c r="R307" s="16">
        <f t="shared" si="57"/>
        <v>0.1</v>
      </c>
      <c r="S307" s="15">
        <f t="shared" si="58"/>
        <v>7300</v>
      </c>
      <c r="T307" s="15">
        <f t="shared" si="59"/>
        <v>65700</v>
      </c>
      <c r="U307" s="15">
        <f t="shared" si="60"/>
        <v>1642.5</v>
      </c>
      <c r="V307" s="15">
        <f t="shared" si="61"/>
        <v>1825</v>
      </c>
      <c r="W307" s="17">
        <f>IF($T307="",1000000000000000,$T307)</f>
        <v>65700</v>
      </c>
      <c r="XFB307" s="5"/>
      <c r="XFC307" s="3"/>
    </row>
    <row r="308" spans="1:23 16382:16383" s="4" customFormat="1" ht="28.5" customHeight="1">
      <c r="A308" s="14">
        <f t="shared" si="51"/>
        <v>293</v>
      </c>
      <c r="B308" s="14" t="s">
        <v>10</v>
      </c>
      <c r="C308" s="14" t="s">
        <v>803</v>
      </c>
      <c r="D308" s="18" t="s">
        <v>86</v>
      </c>
      <c r="E308" s="14" t="s">
        <v>26</v>
      </c>
      <c r="F308" s="14" t="s">
        <v>804</v>
      </c>
      <c r="G308" s="15">
        <v>1825</v>
      </c>
      <c r="H308" s="15"/>
      <c r="I308" s="15"/>
      <c r="J308" s="15">
        <v>1835</v>
      </c>
      <c r="K308" s="15">
        <f t="shared" si="50"/>
        <v>0</v>
      </c>
      <c r="L308" s="15">
        <f t="shared" si="52"/>
        <v>1825</v>
      </c>
      <c r="M308" s="15" t="str">
        <f t="shared" si="53"/>
        <v/>
      </c>
      <c r="N308" s="15">
        <f t="shared" si="54"/>
        <v>1835</v>
      </c>
      <c r="O308" s="15" t="str">
        <f t="shared" si="55"/>
        <v>휘발유 73,000원</v>
      </c>
      <c r="P308" s="15">
        <f t="shared" si="56"/>
        <v>73000</v>
      </c>
      <c r="Q308" s="15" t="s">
        <v>47</v>
      </c>
      <c r="R308" s="16">
        <f t="shared" si="57"/>
        <v>0.1</v>
      </c>
      <c r="S308" s="15">
        <f t="shared" si="58"/>
        <v>7300</v>
      </c>
      <c r="T308" s="15">
        <f t="shared" si="59"/>
        <v>65700</v>
      </c>
      <c r="U308" s="15">
        <f t="shared" si="60"/>
        <v>1642.5</v>
      </c>
      <c r="V308" s="15">
        <f t="shared" si="61"/>
        <v>1825</v>
      </c>
      <c r="W308" s="17">
        <f>IF($T308="",1000000000000000,$T308)</f>
        <v>65700</v>
      </c>
      <c r="XFB308" s="5"/>
      <c r="XFC308" s="3"/>
    </row>
    <row r="309" spans="1:23 16382:16383" s="4" customFormat="1" ht="28.5" customHeight="1">
      <c r="A309" s="14">
        <f t="shared" si="51"/>
        <v>295</v>
      </c>
      <c r="B309" s="14" t="s">
        <v>8</v>
      </c>
      <c r="C309" s="14" t="s">
        <v>805</v>
      </c>
      <c r="D309" s="14" t="s">
        <v>51</v>
      </c>
      <c r="E309" s="14" t="s">
        <v>26</v>
      </c>
      <c r="F309" s="14" t="s">
        <v>806</v>
      </c>
      <c r="G309" s="15">
        <v>1827</v>
      </c>
      <c r="H309" s="15"/>
      <c r="I309" s="15"/>
      <c r="J309" s="15">
        <v>1817</v>
      </c>
      <c r="K309" s="15">
        <f t="shared" si="50"/>
        <v>0</v>
      </c>
      <c r="L309" s="15">
        <f t="shared" si="52"/>
        <v>1827</v>
      </c>
      <c r="M309" s="15" t="str">
        <f t="shared" si="53"/>
        <v/>
      </c>
      <c r="N309" s="15">
        <f t="shared" si="54"/>
        <v>1817</v>
      </c>
      <c r="O309" s="15" t="str">
        <f t="shared" si="55"/>
        <v>휘발유 73,080원</v>
      </c>
      <c r="P309" s="15">
        <f t="shared" si="56"/>
        <v>73080</v>
      </c>
      <c r="Q309" s="15" t="s">
        <v>47</v>
      </c>
      <c r="R309" s="16">
        <f t="shared" si="57"/>
        <v>0.1</v>
      </c>
      <c r="S309" s="15">
        <f t="shared" si="58"/>
        <v>7308</v>
      </c>
      <c r="T309" s="15">
        <f t="shared" si="59"/>
        <v>65772</v>
      </c>
      <c r="U309" s="15">
        <f t="shared" si="60"/>
        <v>1644.3</v>
      </c>
      <c r="V309" s="15">
        <f t="shared" si="61"/>
        <v>1827</v>
      </c>
      <c r="W309" s="17">
        <f>IF($T309="",1000000000000000,$T309)</f>
        <v>65772</v>
      </c>
      <c r="XFB309" s="5"/>
      <c r="XFC309" s="3"/>
    </row>
    <row r="310" spans="1:23 16382:16383" s="4" customFormat="1" ht="28.5" customHeight="1">
      <c r="A310" s="14">
        <f t="shared" si="51"/>
        <v>295</v>
      </c>
      <c r="B310" s="14" t="s">
        <v>10</v>
      </c>
      <c r="C310" s="14" t="s">
        <v>807</v>
      </c>
      <c r="D310" s="14" t="s">
        <v>95</v>
      </c>
      <c r="E310" s="14" t="s">
        <v>26</v>
      </c>
      <c r="F310" s="14" t="s">
        <v>808</v>
      </c>
      <c r="G310" s="15">
        <v>1827</v>
      </c>
      <c r="H310" s="15"/>
      <c r="I310" s="15"/>
      <c r="J310" s="15">
        <v>1867</v>
      </c>
      <c r="K310" s="15">
        <f t="shared" si="50"/>
        <v>0</v>
      </c>
      <c r="L310" s="15">
        <f t="shared" si="52"/>
        <v>1827</v>
      </c>
      <c r="M310" s="15" t="str">
        <f t="shared" si="53"/>
        <v/>
      </c>
      <c r="N310" s="15">
        <f t="shared" si="54"/>
        <v>1867</v>
      </c>
      <c r="O310" s="15" t="str">
        <f t="shared" si="55"/>
        <v>휘발유 73,080원</v>
      </c>
      <c r="P310" s="15">
        <f t="shared" si="56"/>
        <v>73080</v>
      </c>
      <c r="Q310" s="15" t="s">
        <v>47</v>
      </c>
      <c r="R310" s="16">
        <f t="shared" si="57"/>
        <v>0.1</v>
      </c>
      <c r="S310" s="15">
        <f t="shared" si="58"/>
        <v>7308</v>
      </c>
      <c r="T310" s="15">
        <f t="shared" si="59"/>
        <v>65772</v>
      </c>
      <c r="U310" s="15">
        <f t="shared" si="60"/>
        <v>1644.3</v>
      </c>
      <c r="V310" s="15">
        <f t="shared" si="61"/>
        <v>1827</v>
      </c>
      <c r="W310" s="17">
        <f>IF($T310="",1000000000000000,$T310)</f>
        <v>65772</v>
      </c>
      <c r="XFB310" s="5"/>
      <c r="XFC310" s="3"/>
    </row>
    <row r="311" spans="1:23 16382:16383" s="4" customFormat="1" ht="28.5" customHeight="1">
      <c r="A311" s="14">
        <f t="shared" si="51"/>
        <v>297</v>
      </c>
      <c r="B311" s="14" t="s">
        <v>10</v>
      </c>
      <c r="C311" s="14" t="s">
        <v>694</v>
      </c>
      <c r="D311" s="14" t="s">
        <v>389</v>
      </c>
      <c r="E311" s="14" t="s">
        <v>26</v>
      </c>
      <c r="F311" s="14" t="s">
        <v>695</v>
      </c>
      <c r="G311" s="15">
        <v>1828</v>
      </c>
      <c r="H311" s="15"/>
      <c r="I311" s="15"/>
      <c r="J311" s="15">
        <v>1818</v>
      </c>
      <c r="K311" s="15">
        <f t="shared" si="50"/>
        <v>0</v>
      </c>
      <c r="L311" s="15">
        <f t="shared" si="52"/>
        <v>1828</v>
      </c>
      <c r="M311" s="15" t="str">
        <f t="shared" si="53"/>
        <v/>
      </c>
      <c r="N311" s="15">
        <f t="shared" si="54"/>
        <v>1818</v>
      </c>
      <c r="O311" s="15" t="str">
        <f t="shared" si="55"/>
        <v>휘발유 73,120원</v>
      </c>
      <c r="P311" s="15">
        <f t="shared" si="56"/>
        <v>73120</v>
      </c>
      <c r="Q311" s="15" t="s">
        <v>47</v>
      </c>
      <c r="R311" s="16">
        <f t="shared" si="57"/>
        <v>0.1</v>
      </c>
      <c r="S311" s="15">
        <f t="shared" si="58"/>
        <v>7312</v>
      </c>
      <c r="T311" s="15">
        <f t="shared" si="59"/>
        <v>65808</v>
      </c>
      <c r="U311" s="15">
        <f t="shared" si="60"/>
        <v>1645.2</v>
      </c>
      <c r="V311" s="15">
        <f t="shared" si="61"/>
        <v>1828</v>
      </c>
      <c r="W311" s="17">
        <f>IF($T311="",1000000000000000,$T311)</f>
        <v>65808</v>
      </c>
      <c r="XFB311" s="5"/>
      <c r="XFC311" s="3"/>
    </row>
    <row r="312" spans="1:23 16382:16383" s="4" customFormat="1" ht="28.5" customHeight="1">
      <c r="A312" s="14">
        <f t="shared" si="51"/>
        <v>298</v>
      </c>
      <c r="B312" s="14" t="s">
        <v>16</v>
      </c>
      <c r="C312" s="14" t="s">
        <v>871</v>
      </c>
      <c r="D312" s="14" t="s">
        <v>45</v>
      </c>
      <c r="E312" s="14" t="s">
        <v>63</v>
      </c>
      <c r="F312" s="14" t="s">
        <v>872</v>
      </c>
      <c r="G312" s="15">
        <v>1870</v>
      </c>
      <c r="H312" s="15"/>
      <c r="I312" s="15"/>
      <c r="J312" s="15">
        <v>1860</v>
      </c>
      <c r="K312" s="15">
        <f t="shared" si="50"/>
        <v>0</v>
      </c>
      <c r="L312" s="15">
        <f t="shared" si="52"/>
        <v>1870</v>
      </c>
      <c r="M312" s="15" t="str">
        <f t="shared" si="53"/>
        <v/>
      </c>
      <c r="N312" s="15">
        <f t="shared" si="54"/>
        <v>1860</v>
      </c>
      <c r="O312" s="15" t="str">
        <f t="shared" si="55"/>
        <v>휘발유 74,800원</v>
      </c>
      <c r="P312" s="15">
        <f t="shared" si="56"/>
        <v>74800</v>
      </c>
      <c r="Q312" s="15" t="s">
        <v>47</v>
      </c>
      <c r="R312" s="16">
        <f t="shared" si="57"/>
        <v>0.12</v>
      </c>
      <c r="S312" s="15">
        <f t="shared" si="58"/>
        <v>8976</v>
      </c>
      <c r="T312" s="15">
        <f t="shared" si="59"/>
        <v>65824</v>
      </c>
      <c r="U312" s="15">
        <f t="shared" si="60"/>
        <v>1645.6</v>
      </c>
      <c r="V312" s="15">
        <f t="shared" si="61"/>
        <v>1870</v>
      </c>
      <c r="W312" s="17">
        <f>IF($T312="",1000000000000000,$T312)</f>
        <v>65824</v>
      </c>
      <c r="XFB312" s="5"/>
      <c r="XFC312" s="3"/>
    </row>
    <row r="313" spans="1:23 16382:16383" s="4" customFormat="1" ht="28.5" customHeight="1">
      <c r="A313" s="14">
        <f t="shared" si="51"/>
        <v>298</v>
      </c>
      <c r="B313" s="14" t="s">
        <v>16</v>
      </c>
      <c r="C313" s="14" t="s">
        <v>811</v>
      </c>
      <c r="D313" s="14" t="s">
        <v>51</v>
      </c>
      <c r="E313" s="14" t="s">
        <v>63</v>
      </c>
      <c r="F313" s="14" t="s">
        <v>812</v>
      </c>
      <c r="G313" s="15">
        <v>1870</v>
      </c>
      <c r="H313" s="15"/>
      <c r="I313" s="15"/>
      <c r="J313" s="15">
        <v>1870</v>
      </c>
      <c r="K313" s="15">
        <f t="shared" si="50"/>
        <v>0</v>
      </c>
      <c r="L313" s="15">
        <f t="shared" si="52"/>
        <v>1870</v>
      </c>
      <c r="M313" s="15" t="str">
        <f t="shared" si="53"/>
        <v/>
      </c>
      <c r="N313" s="15">
        <f t="shared" si="54"/>
        <v>1870</v>
      </c>
      <c r="O313" s="15" t="str">
        <f t="shared" si="55"/>
        <v>휘발유 74,800원</v>
      </c>
      <c r="P313" s="15">
        <f t="shared" si="56"/>
        <v>74800</v>
      </c>
      <c r="Q313" s="15" t="s">
        <v>47</v>
      </c>
      <c r="R313" s="16">
        <f t="shared" si="57"/>
        <v>0.12</v>
      </c>
      <c r="S313" s="15">
        <f t="shared" si="58"/>
        <v>8976</v>
      </c>
      <c r="T313" s="15">
        <f t="shared" si="59"/>
        <v>65824</v>
      </c>
      <c r="U313" s="15">
        <f t="shared" si="60"/>
        <v>1645.6</v>
      </c>
      <c r="V313" s="15">
        <f t="shared" si="61"/>
        <v>1870</v>
      </c>
      <c r="W313" s="17">
        <f>IF($T313="",1000000000000000,$T313)</f>
        <v>65824</v>
      </c>
      <c r="XFB313" s="5"/>
      <c r="XFC313" s="3"/>
    </row>
    <row r="314" spans="1:23 16382:16383" s="4" customFormat="1" ht="28.5" customHeight="1">
      <c r="A314" s="14">
        <f t="shared" si="51"/>
        <v>300</v>
      </c>
      <c r="B314" s="14" t="s">
        <v>14</v>
      </c>
      <c r="C314" s="14" t="s">
        <v>813</v>
      </c>
      <c r="D314" s="14" t="s">
        <v>51</v>
      </c>
      <c r="E314" s="14" t="s">
        <v>26</v>
      </c>
      <c r="F314" s="14" t="s">
        <v>814</v>
      </c>
      <c r="G314" s="15">
        <v>1849</v>
      </c>
      <c r="H314" s="15"/>
      <c r="I314" s="15"/>
      <c r="J314" s="15">
        <v>1829</v>
      </c>
      <c r="K314" s="15">
        <f t="shared" si="50"/>
        <v>0</v>
      </c>
      <c r="L314" s="15">
        <f t="shared" si="52"/>
        <v>1849</v>
      </c>
      <c r="M314" s="15" t="str">
        <f t="shared" si="53"/>
        <v/>
      </c>
      <c r="N314" s="15">
        <f t="shared" si="54"/>
        <v>1829</v>
      </c>
      <c r="O314" s="15" t="str">
        <f t="shared" si="55"/>
        <v>휘발유 73,960원</v>
      </c>
      <c r="P314" s="15">
        <f t="shared" si="56"/>
        <v>73960</v>
      </c>
      <c r="Q314" s="15" t="s">
        <v>47</v>
      </c>
      <c r="R314" s="16">
        <f t="shared" si="57"/>
        <v>0.11</v>
      </c>
      <c r="S314" s="15">
        <f t="shared" si="58"/>
        <v>8135</v>
      </c>
      <c r="T314" s="15">
        <f t="shared" si="59"/>
        <v>65825</v>
      </c>
      <c r="U314" s="15">
        <f t="shared" si="60"/>
        <v>1645.625</v>
      </c>
      <c r="V314" s="15">
        <f t="shared" si="61"/>
        <v>1849</v>
      </c>
      <c r="W314" s="17">
        <f>IF($T314="",1000000000000000,$T314)</f>
        <v>65825</v>
      </c>
      <c r="XFB314" s="5"/>
      <c r="XFC314" s="3"/>
    </row>
    <row r="315" spans="1:23 16382:16383" s="4" customFormat="1" ht="28.5" customHeight="1">
      <c r="A315" s="14">
        <f t="shared" si="51"/>
        <v>300</v>
      </c>
      <c r="B315" s="14" t="s">
        <v>14</v>
      </c>
      <c r="C315" s="14" t="s">
        <v>815</v>
      </c>
      <c r="D315" s="14" t="s">
        <v>45</v>
      </c>
      <c r="E315" s="14" t="s">
        <v>63</v>
      </c>
      <c r="F315" s="14" t="s">
        <v>816</v>
      </c>
      <c r="G315" s="15">
        <v>1849</v>
      </c>
      <c r="H315" s="15"/>
      <c r="I315" s="15"/>
      <c r="J315" s="15">
        <v>1839</v>
      </c>
      <c r="K315" s="15">
        <f t="shared" si="50"/>
        <v>0</v>
      </c>
      <c r="L315" s="15">
        <f t="shared" si="52"/>
        <v>1849</v>
      </c>
      <c r="M315" s="15" t="str">
        <f t="shared" si="53"/>
        <v/>
      </c>
      <c r="N315" s="15">
        <f t="shared" si="54"/>
        <v>1839</v>
      </c>
      <c r="O315" s="15" t="str">
        <f t="shared" si="55"/>
        <v>휘발유 73,960원</v>
      </c>
      <c r="P315" s="15">
        <f t="shared" si="56"/>
        <v>73960</v>
      </c>
      <c r="Q315" s="15" t="s">
        <v>47</v>
      </c>
      <c r="R315" s="16">
        <f t="shared" si="57"/>
        <v>0.11</v>
      </c>
      <c r="S315" s="15">
        <f t="shared" si="58"/>
        <v>8135</v>
      </c>
      <c r="T315" s="15">
        <f t="shared" si="59"/>
        <v>65825</v>
      </c>
      <c r="U315" s="15">
        <f t="shared" si="60"/>
        <v>1645.625</v>
      </c>
      <c r="V315" s="15">
        <f t="shared" si="61"/>
        <v>1849</v>
      </c>
      <c r="W315" s="17">
        <f>IF($T315="",1000000000000000,$T315)</f>
        <v>65825</v>
      </c>
      <c r="XFB315" s="5"/>
      <c r="XFC315" s="3"/>
    </row>
    <row r="316" spans="1:23 16382:16383" s="4" customFormat="1" ht="28.5" customHeight="1">
      <c r="A316" s="14">
        <f t="shared" si="51"/>
        <v>300</v>
      </c>
      <c r="B316" s="14" t="s">
        <v>14</v>
      </c>
      <c r="C316" s="14" t="s">
        <v>817</v>
      </c>
      <c r="D316" s="14" t="s">
        <v>45</v>
      </c>
      <c r="E316" s="14" t="s">
        <v>26</v>
      </c>
      <c r="F316" s="14" t="s">
        <v>818</v>
      </c>
      <c r="G316" s="15">
        <v>1849</v>
      </c>
      <c r="H316" s="15"/>
      <c r="I316" s="15"/>
      <c r="J316" s="15">
        <v>1849</v>
      </c>
      <c r="K316" s="15">
        <f t="shared" si="50"/>
        <v>0</v>
      </c>
      <c r="L316" s="15">
        <f t="shared" si="52"/>
        <v>1849</v>
      </c>
      <c r="M316" s="15" t="str">
        <f t="shared" si="53"/>
        <v/>
      </c>
      <c r="N316" s="15">
        <f t="shared" si="54"/>
        <v>1849</v>
      </c>
      <c r="O316" s="15" t="str">
        <f t="shared" si="55"/>
        <v>휘발유 73,960원</v>
      </c>
      <c r="P316" s="15">
        <f t="shared" si="56"/>
        <v>73960</v>
      </c>
      <c r="Q316" s="15" t="s">
        <v>47</v>
      </c>
      <c r="R316" s="16">
        <f t="shared" si="57"/>
        <v>0.11</v>
      </c>
      <c r="S316" s="15">
        <f t="shared" si="58"/>
        <v>8135</v>
      </c>
      <c r="T316" s="15">
        <f t="shared" si="59"/>
        <v>65825</v>
      </c>
      <c r="U316" s="15">
        <f t="shared" si="60"/>
        <v>1645.625</v>
      </c>
      <c r="V316" s="15">
        <f t="shared" si="61"/>
        <v>1849</v>
      </c>
      <c r="W316" s="17">
        <f>IF($T316="",1000000000000000,$T316)</f>
        <v>65825</v>
      </c>
      <c r="XFB316" s="5"/>
      <c r="XFC316" s="3"/>
    </row>
    <row r="317" spans="1:23 16382:16383" s="4" customFormat="1" ht="28.5" customHeight="1">
      <c r="A317" s="14">
        <f t="shared" si="51"/>
        <v>303</v>
      </c>
      <c r="B317" s="14" t="s">
        <v>6</v>
      </c>
      <c r="C317" s="14" t="s">
        <v>157</v>
      </c>
      <c r="D317" s="18" t="s">
        <v>86</v>
      </c>
      <c r="E317" s="14" t="s">
        <v>26</v>
      </c>
      <c r="F317" s="14" t="s">
        <v>158</v>
      </c>
      <c r="G317" s="15">
        <v>1829</v>
      </c>
      <c r="H317" s="15">
        <v>2058</v>
      </c>
      <c r="I317" s="15"/>
      <c r="J317" s="15">
        <v>1832</v>
      </c>
      <c r="K317" s="15">
        <f t="shared" si="50"/>
        <v>0</v>
      </c>
      <c r="L317" s="15">
        <f t="shared" si="52"/>
        <v>1829</v>
      </c>
      <c r="M317" s="15">
        <f t="shared" si="53"/>
        <v>2058</v>
      </c>
      <c r="N317" s="15">
        <f t="shared" si="54"/>
        <v>1832</v>
      </c>
      <c r="O317" s="15" t="str">
        <f t="shared" si="55"/>
        <v>휘발유 73,160원</v>
      </c>
      <c r="P317" s="15">
        <f t="shared" si="56"/>
        <v>73160</v>
      </c>
      <c r="Q317" s="15" t="s">
        <v>47</v>
      </c>
      <c r="R317" s="16">
        <f t="shared" si="57"/>
        <v>0.1</v>
      </c>
      <c r="S317" s="15">
        <f t="shared" si="58"/>
        <v>7316</v>
      </c>
      <c r="T317" s="15">
        <f t="shared" si="59"/>
        <v>65844</v>
      </c>
      <c r="U317" s="15">
        <f t="shared" si="60"/>
        <v>1646.1</v>
      </c>
      <c r="V317" s="15">
        <f t="shared" si="61"/>
        <v>1829</v>
      </c>
      <c r="W317" s="17">
        <f>IF($T317="",1000000000000000,$T317)</f>
        <v>65844</v>
      </c>
      <c r="XFB317" s="5"/>
      <c r="XFC317" s="3"/>
    </row>
    <row r="318" spans="1:23 16382:16383" s="4" customFormat="1" ht="28.5" customHeight="1">
      <c r="A318" s="14">
        <f t="shared" si="51"/>
        <v>303</v>
      </c>
      <c r="B318" s="14" t="s">
        <v>10</v>
      </c>
      <c r="C318" s="14" t="s">
        <v>698</v>
      </c>
      <c r="D318" s="18" t="s">
        <v>86</v>
      </c>
      <c r="E318" s="14" t="s">
        <v>63</v>
      </c>
      <c r="F318" s="14" t="s">
        <v>828</v>
      </c>
      <c r="G318" s="15">
        <v>1829</v>
      </c>
      <c r="H318" s="15"/>
      <c r="I318" s="15"/>
      <c r="J318" s="15">
        <v>1819</v>
      </c>
      <c r="K318" s="15">
        <f t="shared" si="50"/>
        <v>0</v>
      </c>
      <c r="L318" s="15">
        <f t="shared" si="52"/>
        <v>1829</v>
      </c>
      <c r="M318" s="15" t="str">
        <f t="shared" si="53"/>
        <v/>
      </c>
      <c r="N318" s="15">
        <f t="shared" si="54"/>
        <v>1819</v>
      </c>
      <c r="O318" s="15" t="str">
        <f t="shared" si="55"/>
        <v>휘발유 73,160원</v>
      </c>
      <c r="P318" s="15">
        <f t="shared" si="56"/>
        <v>73160</v>
      </c>
      <c r="Q318" s="15" t="s">
        <v>47</v>
      </c>
      <c r="R318" s="16">
        <f t="shared" si="57"/>
        <v>0.1</v>
      </c>
      <c r="S318" s="15">
        <f t="shared" si="58"/>
        <v>7316</v>
      </c>
      <c r="T318" s="15">
        <f t="shared" si="59"/>
        <v>65844</v>
      </c>
      <c r="U318" s="15">
        <f t="shared" si="60"/>
        <v>1646.1</v>
      </c>
      <c r="V318" s="15">
        <f t="shared" si="61"/>
        <v>1829</v>
      </c>
      <c r="W318" s="17">
        <f>IF($T318="",1000000000000000,$T318)</f>
        <v>65844</v>
      </c>
      <c r="XFB318" s="5"/>
      <c r="XFC318" s="3"/>
    </row>
    <row r="319" spans="1:23 16382:16383" s="4" customFormat="1" ht="28.5" customHeight="1">
      <c r="A319" s="14">
        <f t="shared" si="51"/>
        <v>303</v>
      </c>
      <c r="B319" s="14" t="s">
        <v>10</v>
      </c>
      <c r="C319" s="14" t="s">
        <v>725</v>
      </c>
      <c r="D319" s="14" t="s">
        <v>95</v>
      </c>
      <c r="E319" s="14" t="s">
        <v>26</v>
      </c>
      <c r="F319" s="14" t="s">
        <v>819</v>
      </c>
      <c r="G319" s="15">
        <v>1829</v>
      </c>
      <c r="H319" s="15"/>
      <c r="I319" s="15"/>
      <c r="J319" s="15">
        <v>1819</v>
      </c>
      <c r="K319" s="15">
        <f t="shared" si="50"/>
        <v>0</v>
      </c>
      <c r="L319" s="15">
        <f t="shared" si="52"/>
        <v>1829</v>
      </c>
      <c r="M319" s="15" t="str">
        <f t="shared" si="53"/>
        <v/>
      </c>
      <c r="N319" s="15">
        <f t="shared" si="54"/>
        <v>1819</v>
      </c>
      <c r="O319" s="15" t="str">
        <f t="shared" si="55"/>
        <v>휘발유 73,160원</v>
      </c>
      <c r="P319" s="15">
        <f t="shared" si="56"/>
        <v>73160</v>
      </c>
      <c r="Q319" s="15" t="s">
        <v>47</v>
      </c>
      <c r="R319" s="16">
        <f t="shared" si="57"/>
        <v>0.1</v>
      </c>
      <c r="S319" s="15">
        <f t="shared" si="58"/>
        <v>7316</v>
      </c>
      <c r="T319" s="15">
        <f t="shared" si="59"/>
        <v>65844</v>
      </c>
      <c r="U319" s="15">
        <f t="shared" si="60"/>
        <v>1646.1</v>
      </c>
      <c r="V319" s="15">
        <f t="shared" si="61"/>
        <v>1829</v>
      </c>
      <c r="W319" s="17">
        <f>IF($T319="",1000000000000000,$T319)</f>
        <v>65844</v>
      </c>
      <c r="XFB319" s="5"/>
      <c r="XFC319" s="3"/>
    </row>
    <row r="320" spans="1:23 16382:16383" s="4" customFormat="1" ht="28.5" customHeight="1">
      <c r="A320" s="14">
        <f t="shared" si="51"/>
        <v>303</v>
      </c>
      <c r="B320" s="14" t="s">
        <v>6</v>
      </c>
      <c r="C320" s="14" t="s">
        <v>822</v>
      </c>
      <c r="D320" s="18" t="s">
        <v>86</v>
      </c>
      <c r="E320" s="14" t="s">
        <v>26</v>
      </c>
      <c r="F320" s="14" t="s">
        <v>823</v>
      </c>
      <c r="G320" s="15">
        <v>1829</v>
      </c>
      <c r="H320" s="15"/>
      <c r="I320" s="15"/>
      <c r="J320" s="15">
        <v>1829</v>
      </c>
      <c r="K320" s="15">
        <f t="shared" si="50"/>
        <v>0</v>
      </c>
      <c r="L320" s="15">
        <f t="shared" si="52"/>
        <v>1829</v>
      </c>
      <c r="M320" s="15" t="str">
        <f t="shared" si="53"/>
        <v/>
      </c>
      <c r="N320" s="15">
        <f t="shared" si="54"/>
        <v>1829</v>
      </c>
      <c r="O320" s="15" t="str">
        <f t="shared" si="55"/>
        <v>휘발유 73,160원</v>
      </c>
      <c r="P320" s="15">
        <f t="shared" si="56"/>
        <v>73160</v>
      </c>
      <c r="Q320" s="15" t="s">
        <v>47</v>
      </c>
      <c r="R320" s="16">
        <f t="shared" si="57"/>
        <v>0.1</v>
      </c>
      <c r="S320" s="15">
        <f t="shared" si="58"/>
        <v>7316</v>
      </c>
      <c r="T320" s="15">
        <f t="shared" si="59"/>
        <v>65844</v>
      </c>
      <c r="U320" s="15">
        <f t="shared" si="60"/>
        <v>1646.1</v>
      </c>
      <c r="V320" s="15">
        <f t="shared" si="61"/>
        <v>1829</v>
      </c>
      <c r="W320" s="17">
        <f>IF($T320="",1000000000000000,$T320)</f>
        <v>65844</v>
      </c>
      <c r="XFB320" s="5"/>
      <c r="XFC320" s="3"/>
    </row>
    <row r="321" spans="1:23 16382:16383" s="4" customFormat="1" ht="28.5" customHeight="1">
      <c r="A321" s="14">
        <f t="shared" si="51"/>
        <v>303</v>
      </c>
      <c r="B321" s="14" t="s">
        <v>8</v>
      </c>
      <c r="C321" s="14" t="s">
        <v>824</v>
      </c>
      <c r="D321" s="14" t="s">
        <v>95</v>
      </c>
      <c r="E321" s="14" t="s">
        <v>63</v>
      </c>
      <c r="F321" s="14" t="s">
        <v>825</v>
      </c>
      <c r="G321" s="15">
        <v>1829</v>
      </c>
      <c r="H321" s="15"/>
      <c r="I321" s="15"/>
      <c r="J321" s="15">
        <v>1829</v>
      </c>
      <c r="K321" s="15">
        <f t="shared" si="50"/>
        <v>0</v>
      </c>
      <c r="L321" s="15">
        <f t="shared" si="52"/>
        <v>1829</v>
      </c>
      <c r="M321" s="15" t="str">
        <f t="shared" si="53"/>
        <v/>
      </c>
      <c r="N321" s="15">
        <f t="shared" si="54"/>
        <v>1829</v>
      </c>
      <c r="O321" s="15" t="str">
        <f t="shared" si="55"/>
        <v>휘발유 73,160원</v>
      </c>
      <c r="P321" s="15">
        <f t="shared" si="56"/>
        <v>73160</v>
      </c>
      <c r="Q321" s="15" t="s">
        <v>47</v>
      </c>
      <c r="R321" s="16">
        <f t="shared" si="57"/>
        <v>0.1</v>
      </c>
      <c r="S321" s="15">
        <f t="shared" si="58"/>
        <v>7316</v>
      </c>
      <c r="T321" s="15">
        <f t="shared" si="59"/>
        <v>65844</v>
      </c>
      <c r="U321" s="15">
        <f t="shared" si="60"/>
        <v>1646.1</v>
      </c>
      <c r="V321" s="15">
        <f t="shared" si="61"/>
        <v>1829</v>
      </c>
      <c r="W321" s="17">
        <f>IF($T321="",1000000000000000,$T321)</f>
        <v>65844</v>
      </c>
      <c r="XFB321" s="5"/>
      <c r="XFC321" s="3"/>
    </row>
    <row r="322" spans="1:23 16382:16383" s="4" customFormat="1" ht="28.5" customHeight="1">
      <c r="A322" s="14">
        <f t="shared" si="51"/>
        <v>303</v>
      </c>
      <c r="B322" s="14" t="s">
        <v>6</v>
      </c>
      <c r="C322" s="14" t="s">
        <v>829</v>
      </c>
      <c r="D322" s="14" t="s">
        <v>95</v>
      </c>
      <c r="E322" s="14" t="s">
        <v>63</v>
      </c>
      <c r="F322" s="14" t="s">
        <v>830</v>
      </c>
      <c r="G322" s="15">
        <v>1829</v>
      </c>
      <c r="H322" s="15"/>
      <c r="I322" s="15"/>
      <c r="J322" s="15">
        <v>1849</v>
      </c>
      <c r="K322" s="15">
        <f t="shared" si="50"/>
        <v>0</v>
      </c>
      <c r="L322" s="15">
        <f t="shared" si="52"/>
        <v>1829</v>
      </c>
      <c r="M322" s="15" t="str">
        <f t="shared" si="53"/>
        <v/>
      </c>
      <c r="N322" s="15">
        <f t="shared" si="54"/>
        <v>1849</v>
      </c>
      <c r="O322" s="15" t="str">
        <f t="shared" si="55"/>
        <v>휘발유 73,160원</v>
      </c>
      <c r="P322" s="15">
        <f t="shared" si="56"/>
        <v>73160</v>
      </c>
      <c r="Q322" s="15" t="s">
        <v>47</v>
      </c>
      <c r="R322" s="16">
        <f t="shared" si="57"/>
        <v>0.1</v>
      </c>
      <c r="S322" s="15">
        <f t="shared" si="58"/>
        <v>7316</v>
      </c>
      <c r="T322" s="15">
        <f t="shared" si="59"/>
        <v>65844</v>
      </c>
      <c r="U322" s="15">
        <f t="shared" si="60"/>
        <v>1646.1</v>
      </c>
      <c r="V322" s="15">
        <f t="shared" si="61"/>
        <v>1829</v>
      </c>
      <c r="W322" s="17">
        <f>IF($T322="",1000000000000000,$T322)</f>
        <v>65844</v>
      </c>
      <c r="XFB322" s="5"/>
      <c r="XFC322" s="3"/>
    </row>
    <row r="323" spans="1:23 16382:16383" s="4" customFormat="1" ht="28.5" customHeight="1">
      <c r="A323" s="14">
        <f t="shared" si="51"/>
        <v>309</v>
      </c>
      <c r="B323" s="14" t="s">
        <v>8</v>
      </c>
      <c r="C323" s="14" t="s">
        <v>831</v>
      </c>
      <c r="D323" s="14" t="s">
        <v>45</v>
      </c>
      <c r="E323" s="14" t="s">
        <v>63</v>
      </c>
      <c r="F323" s="14" t="s">
        <v>832</v>
      </c>
      <c r="G323" s="15">
        <v>1830</v>
      </c>
      <c r="H323" s="15"/>
      <c r="I323" s="15"/>
      <c r="J323" s="15">
        <v>1820</v>
      </c>
      <c r="K323" s="15">
        <f t="shared" si="50"/>
        <v>0</v>
      </c>
      <c r="L323" s="15">
        <f t="shared" si="52"/>
        <v>1830</v>
      </c>
      <c r="M323" s="15" t="str">
        <f t="shared" si="53"/>
        <v/>
      </c>
      <c r="N323" s="15">
        <f t="shared" si="54"/>
        <v>1820</v>
      </c>
      <c r="O323" s="15" t="str">
        <f t="shared" si="55"/>
        <v>휘발유 73,200원</v>
      </c>
      <c r="P323" s="15">
        <f t="shared" si="56"/>
        <v>73200</v>
      </c>
      <c r="Q323" s="15" t="s">
        <v>47</v>
      </c>
      <c r="R323" s="16">
        <f t="shared" si="57"/>
        <v>0.1</v>
      </c>
      <c r="S323" s="15">
        <f t="shared" si="58"/>
        <v>7320</v>
      </c>
      <c r="T323" s="15">
        <f t="shared" si="59"/>
        <v>65880</v>
      </c>
      <c r="U323" s="15">
        <f t="shared" si="60"/>
        <v>1647</v>
      </c>
      <c r="V323" s="15">
        <f t="shared" si="61"/>
        <v>1830</v>
      </c>
      <c r="W323" s="17">
        <f>IF($T323="",1000000000000000,$T323)</f>
        <v>65880</v>
      </c>
      <c r="XFB323" s="5"/>
      <c r="XFC323" s="3"/>
    </row>
    <row r="324" spans="1:23 16382:16383" s="4" customFormat="1" ht="28.5" customHeight="1">
      <c r="A324" s="14">
        <f t="shared" si="51"/>
        <v>310</v>
      </c>
      <c r="B324" s="14" t="s">
        <v>6</v>
      </c>
      <c r="C324" s="14" t="s">
        <v>795</v>
      </c>
      <c r="D324" s="14" t="s">
        <v>95</v>
      </c>
      <c r="E324" s="14" t="s">
        <v>26</v>
      </c>
      <c r="F324" s="14" t="s">
        <v>796</v>
      </c>
      <c r="G324" s="15">
        <v>1832</v>
      </c>
      <c r="H324" s="15"/>
      <c r="I324" s="15"/>
      <c r="J324" s="15">
        <v>1832</v>
      </c>
      <c r="K324" s="15">
        <f t="shared" si="50"/>
        <v>0</v>
      </c>
      <c r="L324" s="15">
        <f t="shared" si="52"/>
        <v>1832</v>
      </c>
      <c r="M324" s="15" t="str">
        <f t="shared" si="53"/>
        <v/>
      </c>
      <c r="N324" s="15">
        <f t="shared" si="54"/>
        <v>1832</v>
      </c>
      <c r="O324" s="15" t="str">
        <f t="shared" si="55"/>
        <v>휘발유 73,280원</v>
      </c>
      <c r="P324" s="15">
        <f t="shared" si="56"/>
        <v>73280</v>
      </c>
      <c r="Q324" s="15" t="s">
        <v>47</v>
      </c>
      <c r="R324" s="16">
        <f t="shared" si="57"/>
        <v>0.1</v>
      </c>
      <c r="S324" s="15">
        <f t="shared" si="58"/>
        <v>7328</v>
      </c>
      <c r="T324" s="15">
        <f t="shared" si="59"/>
        <v>65952</v>
      </c>
      <c r="U324" s="15">
        <f t="shared" si="60"/>
        <v>1648.8</v>
      </c>
      <c r="V324" s="15">
        <f t="shared" si="61"/>
        <v>1832</v>
      </c>
      <c r="W324" s="17">
        <f>IF($T324="",1000000000000000,$T324)</f>
        <v>65952</v>
      </c>
      <c r="XFB324" s="5"/>
      <c r="XFC324" s="3"/>
    </row>
    <row r="325" spans="1:23 16382:16383" s="4" customFormat="1" ht="28.5" customHeight="1">
      <c r="A325" s="14">
        <f t="shared" si="51"/>
        <v>311</v>
      </c>
      <c r="B325" s="14" t="s">
        <v>12</v>
      </c>
      <c r="C325" s="14" t="s">
        <v>163</v>
      </c>
      <c r="D325" s="18" t="s">
        <v>86</v>
      </c>
      <c r="E325" s="14" t="s">
        <v>26</v>
      </c>
      <c r="F325" s="14" t="s">
        <v>164</v>
      </c>
      <c r="G325" s="15">
        <v>1833</v>
      </c>
      <c r="H325" s="15">
        <v>2074</v>
      </c>
      <c r="I325" s="15"/>
      <c r="J325" s="15">
        <v>1833</v>
      </c>
      <c r="K325" s="15">
        <f t="shared" si="50"/>
        <v>0</v>
      </c>
      <c r="L325" s="15">
        <f t="shared" si="52"/>
        <v>1833</v>
      </c>
      <c r="M325" s="15">
        <f t="shared" si="53"/>
        <v>2074</v>
      </c>
      <c r="N325" s="15">
        <f t="shared" si="54"/>
        <v>1833</v>
      </c>
      <c r="O325" s="15" t="str">
        <f t="shared" si="55"/>
        <v>휘발유 73,320원</v>
      </c>
      <c r="P325" s="15">
        <f t="shared" si="56"/>
        <v>73320</v>
      </c>
      <c r="Q325" s="15" t="s">
        <v>47</v>
      </c>
      <c r="R325" s="16">
        <f t="shared" si="57"/>
        <v>0.1</v>
      </c>
      <c r="S325" s="15">
        <f t="shared" si="58"/>
        <v>7332</v>
      </c>
      <c r="T325" s="15">
        <f t="shared" si="59"/>
        <v>65988</v>
      </c>
      <c r="U325" s="15">
        <f t="shared" si="60"/>
        <v>1649.7</v>
      </c>
      <c r="V325" s="15">
        <f t="shared" si="61"/>
        <v>1833</v>
      </c>
      <c r="W325" s="17">
        <f>IF($T325="",1000000000000000,$T325)</f>
        <v>65988</v>
      </c>
      <c r="XFB325" s="5"/>
      <c r="XFC325" s="3"/>
    </row>
    <row r="326" spans="1:23 16382:16383" s="4" customFormat="1" ht="28.5" customHeight="1">
      <c r="A326" s="14">
        <f t="shared" si="51"/>
        <v>311</v>
      </c>
      <c r="B326" s="14" t="s">
        <v>12</v>
      </c>
      <c r="C326" s="14" t="s">
        <v>833</v>
      </c>
      <c r="D326" s="18" t="s">
        <v>86</v>
      </c>
      <c r="E326" s="14" t="s">
        <v>26</v>
      </c>
      <c r="F326" s="14" t="s">
        <v>834</v>
      </c>
      <c r="G326" s="15">
        <v>1833</v>
      </c>
      <c r="H326" s="15"/>
      <c r="I326" s="15"/>
      <c r="J326" s="15">
        <v>1818</v>
      </c>
      <c r="K326" s="15">
        <f t="shared" ref="K326:K389" si="62">IF(AND(IFERROR(SEARCH("현대오일뱅크",$C326),0)&gt;0,IFERROR(SEARCH("직영",$C326),0)&gt;0),$B$13,0)</f>
        <v>0</v>
      </c>
      <c r="L326" s="15">
        <f t="shared" si="52"/>
        <v>1833</v>
      </c>
      <c r="M326" s="15" t="str">
        <f t="shared" si="53"/>
        <v/>
      </c>
      <c r="N326" s="15">
        <f t="shared" si="54"/>
        <v>1818</v>
      </c>
      <c r="O326" s="15" t="str">
        <f t="shared" si="55"/>
        <v>휘발유 73,320원</v>
      </c>
      <c r="P326" s="15">
        <f t="shared" si="56"/>
        <v>73320</v>
      </c>
      <c r="Q326" s="15" t="s">
        <v>47</v>
      </c>
      <c r="R326" s="16">
        <f t="shared" si="57"/>
        <v>0.1</v>
      </c>
      <c r="S326" s="15">
        <f t="shared" si="58"/>
        <v>7332</v>
      </c>
      <c r="T326" s="15">
        <f t="shared" si="59"/>
        <v>65988</v>
      </c>
      <c r="U326" s="15">
        <f t="shared" si="60"/>
        <v>1649.7</v>
      </c>
      <c r="V326" s="15">
        <f t="shared" si="61"/>
        <v>1833</v>
      </c>
      <c r="W326" s="17">
        <f>IF($T326="",1000000000000000,$T326)</f>
        <v>65988</v>
      </c>
      <c r="XFB326" s="5"/>
      <c r="XFC326" s="3"/>
    </row>
    <row r="327" spans="1:23 16382:16383" s="4" customFormat="1" ht="28.5" customHeight="1">
      <c r="A327" s="14">
        <f t="shared" si="51"/>
        <v>313</v>
      </c>
      <c r="B327" s="14" t="s">
        <v>14</v>
      </c>
      <c r="C327" s="14" t="s">
        <v>835</v>
      </c>
      <c r="D327" s="14" t="s">
        <v>45</v>
      </c>
      <c r="E327" s="14" t="s">
        <v>26</v>
      </c>
      <c r="F327" s="14" t="s">
        <v>836</v>
      </c>
      <c r="G327" s="15">
        <v>1855</v>
      </c>
      <c r="H327" s="15"/>
      <c r="I327" s="15"/>
      <c r="J327" s="15">
        <v>1875</v>
      </c>
      <c r="K327" s="15">
        <f t="shared" si="62"/>
        <v>0</v>
      </c>
      <c r="L327" s="15">
        <f t="shared" si="52"/>
        <v>1855</v>
      </c>
      <c r="M327" s="15" t="str">
        <f t="shared" si="53"/>
        <v/>
      </c>
      <c r="N327" s="15">
        <f t="shared" si="54"/>
        <v>1875</v>
      </c>
      <c r="O327" s="15" t="str">
        <f t="shared" si="55"/>
        <v>휘발유 74,200원</v>
      </c>
      <c r="P327" s="15">
        <f t="shared" si="56"/>
        <v>74200</v>
      </c>
      <c r="Q327" s="15" t="s">
        <v>47</v>
      </c>
      <c r="R327" s="16">
        <f t="shared" si="57"/>
        <v>0.11</v>
      </c>
      <c r="S327" s="15">
        <f t="shared" si="58"/>
        <v>8162</v>
      </c>
      <c r="T327" s="15">
        <f t="shared" si="59"/>
        <v>66038</v>
      </c>
      <c r="U327" s="15">
        <f t="shared" si="60"/>
        <v>1650.95</v>
      </c>
      <c r="V327" s="15">
        <f t="shared" si="61"/>
        <v>1855</v>
      </c>
      <c r="W327" s="17">
        <f>IF($T327="",1000000000000000,$T327)</f>
        <v>66038</v>
      </c>
      <c r="XFB327" s="5"/>
      <c r="XFC327" s="3"/>
    </row>
    <row r="328" spans="1:23 16382:16383" s="4" customFormat="1" ht="28.5" customHeight="1">
      <c r="A328" s="14">
        <f t="shared" si="51"/>
        <v>314</v>
      </c>
      <c r="B328" s="14" t="s">
        <v>12</v>
      </c>
      <c r="C328" s="14" t="s">
        <v>837</v>
      </c>
      <c r="D328" s="18" t="s">
        <v>45</v>
      </c>
      <c r="E328" s="14" t="s">
        <v>26</v>
      </c>
      <c r="F328" s="14" t="s">
        <v>838</v>
      </c>
      <c r="G328" s="15">
        <v>1835</v>
      </c>
      <c r="H328" s="15"/>
      <c r="I328" s="15"/>
      <c r="J328" s="15">
        <v>1825</v>
      </c>
      <c r="K328" s="15">
        <f t="shared" si="62"/>
        <v>0</v>
      </c>
      <c r="L328" s="15">
        <f t="shared" si="52"/>
        <v>1835</v>
      </c>
      <c r="M328" s="15" t="str">
        <f t="shared" si="53"/>
        <v/>
      </c>
      <c r="N328" s="15">
        <f t="shared" si="54"/>
        <v>1825</v>
      </c>
      <c r="O328" s="15" t="str">
        <f t="shared" si="55"/>
        <v>휘발유 73,400원</v>
      </c>
      <c r="P328" s="15">
        <f t="shared" si="56"/>
        <v>73400</v>
      </c>
      <c r="Q328" s="15" t="s">
        <v>47</v>
      </c>
      <c r="R328" s="16">
        <f t="shared" si="57"/>
        <v>0.1</v>
      </c>
      <c r="S328" s="15">
        <f t="shared" si="58"/>
        <v>7340</v>
      </c>
      <c r="T328" s="15">
        <f t="shared" si="59"/>
        <v>66060</v>
      </c>
      <c r="U328" s="15">
        <f t="shared" si="60"/>
        <v>1651.5</v>
      </c>
      <c r="V328" s="15">
        <f t="shared" si="61"/>
        <v>1835</v>
      </c>
      <c r="W328" s="17">
        <f>IF($T328="",1000000000000000,$T328)</f>
        <v>66060</v>
      </c>
      <c r="XFB328" s="5"/>
      <c r="XFC328" s="3"/>
    </row>
    <row r="329" spans="1:23 16382:16383" s="4" customFormat="1" ht="28.5" customHeight="1">
      <c r="A329" s="14">
        <f t="shared" si="51"/>
        <v>315</v>
      </c>
      <c r="B329" s="14" t="s">
        <v>12</v>
      </c>
      <c r="C329" s="14" t="s">
        <v>839</v>
      </c>
      <c r="D329" s="18" t="s">
        <v>95</v>
      </c>
      <c r="E329" s="14" t="s">
        <v>26</v>
      </c>
      <c r="F329" s="14" t="s">
        <v>840</v>
      </c>
      <c r="G329" s="15">
        <v>1837</v>
      </c>
      <c r="H329" s="15"/>
      <c r="I329" s="15"/>
      <c r="J329" s="15">
        <v>1827</v>
      </c>
      <c r="K329" s="15">
        <f t="shared" si="62"/>
        <v>0</v>
      </c>
      <c r="L329" s="15">
        <f t="shared" si="52"/>
        <v>1837</v>
      </c>
      <c r="M329" s="15" t="str">
        <f t="shared" si="53"/>
        <v/>
      </c>
      <c r="N329" s="15">
        <f t="shared" si="54"/>
        <v>1827</v>
      </c>
      <c r="O329" s="15" t="str">
        <f t="shared" si="55"/>
        <v>휘발유 73,480원</v>
      </c>
      <c r="P329" s="15">
        <f t="shared" si="56"/>
        <v>73480</v>
      </c>
      <c r="Q329" s="15" t="s">
        <v>47</v>
      </c>
      <c r="R329" s="16">
        <f t="shared" si="57"/>
        <v>0.1</v>
      </c>
      <c r="S329" s="15">
        <f t="shared" si="58"/>
        <v>7348</v>
      </c>
      <c r="T329" s="15">
        <f t="shared" si="59"/>
        <v>66132</v>
      </c>
      <c r="U329" s="15">
        <f t="shared" si="60"/>
        <v>1653.3</v>
      </c>
      <c r="V329" s="15">
        <f t="shared" si="61"/>
        <v>1837</v>
      </c>
      <c r="W329" s="17">
        <f>IF($T329="",1000000000000000,$T329)</f>
        <v>66132</v>
      </c>
      <c r="XFB329" s="5"/>
      <c r="XFC329" s="3"/>
    </row>
    <row r="330" spans="1:23 16382:16383" s="4" customFormat="1" ht="28.5" customHeight="1">
      <c r="A330" s="14">
        <f t="shared" si="51"/>
        <v>315</v>
      </c>
      <c r="B330" s="14" t="s">
        <v>12</v>
      </c>
      <c r="C330" s="14" t="s">
        <v>809</v>
      </c>
      <c r="D330" s="18" t="s">
        <v>45</v>
      </c>
      <c r="E330" s="14" t="s">
        <v>26</v>
      </c>
      <c r="F330" s="14" t="s">
        <v>810</v>
      </c>
      <c r="G330" s="15">
        <v>1837</v>
      </c>
      <c r="H330" s="15"/>
      <c r="I330" s="15"/>
      <c r="J330" s="15">
        <v>1862</v>
      </c>
      <c r="K330" s="15">
        <f t="shared" si="62"/>
        <v>0</v>
      </c>
      <c r="L330" s="15">
        <f t="shared" si="52"/>
        <v>1837</v>
      </c>
      <c r="M330" s="15" t="str">
        <f t="shared" si="53"/>
        <v/>
      </c>
      <c r="N330" s="15">
        <f t="shared" si="54"/>
        <v>1862</v>
      </c>
      <c r="O330" s="15" t="str">
        <f t="shared" si="55"/>
        <v>휘발유 73,480원</v>
      </c>
      <c r="P330" s="15">
        <f t="shared" si="56"/>
        <v>73480</v>
      </c>
      <c r="Q330" s="15" t="s">
        <v>47</v>
      </c>
      <c r="R330" s="16">
        <f t="shared" si="57"/>
        <v>0.1</v>
      </c>
      <c r="S330" s="15">
        <f t="shared" si="58"/>
        <v>7348</v>
      </c>
      <c r="T330" s="15">
        <f t="shared" si="59"/>
        <v>66132</v>
      </c>
      <c r="U330" s="15">
        <f t="shared" si="60"/>
        <v>1653.3</v>
      </c>
      <c r="V330" s="15">
        <f t="shared" si="61"/>
        <v>1837</v>
      </c>
      <c r="W330" s="17">
        <f>IF($T330="",1000000000000000,$T330)</f>
        <v>66132</v>
      </c>
      <c r="XFB330" s="5"/>
      <c r="XFC330" s="3"/>
    </row>
    <row r="331" spans="1:23 16382:16383" s="4" customFormat="1" ht="28.5" customHeight="1">
      <c r="A331" s="14">
        <f t="shared" si="51"/>
        <v>317</v>
      </c>
      <c r="B331" s="14" t="s">
        <v>14</v>
      </c>
      <c r="C331" s="14" t="s">
        <v>841</v>
      </c>
      <c r="D331" s="14" t="s">
        <v>51</v>
      </c>
      <c r="E331" s="14" t="s">
        <v>63</v>
      </c>
      <c r="F331" s="14" t="s">
        <v>842</v>
      </c>
      <c r="G331" s="15">
        <v>1858</v>
      </c>
      <c r="H331" s="15"/>
      <c r="I331" s="15"/>
      <c r="J331" s="15">
        <v>1858</v>
      </c>
      <c r="K331" s="15">
        <f t="shared" si="62"/>
        <v>0</v>
      </c>
      <c r="L331" s="15">
        <f t="shared" si="52"/>
        <v>1858</v>
      </c>
      <c r="M331" s="15" t="str">
        <f t="shared" si="53"/>
        <v/>
      </c>
      <c r="N331" s="15">
        <f t="shared" si="54"/>
        <v>1858</v>
      </c>
      <c r="O331" s="15" t="str">
        <f t="shared" si="55"/>
        <v>휘발유 74,320원</v>
      </c>
      <c r="P331" s="15">
        <f t="shared" si="56"/>
        <v>74320</v>
      </c>
      <c r="Q331" s="15" t="s">
        <v>47</v>
      </c>
      <c r="R331" s="16">
        <f t="shared" si="57"/>
        <v>0.11</v>
      </c>
      <c r="S331" s="15">
        <f t="shared" si="58"/>
        <v>8175</v>
      </c>
      <c r="T331" s="15">
        <f t="shared" si="59"/>
        <v>66145</v>
      </c>
      <c r="U331" s="15">
        <f t="shared" si="60"/>
        <v>1653.625</v>
      </c>
      <c r="V331" s="15">
        <f t="shared" si="61"/>
        <v>1858</v>
      </c>
      <c r="W331" s="17">
        <f>IF($T331="",1000000000000000,$T331)</f>
        <v>66145</v>
      </c>
      <c r="XFB331" s="5"/>
      <c r="XFC331" s="3"/>
    </row>
    <row r="332" spans="1:23 16382:16383" s="4" customFormat="1" ht="28.5" customHeight="1">
      <c r="A332" s="14">
        <f t="shared" si="51"/>
        <v>317</v>
      </c>
      <c r="B332" s="14" t="s">
        <v>14</v>
      </c>
      <c r="C332" s="14" t="s">
        <v>843</v>
      </c>
      <c r="D332" s="14" t="s">
        <v>95</v>
      </c>
      <c r="E332" s="14" t="s">
        <v>63</v>
      </c>
      <c r="F332" s="14" t="s">
        <v>844</v>
      </c>
      <c r="G332" s="15">
        <v>1858</v>
      </c>
      <c r="H332" s="15"/>
      <c r="I332" s="15"/>
      <c r="J332" s="15">
        <v>1858</v>
      </c>
      <c r="K332" s="15">
        <f t="shared" si="62"/>
        <v>0</v>
      </c>
      <c r="L332" s="15">
        <f t="shared" si="52"/>
        <v>1858</v>
      </c>
      <c r="M332" s="15" t="str">
        <f t="shared" si="53"/>
        <v/>
      </c>
      <c r="N332" s="15">
        <f t="shared" si="54"/>
        <v>1858</v>
      </c>
      <c r="O332" s="15" t="str">
        <f t="shared" si="55"/>
        <v>휘발유 74,320원</v>
      </c>
      <c r="P332" s="15">
        <f t="shared" si="56"/>
        <v>74320</v>
      </c>
      <c r="Q332" s="15" t="s">
        <v>47</v>
      </c>
      <c r="R332" s="16">
        <f t="shared" si="57"/>
        <v>0.11</v>
      </c>
      <c r="S332" s="15">
        <f t="shared" si="58"/>
        <v>8175</v>
      </c>
      <c r="T332" s="15">
        <f t="shared" si="59"/>
        <v>66145</v>
      </c>
      <c r="U332" s="15">
        <f t="shared" si="60"/>
        <v>1653.625</v>
      </c>
      <c r="V332" s="15">
        <f t="shared" si="61"/>
        <v>1858</v>
      </c>
      <c r="W332" s="17">
        <f>IF($T332="",1000000000000000,$T332)</f>
        <v>66145</v>
      </c>
      <c r="XFB332" s="5"/>
      <c r="XFC332" s="3"/>
    </row>
    <row r="333" spans="1:23 16382:16383" s="4" customFormat="1" ht="28.5" customHeight="1">
      <c r="A333" s="14">
        <f t="shared" si="51"/>
        <v>319</v>
      </c>
      <c r="B333" s="14" t="s">
        <v>12</v>
      </c>
      <c r="C333" s="14" t="s">
        <v>153</v>
      </c>
      <c r="D333" s="18" t="s">
        <v>45</v>
      </c>
      <c r="E333" s="14" t="s">
        <v>63</v>
      </c>
      <c r="F333" s="14" t="s">
        <v>847</v>
      </c>
      <c r="G333" s="15">
        <v>1838</v>
      </c>
      <c r="H333" s="15"/>
      <c r="I333" s="15"/>
      <c r="J333" s="15">
        <v>1818</v>
      </c>
      <c r="K333" s="15">
        <f t="shared" si="62"/>
        <v>0</v>
      </c>
      <c r="L333" s="15">
        <f t="shared" si="52"/>
        <v>1838</v>
      </c>
      <c r="M333" s="15" t="str">
        <f t="shared" si="53"/>
        <v/>
      </c>
      <c r="N333" s="15">
        <f t="shared" si="54"/>
        <v>1818</v>
      </c>
      <c r="O333" s="15" t="str">
        <f t="shared" si="55"/>
        <v>휘발유 73,520원</v>
      </c>
      <c r="P333" s="15">
        <f t="shared" si="56"/>
        <v>73520</v>
      </c>
      <c r="Q333" s="15" t="s">
        <v>47</v>
      </c>
      <c r="R333" s="16">
        <f t="shared" si="57"/>
        <v>0.1</v>
      </c>
      <c r="S333" s="15">
        <f t="shared" si="58"/>
        <v>7352</v>
      </c>
      <c r="T333" s="15">
        <f t="shared" si="59"/>
        <v>66168</v>
      </c>
      <c r="U333" s="15">
        <f t="shared" si="60"/>
        <v>1654.2</v>
      </c>
      <c r="V333" s="15">
        <f t="shared" si="61"/>
        <v>1838</v>
      </c>
      <c r="W333" s="17">
        <f>IF($T333="",1000000000000000,$T333)</f>
        <v>66168</v>
      </c>
      <c r="XFB333" s="5"/>
      <c r="XFC333" s="3"/>
    </row>
    <row r="334" spans="1:23 16382:16383" s="4" customFormat="1" ht="28.5" customHeight="1">
      <c r="A334" s="14">
        <f t="shared" si="51"/>
        <v>319</v>
      </c>
      <c r="B334" s="14" t="s">
        <v>12</v>
      </c>
      <c r="C334" s="14" t="s">
        <v>848</v>
      </c>
      <c r="D334" s="18" t="s">
        <v>45</v>
      </c>
      <c r="E334" s="14" t="s">
        <v>63</v>
      </c>
      <c r="F334" s="14" t="s">
        <v>849</v>
      </c>
      <c r="G334" s="15">
        <v>1838</v>
      </c>
      <c r="H334" s="15"/>
      <c r="I334" s="15"/>
      <c r="J334" s="15">
        <v>1838</v>
      </c>
      <c r="K334" s="15">
        <f t="shared" si="62"/>
        <v>0</v>
      </c>
      <c r="L334" s="15">
        <f t="shared" si="52"/>
        <v>1838</v>
      </c>
      <c r="M334" s="15" t="str">
        <f t="shared" si="53"/>
        <v/>
      </c>
      <c r="N334" s="15">
        <f t="shared" si="54"/>
        <v>1838</v>
      </c>
      <c r="O334" s="15" t="str">
        <f t="shared" si="55"/>
        <v>휘발유 73,520원</v>
      </c>
      <c r="P334" s="15">
        <f t="shared" si="56"/>
        <v>73520</v>
      </c>
      <c r="Q334" s="15" t="s">
        <v>47</v>
      </c>
      <c r="R334" s="16">
        <f t="shared" si="57"/>
        <v>0.1</v>
      </c>
      <c r="S334" s="15">
        <f t="shared" si="58"/>
        <v>7352</v>
      </c>
      <c r="T334" s="15">
        <f t="shared" si="59"/>
        <v>66168</v>
      </c>
      <c r="U334" s="15">
        <f t="shared" si="60"/>
        <v>1654.2</v>
      </c>
      <c r="V334" s="15">
        <f t="shared" si="61"/>
        <v>1838</v>
      </c>
      <c r="W334" s="17">
        <f>IF($T334="",1000000000000000,$T334)</f>
        <v>66168</v>
      </c>
      <c r="XFB334" s="5"/>
      <c r="XFC334" s="3"/>
    </row>
    <row r="335" spans="1:23 16382:16383" s="4" customFormat="1" ht="28.5" customHeight="1">
      <c r="A335" s="14">
        <f t="shared" ref="A335:A398" si="63">IF($T335="","",1+COUNTIF($W$15:$W$890,"&lt;"&amp;W335))</f>
        <v>321</v>
      </c>
      <c r="B335" s="14" t="s">
        <v>14</v>
      </c>
      <c r="C335" s="14" t="s">
        <v>850</v>
      </c>
      <c r="D335" s="14" t="s">
        <v>51</v>
      </c>
      <c r="E335" s="14" t="s">
        <v>63</v>
      </c>
      <c r="F335" s="14" t="s">
        <v>851</v>
      </c>
      <c r="G335" s="15">
        <v>1859</v>
      </c>
      <c r="H335" s="15"/>
      <c r="I335" s="15"/>
      <c r="J335" s="15">
        <v>1835</v>
      </c>
      <c r="K335" s="15">
        <f t="shared" si="62"/>
        <v>0</v>
      </c>
      <c r="L335" s="15">
        <f t="shared" ref="L335:L398" si="64">IF($G335="","",$G335+$K335)</f>
        <v>1859</v>
      </c>
      <c r="M335" s="15" t="str">
        <f t="shared" ref="M335:M398" si="65">IF($H335="","",$H335+$K335)</f>
        <v/>
      </c>
      <c r="N335" s="15">
        <f t="shared" ref="N335:N398" si="66">IF($J335="","",$J335+$K335)</f>
        <v>1835</v>
      </c>
      <c r="O335" s="15" t="str">
        <f t="shared" ref="O335:O398" si="67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>휘발유 74,360원</v>
      </c>
      <c r="P335" s="15">
        <f t="shared" ref="P335:P398" si="68">IF($B$10=0,"",IFERROR(IF($B$4&gt;0,IF($L335="",1/0,$L335*$B$4),0)+IF($B$5&gt;0,IF($M335="",1/0,$M335*$B$5),0)+IF($B$6&gt;0,IF($N335="",1/0,$N335*$B$6),0),""))</f>
        <v>74360</v>
      </c>
      <c r="Q335" s="15" t="s">
        <v>47</v>
      </c>
      <c r="R335" s="16">
        <f t="shared" ref="R335:R398" si="69">IF($P335="","",IF($Q335="Y",IFERROR(VLOOKUP($B335,$C$4:$D$13,2,FALSE()),0),0))</f>
        <v>0.11</v>
      </c>
      <c r="S335" s="15">
        <f t="shared" ref="S335:S398" si="70">IF($P335="","",ROUNDDOWN($P335*$R335,0))</f>
        <v>8179</v>
      </c>
      <c r="T335" s="15">
        <f t="shared" ref="T335:T398" si="71">IF($P335="","",$P335-$S335)</f>
        <v>66181</v>
      </c>
      <c r="U335" s="15">
        <f t="shared" ref="U335:U398" si="72">IF($T335="","",IF($B$10=0,"",$T335/$B$10))</f>
        <v>1654.5250000000001</v>
      </c>
      <c r="V335" s="15">
        <f t="shared" si="61"/>
        <v>1859</v>
      </c>
      <c r="W335" s="17">
        <f>IF($T335="",1000000000000000,$T335)</f>
        <v>66181</v>
      </c>
      <c r="XFB335" s="5"/>
      <c r="XFC335" s="3"/>
    </row>
    <row r="336" spans="1:23 16382:16383" s="4" customFormat="1" ht="28.5" customHeight="1">
      <c r="A336" s="14">
        <f t="shared" si="63"/>
        <v>321</v>
      </c>
      <c r="B336" s="14" t="s">
        <v>14</v>
      </c>
      <c r="C336" s="14" t="s">
        <v>852</v>
      </c>
      <c r="D336" s="14" t="s">
        <v>95</v>
      </c>
      <c r="E336" s="14" t="s">
        <v>63</v>
      </c>
      <c r="F336" s="14" t="s">
        <v>853</v>
      </c>
      <c r="G336" s="15">
        <v>1859</v>
      </c>
      <c r="H336" s="15"/>
      <c r="I336" s="15"/>
      <c r="J336" s="15">
        <v>1859</v>
      </c>
      <c r="K336" s="15">
        <f t="shared" si="62"/>
        <v>0</v>
      </c>
      <c r="L336" s="15">
        <f t="shared" si="64"/>
        <v>1859</v>
      </c>
      <c r="M336" s="15" t="str">
        <f t="shared" si="65"/>
        <v/>
      </c>
      <c r="N336" s="15">
        <f t="shared" si="66"/>
        <v>1859</v>
      </c>
      <c r="O336" s="15" t="str">
        <f t="shared" si="67"/>
        <v>휘발유 74,360원</v>
      </c>
      <c r="P336" s="15">
        <f t="shared" si="68"/>
        <v>74360</v>
      </c>
      <c r="Q336" s="15" t="s">
        <v>47</v>
      </c>
      <c r="R336" s="16">
        <f t="shared" si="69"/>
        <v>0.11</v>
      </c>
      <c r="S336" s="15">
        <f t="shared" si="70"/>
        <v>8179</v>
      </c>
      <c r="T336" s="15">
        <f t="shared" si="71"/>
        <v>66181</v>
      </c>
      <c r="U336" s="15">
        <f t="shared" si="72"/>
        <v>1654.5250000000001</v>
      </c>
      <c r="V336" s="15">
        <f t="shared" si="61"/>
        <v>1859</v>
      </c>
      <c r="W336" s="17">
        <f>IF($T336="",1000000000000000,$T336)</f>
        <v>66181</v>
      </c>
      <c r="XFB336" s="5"/>
      <c r="XFC336" s="3"/>
    </row>
    <row r="337" spans="1:23 16382:16383" s="4" customFormat="1" ht="28.5" customHeight="1">
      <c r="A337" s="14">
        <f t="shared" si="63"/>
        <v>323</v>
      </c>
      <c r="B337" s="14" t="s">
        <v>6</v>
      </c>
      <c r="C337" s="14" t="s">
        <v>854</v>
      </c>
      <c r="D337" s="18" t="s">
        <v>86</v>
      </c>
      <c r="E337" s="14" t="s">
        <v>26</v>
      </c>
      <c r="F337" s="14" t="s">
        <v>855</v>
      </c>
      <c r="G337" s="15">
        <v>1839</v>
      </c>
      <c r="H337" s="15"/>
      <c r="I337" s="15"/>
      <c r="J337" s="15">
        <v>1799</v>
      </c>
      <c r="K337" s="15">
        <f t="shared" si="62"/>
        <v>0</v>
      </c>
      <c r="L337" s="15">
        <f t="shared" si="64"/>
        <v>1839</v>
      </c>
      <c r="M337" s="15" t="str">
        <f t="shared" si="65"/>
        <v/>
      </c>
      <c r="N337" s="15">
        <f t="shared" si="66"/>
        <v>1799</v>
      </c>
      <c r="O337" s="15" t="str">
        <f t="shared" si="67"/>
        <v>휘발유 73,560원</v>
      </c>
      <c r="P337" s="15">
        <f t="shared" si="68"/>
        <v>73560</v>
      </c>
      <c r="Q337" s="15" t="s">
        <v>47</v>
      </c>
      <c r="R337" s="16">
        <f t="shared" si="69"/>
        <v>0.1</v>
      </c>
      <c r="S337" s="15">
        <f t="shared" si="70"/>
        <v>7356</v>
      </c>
      <c r="T337" s="15">
        <f t="shared" si="71"/>
        <v>66204</v>
      </c>
      <c r="U337" s="15">
        <f t="shared" si="72"/>
        <v>1655.1</v>
      </c>
      <c r="V337" s="15">
        <f t="shared" si="61"/>
        <v>1839</v>
      </c>
      <c r="W337" s="17">
        <f>IF($T337="",1000000000000000,$T337)</f>
        <v>66204</v>
      </c>
      <c r="XFB337" s="5"/>
      <c r="XFC337" s="3"/>
    </row>
    <row r="338" spans="1:23 16382:16383" s="4" customFormat="1" ht="28.5" customHeight="1">
      <c r="A338" s="14">
        <f t="shared" si="63"/>
        <v>323</v>
      </c>
      <c r="B338" s="14" t="s">
        <v>12</v>
      </c>
      <c r="C338" s="14" t="s">
        <v>856</v>
      </c>
      <c r="D338" s="18" t="s">
        <v>95</v>
      </c>
      <c r="E338" s="14" t="s">
        <v>26</v>
      </c>
      <c r="F338" s="14" t="s">
        <v>857</v>
      </c>
      <c r="G338" s="15">
        <v>1839</v>
      </c>
      <c r="H338" s="15"/>
      <c r="I338" s="15"/>
      <c r="J338" s="15">
        <v>1839</v>
      </c>
      <c r="K338" s="15">
        <f t="shared" si="62"/>
        <v>0</v>
      </c>
      <c r="L338" s="15">
        <f t="shared" si="64"/>
        <v>1839</v>
      </c>
      <c r="M338" s="15" t="str">
        <f t="shared" si="65"/>
        <v/>
      </c>
      <c r="N338" s="15">
        <f t="shared" si="66"/>
        <v>1839</v>
      </c>
      <c r="O338" s="15" t="str">
        <f t="shared" si="67"/>
        <v>휘발유 73,560원</v>
      </c>
      <c r="P338" s="15">
        <f t="shared" si="68"/>
        <v>73560</v>
      </c>
      <c r="Q338" s="15" t="s">
        <v>47</v>
      </c>
      <c r="R338" s="16">
        <f t="shared" si="69"/>
        <v>0.1</v>
      </c>
      <c r="S338" s="15">
        <f t="shared" si="70"/>
        <v>7356</v>
      </c>
      <c r="T338" s="15">
        <f t="shared" si="71"/>
        <v>66204</v>
      </c>
      <c r="U338" s="15">
        <f t="shared" si="72"/>
        <v>1655.1</v>
      </c>
      <c r="V338" s="15">
        <f t="shared" si="61"/>
        <v>1839</v>
      </c>
      <c r="W338" s="17">
        <f>IF($T338="",1000000000000000,$T338)</f>
        <v>66204</v>
      </c>
      <c r="XFB338" s="5"/>
      <c r="XFC338" s="3"/>
    </row>
    <row r="339" spans="1:23 16382:16383" s="4" customFormat="1" ht="28.5" customHeight="1">
      <c r="A339" s="14">
        <f t="shared" si="63"/>
        <v>325</v>
      </c>
      <c r="B339" s="14" t="s">
        <v>6</v>
      </c>
      <c r="C339" s="14" t="s">
        <v>860</v>
      </c>
      <c r="D339" s="14" t="s">
        <v>51</v>
      </c>
      <c r="E339" s="14" t="s">
        <v>63</v>
      </c>
      <c r="F339" s="14" t="s">
        <v>861</v>
      </c>
      <c r="G339" s="15">
        <v>1843</v>
      </c>
      <c r="H339" s="15"/>
      <c r="I339" s="15"/>
      <c r="J339" s="15">
        <v>1843</v>
      </c>
      <c r="K339" s="15">
        <f t="shared" si="62"/>
        <v>0</v>
      </c>
      <c r="L339" s="15">
        <f t="shared" si="64"/>
        <v>1843</v>
      </c>
      <c r="M339" s="15" t="str">
        <f t="shared" si="65"/>
        <v/>
      </c>
      <c r="N339" s="15">
        <f t="shared" si="66"/>
        <v>1843</v>
      </c>
      <c r="O339" s="15" t="str">
        <f t="shared" si="67"/>
        <v>휘발유 73,720원</v>
      </c>
      <c r="P339" s="15">
        <f t="shared" si="68"/>
        <v>73720</v>
      </c>
      <c r="Q339" s="15" t="s">
        <v>47</v>
      </c>
      <c r="R339" s="16">
        <f t="shared" si="69"/>
        <v>0.1</v>
      </c>
      <c r="S339" s="15">
        <f t="shared" si="70"/>
        <v>7372</v>
      </c>
      <c r="T339" s="15">
        <f t="shared" si="71"/>
        <v>66348</v>
      </c>
      <c r="U339" s="15">
        <f t="shared" si="72"/>
        <v>1658.7</v>
      </c>
      <c r="V339" s="15">
        <f t="shared" si="61"/>
        <v>1843</v>
      </c>
      <c r="W339" s="17">
        <f>IF($T339="",1000000000000000,$T339)</f>
        <v>66348</v>
      </c>
      <c r="XFB339" s="5"/>
      <c r="XFC339" s="3"/>
    </row>
    <row r="340" spans="1:23 16382:16383" s="4" customFormat="1" ht="28.5" customHeight="1">
      <c r="A340" s="14">
        <f t="shared" si="63"/>
        <v>326</v>
      </c>
      <c r="B340" s="14" t="s">
        <v>12</v>
      </c>
      <c r="C340" s="14" t="s">
        <v>862</v>
      </c>
      <c r="D340" s="18" t="s">
        <v>86</v>
      </c>
      <c r="E340" s="14" t="s">
        <v>63</v>
      </c>
      <c r="F340" s="14" t="s">
        <v>863</v>
      </c>
      <c r="G340" s="15">
        <v>1844</v>
      </c>
      <c r="H340" s="15"/>
      <c r="I340" s="15"/>
      <c r="J340" s="15">
        <v>1830</v>
      </c>
      <c r="K340" s="15">
        <f t="shared" si="62"/>
        <v>0</v>
      </c>
      <c r="L340" s="15">
        <f t="shared" si="64"/>
        <v>1844</v>
      </c>
      <c r="M340" s="15" t="str">
        <f t="shared" si="65"/>
        <v/>
      </c>
      <c r="N340" s="15">
        <f t="shared" si="66"/>
        <v>1830</v>
      </c>
      <c r="O340" s="15" t="str">
        <f t="shared" si="67"/>
        <v>휘발유 73,760원</v>
      </c>
      <c r="P340" s="15">
        <f t="shared" si="68"/>
        <v>73760</v>
      </c>
      <c r="Q340" s="15" t="s">
        <v>47</v>
      </c>
      <c r="R340" s="16">
        <f t="shared" si="69"/>
        <v>0.1</v>
      </c>
      <c r="S340" s="15">
        <f t="shared" si="70"/>
        <v>7376</v>
      </c>
      <c r="T340" s="15">
        <f t="shared" si="71"/>
        <v>66384</v>
      </c>
      <c r="U340" s="15">
        <f t="shared" si="72"/>
        <v>1659.6</v>
      </c>
      <c r="V340" s="15">
        <f t="shared" si="61"/>
        <v>1844</v>
      </c>
      <c r="W340" s="17">
        <f>IF($T340="",1000000000000000,$T340)</f>
        <v>66384</v>
      </c>
      <c r="XFB340" s="5"/>
      <c r="XFC340" s="3"/>
    </row>
    <row r="341" spans="1:23 16382:16383" s="4" customFormat="1" ht="28.5" customHeight="1">
      <c r="A341" s="14">
        <f t="shared" si="63"/>
        <v>326</v>
      </c>
      <c r="B341" s="14" t="s">
        <v>8</v>
      </c>
      <c r="C341" s="14" t="s">
        <v>425</v>
      </c>
      <c r="D341" s="14" t="s">
        <v>95</v>
      </c>
      <c r="E341" s="14" t="s">
        <v>63</v>
      </c>
      <c r="F341" s="14" t="s">
        <v>864</v>
      </c>
      <c r="G341" s="15">
        <v>1844</v>
      </c>
      <c r="H341" s="15"/>
      <c r="I341" s="15"/>
      <c r="J341" s="15">
        <v>1833</v>
      </c>
      <c r="K341" s="15">
        <f t="shared" si="62"/>
        <v>0</v>
      </c>
      <c r="L341" s="15">
        <f t="shared" si="64"/>
        <v>1844</v>
      </c>
      <c r="M341" s="15" t="str">
        <f t="shared" si="65"/>
        <v/>
      </c>
      <c r="N341" s="15">
        <f t="shared" si="66"/>
        <v>1833</v>
      </c>
      <c r="O341" s="15" t="str">
        <f t="shared" si="67"/>
        <v>휘발유 73,760원</v>
      </c>
      <c r="P341" s="15">
        <f t="shared" si="68"/>
        <v>73760</v>
      </c>
      <c r="Q341" s="15" t="s">
        <v>47</v>
      </c>
      <c r="R341" s="16">
        <f t="shared" si="69"/>
        <v>0.1</v>
      </c>
      <c r="S341" s="15">
        <f t="shared" si="70"/>
        <v>7376</v>
      </c>
      <c r="T341" s="15">
        <f t="shared" si="71"/>
        <v>66384</v>
      </c>
      <c r="U341" s="15">
        <f t="shared" si="72"/>
        <v>1659.6</v>
      </c>
      <c r="V341" s="15">
        <f t="shared" si="61"/>
        <v>1844</v>
      </c>
      <c r="W341" s="17">
        <f>IF($T341="",1000000000000000,$T341)</f>
        <v>66384</v>
      </c>
      <c r="XFB341" s="5"/>
      <c r="XFC341" s="3"/>
    </row>
    <row r="342" spans="1:23 16382:16383" s="4" customFormat="1" ht="28.5" customHeight="1">
      <c r="A342" s="14">
        <f t="shared" si="63"/>
        <v>328</v>
      </c>
      <c r="B342" s="14" t="s">
        <v>10</v>
      </c>
      <c r="C342" s="14" t="s">
        <v>155</v>
      </c>
      <c r="D342" s="14" t="s">
        <v>95</v>
      </c>
      <c r="E342" s="14" t="s">
        <v>26</v>
      </c>
      <c r="F342" s="14" t="s">
        <v>156</v>
      </c>
      <c r="G342" s="15">
        <v>1845</v>
      </c>
      <c r="H342" s="15">
        <v>2045</v>
      </c>
      <c r="I342" s="15"/>
      <c r="J342" s="15">
        <v>1845</v>
      </c>
      <c r="K342" s="15">
        <f t="shared" si="62"/>
        <v>0</v>
      </c>
      <c r="L342" s="15">
        <f t="shared" si="64"/>
        <v>1845</v>
      </c>
      <c r="M342" s="15">
        <f t="shared" si="65"/>
        <v>2045</v>
      </c>
      <c r="N342" s="15">
        <f t="shared" si="66"/>
        <v>1845</v>
      </c>
      <c r="O342" s="15" t="str">
        <f t="shared" si="67"/>
        <v>휘발유 73,800원</v>
      </c>
      <c r="P342" s="15">
        <f t="shared" si="68"/>
        <v>73800</v>
      </c>
      <c r="Q342" s="15" t="s">
        <v>47</v>
      </c>
      <c r="R342" s="16">
        <f t="shared" si="69"/>
        <v>0.1</v>
      </c>
      <c r="S342" s="15">
        <f t="shared" si="70"/>
        <v>7380</v>
      </c>
      <c r="T342" s="15">
        <f t="shared" si="71"/>
        <v>66420</v>
      </c>
      <c r="U342" s="15">
        <f t="shared" si="72"/>
        <v>1660.5</v>
      </c>
      <c r="V342" s="15">
        <f t="shared" si="61"/>
        <v>1845</v>
      </c>
      <c r="W342" s="17">
        <f>IF($T342="",1000000000000000,$T342)</f>
        <v>66420</v>
      </c>
      <c r="XFB342" s="5"/>
      <c r="XFC342" s="3"/>
    </row>
    <row r="343" spans="1:23 16382:16383" s="4" customFormat="1" ht="28.5" customHeight="1">
      <c r="A343" s="14">
        <f t="shared" si="63"/>
        <v>328</v>
      </c>
      <c r="B343" s="14" t="s">
        <v>6</v>
      </c>
      <c r="C343" s="14" t="s">
        <v>865</v>
      </c>
      <c r="D343" s="18" t="s">
        <v>86</v>
      </c>
      <c r="E343" s="14" t="s">
        <v>26</v>
      </c>
      <c r="F343" s="14" t="s">
        <v>866</v>
      </c>
      <c r="G343" s="15">
        <v>1845</v>
      </c>
      <c r="H343" s="15"/>
      <c r="I343" s="15"/>
      <c r="J343" s="15">
        <v>1815</v>
      </c>
      <c r="K343" s="15">
        <f t="shared" si="62"/>
        <v>0</v>
      </c>
      <c r="L343" s="15">
        <f t="shared" si="64"/>
        <v>1845</v>
      </c>
      <c r="M343" s="15" t="str">
        <f t="shared" si="65"/>
        <v/>
      </c>
      <c r="N343" s="15">
        <f t="shared" si="66"/>
        <v>1815</v>
      </c>
      <c r="O343" s="15" t="str">
        <f t="shared" si="67"/>
        <v>휘발유 73,800원</v>
      </c>
      <c r="P343" s="15">
        <f t="shared" si="68"/>
        <v>73800</v>
      </c>
      <c r="Q343" s="15" t="s">
        <v>47</v>
      </c>
      <c r="R343" s="16">
        <f t="shared" si="69"/>
        <v>0.1</v>
      </c>
      <c r="S343" s="15">
        <f t="shared" si="70"/>
        <v>7380</v>
      </c>
      <c r="T343" s="15">
        <f t="shared" si="71"/>
        <v>66420</v>
      </c>
      <c r="U343" s="15">
        <f t="shared" si="72"/>
        <v>1660.5</v>
      </c>
      <c r="V343" s="15">
        <f t="shared" ref="V343:V406" si="73">IF($P343="","",IF($B$10=0,"",$P343/$B$10))</f>
        <v>1845</v>
      </c>
      <c r="W343" s="17">
        <f>IF($T343="",1000000000000000,$T343)</f>
        <v>66420</v>
      </c>
      <c r="XFB343" s="5"/>
      <c r="XFC343" s="3"/>
    </row>
    <row r="344" spans="1:23 16382:16383" s="4" customFormat="1" ht="28.5" customHeight="1">
      <c r="A344" s="14">
        <f t="shared" si="63"/>
        <v>328</v>
      </c>
      <c r="B344" s="14" t="s">
        <v>8</v>
      </c>
      <c r="C344" s="14" t="s">
        <v>940</v>
      </c>
      <c r="D344" s="14" t="s">
        <v>45</v>
      </c>
      <c r="E344" s="14" t="s">
        <v>63</v>
      </c>
      <c r="F344" s="14" t="s">
        <v>941</v>
      </c>
      <c r="G344" s="15">
        <v>1845</v>
      </c>
      <c r="H344" s="15"/>
      <c r="I344" s="15"/>
      <c r="J344" s="15">
        <v>1835</v>
      </c>
      <c r="K344" s="15">
        <f t="shared" si="62"/>
        <v>0</v>
      </c>
      <c r="L344" s="15">
        <f t="shared" si="64"/>
        <v>1845</v>
      </c>
      <c r="M344" s="15" t="str">
        <f t="shared" si="65"/>
        <v/>
      </c>
      <c r="N344" s="15">
        <f t="shared" si="66"/>
        <v>1835</v>
      </c>
      <c r="O344" s="15" t="str">
        <f t="shared" si="67"/>
        <v>휘발유 73,800원</v>
      </c>
      <c r="P344" s="15">
        <f t="shared" si="68"/>
        <v>73800</v>
      </c>
      <c r="Q344" s="15" t="s">
        <v>47</v>
      </c>
      <c r="R344" s="16">
        <f t="shared" si="69"/>
        <v>0.1</v>
      </c>
      <c r="S344" s="15">
        <f t="shared" si="70"/>
        <v>7380</v>
      </c>
      <c r="T344" s="15">
        <f t="shared" si="71"/>
        <v>66420</v>
      </c>
      <c r="U344" s="15">
        <f t="shared" si="72"/>
        <v>1660.5</v>
      </c>
      <c r="V344" s="15">
        <f t="shared" si="73"/>
        <v>1845</v>
      </c>
      <c r="W344" s="17">
        <f>IF($T344="",1000000000000000,$T344)</f>
        <v>66420</v>
      </c>
      <c r="XFB344" s="5"/>
      <c r="XFC344" s="3"/>
    </row>
    <row r="345" spans="1:23 16382:16383" s="4" customFormat="1" ht="28.5" customHeight="1">
      <c r="A345" s="14">
        <f t="shared" si="63"/>
        <v>328</v>
      </c>
      <c r="B345" s="14" t="s">
        <v>6</v>
      </c>
      <c r="C345" s="14" t="s">
        <v>969</v>
      </c>
      <c r="D345" s="14" t="s">
        <v>95</v>
      </c>
      <c r="E345" s="14" t="s">
        <v>63</v>
      </c>
      <c r="F345" s="14" t="s">
        <v>970</v>
      </c>
      <c r="G345" s="15">
        <v>1845</v>
      </c>
      <c r="H345" s="15"/>
      <c r="I345" s="15"/>
      <c r="J345" s="15">
        <v>1845</v>
      </c>
      <c r="K345" s="15">
        <f t="shared" si="62"/>
        <v>0</v>
      </c>
      <c r="L345" s="15">
        <f t="shared" si="64"/>
        <v>1845</v>
      </c>
      <c r="M345" s="15" t="str">
        <f t="shared" si="65"/>
        <v/>
      </c>
      <c r="N345" s="15">
        <f t="shared" si="66"/>
        <v>1845</v>
      </c>
      <c r="O345" s="15" t="str">
        <f t="shared" si="67"/>
        <v>휘발유 73,800원</v>
      </c>
      <c r="P345" s="15">
        <f t="shared" si="68"/>
        <v>73800</v>
      </c>
      <c r="Q345" s="15" t="s">
        <v>47</v>
      </c>
      <c r="R345" s="16">
        <f t="shared" si="69"/>
        <v>0.1</v>
      </c>
      <c r="S345" s="15">
        <f t="shared" si="70"/>
        <v>7380</v>
      </c>
      <c r="T345" s="15">
        <f t="shared" si="71"/>
        <v>66420</v>
      </c>
      <c r="U345" s="15">
        <f t="shared" si="72"/>
        <v>1660.5</v>
      </c>
      <c r="V345" s="15">
        <f t="shared" si="73"/>
        <v>1845</v>
      </c>
      <c r="W345" s="17">
        <f>IF($T345="",1000000000000000,$T345)</f>
        <v>66420</v>
      </c>
      <c r="XFB345" s="5"/>
      <c r="XFC345" s="3"/>
    </row>
    <row r="346" spans="1:23 16382:16383" s="4" customFormat="1" ht="28.5" customHeight="1">
      <c r="A346" s="14">
        <f t="shared" si="63"/>
        <v>332</v>
      </c>
      <c r="B346" s="14" t="s">
        <v>12</v>
      </c>
      <c r="C346" s="14" t="s">
        <v>867</v>
      </c>
      <c r="D346" s="18" t="s">
        <v>95</v>
      </c>
      <c r="E346" s="14" t="s">
        <v>26</v>
      </c>
      <c r="F346" s="14" t="s">
        <v>868</v>
      </c>
      <c r="G346" s="15">
        <v>1847</v>
      </c>
      <c r="H346" s="15"/>
      <c r="I346" s="15"/>
      <c r="J346" s="15">
        <v>1857</v>
      </c>
      <c r="K346" s="15">
        <f t="shared" si="62"/>
        <v>0</v>
      </c>
      <c r="L346" s="15">
        <f t="shared" si="64"/>
        <v>1847</v>
      </c>
      <c r="M346" s="15" t="str">
        <f t="shared" si="65"/>
        <v/>
      </c>
      <c r="N346" s="15">
        <f t="shared" si="66"/>
        <v>1857</v>
      </c>
      <c r="O346" s="15" t="str">
        <f t="shared" si="67"/>
        <v>휘발유 73,880원</v>
      </c>
      <c r="P346" s="15">
        <f t="shared" si="68"/>
        <v>73880</v>
      </c>
      <c r="Q346" s="15" t="s">
        <v>47</v>
      </c>
      <c r="R346" s="16">
        <f t="shared" si="69"/>
        <v>0.1</v>
      </c>
      <c r="S346" s="15">
        <f t="shared" si="70"/>
        <v>7388</v>
      </c>
      <c r="T346" s="15">
        <f t="shared" si="71"/>
        <v>66492</v>
      </c>
      <c r="U346" s="15">
        <f t="shared" si="72"/>
        <v>1662.3</v>
      </c>
      <c r="V346" s="15">
        <f t="shared" si="73"/>
        <v>1847</v>
      </c>
      <c r="W346" s="17">
        <f>IF($T346="",1000000000000000,$T346)</f>
        <v>66492</v>
      </c>
      <c r="XFB346" s="5"/>
      <c r="XFC346" s="3"/>
    </row>
    <row r="347" spans="1:23 16382:16383" s="4" customFormat="1" ht="28.5" customHeight="1">
      <c r="A347" s="14">
        <f t="shared" si="63"/>
        <v>333</v>
      </c>
      <c r="B347" s="14" t="s">
        <v>12</v>
      </c>
      <c r="C347" s="14" t="s">
        <v>877</v>
      </c>
      <c r="D347" s="18" t="s">
        <v>86</v>
      </c>
      <c r="E347" s="14" t="s">
        <v>26</v>
      </c>
      <c r="F347" s="14" t="s">
        <v>878</v>
      </c>
      <c r="G347" s="15">
        <v>1848</v>
      </c>
      <c r="H347" s="15"/>
      <c r="I347" s="15"/>
      <c r="J347" s="15">
        <v>1848</v>
      </c>
      <c r="K347" s="15">
        <f t="shared" si="62"/>
        <v>0</v>
      </c>
      <c r="L347" s="15">
        <f t="shared" si="64"/>
        <v>1848</v>
      </c>
      <c r="M347" s="15" t="str">
        <f t="shared" si="65"/>
        <v/>
      </c>
      <c r="N347" s="15">
        <f t="shared" si="66"/>
        <v>1848</v>
      </c>
      <c r="O347" s="15" t="str">
        <f t="shared" si="67"/>
        <v>휘발유 73,920원</v>
      </c>
      <c r="P347" s="15">
        <f t="shared" si="68"/>
        <v>73920</v>
      </c>
      <c r="Q347" s="15" t="s">
        <v>47</v>
      </c>
      <c r="R347" s="16">
        <f t="shared" si="69"/>
        <v>0.1</v>
      </c>
      <c r="S347" s="15">
        <f t="shared" si="70"/>
        <v>7392</v>
      </c>
      <c r="T347" s="15">
        <f t="shared" si="71"/>
        <v>66528</v>
      </c>
      <c r="U347" s="15">
        <f t="shared" si="72"/>
        <v>1663.2</v>
      </c>
      <c r="V347" s="15">
        <f t="shared" si="73"/>
        <v>1848</v>
      </c>
      <c r="W347" s="17">
        <f>IF($T347="",1000000000000000,$T347)</f>
        <v>66528</v>
      </c>
      <c r="XFB347" s="5"/>
      <c r="XFC347" s="3"/>
    </row>
    <row r="348" spans="1:23 16382:16383" s="4" customFormat="1" ht="28.5" customHeight="1">
      <c r="A348" s="14">
        <f t="shared" si="63"/>
        <v>333</v>
      </c>
      <c r="B348" s="14" t="s">
        <v>6</v>
      </c>
      <c r="C348" s="14" t="s">
        <v>893</v>
      </c>
      <c r="D348" s="14" t="s">
        <v>95</v>
      </c>
      <c r="E348" s="14" t="s">
        <v>26</v>
      </c>
      <c r="F348" s="14" t="s">
        <v>983</v>
      </c>
      <c r="G348" s="15">
        <v>1848</v>
      </c>
      <c r="H348" s="15"/>
      <c r="I348" s="15"/>
      <c r="J348" s="15">
        <v>1849</v>
      </c>
      <c r="K348" s="15">
        <f t="shared" si="62"/>
        <v>0</v>
      </c>
      <c r="L348" s="15">
        <f t="shared" si="64"/>
        <v>1848</v>
      </c>
      <c r="M348" s="15" t="str">
        <f t="shared" si="65"/>
        <v/>
      </c>
      <c r="N348" s="15">
        <f t="shared" si="66"/>
        <v>1849</v>
      </c>
      <c r="O348" s="15" t="str">
        <f t="shared" si="67"/>
        <v>휘발유 73,920원</v>
      </c>
      <c r="P348" s="15">
        <f t="shared" si="68"/>
        <v>73920</v>
      </c>
      <c r="Q348" s="15" t="s">
        <v>47</v>
      </c>
      <c r="R348" s="16">
        <f t="shared" si="69"/>
        <v>0.1</v>
      </c>
      <c r="S348" s="15">
        <f t="shared" si="70"/>
        <v>7392</v>
      </c>
      <c r="T348" s="15">
        <f t="shared" si="71"/>
        <v>66528</v>
      </c>
      <c r="U348" s="15">
        <f t="shared" si="72"/>
        <v>1663.2</v>
      </c>
      <c r="V348" s="15">
        <f t="shared" si="73"/>
        <v>1848</v>
      </c>
      <c r="W348" s="17">
        <f>IF($T348="",1000000000000000,$T348)</f>
        <v>66528</v>
      </c>
      <c r="XFB348" s="5"/>
      <c r="XFC348" s="3"/>
    </row>
    <row r="349" spans="1:23 16382:16383" s="4" customFormat="1" ht="28.5" customHeight="1">
      <c r="A349" s="14">
        <f t="shared" si="63"/>
        <v>333</v>
      </c>
      <c r="B349" s="14" t="s">
        <v>10</v>
      </c>
      <c r="C349" s="14" t="s">
        <v>879</v>
      </c>
      <c r="D349" s="14" t="s">
        <v>95</v>
      </c>
      <c r="E349" s="14" t="s">
        <v>26</v>
      </c>
      <c r="F349" s="14" t="s">
        <v>880</v>
      </c>
      <c r="G349" s="15">
        <v>1848</v>
      </c>
      <c r="H349" s="15"/>
      <c r="I349" s="15"/>
      <c r="J349" s="15">
        <v>1868</v>
      </c>
      <c r="K349" s="15">
        <f t="shared" si="62"/>
        <v>0</v>
      </c>
      <c r="L349" s="15">
        <f t="shared" si="64"/>
        <v>1848</v>
      </c>
      <c r="M349" s="15" t="str">
        <f t="shared" si="65"/>
        <v/>
      </c>
      <c r="N349" s="15">
        <f t="shared" si="66"/>
        <v>1868</v>
      </c>
      <c r="O349" s="15" t="str">
        <f t="shared" si="67"/>
        <v>휘발유 73,920원</v>
      </c>
      <c r="P349" s="15">
        <f t="shared" si="68"/>
        <v>73920</v>
      </c>
      <c r="Q349" s="15" t="s">
        <v>47</v>
      </c>
      <c r="R349" s="16">
        <f t="shared" si="69"/>
        <v>0.1</v>
      </c>
      <c r="S349" s="15">
        <f t="shared" si="70"/>
        <v>7392</v>
      </c>
      <c r="T349" s="15">
        <f t="shared" si="71"/>
        <v>66528</v>
      </c>
      <c r="U349" s="15">
        <f t="shared" si="72"/>
        <v>1663.2</v>
      </c>
      <c r="V349" s="15">
        <f t="shared" si="73"/>
        <v>1848</v>
      </c>
      <c r="W349" s="17">
        <f>IF($T349="",1000000000000000,$T349)</f>
        <v>66528</v>
      </c>
      <c r="XFB349" s="5"/>
      <c r="XFC349" s="3"/>
    </row>
    <row r="350" spans="1:23 16382:16383" s="4" customFormat="1" ht="28.5" customHeight="1">
      <c r="A350" s="14">
        <f t="shared" si="63"/>
        <v>336</v>
      </c>
      <c r="B350" s="14" t="s">
        <v>14</v>
      </c>
      <c r="C350" s="14" t="s">
        <v>881</v>
      </c>
      <c r="D350" s="14" t="s">
        <v>45</v>
      </c>
      <c r="E350" s="14" t="s">
        <v>63</v>
      </c>
      <c r="F350" s="14" t="s">
        <v>882</v>
      </c>
      <c r="G350" s="15">
        <v>1869</v>
      </c>
      <c r="H350" s="15"/>
      <c r="I350" s="15"/>
      <c r="J350" s="15">
        <v>1849</v>
      </c>
      <c r="K350" s="15">
        <f t="shared" si="62"/>
        <v>0</v>
      </c>
      <c r="L350" s="15">
        <f t="shared" si="64"/>
        <v>1869</v>
      </c>
      <c r="M350" s="15" t="str">
        <f t="shared" si="65"/>
        <v/>
      </c>
      <c r="N350" s="15">
        <f t="shared" si="66"/>
        <v>1849</v>
      </c>
      <c r="O350" s="15" t="str">
        <f t="shared" si="67"/>
        <v>휘발유 74,760원</v>
      </c>
      <c r="P350" s="15">
        <f t="shared" si="68"/>
        <v>74760</v>
      </c>
      <c r="Q350" s="15" t="s">
        <v>47</v>
      </c>
      <c r="R350" s="16">
        <f t="shared" si="69"/>
        <v>0.11</v>
      </c>
      <c r="S350" s="15">
        <f t="shared" si="70"/>
        <v>8223</v>
      </c>
      <c r="T350" s="15">
        <f t="shared" si="71"/>
        <v>66537</v>
      </c>
      <c r="U350" s="15">
        <f t="shared" si="72"/>
        <v>1663.425</v>
      </c>
      <c r="V350" s="15">
        <f t="shared" si="73"/>
        <v>1869</v>
      </c>
      <c r="W350" s="17">
        <f>IF($T350="",1000000000000000,$T350)</f>
        <v>66537</v>
      </c>
      <c r="XFB350" s="5"/>
      <c r="XFC350" s="3"/>
    </row>
    <row r="351" spans="1:23 16382:16383" s="4" customFormat="1" ht="28.5" customHeight="1">
      <c r="A351" s="14">
        <f t="shared" si="63"/>
        <v>336</v>
      </c>
      <c r="B351" s="14" t="s">
        <v>14</v>
      </c>
      <c r="C351" s="14" t="s">
        <v>883</v>
      </c>
      <c r="D351" s="14" t="s">
        <v>45</v>
      </c>
      <c r="E351" s="14" t="s">
        <v>26</v>
      </c>
      <c r="F351" s="14" t="s">
        <v>884</v>
      </c>
      <c r="G351" s="15">
        <v>1869</v>
      </c>
      <c r="H351" s="15"/>
      <c r="I351" s="15"/>
      <c r="J351" s="15">
        <v>1849</v>
      </c>
      <c r="K351" s="15">
        <f t="shared" si="62"/>
        <v>0</v>
      </c>
      <c r="L351" s="15">
        <f t="shared" si="64"/>
        <v>1869</v>
      </c>
      <c r="M351" s="15" t="str">
        <f t="shared" si="65"/>
        <v/>
      </c>
      <c r="N351" s="15">
        <f t="shared" si="66"/>
        <v>1849</v>
      </c>
      <c r="O351" s="15" t="str">
        <f t="shared" si="67"/>
        <v>휘발유 74,760원</v>
      </c>
      <c r="P351" s="15">
        <f t="shared" si="68"/>
        <v>74760</v>
      </c>
      <c r="Q351" s="15" t="s">
        <v>47</v>
      </c>
      <c r="R351" s="16">
        <f t="shared" si="69"/>
        <v>0.11</v>
      </c>
      <c r="S351" s="15">
        <f t="shared" si="70"/>
        <v>8223</v>
      </c>
      <c r="T351" s="15">
        <f t="shared" si="71"/>
        <v>66537</v>
      </c>
      <c r="U351" s="15">
        <f t="shared" si="72"/>
        <v>1663.425</v>
      </c>
      <c r="V351" s="15">
        <f t="shared" si="73"/>
        <v>1869</v>
      </c>
      <c r="W351" s="17">
        <f>IF($T351="",1000000000000000,$T351)</f>
        <v>66537</v>
      </c>
      <c r="XFB351" s="5"/>
      <c r="XFC351" s="3"/>
    </row>
    <row r="352" spans="1:23 16382:16383" s="4" customFormat="1" ht="28.5" customHeight="1">
      <c r="A352" s="14">
        <f t="shared" si="63"/>
        <v>336</v>
      </c>
      <c r="B352" s="14" t="s">
        <v>14</v>
      </c>
      <c r="C352" s="14" t="s">
        <v>885</v>
      </c>
      <c r="D352" s="14" t="s">
        <v>95</v>
      </c>
      <c r="E352" s="14" t="s">
        <v>26</v>
      </c>
      <c r="F352" s="14" t="s">
        <v>886</v>
      </c>
      <c r="G352" s="15">
        <v>1869</v>
      </c>
      <c r="H352" s="15"/>
      <c r="I352" s="15"/>
      <c r="J352" s="15">
        <v>1879</v>
      </c>
      <c r="K352" s="15">
        <f t="shared" si="62"/>
        <v>0</v>
      </c>
      <c r="L352" s="15">
        <f t="shared" si="64"/>
        <v>1869</v>
      </c>
      <c r="M352" s="15" t="str">
        <f t="shared" si="65"/>
        <v/>
      </c>
      <c r="N352" s="15">
        <f t="shared" si="66"/>
        <v>1879</v>
      </c>
      <c r="O352" s="15" t="str">
        <f t="shared" si="67"/>
        <v>휘발유 74,760원</v>
      </c>
      <c r="P352" s="15">
        <f t="shared" si="68"/>
        <v>74760</v>
      </c>
      <c r="Q352" s="15" t="s">
        <v>47</v>
      </c>
      <c r="R352" s="16">
        <f t="shared" si="69"/>
        <v>0.11</v>
      </c>
      <c r="S352" s="15">
        <f t="shared" si="70"/>
        <v>8223</v>
      </c>
      <c r="T352" s="15">
        <f t="shared" si="71"/>
        <v>66537</v>
      </c>
      <c r="U352" s="15">
        <f t="shared" si="72"/>
        <v>1663.425</v>
      </c>
      <c r="V352" s="15">
        <f t="shared" si="73"/>
        <v>1869</v>
      </c>
      <c r="W352" s="17">
        <f>IF($T352="",1000000000000000,$T352)</f>
        <v>66537</v>
      </c>
      <c r="XFB352" s="5"/>
      <c r="XFC352" s="3"/>
    </row>
    <row r="353" spans="1:23 16382:16383" s="4" customFormat="1" ht="28.5" customHeight="1">
      <c r="A353" s="14">
        <f t="shared" si="63"/>
        <v>336</v>
      </c>
      <c r="B353" s="14" t="s">
        <v>14</v>
      </c>
      <c r="C353" s="14" t="s">
        <v>887</v>
      </c>
      <c r="D353" s="18" t="s">
        <v>86</v>
      </c>
      <c r="E353" s="14" t="s">
        <v>26</v>
      </c>
      <c r="F353" s="14" t="s">
        <v>888</v>
      </c>
      <c r="G353" s="15">
        <v>1869</v>
      </c>
      <c r="H353" s="15"/>
      <c r="I353" s="15"/>
      <c r="J353" s="15">
        <v>1879</v>
      </c>
      <c r="K353" s="15">
        <f t="shared" si="62"/>
        <v>0</v>
      </c>
      <c r="L353" s="15">
        <f t="shared" si="64"/>
        <v>1869</v>
      </c>
      <c r="M353" s="15" t="str">
        <f t="shared" si="65"/>
        <v/>
      </c>
      <c r="N353" s="15">
        <f t="shared" si="66"/>
        <v>1879</v>
      </c>
      <c r="O353" s="15" t="str">
        <f t="shared" si="67"/>
        <v>휘발유 74,760원</v>
      </c>
      <c r="P353" s="15">
        <f t="shared" si="68"/>
        <v>74760</v>
      </c>
      <c r="Q353" s="15" t="s">
        <v>47</v>
      </c>
      <c r="R353" s="16">
        <f t="shared" si="69"/>
        <v>0.11</v>
      </c>
      <c r="S353" s="15">
        <f t="shared" si="70"/>
        <v>8223</v>
      </c>
      <c r="T353" s="15">
        <f t="shared" si="71"/>
        <v>66537</v>
      </c>
      <c r="U353" s="15">
        <f t="shared" si="72"/>
        <v>1663.425</v>
      </c>
      <c r="V353" s="15">
        <f t="shared" si="73"/>
        <v>1869</v>
      </c>
      <c r="W353" s="17">
        <f>IF($T353="",1000000000000000,$T353)</f>
        <v>66537</v>
      </c>
      <c r="XFB353" s="5"/>
      <c r="XFC353" s="3"/>
    </row>
    <row r="354" spans="1:23 16382:16383" s="4" customFormat="1" ht="28.5" customHeight="1">
      <c r="A354" s="14">
        <f t="shared" si="63"/>
        <v>336</v>
      </c>
      <c r="B354" s="14" t="s">
        <v>14</v>
      </c>
      <c r="C354" s="14" t="s">
        <v>889</v>
      </c>
      <c r="D354" s="14" t="s">
        <v>95</v>
      </c>
      <c r="E354" s="14" t="s">
        <v>63</v>
      </c>
      <c r="F354" s="14" t="s">
        <v>890</v>
      </c>
      <c r="G354" s="15">
        <v>1869</v>
      </c>
      <c r="H354" s="15"/>
      <c r="I354" s="15"/>
      <c r="J354" s="15">
        <v>1879</v>
      </c>
      <c r="K354" s="15">
        <f t="shared" si="62"/>
        <v>0</v>
      </c>
      <c r="L354" s="15">
        <f t="shared" si="64"/>
        <v>1869</v>
      </c>
      <c r="M354" s="15" t="str">
        <f t="shared" si="65"/>
        <v/>
      </c>
      <c r="N354" s="15">
        <f t="shared" si="66"/>
        <v>1879</v>
      </c>
      <c r="O354" s="15" t="str">
        <f t="shared" si="67"/>
        <v>휘발유 74,760원</v>
      </c>
      <c r="P354" s="15">
        <f t="shared" si="68"/>
        <v>74760</v>
      </c>
      <c r="Q354" s="15" t="s">
        <v>47</v>
      </c>
      <c r="R354" s="16">
        <f t="shared" si="69"/>
        <v>0.11</v>
      </c>
      <c r="S354" s="15">
        <f t="shared" si="70"/>
        <v>8223</v>
      </c>
      <c r="T354" s="15">
        <f t="shared" si="71"/>
        <v>66537</v>
      </c>
      <c r="U354" s="15">
        <f t="shared" si="72"/>
        <v>1663.425</v>
      </c>
      <c r="V354" s="15">
        <f t="shared" si="73"/>
        <v>1869</v>
      </c>
      <c r="W354" s="17">
        <f>IF($T354="",1000000000000000,$T354)</f>
        <v>66537</v>
      </c>
      <c r="XFB354" s="5"/>
      <c r="XFC354" s="3"/>
    </row>
    <row r="355" spans="1:23 16382:16383" s="4" customFormat="1" ht="28.5" customHeight="1">
      <c r="A355" s="14">
        <f t="shared" si="63"/>
        <v>341</v>
      </c>
      <c r="B355" s="14" t="s">
        <v>10</v>
      </c>
      <c r="C355" s="14" t="s">
        <v>179</v>
      </c>
      <c r="D355" s="14" t="s">
        <v>51</v>
      </c>
      <c r="E355" s="14" t="s">
        <v>26</v>
      </c>
      <c r="F355" s="14" t="s">
        <v>180</v>
      </c>
      <c r="G355" s="15">
        <v>1849</v>
      </c>
      <c r="H355" s="15">
        <v>2095</v>
      </c>
      <c r="I355" s="15"/>
      <c r="J355" s="15">
        <v>1849</v>
      </c>
      <c r="K355" s="15">
        <f t="shared" si="62"/>
        <v>0</v>
      </c>
      <c r="L355" s="15">
        <f t="shared" si="64"/>
        <v>1849</v>
      </c>
      <c r="M355" s="15">
        <f t="shared" si="65"/>
        <v>2095</v>
      </c>
      <c r="N355" s="15">
        <f t="shared" si="66"/>
        <v>1849</v>
      </c>
      <c r="O355" s="15" t="str">
        <f t="shared" si="67"/>
        <v>휘발유 73,960원</v>
      </c>
      <c r="P355" s="15">
        <f t="shared" si="68"/>
        <v>73960</v>
      </c>
      <c r="Q355" s="15" t="s">
        <v>47</v>
      </c>
      <c r="R355" s="16">
        <f t="shared" si="69"/>
        <v>0.1</v>
      </c>
      <c r="S355" s="15">
        <f t="shared" si="70"/>
        <v>7396</v>
      </c>
      <c r="T355" s="15">
        <f t="shared" si="71"/>
        <v>66564</v>
      </c>
      <c r="U355" s="15">
        <f t="shared" si="72"/>
        <v>1664.1</v>
      </c>
      <c r="V355" s="15">
        <f t="shared" si="73"/>
        <v>1849</v>
      </c>
      <c r="W355" s="17">
        <f>IF($T355="",1000000000000000,$T355)</f>
        <v>66564</v>
      </c>
      <c r="XFB355" s="5"/>
      <c r="XFC355" s="3"/>
    </row>
    <row r="356" spans="1:23 16382:16383" s="4" customFormat="1" ht="28.5" customHeight="1">
      <c r="A356" s="14">
        <f t="shared" si="63"/>
        <v>341</v>
      </c>
      <c r="B356" s="14" t="s">
        <v>12</v>
      </c>
      <c r="C356" s="14" t="s">
        <v>195</v>
      </c>
      <c r="D356" s="18" t="s">
        <v>86</v>
      </c>
      <c r="E356" s="14" t="s">
        <v>26</v>
      </c>
      <c r="F356" s="14" t="s">
        <v>196</v>
      </c>
      <c r="G356" s="15">
        <v>1849</v>
      </c>
      <c r="H356" s="15">
        <v>2159</v>
      </c>
      <c r="I356" s="15"/>
      <c r="J356" s="15">
        <v>1849</v>
      </c>
      <c r="K356" s="15">
        <f t="shared" si="62"/>
        <v>0</v>
      </c>
      <c r="L356" s="15">
        <f t="shared" si="64"/>
        <v>1849</v>
      </c>
      <c r="M356" s="15">
        <f t="shared" si="65"/>
        <v>2159</v>
      </c>
      <c r="N356" s="15">
        <f t="shared" si="66"/>
        <v>1849</v>
      </c>
      <c r="O356" s="15" t="str">
        <f t="shared" si="67"/>
        <v>휘발유 73,960원</v>
      </c>
      <c r="P356" s="15">
        <f t="shared" si="68"/>
        <v>73960</v>
      </c>
      <c r="Q356" s="15" t="s">
        <v>47</v>
      </c>
      <c r="R356" s="16">
        <f t="shared" si="69"/>
        <v>0.1</v>
      </c>
      <c r="S356" s="15">
        <f t="shared" si="70"/>
        <v>7396</v>
      </c>
      <c r="T356" s="15">
        <f t="shared" si="71"/>
        <v>66564</v>
      </c>
      <c r="U356" s="15">
        <f t="shared" si="72"/>
        <v>1664.1</v>
      </c>
      <c r="V356" s="15">
        <f t="shared" si="73"/>
        <v>1849</v>
      </c>
      <c r="W356" s="17">
        <f>IF($T356="",1000000000000000,$T356)</f>
        <v>66564</v>
      </c>
      <c r="XFB356" s="5"/>
      <c r="XFC356" s="3"/>
    </row>
    <row r="357" spans="1:23 16382:16383" s="4" customFormat="1" ht="28.5" customHeight="1">
      <c r="A357" s="14">
        <f t="shared" si="63"/>
        <v>341</v>
      </c>
      <c r="B357" s="14" t="s">
        <v>8</v>
      </c>
      <c r="C357" s="14" t="s">
        <v>893</v>
      </c>
      <c r="D357" s="14" t="s">
        <v>45</v>
      </c>
      <c r="E357" s="14" t="s">
        <v>63</v>
      </c>
      <c r="F357" s="14" t="s">
        <v>894</v>
      </c>
      <c r="G357" s="15">
        <v>1849</v>
      </c>
      <c r="H357" s="15"/>
      <c r="I357" s="15"/>
      <c r="J357" s="15">
        <v>1839</v>
      </c>
      <c r="K357" s="15">
        <f t="shared" si="62"/>
        <v>0</v>
      </c>
      <c r="L357" s="15">
        <f t="shared" si="64"/>
        <v>1849</v>
      </c>
      <c r="M357" s="15" t="str">
        <f t="shared" si="65"/>
        <v/>
      </c>
      <c r="N357" s="15">
        <f t="shared" si="66"/>
        <v>1839</v>
      </c>
      <c r="O357" s="15" t="str">
        <f t="shared" si="67"/>
        <v>휘발유 73,960원</v>
      </c>
      <c r="P357" s="15">
        <f t="shared" si="68"/>
        <v>73960</v>
      </c>
      <c r="Q357" s="15" t="s">
        <v>47</v>
      </c>
      <c r="R357" s="16">
        <f t="shared" si="69"/>
        <v>0.1</v>
      </c>
      <c r="S357" s="15">
        <f t="shared" si="70"/>
        <v>7396</v>
      </c>
      <c r="T357" s="15">
        <f t="shared" si="71"/>
        <v>66564</v>
      </c>
      <c r="U357" s="15">
        <f t="shared" si="72"/>
        <v>1664.1</v>
      </c>
      <c r="V357" s="15">
        <f t="shared" si="73"/>
        <v>1849</v>
      </c>
      <c r="W357" s="17">
        <f>IF($T357="",1000000000000000,$T357)</f>
        <v>66564</v>
      </c>
      <c r="XFB357" s="5"/>
      <c r="XFC357" s="3"/>
    </row>
    <row r="358" spans="1:23 16382:16383" s="4" customFormat="1" ht="28.5" customHeight="1">
      <c r="A358" s="14">
        <f t="shared" si="63"/>
        <v>341</v>
      </c>
      <c r="B358" s="14" t="s">
        <v>12</v>
      </c>
      <c r="C358" s="14" t="s">
        <v>895</v>
      </c>
      <c r="D358" s="18" t="s">
        <v>86</v>
      </c>
      <c r="E358" s="14" t="s">
        <v>26</v>
      </c>
      <c r="F358" s="14" t="s">
        <v>896</v>
      </c>
      <c r="G358" s="15">
        <v>1849</v>
      </c>
      <c r="H358" s="15"/>
      <c r="I358" s="15"/>
      <c r="J358" s="15">
        <v>1839</v>
      </c>
      <c r="K358" s="15">
        <f t="shared" si="62"/>
        <v>0</v>
      </c>
      <c r="L358" s="15">
        <f t="shared" si="64"/>
        <v>1849</v>
      </c>
      <c r="M358" s="15" t="str">
        <f t="shared" si="65"/>
        <v/>
      </c>
      <c r="N358" s="15">
        <f t="shared" si="66"/>
        <v>1839</v>
      </c>
      <c r="O358" s="15" t="str">
        <f t="shared" si="67"/>
        <v>휘발유 73,960원</v>
      </c>
      <c r="P358" s="15">
        <f t="shared" si="68"/>
        <v>73960</v>
      </c>
      <c r="Q358" s="15" t="s">
        <v>47</v>
      </c>
      <c r="R358" s="16">
        <f t="shared" si="69"/>
        <v>0.1</v>
      </c>
      <c r="S358" s="15">
        <f t="shared" si="70"/>
        <v>7396</v>
      </c>
      <c r="T358" s="15">
        <f t="shared" si="71"/>
        <v>66564</v>
      </c>
      <c r="U358" s="15">
        <f t="shared" si="72"/>
        <v>1664.1</v>
      </c>
      <c r="V358" s="15">
        <f t="shared" si="73"/>
        <v>1849</v>
      </c>
      <c r="W358" s="17">
        <f>IF($T358="",1000000000000000,$T358)</f>
        <v>66564</v>
      </c>
      <c r="XFB358" s="5"/>
      <c r="XFC358" s="3"/>
    </row>
    <row r="359" spans="1:23 16382:16383" s="4" customFormat="1" ht="28.5" customHeight="1">
      <c r="A359" s="14">
        <f t="shared" si="63"/>
        <v>341</v>
      </c>
      <c r="B359" s="14" t="s">
        <v>8</v>
      </c>
      <c r="C359" s="14" t="s">
        <v>927</v>
      </c>
      <c r="D359" s="14" t="s">
        <v>95</v>
      </c>
      <c r="E359" s="14" t="s">
        <v>26</v>
      </c>
      <c r="F359" s="14" t="s">
        <v>928</v>
      </c>
      <c r="G359" s="15">
        <v>1849</v>
      </c>
      <c r="H359" s="15"/>
      <c r="I359" s="15"/>
      <c r="J359" s="15">
        <v>1849</v>
      </c>
      <c r="K359" s="15">
        <f t="shared" si="62"/>
        <v>0</v>
      </c>
      <c r="L359" s="15">
        <f t="shared" si="64"/>
        <v>1849</v>
      </c>
      <c r="M359" s="15" t="str">
        <f t="shared" si="65"/>
        <v/>
      </c>
      <c r="N359" s="15">
        <f t="shared" si="66"/>
        <v>1849</v>
      </c>
      <c r="O359" s="15" t="str">
        <f t="shared" si="67"/>
        <v>휘발유 73,960원</v>
      </c>
      <c r="P359" s="15">
        <f t="shared" si="68"/>
        <v>73960</v>
      </c>
      <c r="Q359" s="15" t="s">
        <v>47</v>
      </c>
      <c r="R359" s="16">
        <f t="shared" si="69"/>
        <v>0.1</v>
      </c>
      <c r="S359" s="15">
        <f t="shared" si="70"/>
        <v>7396</v>
      </c>
      <c r="T359" s="15">
        <f t="shared" si="71"/>
        <v>66564</v>
      </c>
      <c r="U359" s="15">
        <f t="shared" si="72"/>
        <v>1664.1</v>
      </c>
      <c r="V359" s="15">
        <f t="shared" si="73"/>
        <v>1849</v>
      </c>
      <c r="W359" s="17">
        <f>IF($T359="",1000000000000000,$T359)</f>
        <v>66564</v>
      </c>
      <c r="XFB359" s="5"/>
      <c r="XFC359" s="3"/>
    </row>
    <row r="360" spans="1:23 16382:16383" s="4" customFormat="1" ht="28.5" customHeight="1">
      <c r="A360" s="14">
        <f t="shared" si="63"/>
        <v>341</v>
      </c>
      <c r="B360" s="14" t="s">
        <v>12</v>
      </c>
      <c r="C360" s="14" t="s">
        <v>897</v>
      </c>
      <c r="D360" s="18" t="s">
        <v>51</v>
      </c>
      <c r="E360" s="14" t="s">
        <v>26</v>
      </c>
      <c r="F360" s="14" t="s">
        <v>898</v>
      </c>
      <c r="G360" s="15">
        <v>1849</v>
      </c>
      <c r="H360" s="15"/>
      <c r="I360" s="15"/>
      <c r="J360" s="15">
        <v>1849</v>
      </c>
      <c r="K360" s="15">
        <f t="shared" si="62"/>
        <v>0</v>
      </c>
      <c r="L360" s="15">
        <f t="shared" si="64"/>
        <v>1849</v>
      </c>
      <c r="M360" s="15" t="str">
        <f t="shared" si="65"/>
        <v/>
      </c>
      <c r="N360" s="15">
        <f t="shared" si="66"/>
        <v>1849</v>
      </c>
      <c r="O360" s="15" t="str">
        <f t="shared" si="67"/>
        <v>휘발유 73,960원</v>
      </c>
      <c r="P360" s="15">
        <f t="shared" si="68"/>
        <v>73960</v>
      </c>
      <c r="Q360" s="15" t="s">
        <v>47</v>
      </c>
      <c r="R360" s="16">
        <f t="shared" si="69"/>
        <v>0.1</v>
      </c>
      <c r="S360" s="15">
        <f t="shared" si="70"/>
        <v>7396</v>
      </c>
      <c r="T360" s="15">
        <f t="shared" si="71"/>
        <v>66564</v>
      </c>
      <c r="U360" s="15">
        <f t="shared" si="72"/>
        <v>1664.1</v>
      </c>
      <c r="V360" s="15">
        <f t="shared" si="73"/>
        <v>1849</v>
      </c>
      <c r="W360" s="20">
        <f>IF($T360="",1000000000000000,$T360)</f>
        <v>66564</v>
      </c>
      <c r="XFB360" s="5"/>
      <c r="XFC360" s="3"/>
    </row>
    <row r="361" spans="1:23 16382:16383" s="4" customFormat="1" ht="28.5" customHeight="1">
      <c r="A361" s="14">
        <f t="shared" si="63"/>
        <v>341</v>
      </c>
      <c r="B361" s="14" t="s">
        <v>8</v>
      </c>
      <c r="C361" s="14" t="s">
        <v>899</v>
      </c>
      <c r="D361" s="14" t="s">
        <v>45</v>
      </c>
      <c r="E361" s="14" t="s">
        <v>63</v>
      </c>
      <c r="F361" s="14" t="s">
        <v>900</v>
      </c>
      <c r="G361" s="15">
        <v>1849</v>
      </c>
      <c r="H361" s="15"/>
      <c r="I361" s="15"/>
      <c r="J361" s="15">
        <v>1869</v>
      </c>
      <c r="K361" s="15">
        <f t="shared" si="62"/>
        <v>0</v>
      </c>
      <c r="L361" s="15">
        <f t="shared" si="64"/>
        <v>1849</v>
      </c>
      <c r="M361" s="15" t="str">
        <f t="shared" si="65"/>
        <v/>
      </c>
      <c r="N361" s="15">
        <f t="shared" si="66"/>
        <v>1869</v>
      </c>
      <c r="O361" s="15" t="str">
        <f t="shared" si="67"/>
        <v>휘발유 73,960원</v>
      </c>
      <c r="P361" s="15">
        <f t="shared" si="68"/>
        <v>73960</v>
      </c>
      <c r="Q361" s="15" t="s">
        <v>47</v>
      </c>
      <c r="R361" s="16">
        <f t="shared" si="69"/>
        <v>0.1</v>
      </c>
      <c r="S361" s="15">
        <f t="shared" si="70"/>
        <v>7396</v>
      </c>
      <c r="T361" s="15">
        <f t="shared" si="71"/>
        <v>66564</v>
      </c>
      <c r="U361" s="15">
        <f t="shared" si="72"/>
        <v>1664.1</v>
      </c>
      <c r="V361" s="15">
        <f t="shared" si="73"/>
        <v>1849</v>
      </c>
      <c r="W361" s="17">
        <f>IF($T361="",1000000000000000,$T361)</f>
        <v>66564</v>
      </c>
      <c r="XFB361" s="5"/>
      <c r="XFC361" s="3"/>
    </row>
    <row r="362" spans="1:23 16382:16383" s="4" customFormat="1" ht="28.5" customHeight="1">
      <c r="A362" s="14">
        <f t="shared" si="63"/>
        <v>348</v>
      </c>
      <c r="B362" s="14" t="s">
        <v>10</v>
      </c>
      <c r="C362" s="14" t="s">
        <v>901</v>
      </c>
      <c r="D362" s="14" t="s">
        <v>95</v>
      </c>
      <c r="E362" s="14" t="s">
        <v>63</v>
      </c>
      <c r="F362" s="14" t="s">
        <v>902</v>
      </c>
      <c r="G362" s="15">
        <v>1850</v>
      </c>
      <c r="H362" s="15"/>
      <c r="I362" s="15"/>
      <c r="J362" s="15">
        <v>1855</v>
      </c>
      <c r="K362" s="15">
        <f t="shared" si="62"/>
        <v>0</v>
      </c>
      <c r="L362" s="15">
        <f t="shared" si="64"/>
        <v>1850</v>
      </c>
      <c r="M362" s="15" t="str">
        <f t="shared" si="65"/>
        <v/>
      </c>
      <c r="N362" s="15">
        <f t="shared" si="66"/>
        <v>1855</v>
      </c>
      <c r="O362" s="15" t="str">
        <f t="shared" si="67"/>
        <v>휘발유 74,000원</v>
      </c>
      <c r="P362" s="15">
        <f t="shared" si="68"/>
        <v>74000</v>
      </c>
      <c r="Q362" s="15" t="s">
        <v>47</v>
      </c>
      <c r="R362" s="16">
        <f t="shared" si="69"/>
        <v>0.1</v>
      </c>
      <c r="S362" s="15">
        <f t="shared" si="70"/>
        <v>7400</v>
      </c>
      <c r="T362" s="15">
        <f t="shared" si="71"/>
        <v>66600</v>
      </c>
      <c r="U362" s="15">
        <f t="shared" si="72"/>
        <v>1665</v>
      </c>
      <c r="V362" s="15">
        <f t="shared" si="73"/>
        <v>1850</v>
      </c>
      <c r="W362" s="17">
        <f>IF($T362="",1000000000000000,$T362)</f>
        <v>66600</v>
      </c>
      <c r="XFB362" s="5"/>
      <c r="XFC362" s="3"/>
    </row>
    <row r="363" spans="1:23 16382:16383" s="4" customFormat="1" ht="28.5" customHeight="1">
      <c r="A363" s="14">
        <f t="shared" si="63"/>
        <v>349</v>
      </c>
      <c r="B363" s="14" t="s">
        <v>14</v>
      </c>
      <c r="C363" s="14" t="s">
        <v>903</v>
      </c>
      <c r="D363" s="14" t="s">
        <v>45</v>
      </c>
      <c r="E363" s="14" t="s">
        <v>63</v>
      </c>
      <c r="F363" s="14" t="s">
        <v>904</v>
      </c>
      <c r="G363" s="15">
        <v>1874</v>
      </c>
      <c r="H363" s="15"/>
      <c r="I363" s="15"/>
      <c r="J363" s="15">
        <v>1863</v>
      </c>
      <c r="K363" s="15">
        <f t="shared" si="62"/>
        <v>0</v>
      </c>
      <c r="L363" s="15">
        <f t="shared" si="64"/>
        <v>1874</v>
      </c>
      <c r="M363" s="15" t="str">
        <f t="shared" si="65"/>
        <v/>
      </c>
      <c r="N363" s="15">
        <f t="shared" si="66"/>
        <v>1863</v>
      </c>
      <c r="O363" s="15" t="str">
        <f t="shared" si="67"/>
        <v>휘발유 74,960원</v>
      </c>
      <c r="P363" s="15">
        <f t="shared" si="68"/>
        <v>74960</v>
      </c>
      <c r="Q363" s="15" t="s">
        <v>47</v>
      </c>
      <c r="R363" s="16">
        <f t="shared" si="69"/>
        <v>0.11</v>
      </c>
      <c r="S363" s="15">
        <f t="shared" si="70"/>
        <v>8245</v>
      </c>
      <c r="T363" s="15">
        <f t="shared" si="71"/>
        <v>66715</v>
      </c>
      <c r="U363" s="15">
        <f t="shared" si="72"/>
        <v>1667.875</v>
      </c>
      <c r="V363" s="15">
        <f t="shared" si="73"/>
        <v>1874</v>
      </c>
      <c r="W363" s="17">
        <f>IF($T363="",1000000000000000,$T363)</f>
        <v>66715</v>
      </c>
      <c r="XFB363" s="5"/>
      <c r="XFC363" s="3"/>
    </row>
    <row r="364" spans="1:23 16382:16383" s="4" customFormat="1" ht="28.5" customHeight="1">
      <c r="A364" s="14">
        <f t="shared" si="63"/>
        <v>350</v>
      </c>
      <c r="B364" s="14" t="s">
        <v>14</v>
      </c>
      <c r="C364" s="14" t="s">
        <v>191</v>
      </c>
      <c r="D364" s="14" t="s">
        <v>51</v>
      </c>
      <c r="E364" s="14" t="s">
        <v>26</v>
      </c>
      <c r="F364" s="14" t="s">
        <v>192</v>
      </c>
      <c r="G364" s="15">
        <v>1875</v>
      </c>
      <c r="H364" s="15">
        <v>2149</v>
      </c>
      <c r="I364" s="15"/>
      <c r="J364" s="15">
        <v>1869</v>
      </c>
      <c r="K364" s="15">
        <f t="shared" si="62"/>
        <v>0</v>
      </c>
      <c r="L364" s="15">
        <f t="shared" si="64"/>
        <v>1875</v>
      </c>
      <c r="M364" s="15">
        <f t="shared" si="65"/>
        <v>2149</v>
      </c>
      <c r="N364" s="15">
        <f t="shared" si="66"/>
        <v>1869</v>
      </c>
      <c r="O364" s="15" t="str">
        <f t="shared" si="67"/>
        <v>휘발유 75,000원</v>
      </c>
      <c r="P364" s="15">
        <f t="shared" si="68"/>
        <v>75000</v>
      </c>
      <c r="Q364" s="15" t="s">
        <v>47</v>
      </c>
      <c r="R364" s="16">
        <f t="shared" si="69"/>
        <v>0.11</v>
      </c>
      <c r="S364" s="15">
        <f t="shared" si="70"/>
        <v>8250</v>
      </c>
      <c r="T364" s="15">
        <f t="shared" si="71"/>
        <v>66750</v>
      </c>
      <c r="U364" s="15">
        <f t="shared" si="72"/>
        <v>1668.75</v>
      </c>
      <c r="V364" s="15">
        <f t="shared" si="73"/>
        <v>1875</v>
      </c>
      <c r="W364" s="17">
        <f>IF($T364="",1000000000000000,$T364)</f>
        <v>66750</v>
      </c>
      <c r="XFB364" s="5"/>
      <c r="XFC364" s="3"/>
    </row>
    <row r="365" spans="1:23 16382:16383" s="4" customFormat="1" ht="28.5" customHeight="1">
      <c r="A365" s="14">
        <f t="shared" si="63"/>
        <v>351</v>
      </c>
      <c r="B365" s="14" t="s">
        <v>12</v>
      </c>
      <c r="C365" s="14" t="s">
        <v>907</v>
      </c>
      <c r="D365" s="18" t="s">
        <v>86</v>
      </c>
      <c r="E365" s="14" t="s">
        <v>26</v>
      </c>
      <c r="F365" s="14" t="s">
        <v>908</v>
      </c>
      <c r="G365" s="15">
        <v>1857</v>
      </c>
      <c r="H365" s="15"/>
      <c r="I365" s="15"/>
      <c r="J365" s="15">
        <v>1847</v>
      </c>
      <c r="K365" s="15">
        <f t="shared" si="62"/>
        <v>0</v>
      </c>
      <c r="L365" s="15">
        <f t="shared" si="64"/>
        <v>1857</v>
      </c>
      <c r="M365" s="15" t="str">
        <f t="shared" si="65"/>
        <v/>
      </c>
      <c r="N365" s="15">
        <f t="shared" si="66"/>
        <v>1847</v>
      </c>
      <c r="O365" s="15" t="str">
        <f t="shared" si="67"/>
        <v>휘발유 74,280원</v>
      </c>
      <c r="P365" s="15">
        <f t="shared" si="68"/>
        <v>74280</v>
      </c>
      <c r="Q365" s="15" t="s">
        <v>47</v>
      </c>
      <c r="R365" s="16">
        <f t="shared" si="69"/>
        <v>0.1</v>
      </c>
      <c r="S365" s="15">
        <f t="shared" si="70"/>
        <v>7428</v>
      </c>
      <c r="T365" s="15">
        <f t="shared" si="71"/>
        <v>66852</v>
      </c>
      <c r="U365" s="15">
        <f t="shared" si="72"/>
        <v>1671.3</v>
      </c>
      <c r="V365" s="15">
        <f t="shared" si="73"/>
        <v>1857</v>
      </c>
      <c r="W365" s="17">
        <f>IF($T365="",1000000000000000,$T365)</f>
        <v>66852</v>
      </c>
      <c r="XFB365" s="5"/>
      <c r="XFC365" s="3"/>
    </row>
    <row r="366" spans="1:23 16382:16383" s="4" customFormat="1" ht="28.5" customHeight="1">
      <c r="A366" s="14">
        <f t="shared" si="63"/>
        <v>351</v>
      </c>
      <c r="B366" s="14" t="s">
        <v>12</v>
      </c>
      <c r="C366" s="14" t="s">
        <v>905</v>
      </c>
      <c r="D366" s="18" t="s">
        <v>95</v>
      </c>
      <c r="E366" s="14" t="s">
        <v>63</v>
      </c>
      <c r="F366" s="14" t="s">
        <v>906</v>
      </c>
      <c r="G366" s="15">
        <v>1857</v>
      </c>
      <c r="H366" s="15"/>
      <c r="I366" s="15"/>
      <c r="J366" s="15">
        <v>1857</v>
      </c>
      <c r="K366" s="15">
        <f t="shared" si="62"/>
        <v>0</v>
      </c>
      <c r="L366" s="15">
        <f t="shared" si="64"/>
        <v>1857</v>
      </c>
      <c r="M366" s="15" t="str">
        <f t="shared" si="65"/>
        <v/>
      </c>
      <c r="N366" s="15">
        <f t="shared" si="66"/>
        <v>1857</v>
      </c>
      <c r="O366" s="15" t="str">
        <f t="shared" si="67"/>
        <v>휘발유 74,280원</v>
      </c>
      <c r="P366" s="15">
        <f t="shared" si="68"/>
        <v>74280</v>
      </c>
      <c r="Q366" s="15" t="s">
        <v>47</v>
      </c>
      <c r="R366" s="16">
        <f t="shared" si="69"/>
        <v>0.1</v>
      </c>
      <c r="S366" s="15">
        <f t="shared" si="70"/>
        <v>7428</v>
      </c>
      <c r="T366" s="15">
        <f t="shared" si="71"/>
        <v>66852</v>
      </c>
      <c r="U366" s="15">
        <f t="shared" si="72"/>
        <v>1671.3</v>
      </c>
      <c r="V366" s="15">
        <f t="shared" si="73"/>
        <v>1857</v>
      </c>
      <c r="W366" s="17">
        <f>IF($T366="",1000000000000000,$T366)</f>
        <v>66852</v>
      </c>
      <c r="XFB366" s="5"/>
      <c r="XFC366" s="3"/>
    </row>
    <row r="367" spans="1:23 16382:16383" s="4" customFormat="1" ht="28.5" customHeight="1">
      <c r="A367" s="14">
        <f t="shared" si="63"/>
        <v>353</v>
      </c>
      <c r="B367" s="14" t="s">
        <v>16</v>
      </c>
      <c r="C367" s="14" t="s">
        <v>909</v>
      </c>
      <c r="D367" s="18" t="s">
        <v>86</v>
      </c>
      <c r="E367" s="14" t="s">
        <v>63</v>
      </c>
      <c r="F367" s="14" t="s">
        <v>910</v>
      </c>
      <c r="G367" s="15">
        <v>1900</v>
      </c>
      <c r="H367" s="15"/>
      <c r="I367" s="15"/>
      <c r="J367" s="15">
        <v>1920</v>
      </c>
      <c r="K367" s="15">
        <f t="shared" si="62"/>
        <v>0</v>
      </c>
      <c r="L367" s="15">
        <f t="shared" si="64"/>
        <v>1900</v>
      </c>
      <c r="M367" s="15" t="str">
        <f t="shared" si="65"/>
        <v/>
      </c>
      <c r="N367" s="15">
        <f t="shared" si="66"/>
        <v>1920</v>
      </c>
      <c r="O367" s="15" t="str">
        <f t="shared" si="67"/>
        <v>휘발유 76,000원</v>
      </c>
      <c r="P367" s="15">
        <f t="shared" si="68"/>
        <v>76000</v>
      </c>
      <c r="Q367" s="15" t="s">
        <v>47</v>
      </c>
      <c r="R367" s="16">
        <f t="shared" si="69"/>
        <v>0.12</v>
      </c>
      <c r="S367" s="15">
        <f t="shared" si="70"/>
        <v>9120</v>
      </c>
      <c r="T367" s="15">
        <f t="shared" si="71"/>
        <v>66880</v>
      </c>
      <c r="U367" s="15">
        <f t="shared" si="72"/>
        <v>1672</v>
      </c>
      <c r="V367" s="15">
        <f t="shared" si="73"/>
        <v>1900</v>
      </c>
      <c r="W367" s="17">
        <f>IF($T367="",1000000000000000,$T367)</f>
        <v>66880</v>
      </c>
      <c r="XFB367" s="5"/>
      <c r="XFC367" s="3"/>
    </row>
    <row r="368" spans="1:23 16382:16383" s="4" customFormat="1" ht="28.5" customHeight="1">
      <c r="A368" s="14">
        <f t="shared" si="63"/>
        <v>354</v>
      </c>
      <c r="B368" s="14" t="s">
        <v>10</v>
      </c>
      <c r="C368" s="14" t="s">
        <v>185</v>
      </c>
      <c r="D368" s="14" t="s">
        <v>51</v>
      </c>
      <c r="E368" s="14" t="s">
        <v>26</v>
      </c>
      <c r="F368" s="14" t="s">
        <v>186</v>
      </c>
      <c r="G368" s="15">
        <v>1858</v>
      </c>
      <c r="H368" s="15">
        <v>2098</v>
      </c>
      <c r="I368" s="15"/>
      <c r="J368" s="15">
        <v>1858</v>
      </c>
      <c r="K368" s="15">
        <f t="shared" si="62"/>
        <v>0</v>
      </c>
      <c r="L368" s="15">
        <f t="shared" si="64"/>
        <v>1858</v>
      </c>
      <c r="M368" s="15">
        <f t="shared" si="65"/>
        <v>2098</v>
      </c>
      <c r="N368" s="15">
        <f t="shared" si="66"/>
        <v>1858</v>
      </c>
      <c r="O368" s="15" t="str">
        <f t="shared" si="67"/>
        <v>휘발유 74,320원</v>
      </c>
      <c r="P368" s="15">
        <f t="shared" si="68"/>
        <v>74320</v>
      </c>
      <c r="Q368" s="15" t="s">
        <v>47</v>
      </c>
      <c r="R368" s="16">
        <f t="shared" si="69"/>
        <v>0.1</v>
      </c>
      <c r="S368" s="15">
        <f t="shared" si="70"/>
        <v>7432</v>
      </c>
      <c r="T368" s="15">
        <f t="shared" si="71"/>
        <v>66888</v>
      </c>
      <c r="U368" s="15">
        <f t="shared" si="72"/>
        <v>1672.2</v>
      </c>
      <c r="V368" s="15">
        <f t="shared" si="73"/>
        <v>1858</v>
      </c>
      <c r="W368" s="17">
        <f>IF($T368="",1000000000000000,$T368)</f>
        <v>66888</v>
      </c>
      <c r="XFB368" s="5"/>
      <c r="XFC368" s="3"/>
    </row>
    <row r="369" spans="1:23 16382:16383" s="4" customFormat="1" ht="28.5" customHeight="1">
      <c r="A369" s="14">
        <f t="shared" si="63"/>
        <v>354</v>
      </c>
      <c r="B369" s="14" t="s">
        <v>10</v>
      </c>
      <c r="C369" s="14" t="s">
        <v>197</v>
      </c>
      <c r="D369" s="14" t="s">
        <v>51</v>
      </c>
      <c r="E369" s="14" t="s">
        <v>63</v>
      </c>
      <c r="F369" s="14" t="s">
        <v>198</v>
      </c>
      <c r="G369" s="15">
        <v>1858</v>
      </c>
      <c r="H369" s="15">
        <v>2158</v>
      </c>
      <c r="I369" s="15"/>
      <c r="J369" s="15">
        <v>1848</v>
      </c>
      <c r="K369" s="15">
        <f t="shared" si="62"/>
        <v>0</v>
      </c>
      <c r="L369" s="15">
        <f t="shared" si="64"/>
        <v>1858</v>
      </c>
      <c r="M369" s="15">
        <f t="shared" si="65"/>
        <v>2158</v>
      </c>
      <c r="N369" s="15">
        <f t="shared" si="66"/>
        <v>1848</v>
      </c>
      <c r="O369" s="15" t="str">
        <f t="shared" si="67"/>
        <v>휘발유 74,320원</v>
      </c>
      <c r="P369" s="15">
        <f t="shared" si="68"/>
        <v>74320</v>
      </c>
      <c r="Q369" s="15" t="s">
        <v>47</v>
      </c>
      <c r="R369" s="16">
        <f t="shared" si="69"/>
        <v>0.1</v>
      </c>
      <c r="S369" s="15">
        <f t="shared" si="70"/>
        <v>7432</v>
      </c>
      <c r="T369" s="15">
        <f t="shared" si="71"/>
        <v>66888</v>
      </c>
      <c r="U369" s="15">
        <f t="shared" si="72"/>
        <v>1672.2</v>
      </c>
      <c r="V369" s="15">
        <f t="shared" si="73"/>
        <v>1858</v>
      </c>
      <c r="W369" s="17">
        <f>IF($T369="",1000000000000000,$T369)</f>
        <v>66888</v>
      </c>
      <c r="XFB369" s="5"/>
      <c r="XFC369" s="3"/>
    </row>
    <row r="370" spans="1:23 16382:16383" s="4" customFormat="1" ht="28.5" customHeight="1">
      <c r="A370" s="14">
        <f t="shared" si="63"/>
        <v>354</v>
      </c>
      <c r="B370" s="14" t="s">
        <v>12</v>
      </c>
      <c r="C370" s="14" t="s">
        <v>911</v>
      </c>
      <c r="D370" s="18" t="s">
        <v>86</v>
      </c>
      <c r="E370" s="14" t="s">
        <v>26</v>
      </c>
      <c r="F370" s="14" t="s">
        <v>912</v>
      </c>
      <c r="G370" s="15">
        <v>1858</v>
      </c>
      <c r="H370" s="15"/>
      <c r="I370" s="15"/>
      <c r="J370" s="15">
        <v>1858</v>
      </c>
      <c r="K370" s="15">
        <f t="shared" si="62"/>
        <v>0</v>
      </c>
      <c r="L370" s="15">
        <f t="shared" si="64"/>
        <v>1858</v>
      </c>
      <c r="M370" s="15" t="str">
        <f t="shared" si="65"/>
        <v/>
      </c>
      <c r="N370" s="15">
        <f t="shared" si="66"/>
        <v>1858</v>
      </c>
      <c r="O370" s="15" t="str">
        <f t="shared" si="67"/>
        <v>휘발유 74,320원</v>
      </c>
      <c r="P370" s="15">
        <f t="shared" si="68"/>
        <v>74320</v>
      </c>
      <c r="Q370" s="15" t="s">
        <v>47</v>
      </c>
      <c r="R370" s="16">
        <f t="shared" si="69"/>
        <v>0.1</v>
      </c>
      <c r="S370" s="15">
        <f t="shared" si="70"/>
        <v>7432</v>
      </c>
      <c r="T370" s="15">
        <f t="shared" si="71"/>
        <v>66888</v>
      </c>
      <c r="U370" s="15">
        <f t="shared" si="72"/>
        <v>1672.2</v>
      </c>
      <c r="V370" s="15">
        <f t="shared" si="73"/>
        <v>1858</v>
      </c>
      <c r="W370" s="17">
        <f>IF($T370="",1000000000000000,$T370)</f>
        <v>66888</v>
      </c>
      <c r="XFB370" s="5"/>
      <c r="XFC370" s="3"/>
    </row>
    <row r="371" spans="1:23 16382:16383" s="4" customFormat="1" ht="28.5" customHeight="1">
      <c r="A371" s="14">
        <f t="shared" si="63"/>
        <v>357</v>
      </c>
      <c r="B371" s="14" t="s">
        <v>14</v>
      </c>
      <c r="C371" s="14" t="s">
        <v>913</v>
      </c>
      <c r="D371" s="14" t="s">
        <v>95</v>
      </c>
      <c r="E371" s="14" t="s">
        <v>26</v>
      </c>
      <c r="F371" s="14" t="s">
        <v>914</v>
      </c>
      <c r="G371" s="15">
        <v>1879</v>
      </c>
      <c r="H371" s="15"/>
      <c r="I371" s="15"/>
      <c r="J371" s="15">
        <v>1859</v>
      </c>
      <c r="K371" s="15">
        <f t="shared" si="62"/>
        <v>0</v>
      </c>
      <c r="L371" s="15">
        <f t="shared" si="64"/>
        <v>1879</v>
      </c>
      <c r="M371" s="15" t="str">
        <f t="shared" si="65"/>
        <v/>
      </c>
      <c r="N371" s="15">
        <f t="shared" si="66"/>
        <v>1859</v>
      </c>
      <c r="O371" s="15" t="str">
        <f t="shared" si="67"/>
        <v>휘발유 75,160원</v>
      </c>
      <c r="P371" s="15">
        <f t="shared" si="68"/>
        <v>75160</v>
      </c>
      <c r="Q371" s="15" t="s">
        <v>47</v>
      </c>
      <c r="R371" s="16">
        <f t="shared" si="69"/>
        <v>0.11</v>
      </c>
      <c r="S371" s="15">
        <f t="shared" si="70"/>
        <v>8267</v>
      </c>
      <c r="T371" s="15">
        <f t="shared" si="71"/>
        <v>66893</v>
      </c>
      <c r="U371" s="15">
        <f t="shared" si="72"/>
        <v>1672.325</v>
      </c>
      <c r="V371" s="15">
        <f t="shared" si="73"/>
        <v>1879</v>
      </c>
      <c r="W371" s="17">
        <f>IF($T371="",1000000000000000,$T371)</f>
        <v>66893</v>
      </c>
      <c r="XFB371" s="5"/>
      <c r="XFC371" s="3"/>
    </row>
    <row r="372" spans="1:23 16382:16383" s="4" customFormat="1" ht="28.5" customHeight="1">
      <c r="A372" s="14">
        <f t="shared" si="63"/>
        <v>357</v>
      </c>
      <c r="B372" s="14" t="s">
        <v>14</v>
      </c>
      <c r="C372" s="14" t="s">
        <v>915</v>
      </c>
      <c r="D372" s="14" t="s">
        <v>45</v>
      </c>
      <c r="E372" s="14" t="s">
        <v>63</v>
      </c>
      <c r="F372" s="14" t="s">
        <v>916</v>
      </c>
      <c r="G372" s="15">
        <v>1879</v>
      </c>
      <c r="H372" s="15"/>
      <c r="I372" s="15"/>
      <c r="J372" s="15">
        <v>1875</v>
      </c>
      <c r="K372" s="15">
        <f t="shared" si="62"/>
        <v>0</v>
      </c>
      <c r="L372" s="15">
        <f t="shared" si="64"/>
        <v>1879</v>
      </c>
      <c r="M372" s="15" t="str">
        <f t="shared" si="65"/>
        <v/>
      </c>
      <c r="N372" s="15">
        <f t="shared" si="66"/>
        <v>1875</v>
      </c>
      <c r="O372" s="15" t="str">
        <f t="shared" si="67"/>
        <v>휘발유 75,160원</v>
      </c>
      <c r="P372" s="15">
        <f t="shared" si="68"/>
        <v>75160</v>
      </c>
      <c r="Q372" s="15" t="s">
        <v>47</v>
      </c>
      <c r="R372" s="16">
        <f t="shared" si="69"/>
        <v>0.11</v>
      </c>
      <c r="S372" s="15">
        <f t="shared" si="70"/>
        <v>8267</v>
      </c>
      <c r="T372" s="15">
        <f t="shared" si="71"/>
        <v>66893</v>
      </c>
      <c r="U372" s="15">
        <f t="shared" si="72"/>
        <v>1672.325</v>
      </c>
      <c r="V372" s="15">
        <f t="shared" si="73"/>
        <v>1879</v>
      </c>
      <c r="W372" s="17">
        <f>IF($T372="",1000000000000000,$T372)</f>
        <v>66893</v>
      </c>
      <c r="XFB372" s="5"/>
      <c r="XFC372" s="3"/>
    </row>
    <row r="373" spans="1:23 16382:16383" s="4" customFormat="1" ht="28.5" customHeight="1">
      <c r="A373" s="14">
        <f t="shared" si="63"/>
        <v>359</v>
      </c>
      <c r="B373" s="14" t="s">
        <v>12</v>
      </c>
      <c r="C373" s="14" t="s">
        <v>917</v>
      </c>
      <c r="D373" s="18" t="s">
        <v>51</v>
      </c>
      <c r="E373" s="14" t="s">
        <v>63</v>
      </c>
      <c r="F373" s="14" t="s">
        <v>918</v>
      </c>
      <c r="G373" s="15">
        <v>1859</v>
      </c>
      <c r="H373" s="15"/>
      <c r="I373" s="15"/>
      <c r="J373" s="15">
        <v>1837</v>
      </c>
      <c r="K373" s="15">
        <f t="shared" si="62"/>
        <v>0</v>
      </c>
      <c r="L373" s="15">
        <f t="shared" si="64"/>
        <v>1859</v>
      </c>
      <c r="M373" s="15" t="str">
        <f t="shared" si="65"/>
        <v/>
      </c>
      <c r="N373" s="15">
        <f t="shared" si="66"/>
        <v>1837</v>
      </c>
      <c r="O373" s="15" t="str">
        <f t="shared" si="67"/>
        <v>휘발유 74,360원</v>
      </c>
      <c r="P373" s="15">
        <f t="shared" si="68"/>
        <v>74360</v>
      </c>
      <c r="Q373" s="15" t="s">
        <v>47</v>
      </c>
      <c r="R373" s="16">
        <f t="shared" si="69"/>
        <v>0.1</v>
      </c>
      <c r="S373" s="15">
        <f t="shared" si="70"/>
        <v>7436</v>
      </c>
      <c r="T373" s="15">
        <f t="shared" si="71"/>
        <v>66924</v>
      </c>
      <c r="U373" s="15">
        <f t="shared" si="72"/>
        <v>1673.1</v>
      </c>
      <c r="V373" s="15">
        <f t="shared" si="73"/>
        <v>1859</v>
      </c>
      <c r="W373" s="17">
        <f>IF($T373="",1000000000000000,$T373)</f>
        <v>66924</v>
      </c>
      <c r="XFB373" s="5"/>
      <c r="XFC373" s="3"/>
    </row>
    <row r="374" spans="1:23 16382:16383" s="4" customFormat="1" ht="28.5" customHeight="1">
      <c r="A374" s="14">
        <f t="shared" si="63"/>
        <v>359</v>
      </c>
      <c r="B374" s="14" t="s">
        <v>8</v>
      </c>
      <c r="C374" s="14" t="s">
        <v>919</v>
      </c>
      <c r="D374" s="18" t="s">
        <v>86</v>
      </c>
      <c r="E374" s="14" t="s">
        <v>63</v>
      </c>
      <c r="F374" s="14" t="s">
        <v>920</v>
      </c>
      <c r="G374" s="15">
        <v>1859</v>
      </c>
      <c r="H374" s="15"/>
      <c r="I374" s="15"/>
      <c r="J374" s="15">
        <v>1849</v>
      </c>
      <c r="K374" s="15">
        <f t="shared" si="62"/>
        <v>0</v>
      </c>
      <c r="L374" s="15">
        <f t="shared" si="64"/>
        <v>1859</v>
      </c>
      <c r="M374" s="15" t="str">
        <f t="shared" si="65"/>
        <v/>
      </c>
      <c r="N374" s="15">
        <f t="shared" si="66"/>
        <v>1849</v>
      </c>
      <c r="O374" s="15" t="str">
        <f t="shared" si="67"/>
        <v>휘발유 74,360원</v>
      </c>
      <c r="P374" s="15">
        <f t="shared" si="68"/>
        <v>74360</v>
      </c>
      <c r="Q374" s="15" t="s">
        <v>47</v>
      </c>
      <c r="R374" s="16">
        <f t="shared" si="69"/>
        <v>0.1</v>
      </c>
      <c r="S374" s="15">
        <f t="shared" si="70"/>
        <v>7436</v>
      </c>
      <c r="T374" s="15">
        <f t="shared" si="71"/>
        <v>66924</v>
      </c>
      <c r="U374" s="15">
        <f t="shared" si="72"/>
        <v>1673.1</v>
      </c>
      <c r="V374" s="15">
        <f t="shared" si="73"/>
        <v>1859</v>
      </c>
      <c r="W374" s="17">
        <f>IF($T374="",1000000000000000,$T374)</f>
        <v>66924</v>
      </c>
      <c r="XFB374" s="5"/>
      <c r="XFC374" s="3"/>
    </row>
    <row r="375" spans="1:23 16382:16383" s="4" customFormat="1" ht="28.5" customHeight="1">
      <c r="A375" s="14">
        <f t="shared" si="63"/>
        <v>359</v>
      </c>
      <c r="B375" s="14" t="s">
        <v>10</v>
      </c>
      <c r="C375" s="14" t="s">
        <v>921</v>
      </c>
      <c r="D375" s="14" t="s">
        <v>45</v>
      </c>
      <c r="E375" s="14" t="s">
        <v>63</v>
      </c>
      <c r="F375" s="14" t="s">
        <v>922</v>
      </c>
      <c r="G375" s="15">
        <v>1859</v>
      </c>
      <c r="H375" s="15"/>
      <c r="I375" s="15"/>
      <c r="J375" s="15">
        <v>1849</v>
      </c>
      <c r="K375" s="15">
        <f t="shared" si="62"/>
        <v>0</v>
      </c>
      <c r="L375" s="15">
        <f t="shared" si="64"/>
        <v>1859</v>
      </c>
      <c r="M375" s="15" t="str">
        <f t="shared" si="65"/>
        <v/>
      </c>
      <c r="N375" s="15">
        <f t="shared" si="66"/>
        <v>1849</v>
      </c>
      <c r="O375" s="15" t="str">
        <f t="shared" si="67"/>
        <v>휘발유 74,360원</v>
      </c>
      <c r="P375" s="15">
        <f t="shared" si="68"/>
        <v>74360</v>
      </c>
      <c r="Q375" s="15" t="s">
        <v>47</v>
      </c>
      <c r="R375" s="16">
        <f t="shared" si="69"/>
        <v>0.1</v>
      </c>
      <c r="S375" s="15">
        <f t="shared" si="70"/>
        <v>7436</v>
      </c>
      <c r="T375" s="15">
        <f t="shared" si="71"/>
        <v>66924</v>
      </c>
      <c r="U375" s="15">
        <f t="shared" si="72"/>
        <v>1673.1</v>
      </c>
      <c r="V375" s="15">
        <f t="shared" si="73"/>
        <v>1859</v>
      </c>
      <c r="W375" s="17">
        <f>IF($T375="",1000000000000000,$T375)</f>
        <v>66924</v>
      </c>
      <c r="XFB375" s="5"/>
      <c r="XFC375" s="3"/>
    </row>
    <row r="376" spans="1:23 16382:16383" s="4" customFormat="1" ht="28.5" customHeight="1">
      <c r="A376" s="14">
        <f t="shared" si="63"/>
        <v>359</v>
      </c>
      <c r="B376" s="14" t="s">
        <v>10</v>
      </c>
      <c r="C376" s="14" t="s">
        <v>923</v>
      </c>
      <c r="D376" s="14" t="s">
        <v>45</v>
      </c>
      <c r="E376" s="14" t="s">
        <v>63</v>
      </c>
      <c r="F376" s="14" t="s">
        <v>924</v>
      </c>
      <c r="G376" s="15">
        <v>1859</v>
      </c>
      <c r="H376" s="15"/>
      <c r="I376" s="15"/>
      <c r="J376" s="15">
        <v>1849</v>
      </c>
      <c r="K376" s="15">
        <f t="shared" si="62"/>
        <v>0</v>
      </c>
      <c r="L376" s="15">
        <f t="shared" si="64"/>
        <v>1859</v>
      </c>
      <c r="M376" s="15" t="str">
        <f t="shared" si="65"/>
        <v/>
      </c>
      <c r="N376" s="15">
        <f t="shared" si="66"/>
        <v>1849</v>
      </c>
      <c r="O376" s="15" t="str">
        <f t="shared" si="67"/>
        <v>휘발유 74,360원</v>
      </c>
      <c r="P376" s="15">
        <f t="shared" si="68"/>
        <v>74360</v>
      </c>
      <c r="Q376" s="15" t="s">
        <v>47</v>
      </c>
      <c r="R376" s="16">
        <f t="shared" si="69"/>
        <v>0.1</v>
      </c>
      <c r="S376" s="15">
        <f t="shared" si="70"/>
        <v>7436</v>
      </c>
      <c r="T376" s="15">
        <f t="shared" si="71"/>
        <v>66924</v>
      </c>
      <c r="U376" s="15">
        <f t="shared" si="72"/>
        <v>1673.1</v>
      </c>
      <c r="V376" s="15">
        <f t="shared" si="73"/>
        <v>1859</v>
      </c>
      <c r="W376" s="17">
        <f>IF($T376="",1000000000000000,$T376)</f>
        <v>66924</v>
      </c>
      <c r="XFB376" s="5"/>
      <c r="XFC376" s="3"/>
    </row>
    <row r="377" spans="1:23 16382:16383" s="4" customFormat="1" ht="28.5" customHeight="1">
      <c r="A377" s="14">
        <f t="shared" si="63"/>
        <v>359</v>
      </c>
      <c r="B377" s="14" t="s">
        <v>8</v>
      </c>
      <c r="C377" s="14" t="s">
        <v>925</v>
      </c>
      <c r="D377" s="14" t="s">
        <v>45</v>
      </c>
      <c r="E377" s="14" t="s">
        <v>63</v>
      </c>
      <c r="F377" s="14" t="s">
        <v>926</v>
      </c>
      <c r="G377" s="15">
        <v>1859</v>
      </c>
      <c r="H377" s="15"/>
      <c r="I377" s="15"/>
      <c r="J377" s="15">
        <v>1859</v>
      </c>
      <c r="K377" s="15">
        <f t="shared" si="62"/>
        <v>0</v>
      </c>
      <c r="L377" s="15">
        <f t="shared" si="64"/>
        <v>1859</v>
      </c>
      <c r="M377" s="15" t="str">
        <f t="shared" si="65"/>
        <v/>
      </c>
      <c r="N377" s="15">
        <f t="shared" si="66"/>
        <v>1859</v>
      </c>
      <c r="O377" s="15" t="str">
        <f t="shared" si="67"/>
        <v>휘발유 74,360원</v>
      </c>
      <c r="P377" s="15">
        <f t="shared" si="68"/>
        <v>74360</v>
      </c>
      <c r="Q377" s="15" t="s">
        <v>47</v>
      </c>
      <c r="R377" s="16">
        <f t="shared" si="69"/>
        <v>0.1</v>
      </c>
      <c r="S377" s="15">
        <f t="shared" si="70"/>
        <v>7436</v>
      </c>
      <c r="T377" s="15">
        <f t="shared" si="71"/>
        <v>66924</v>
      </c>
      <c r="U377" s="15">
        <f t="shared" si="72"/>
        <v>1673.1</v>
      </c>
      <c r="V377" s="15">
        <f t="shared" si="73"/>
        <v>1859</v>
      </c>
      <c r="W377" s="17">
        <f>IF($T377="",1000000000000000,$T377)</f>
        <v>66924</v>
      </c>
      <c r="XFB377" s="5"/>
      <c r="XFC377" s="3"/>
    </row>
    <row r="378" spans="1:23 16382:16383" s="4" customFormat="1" ht="28.5" customHeight="1">
      <c r="A378" s="14">
        <f t="shared" si="63"/>
        <v>359</v>
      </c>
      <c r="B378" s="14" t="s">
        <v>10</v>
      </c>
      <c r="C378" s="14" t="s">
        <v>929</v>
      </c>
      <c r="D378" s="14" t="s">
        <v>95</v>
      </c>
      <c r="E378" s="14" t="s">
        <v>26</v>
      </c>
      <c r="F378" s="14" t="s">
        <v>930</v>
      </c>
      <c r="G378" s="15">
        <v>1859</v>
      </c>
      <c r="H378" s="15"/>
      <c r="I378" s="15"/>
      <c r="J378" s="15">
        <v>1859</v>
      </c>
      <c r="K378" s="15">
        <f t="shared" si="62"/>
        <v>0</v>
      </c>
      <c r="L378" s="15">
        <f t="shared" si="64"/>
        <v>1859</v>
      </c>
      <c r="M378" s="15" t="str">
        <f t="shared" si="65"/>
        <v/>
      </c>
      <c r="N378" s="15">
        <f t="shared" si="66"/>
        <v>1859</v>
      </c>
      <c r="O378" s="15" t="str">
        <f t="shared" si="67"/>
        <v>휘발유 74,360원</v>
      </c>
      <c r="P378" s="15">
        <f t="shared" si="68"/>
        <v>74360</v>
      </c>
      <c r="Q378" s="15" t="s">
        <v>47</v>
      </c>
      <c r="R378" s="16">
        <f t="shared" si="69"/>
        <v>0.1</v>
      </c>
      <c r="S378" s="15">
        <f t="shared" si="70"/>
        <v>7436</v>
      </c>
      <c r="T378" s="15">
        <f t="shared" si="71"/>
        <v>66924</v>
      </c>
      <c r="U378" s="15">
        <f t="shared" si="72"/>
        <v>1673.1</v>
      </c>
      <c r="V378" s="15">
        <f t="shared" si="73"/>
        <v>1859</v>
      </c>
      <c r="W378" s="17">
        <f>IF($T378="",1000000000000000,$T378)</f>
        <v>66924</v>
      </c>
      <c r="XFB378" s="5"/>
      <c r="XFC378" s="3"/>
    </row>
    <row r="379" spans="1:23 16382:16383" s="4" customFormat="1" ht="28.5" customHeight="1">
      <c r="A379" s="14">
        <f t="shared" si="63"/>
        <v>359</v>
      </c>
      <c r="B379" s="14" t="s">
        <v>10</v>
      </c>
      <c r="C379" s="14" t="s">
        <v>935</v>
      </c>
      <c r="D379" s="14" t="s">
        <v>45</v>
      </c>
      <c r="E379" s="14" t="s">
        <v>63</v>
      </c>
      <c r="F379" s="14" t="s">
        <v>936</v>
      </c>
      <c r="G379" s="15">
        <v>1859</v>
      </c>
      <c r="H379" s="15"/>
      <c r="I379" s="15"/>
      <c r="J379" s="15">
        <v>1859</v>
      </c>
      <c r="K379" s="15">
        <f t="shared" si="62"/>
        <v>0</v>
      </c>
      <c r="L379" s="15">
        <f t="shared" si="64"/>
        <v>1859</v>
      </c>
      <c r="M379" s="15" t="str">
        <f t="shared" si="65"/>
        <v/>
      </c>
      <c r="N379" s="15">
        <f t="shared" si="66"/>
        <v>1859</v>
      </c>
      <c r="O379" s="15" t="str">
        <f t="shared" si="67"/>
        <v>휘발유 74,360원</v>
      </c>
      <c r="P379" s="15">
        <f t="shared" si="68"/>
        <v>74360</v>
      </c>
      <c r="Q379" s="15" t="s">
        <v>47</v>
      </c>
      <c r="R379" s="16">
        <f t="shared" si="69"/>
        <v>0.1</v>
      </c>
      <c r="S379" s="15">
        <f t="shared" si="70"/>
        <v>7436</v>
      </c>
      <c r="T379" s="15">
        <f t="shared" si="71"/>
        <v>66924</v>
      </c>
      <c r="U379" s="15">
        <f t="shared" si="72"/>
        <v>1673.1</v>
      </c>
      <c r="V379" s="15">
        <f t="shared" si="73"/>
        <v>1859</v>
      </c>
      <c r="W379" s="17">
        <f>IF($T379="",1000000000000000,$T379)</f>
        <v>66924</v>
      </c>
      <c r="XFB379" s="5"/>
      <c r="XFC379" s="3"/>
    </row>
    <row r="380" spans="1:23 16382:16383" s="4" customFormat="1" ht="28.5" customHeight="1">
      <c r="A380" s="14">
        <f t="shared" si="63"/>
        <v>359</v>
      </c>
      <c r="B380" s="14" t="s">
        <v>6</v>
      </c>
      <c r="C380" s="14" t="s">
        <v>931</v>
      </c>
      <c r="D380" s="14" t="s">
        <v>45</v>
      </c>
      <c r="E380" s="14" t="s">
        <v>63</v>
      </c>
      <c r="F380" s="14" t="s">
        <v>932</v>
      </c>
      <c r="G380" s="15">
        <v>1859</v>
      </c>
      <c r="H380" s="15"/>
      <c r="I380" s="15"/>
      <c r="J380" s="15">
        <v>1865</v>
      </c>
      <c r="K380" s="15">
        <f t="shared" si="62"/>
        <v>0</v>
      </c>
      <c r="L380" s="15">
        <f t="shared" si="64"/>
        <v>1859</v>
      </c>
      <c r="M380" s="15" t="str">
        <f t="shared" si="65"/>
        <v/>
      </c>
      <c r="N380" s="15">
        <f t="shared" si="66"/>
        <v>1865</v>
      </c>
      <c r="O380" s="15" t="str">
        <f t="shared" si="67"/>
        <v>휘발유 74,360원</v>
      </c>
      <c r="P380" s="15">
        <f t="shared" si="68"/>
        <v>74360</v>
      </c>
      <c r="Q380" s="15" t="s">
        <v>47</v>
      </c>
      <c r="R380" s="16">
        <f t="shared" si="69"/>
        <v>0.1</v>
      </c>
      <c r="S380" s="15">
        <f t="shared" si="70"/>
        <v>7436</v>
      </c>
      <c r="T380" s="15">
        <f t="shared" si="71"/>
        <v>66924</v>
      </c>
      <c r="U380" s="15">
        <f t="shared" si="72"/>
        <v>1673.1</v>
      </c>
      <c r="V380" s="15">
        <f t="shared" si="73"/>
        <v>1859</v>
      </c>
      <c r="W380" s="17">
        <f>IF($T380="",1000000000000000,$T380)</f>
        <v>66924</v>
      </c>
      <c r="XFB380" s="5"/>
      <c r="XFC380" s="3"/>
    </row>
    <row r="381" spans="1:23 16382:16383" s="4" customFormat="1" ht="28.5" customHeight="1">
      <c r="A381" s="14">
        <f t="shared" si="63"/>
        <v>359</v>
      </c>
      <c r="B381" s="14" t="s">
        <v>8</v>
      </c>
      <c r="C381" s="14" t="s">
        <v>933</v>
      </c>
      <c r="D381" s="14" t="s">
        <v>45</v>
      </c>
      <c r="E381" s="14" t="s">
        <v>26</v>
      </c>
      <c r="F381" s="14" t="s">
        <v>934</v>
      </c>
      <c r="G381" s="15">
        <v>1859</v>
      </c>
      <c r="H381" s="15"/>
      <c r="I381" s="15"/>
      <c r="J381" s="15">
        <v>1879</v>
      </c>
      <c r="K381" s="15">
        <f t="shared" si="62"/>
        <v>0</v>
      </c>
      <c r="L381" s="15">
        <f t="shared" si="64"/>
        <v>1859</v>
      </c>
      <c r="M381" s="15" t="str">
        <f t="shared" si="65"/>
        <v/>
      </c>
      <c r="N381" s="15">
        <f t="shared" si="66"/>
        <v>1879</v>
      </c>
      <c r="O381" s="15" t="str">
        <f t="shared" si="67"/>
        <v>휘발유 74,360원</v>
      </c>
      <c r="P381" s="15">
        <f t="shared" si="68"/>
        <v>74360</v>
      </c>
      <c r="Q381" s="15" t="s">
        <v>47</v>
      </c>
      <c r="R381" s="16">
        <f t="shared" si="69"/>
        <v>0.1</v>
      </c>
      <c r="S381" s="15">
        <f t="shared" si="70"/>
        <v>7436</v>
      </c>
      <c r="T381" s="15">
        <f t="shared" si="71"/>
        <v>66924</v>
      </c>
      <c r="U381" s="15">
        <f t="shared" si="72"/>
        <v>1673.1</v>
      </c>
      <c r="V381" s="15">
        <f t="shared" si="73"/>
        <v>1859</v>
      </c>
      <c r="W381" s="17">
        <f>IF($T381="",1000000000000000,$T381)</f>
        <v>66924</v>
      </c>
      <c r="XFB381" s="5"/>
      <c r="XFC381" s="3"/>
    </row>
    <row r="382" spans="1:23 16382:16383" s="4" customFormat="1" ht="28.5" customHeight="1">
      <c r="A382" s="14">
        <f t="shared" si="63"/>
        <v>368</v>
      </c>
      <c r="B382" s="14" t="s">
        <v>10</v>
      </c>
      <c r="C382" s="14" t="s">
        <v>820</v>
      </c>
      <c r="D382" s="14" t="s">
        <v>95</v>
      </c>
      <c r="E382" s="14" t="s">
        <v>63</v>
      </c>
      <c r="F382" s="14" t="s">
        <v>937</v>
      </c>
      <c r="G382" s="15">
        <v>1860</v>
      </c>
      <c r="H382" s="15"/>
      <c r="I382" s="15"/>
      <c r="J382" s="15">
        <v>1850</v>
      </c>
      <c r="K382" s="15">
        <f t="shared" si="62"/>
        <v>0</v>
      </c>
      <c r="L382" s="15">
        <f t="shared" si="64"/>
        <v>1860</v>
      </c>
      <c r="M382" s="15" t="str">
        <f t="shared" si="65"/>
        <v/>
      </c>
      <c r="N382" s="15">
        <f t="shared" si="66"/>
        <v>1850</v>
      </c>
      <c r="O382" s="15" t="str">
        <f t="shared" si="67"/>
        <v>휘발유 74,400원</v>
      </c>
      <c r="P382" s="15">
        <f t="shared" si="68"/>
        <v>74400</v>
      </c>
      <c r="Q382" s="15" t="s">
        <v>47</v>
      </c>
      <c r="R382" s="16">
        <f t="shared" si="69"/>
        <v>0.1</v>
      </c>
      <c r="S382" s="15">
        <f t="shared" si="70"/>
        <v>7440</v>
      </c>
      <c r="T382" s="15">
        <f t="shared" si="71"/>
        <v>66960</v>
      </c>
      <c r="U382" s="15">
        <f t="shared" si="72"/>
        <v>1674</v>
      </c>
      <c r="V382" s="15">
        <f t="shared" si="73"/>
        <v>1860</v>
      </c>
      <c r="W382" s="17">
        <f>IF($T382="",1000000000000000,$T382)</f>
        <v>66960</v>
      </c>
      <c r="XFB382" s="5"/>
      <c r="XFC382" s="3"/>
    </row>
    <row r="383" spans="1:23 16382:16383" s="4" customFormat="1" ht="28.5" customHeight="1">
      <c r="A383" s="14">
        <f t="shared" si="63"/>
        <v>369</v>
      </c>
      <c r="B383" s="14" t="s">
        <v>6</v>
      </c>
      <c r="C383" s="14" t="s">
        <v>423</v>
      </c>
      <c r="D383" s="14" t="s">
        <v>45</v>
      </c>
      <c r="E383" s="14" t="s">
        <v>26</v>
      </c>
      <c r="F383" s="14" t="s">
        <v>938</v>
      </c>
      <c r="G383" s="15">
        <v>1862</v>
      </c>
      <c r="H383" s="15"/>
      <c r="I383" s="15"/>
      <c r="J383" s="15">
        <v>1862</v>
      </c>
      <c r="K383" s="15">
        <f t="shared" si="62"/>
        <v>0</v>
      </c>
      <c r="L383" s="15">
        <f t="shared" si="64"/>
        <v>1862</v>
      </c>
      <c r="M383" s="15" t="str">
        <f t="shared" si="65"/>
        <v/>
      </c>
      <c r="N383" s="15">
        <f t="shared" si="66"/>
        <v>1862</v>
      </c>
      <c r="O383" s="15" t="str">
        <f t="shared" si="67"/>
        <v>휘발유 74,480원</v>
      </c>
      <c r="P383" s="15">
        <f t="shared" si="68"/>
        <v>74480</v>
      </c>
      <c r="Q383" s="15" t="s">
        <v>47</v>
      </c>
      <c r="R383" s="16">
        <f t="shared" si="69"/>
        <v>0.1</v>
      </c>
      <c r="S383" s="15">
        <f t="shared" si="70"/>
        <v>7448</v>
      </c>
      <c r="T383" s="15">
        <f t="shared" si="71"/>
        <v>67032</v>
      </c>
      <c r="U383" s="15">
        <f t="shared" si="72"/>
        <v>1675.8</v>
      </c>
      <c r="V383" s="15">
        <f t="shared" si="73"/>
        <v>1862</v>
      </c>
      <c r="W383" s="17">
        <f>IF($T383="",1000000000000000,$T383)</f>
        <v>67032</v>
      </c>
      <c r="XFB383" s="5"/>
      <c r="XFC383" s="3"/>
    </row>
    <row r="384" spans="1:23 16382:16383" s="4" customFormat="1" ht="28.5" customHeight="1">
      <c r="A384" s="14">
        <f t="shared" si="63"/>
        <v>370</v>
      </c>
      <c r="B384" s="14" t="s">
        <v>10</v>
      </c>
      <c r="C384" s="14" t="s">
        <v>659</v>
      </c>
      <c r="D384" s="18" t="s">
        <v>86</v>
      </c>
      <c r="E384" s="14" t="s">
        <v>26</v>
      </c>
      <c r="F384" s="14" t="s">
        <v>939</v>
      </c>
      <c r="G384" s="15">
        <v>1864</v>
      </c>
      <c r="H384" s="15"/>
      <c r="I384" s="15"/>
      <c r="J384" s="15">
        <v>1854</v>
      </c>
      <c r="K384" s="15">
        <f t="shared" si="62"/>
        <v>0</v>
      </c>
      <c r="L384" s="15">
        <f t="shared" si="64"/>
        <v>1864</v>
      </c>
      <c r="M384" s="15" t="str">
        <f t="shared" si="65"/>
        <v/>
      </c>
      <c r="N384" s="15">
        <f t="shared" si="66"/>
        <v>1854</v>
      </c>
      <c r="O384" s="15" t="str">
        <f t="shared" si="67"/>
        <v>휘발유 74,560원</v>
      </c>
      <c r="P384" s="15">
        <f t="shared" si="68"/>
        <v>74560</v>
      </c>
      <c r="Q384" s="15" t="s">
        <v>47</v>
      </c>
      <c r="R384" s="16">
        <f t="shared" si="69"/>
        <v>0.1</v>
      </c>
      <c r="S384" s="15">
        <f t="shared" si="70"/>
        <v>7456</v>
      </c>
      <c r="T384" s="15">
        <f t="shared" si="71"/>
        <v>67104</v>
      </c>
      <c r="U384" s="15">
        <f t="shared" si="72"/>
        <v>1677.6</v>
      </c>
      <c r="V384" s="15">
        <f t="shared" si="73"/>
        <v>1864</v>
      </c>
      <c r="W384" s="17">
        <f>IF($T384="",1000000000000000,$T384)</f>
        <v>67104</v>
      </c>
      <c r="XFB384" s="5"/>
      <c r="XFC384" s="3"/>
    </row>
    <row r="385" spans="1:23 16382:16383" s="4" customFormat="1" ht="28.5" customHeight="1">
      <c r="A385" s="14">
        <f t="shared" si="63"/>
        <v>371</v>
      </c>
      <c r="B385" s="14" t="s">
        <v>12</v>
      </c>
      <c r="C385" s="14" t="s">
        <v>737</v>
      </c>
      <c r="D385" s="18" t="s">
        <v>45</v>
      </c>
      <c r="E385" s="14" t="s">
        <v>63</v>
      </c>
      <c r="F385" s="14" t="s">
        <v>942</v>
      </c>
      <c r="G385" s="15">
        <v>1865</v>
      </c>
      <c r="H385" s="15"/>
      <c r="I385" s="15"/>
      <c r="J385" s="15">
        <v>1865</v>
      </c>
      <c r="K385" s="15">
        <f t="shared" si="62"/>
        <v>0</v>
      </c>
      <c r="L385" s="15">
        <f t="shared" si="64"/>
        <v>1865</v>
      </c>
      <c r="M385" s="15" t="str">
        <f t="shared" si="65"/>
        <v/>
      </c>
      <c r="N385" s="15">
        <f t="shared" si="66"/>
        <v>1865</v>
      </c>
      <c r="O385" s="15" t="str">
        <f t="shared" si="67"/>
        <v>휘발유 74,600원</v>
      </c>
      <c r="P385" s="15">
        <f t="shared" si="68"/>
        <v>74600</v>
      </c>
      <c r="Q385" s="15" t="s">
        <v>47</v>
      </c>
      <c r="R385" s="16">
        <f t="shared" si="69"/>
        <v>0.1</v>
      </c>
      <c r="S385" s="15">
        <f t="shared" si="70"/>
        <v>7460</v>
      </c>
      <c r="T385" s="15">
        <f t="shared" si="71"/>
        <v>67140</v>
      </c>
      <c r="U385" s="15">
        <f t="shared" si="72"/>
        <v>1678.5</v>
      </c>
      <c r="V385" s="15">
        <f t="shared" si="73"/>
        <v>1865</v>
      </c>
      <c r="W385" s="17">
        <f>IF($T385="",1000000000000000,$T385)</f>
        <v>67140</v>
      </c>
      <c r="XFB385" s="5"/>
      <c r="XFC385" s="3"/>
    </row>
    <row r="386" spans="1:23 16382:16383" s="4" customFormat="1" ht="28.5" customHeight="1">
      <c r="A386" s="14">
        <f t="shared" si="63"/>
        <v>371</v>
      </c>
      <c r="B386" s="14" t="s">
        <v>12</v>
      </c>
      <c r="C386" s="14" t="s">
        <v>943</v>
      </c>
      <c r="D386" s="18" t="s">
        <v>95</v>
      </c>
      <c r="E386" s="14" t="s">
        <v>26</v>
      </c>
      <c r="F386" s="14" t="s">
        <v>944</v>
      </c>
      <c r="G386" s="15">
        <v>1865</v>
      </c>
      <c r="H386" s="15"/>
      <c r="I386" s="15"/>
      <c r="J386" s="15">
        <v>1865</v>
      </c>
      <c r="K386" s="15">
        <f t="shared" si="62"/>
        <v>0</v>
      </c>
      <c r="L386" s="15">
        <f t="shared" si="64"/>
        <v>1865</v>
      </c>
      <c r="M386" s="15" t="str">
        <f t="shared" si="65"/>
        <v/>
      </c>
      <c r="N386" s="15">
        <f t="shared" si="66"/>
        <v>1865</v>
      </c>
      <c r="O386" s="15" t="str">
        <f t="shared" si="67"/>
        <v>휘발유 74,600원</v>
      </c>
      <c r="P386" s="15">
        <f t="shared" si="68"/>
        <v>74600</v>
      </c>
      <c r="Q386" s="15" t="s">
        <v>47</v>
      </c>
      <c r="R386" s="16">
        <f t="shared" si="69"/>
        <v>0.1</v>
      </c>
      <c r="S386" s="15">
        <f t="shared" si="70"/>
        <v>7460</v>
      </c>
      <c r="T386" s="15">
        <f t="shared" si="71"/>
        <v>67140</v>
      </c>
      <c r="U386" s="15">
        <f t="shared" si="72"/>
        <v>1678.5</v>
      </c>
      <c r="V386" s="15">
        <f t="shared" si="73"/>
        <v>1865</v>
      </c>
      <c r="W386" s="17">
        <f>IF($T386="",1000000000000000,$T386)</f>
        <v>67140</v>
      </c>
      <c r="XFB386" s="5"/>
      <c r="XFC386" s="3"/>
    </row>
    <row r="387" spans="1:23 16382:16383" s="4" customFormat="1" ht="28.5" customHeight="1">
      <c r="A387" s="14">
        <f t="shared" si="63"/>
        <v>371</v>
      </c>
      <c r="B387" s="14" t="s">
        <v>6</v>
      </c>
      <c r="C387" s="14" t="s">
        <v>945</v>
      </c>
      <c r="D387" s="14" t="s">
        <v>95</v>
      </c>
      <c r="E387" s="14" t="s">
        <v>26</v>
      </c>
      <c r="F387" s="14" t="s">
        <v>946</v>
      </c>
      <c r="G387" s="15">
        <v>1865</v>
      </c>
      <c r="H387" s="15"/>
      <c r="I387" s="15"/>
      <c r="J387" s="15">
        <v>1895</v>
      </c>
      <c r="K387" s="15">
        <f t="shared" si="62"/>
        <v>0</v>
      </c>
      <c r="L387" s="15">
        <f t="shared" si="64"/>
        <v>1865</v>
      </c>
      <c r="M387" s="15" t="str">
        <f t="shared" si="65"/>
        <v/>
      </c>
      <c r="N387" s="15">
        <f t="shared" si="66"/>
        <v>1895</v>
      </c>
      <c r="O387" s="15" t="str">
        <f t="shared" si="67"/>
        <v>휘발유 74,600원</v>
      </c>
      <c r="P387" s="15">
        <f t="shared" si="68"/>
        <v>74600</v>
      </c>
      <c r="Q387" s="15" t="s">
        <v>47</v>
      </c>
      <c r="R387" s="16">
        <f t="shared" si="69"/>
        <v>0.1</v>
      </c>
      <c r="S387" s="15">
        <f t="shared" si="70"/>
        <v>7460</v>
      </c>
      <c r="T387" s="15">
        <f t="shared" si="71"/>
        <v>67140</v>
      </c>
      <c r="U387" s="15">
        <f t="shared" si="72"/>
        <v>1678.5</v>
      </c>
      <c r="V387" s="15">
        <f t="shared" si="73"/>
        <v>1865</v>
      </c>
      <c r="W387" s="17">
        <f>IF($T387="",1000000000000000,$T387)</f>
        <v>67140</v>
      </c>
      <c r="XFB387" s="5"/>
      <c r="XFC387" s="3"/>
    </row>
    <row r="388" spans="1:23 16382:16383" s="4" customFormat="1" ht="28.5" customHeight="1">
      <c r="A388" s="14">
        <f t="shared" si="63"/>
        <v>374</v>
      </c>
      <c r="B388" s="14" t="s">
        <v>10</v>
      </c>
      <c r="C388" s="14" t="s">
        <v>947</v>
      </c>
      <c r="D388" s="14" t="s">
        <v>51</v>
      </c>
      <c r="E388" s="14" t="s">
        <v>26</v>
      </c>
      <c r="F388" s="14" t="s">
        <v>948</v>
      </c>
      <c r="G388" s="15">
        <v>1866</v>
      </c>
      <c r="H388" s="15"/>
      <c r="I388" s="15"/>
      <c r="J388" s="15">
        <v>1865</v>
      </c>
      <c r="K388" s="15">
        <f t="shared" si="62"/>
        <v>0</v>
      </c>
      <c r="L388" s="15">
        <f t="shared" si="64"/>
        <v>1866</v>
      </c>
      <c r="M388" s="15" t="str">
        <f t="shared" si="65"/>
        <v/>
      </c>
      <c r="N388" s="15">
        <f t="shared" si="66"/>
        <v>1865</v>
      </c>
      <c r="O388" s="15" t="str">
        <f t="shared" si="67"/>
        <v>휘발유 74,640원</v>
      </c>
      <c r="P388" s="15">
        <f t="shared" si="68"/>
        <v>74640</v>
      </c>
      <c r="Q388" s="15" t="s">
        <v>47</v>
      </c>
      <c r="R388" s="16">
        <f t="shared" si="69"/>
        <v>0.1</v>
      </c>
      <c r="S388" s="15">
        <f t="shared" si="70"/>
        <v>7464</v>
      </c>
      <c r="T388" s="15">
        <f t="shared" si="71"/>
        <v>67176</v>
      </c>
      <c r="U388" s="15">
        <f t="shared" si="72"/>
        <v>1679.4</v>
      </c>
      <c r="V388" s="15">
        <f t="shared" si="73"/>
        <v>1866</v>
      </c>
      <c r="W388" s="17">
        <f>IF($T388="",1000000000000000,$T388)</f>
        <v>67176</v>
      </c>
      <c r="XFB388" s="5"/>
      <c r="XFC388" s="3"/>
    </row>
    <row r="389" spans="1:23 16382:16383" s="4" customFormat="1" ht="28.5" customHeight="1">
      <c r="A389" s="14">
        <f t="shared" si="63"/>
        <v>375</v>
      </c>
      <c r="B389" s="14" t="s">
        <v>10</v>
      </c>
      <c r="C389" s="14" t="s">
        <v>1017</v>
      </c>
      <c r="D389" s="18" t="s">
        <v>86</v>
      </c>
      <c r="E389" s="14" t="s">
        <v>63</v>
      </c>
      <c r="F389" s="14" t="s">
        <v>1018</v>
      </c>
      <c r="G389" s="15">
        <v>1868</v>
      </c>
      <c r="H389" s="15"/>
      <c r="I389" s="15"/>
      <c r="J389" s="15">
        <v>1868</v>
      </c>
      <c r="K389" s="15">
        <f t="shared" si="62"/>
        <v>0</v>
      </c>
      <c r="L389" s="15">
        <f t="shared" si="64"/>
        <v>1868</v>
      </c>
      <c r="M389" s="15" t="str">
        <f t="shared" si="65"/>
        <v/>
      </c>
      <c r="N389" s="15">
        <f t="shared" si="66"/>
        <v>1868</v>
      </c>
      <c r="O389" s="15" t="str">
        <f t="shared" si="67"/>
        <v>휘발유 74,720원</v>
      </c>
      <c r="P389" s="15">
        <f t="shared" si="68"/>
        <v>74720</v>
      </c>
      <c r="Q389" s="15" t="s">
        <v>47</v>
      </c>
      <c r="R389" s="16">
        <f t="shared" si="69"/>
        <v>0.1</v>
      </c>
      <c r="S389" s="15">
        <f t="shared" si="70"/>
        <v>7472</v>
      </c>
      <c r="T389" s="15">
        <f t="shared" si="71"/>
        <v>67248</v>
      </c>
      <c r="U389" s="15">
        <f t="shared" si="72"/>
        <v>1681.2</v>
      </c>
      <c r="V389" s="15">
        <f t="shared" si="73"/>
        <v>1868</v>
      </c>
      <c r="W389" s="17">
        <f>IF($T389="",1000000000000000,$T389)</f>
        <v>67248</v>
      </c>
      <c r="XFB389" s="5"/>
      <c r="XFC389" s="3"/>
    </row>
    <row r="390" spans="1:23 16382:16383" s="4" customFormat="1" ht="28.5" customHeight="1">
      <c r="A390" s="14">
        <f t="shared" si="63"/>
        <v>375</v>
      </c>
      <c r="B390" s="14" t="s">
        <v>6</v>
      </c>
      <c r="C390" s="14" t="s">
        <v>1053</v>
      </c>
      <c r="D390" s="14" t="s">
        <v>51</v>
      </c>
      <c r="E390" s="14" t="s">
        <v>63</v>
      </c>
      <c r="F390" s="14" t="s">
        <v>1054</v>
      </c>
      <c r="G390" s="15">
        <v>1868</v>
      </c>
      <c r="H390" s="15"/>
      <c r="I390" s="15"/>
      <c r="J390" s="15">
        <v>1898</v>
      </c>
      <c r="K390" s="15">
        <f t="shared" ref="K390:K443" si="74">IF(AND(IFERROR(SEARCH("현대오일뱅크",$C390),0)&gt;0,IFERROR(SEARCH("직영",$C390),0)&gt;0),$B$13,0)</f>
        <v>0</v>
      </c>
      <c r="L390" s="15">
        <f t="shared" si="64"/>
        <v>1868</v>
      </c>
      <c r="M390" s="15" t="str">
        <f t="shared" si="65"/>
        <v/>
      </c>
      <c r="N390" s="15">
        <f t="shared" si="66"/>
        <v>1898</v>
      </c>
      <c r="O390" s="15" t="str">
        <f t="shared" si="67"/>
        <v>휘발유 74,720원</v>
      </c>
      <c r="P390" s="15">
        <f t="shared" si="68"/>
        <v>74720</v>
      </c>
      <c r="Q390" s="15" t="s">
        <v>47</v>
      </c>
      <c r="R390" s="16">
        <f t="shared" si="69"/>
        <v>0.1</v>
      </c>
      <c r="S390" s="15">
        <f t="shared" si="70"/>
        <v>7472</v>
      </c>
      <c r="T390" s="15">
        <f t="shared" si="71"/>
        <v>67248</v>
      </c>
      <c r="U390" s="15">
        <f t="shared" si="72"/>
        <v>1681.2</v>
      </c>
      <c r="V390" s="15">
        <f t="shared" si="73"/>
        <v>1868</v>
      </c>
      <c r="W390" s="17">
        <f>IF($T390="",1000000000000000,$T390)</f>
        <v>67248</v>
      </c>
      <c r="XFB390" s="5"/>
      <c r="XFC390" s="3"/>
    </row>
    <row r="391" spans="1:23 16382:16383" s="4" customFormat="1" ht="28.5" customHeight="1">
      <c r="A391" s="14">
        <f t="shared" si="63"/>
        <v>377</v>
      </c>
      <c r="B391" s="14" t="s">
        <v>14</v>
      </c>
      <c r="C391" s="14" t="s">
        <v>635</v>
      </c>
      <c r="D391" s="14" t="s">
        <v>45</v>
      </c>
      <c r="E391" s="14" t="s">
        <v>63</v>
      </c>
      <c r="F391" s="14" t="s">
        <v>949</v>
      </c>
      <c r="G391" s="15">
        <v>1889</v>
      </c>
      <c r="H391" s="15"/>
      <c r="I391" s="15"/>
      <c r="J391" s="15">
        <v>1799</v>
      </c>
      <c r="K391" s="15">
        <f t="shared" si="74"/>
        <v>0</v>
      </c>
      <c r="L391" s="15">
        <f t="shared" si="64"/>
        <v>1889</v>
      </c>
      <c r="M391" s="15" t="str">
        <f t="shared" si="65"/>
        <v/>
      </c>
      <c r="N391" s="15">
        <f t="shared" si="66"/>
        <v>1799</v>
      </c>
      <c r="O391" s="15" t="str">
        <f t="shared" si="67"/>
        <v>휘발유 75,560원</v>
      </c>
      <c r="P391" s="15">
        <f t="shared" si="68"/>
        <v>75560</v>
      </c>
      <c r="Q391" s="15" t="s">
        <v>47</v>
      </c>
      <c r="R391" s="16">
        <f t="shared" si="69"/>
        <v>0.11</v>
      </c>
      <c r="S391" s="15">
        <f t="shared" si="70"/>
        <v>8311</v>
      </c>
      <c r="T391" s="15">
        <f t="shared" si="71"/>
        <v>67249</v>
      </c>
      <c r="U391" s="15">
        <f t="shared" si="72"/>
        <v>1681.2249999999999</v>
      </c>
      <c r="V391" s="15">
        <f t="shared" si="73"/>
        <v>1889</v>
      </c>
      <c r="W391" s="17">
        <f>IF($T391="",1000000000000000,$T391)</f>
        <v>67249</v>
      </c>
      <c r="XFB391" s="5"/>
      <c r="XFC391" s="3"/>
    </row>
    <row r="392" spans="1:23 16382:16383" s="4" customFormat="1" ht="28.5" customHeight="1">
      <c r="A392" s="14">
        <f t="shared" si="63"/>
        <v>378</v>
      </c>
      <c r="B392" s="14" t="s">
        <v>14</v>
      </c>
      <c r="C392" s="14" t="s">
        <v>950</v>
      </c>
      <c r="D392" s="14" t="s">
        <v>95</v>
      </c>
      <c r="E392" s="14" t="s">
        <v>63</v>
      </c>
      <c r="F392" s="14" t="s">
        <v>951</v>
      </c>
      <c r="G392" s="15">
        <v>1890</v>
      </c>
      <c r="H392" s="15"/>
      <c r="I392" s="15"/>
      <c r="J392" s="15">
        <v>1850</v>
      </c>
      <c r="K392" s="15">
        <f t="shared" si="74"/>
        <v>0</v>
      </c>
      <c r="L392" s="15">
        <f t="shared" si="64"/>
        <v>1890</v>
      </c>
      <c r="M392" s="15" t="str">
        <f t="shared" si="65"/>
        <v/>
      </c>
      <c r="N392" s="15">
        <f t="shared" si="66"/>
        <v>1850</v>
      </c>
      <c r="O392" s="15" t="str">
        <f t="shared" si="67"/>
        <v>휘발유 75,600원</v>
      </c>
      <c r="P392" s="15">
        <f t="shared" si="68"/>
        <v>75600</v>
      </c>
      <c r="Q392" s="15" t="s">
        <v>47</v>
      </c>
      <c r="R392" s="16">
        <f t="shared" si="69"/>
        <v>0.11</v>
      </c>
      <c r="S392" s="15">
        <f t="shared" si="70"/>
        <v>8316</v>
      </c>
      <c r="T392" s="15">
        <f t="shared" si="71"/>
        <v>67284</v>
      </c>
      <c r="U392" s="15">
        <f t="shared" si="72"/>
        <v>1682.1</v>
      </c>
      <c r="V392" s="15">
        <f t="shared" si="73"/>
        <v>1890</v>
      </c>
      <c r="W392" s="17">
        <f>IF($T392="",1000000000000000,$T392)</f>
        <v>67284</v>
      </c>
      <c r="XFB392" s="5"/>
      <c r="XFC392" s="3"/>
    </row>
    <row r="393" spans="1:23 16382:16383" s="4" customFormat="1" ht="28.5" customHeight="1">
      <c r="A393" s="14">
        <f t="shared" si="63"/>
        <v>378</v>
      </c>
      <c r="B393" s="14" t="s">
        <v>10</v>
      </c>
      <c r="C393" s="14" t="s">
        <v>1023</v>
      </c>
      <c r="D393" s="18" t="s">
        <v>86</v>
      </c>
      <c r="E393" s="14" t="s">
        <v>63</v>
      </c>
      <c r="F393" s="14" t="s">
        <v>1024</v>
      </c>
      <c r="G393" s="15">
        <v>1869</v>
      </c>
      <c r="H393" s="15"/>
      <c r="I393" s="15"/>
      <c r="J393" s="15">
        <v>1849</v>
      </c>
      <c r="K393" s="15">
        <f t="shared" si="74"/>
        <v>0</v>
      </c>
      <c r="L393" s="15">
        <f t="shared" si="64"/>
        <v>1869</v>
      </c>
      <c r="M393" s="15" t="str">
        <f t="shared" si="65"/>
        <v/>
      </c>
      <c r="N393" s="15">
        <f t="shared" si="66"/>
        <v>1849</v>
      </c>
      <c r="O393" s="15" t="str">
        <f t="shared" si="67"/>
        <v>휘발유 74,760원</v>
      </c>
      <c r="P393" s="15">
        <f t="shared" si="68"/>
        <v>74760</v>
      </c>
      <c r="Q393" s="15" t="s">
        <v>47</v>
      </c>
      <c r="R393" s="16">
        <f t="shared" si="69"/>
        <v>0.1</v>
      </c>
      <c r="S393" s="15">
        <f t="shared" si="70"/>
        <v>7476</v>
      </c>
      <c r="T393" s="15">
        <f t="shared" si="71"/>
        <v>67284</v>
      </c>
      <c r="U393" s="15">
        <f t="shared" si="72"/>
        <v>1682.1</v>
      </c>
      <c r="V393" s="15">
        <f t="shared" si="73"/>
        <v>1869</v>
      </c>
      <c r="W393" s="17">
        <f>IF($T393="",1000000000000000,$T393)</f>
        <v>67284</v>
      </c>
      <c r="XFB393" s="5"/>
      <c r="XFC393" s="3"/>
    </row>
    <row r="394" spans="1:23 16382:16383" s="4" customFormat="1" ht="28.5" customHeight="1">
      <c r="A394" s="14">
        <f t="shared" si="63"/>
        <v>378</v>
      </c>
      <c r="B394" s="14" t="s">
        <v>12</v>
      </c>
      <c r="C394" s="14" t="s">
        <v>984</v>
      </c>
      <c r="D394" s="18" t="s">
        <v>86</v>
      </c>
      <c r="E394" s="14" t="s">
        <v>26</v>
      </c>
      <c r="F394" s="14" t="s">
        <v>985</v>
      </c>
      <c r="G394" s="15">
        <v>1869</v>
      </c>
      <c r="H394" s="15"/>
      <c r="I394" s="15"/>
      <c r="J394" s="15">
        <v>1859</v>
      </c>
      <c r="K394" s="15">
        <f t="shared" si="74"/>
        <v>0</v>
      </c>
      <c r="L394" s="15">
        <f t="shared" si="64"/>
        <v>1869</v>
      </c>
      <c r="M394" s="15" t="str">
        <f t="shared" si="65"/>
        <v/>
      </c>
      <c r="N394" s="15">
        <f t="shared" si="66"/>
        <v>1859</v>
      </c>
      <c r="O394" s="15" t="str">
        <f t="shared" si="67"/>
        <v>휘발유 74,760원</v>
      </c>
      <c r="P394" s="15">
        <f t="shared" si="68"/>
        <v>74760</v>
      </c>
      <c r="Q394" s="15" t="s">
        <v>47</v>
      </c>
      <c r="R394" s="16">
        <f t="shared" si="69"/>
        <v>0.1</v>
      </c>
      <c r="S394" s="15">
        <f t="shared" si="70"/>
        <v>7476</v>
      </c>
      <c r="T394" s="15">
        <f t="shared" si="71"/>
        <v>67284</v>
      </c>
      <c r="U394" s="15">
        <f t="shared" si="72"/>
        <v>1682.1</v>
      </c>
      <c r="V394" s="15">
        <f t="shared" si="73"/>
        <v>1869</v>
      </c>
      <c r="W394" s="17">
        <f>IF($T394="",1000000000000000,$T394)</f>
        <v>67284</v>
      </c>
      <c r="XFB394" s="5"/>
      <c r="XFC394" s="3"/>
    </row>
    <row r="395" spans="1:23 16382:16383" s="4" customFormat="1" ht="28.5" customHeight="1">
      <c r="A395" s="14">
        <f t="shared" si="63"/>
        <v>378</v>
      </c>
      <c r="B395" s="14" t="s">
        <v>6</v>
      </c>
      <c r="C395" s="14" t="s">
        <v>635</v>
      </c>
      <c r="D395" s="14" t="s">
        <v>51</v>
      </c>
      <c r="E395" s="14" t="s">
        <v>63</v>
      </c>
      <c r="F395" s="14" t="s">
        <v>952</v>
      </c>
      <c r="G395" s="15">
        <v>1869</v>
      </c>
      <c r="H395" s="15"/>
      <c r="I395" s="15"/>
      <c r="J395" s="15">
        <v>1869</v>
      </c>
      <c r="K395" s="15">
        <f t="shared" si="74"/>
        <v>0</v>
      </c>
      <c r="L395" s="15">
        <f t="shared" si="64"/>
        <v>1869</v>
      </c>
      <c r="M395" s="15" t="str">
        <f t="shared" si="65"/>
        <v/>
      </c>
      <c r="N395" s="15">
        <f t="shared" si="66"/>
        <v>1869</v>
      </c>
      <c r="O395" s="15" t="str">
        <f t="shared" si="67"/>
        <v>휘발유 74,760원</v>
      </c>
      <c r="P395" s="15">
        <f t="shared" si="68"/>
        <v>74760</v>
      </c>
      <c r="Q395" s="15" t="s">
        <v>47</v>
      </c>
      <c r="R395" s="16">
        <f t="shared" si="69"/>
        <v>0.1</v>
      </c>
      <c r="S395" s="15">
        <f t="shared" si="70"/>
        <v>7476</v>
      </c>
      <c r="T395" s="15">
        <f t="shared" si="71"/>
        <v>67284</v>
      </c>
      <c r="U395" s="15">
        <f t="shared" si="72"/>
        <v>1682.1</v>
      </c>
      <c r="V395" s="15">
        <f t="shared" si="73"/>
        <v>1869</v>
      </c>
      <c r="W395" s="17">
        <f>IF($T395="",1000000000000000,$T395)</f>
        <v>67284</v>
      </c>
      <c r="XFB395" s="5"/>
      <c r="XFC395" s="3"/>
    </row>
    <row r="396" spans="1:23 16382:16383" s="4" customFormat="1" ht="28.5" customHeight="1">
      <c r="A396" s="14">
        <f t="shared" si="63"/>
        <v>378</v>
      </c>
      <c r="B396" s="14" t="s">
        <v>10</v>
      </c>
      <c r="C396" s="14" t="s">
        <v>953</v>
      </c>
      <c r="D396" s="18" t="s">
        <v>86</v>
      </c>
      <c r="E396" s="14" t="s">
        <v>63</v>
      </c>
      <c r="F396" s="14" t="s">
        <v>954</v>
      </c>
      <c r="G396" s="15">
        <v>1869</v>
      </c>
      <c r="H396" s="15"/>
      <c r="I396" s="15"/>
      <c r="J396" s="15">
        <v>1869</v>
      </c>
      <c r="K396" s="15">
        <f t="shared" si="74"/>
        <v>0</v>
      </c>
      <c r="L396" s="15">
        <f t="shared" si="64"/>
        <v>1869</v>
      </c>
      <c r="M396" s="15" t="str">
        <f t="shared" si="65"/>
        <v/>
      </c>
      <c r="N396" s="15">
        <f t="shared" si="66"/>
        <v>1869</v>
      </c>
      <c r="O396" s="15" t="str">
        <f t="shared" si="67"/>
        <v>휘발유 74,760원</v>
      </c>
      <c r="P396" s="15">
        <f t="shared" si="68"/>
        <v>74760</v>
      </c>
      <c r="Q396" s="15" t="s">
        <v>47</v>
      </c>
      <c r="R396" s="16">
        <f t="shared" si="69"/>
        <v>0.1</v>
      </c>
      <c r="S396" s="15">
        <f t="shared" si="70"/>
        <v>7476</v>
      </c>
      <c r="T396" s="15">
        <f t="shared" si="71"/>
        <v>67284</v>
      </c>
      <c r="U396" s="15">
        <f t="shared" si="72"/>
        <v>1682.1</v>
      </c>
      <c r="V396" s="15">
        <f t="shared" si="73"/>
        <v>1869</v>
      </c>
      <c r="W396" s="17">
        <f>IF($T396="",1000000000000000,$T396)</f>
        <v>67284</v>
      </c>
      <c r="XFB396" s="5"/>
      <c r="XFC396" s="3"/>
    </row>
    <row r="397" spans="1:23 16382:16383" s="4" customFormat="1" ht="28.5" customHeight="1">
      <c r="A397" s="14">
        <f t="shared" si="63"/>
        <v>378</v>
      </c>
      <c r="B397" s="14" t="s">
        <v>10</v>
      </c>
      <c r="C397" s="14" t="s">
        <v>955</v>
      </c>
      <c r="D397" s="14" t="s">
        <v>51</v>
      </c>
      <c r="E397" s="14" t="s">
        <v>63</v>
      </c>
      <c r="F397" s="14" t="s">
        <v>956</v>
      </c>
      <c r="G397" s="15">
        <v>1869</v>
      </c>
      <c r="H397" s="15"/>
      <c r="I397" s="15"/>
      <c r="J397" s="15">
        <v>1879</v>
      </c>
      <c r="K397" s="15">
        <f t="shared" si="74"/>
        <v>0</v>
      </c>
      <c r="L397" s="15">
        <f t="shared" si="64"/>
        <v>1869</v>
      </c>
      <c r="M397" s="15" t="str">
        <f t="shared" si="65"/>
        <v/>
      </c>
      <c r="N397" s="15">
        <f t="shared" si="66"/>
        <v>1879</v>
      </c>
      <c r="O397" s="15" t="str">
        <f t="shared" si="67"/>
        <v>휘발유 74,760원</v>
      </c>
      <c r="P397" s="15">
        <f t="shared" si="68"/>
        <v>74760</v>
      </c>
      <c r="Q397" s="15" t="s">
        <v>47</v>
      </c>
      <c r="R397" s="16">
        <f t="shared" si="69"/>
        <v>0.1</v>
      </c>
      <c r="S397" s="15">
        <f t="shared" si="70"/>
        <v>7476</v>
      </c>
      <c r="T397" s="15">
        <f t="shared" si="71"/>
        <v>67284</v>
      </c>
      <c r="U397" s="15">
        <f t="shared" si="72"/>
        <v>1682.1</v>
      </c>
      <c r="V397" s="15">
        <f t="shared" si="73"/>
        <v>1869</v>
      </c>
      <c r="W397" s="17">
        <f>IF($T397="",1000000000000000,$T397)</f>
        <v>67284</v>
      </c>
      <c r="XFB397" s="5"/>
      <c r="XFC397" s="3"/>
    </row>
    <row r="398" spans="1:23 16382:16383" s="4" customFormat="1" ht="28.5" customHeight="1">
      <c r="A398" s="14">
        <f t="shared" si="63"/>
        <v>384</v>
      </c>
      <c r="B398" s="14" t="s">
        <v>12</v>
      </c>
      <c r="C398" s="14" t="s">
        <v>957</v>
      </c>
      <c r="D398" s="18" t="s">
        <v>95</v>
      </c>
      <c r="E398" s="14" t="s">
        <v>26</v>
      </c>
      <c r="F398" s="14" t="s">
        <v>958</v>
      </c>
      <c r="G398" s="15">
        <v>1870</v>
      </c>
      <c r="H398" s="15"/>
      <c r="I398" s="15"/>
      <c r="J398" s="15">
        <v>1860</v>
      </c>
      <c r="K398" s="15">
        <f t="shared" si="74"/>
        <v>0</v>
      </c>
      <c r="L398" s="15">
        <f t="shared" si="64"/>
        <v>1870</v>
      </c>
      <c r="M398" s="15" t="str">
        <f t="shared" si="65"/>
        <v/>
      </c>
      <c r="N398" s="15">
        <f t="shared" si="66"/>
        <v>1860</v>
      </c>
      <c r="O398" s="15" t="str">
        <f t="shared" si="67"/>
        <v>휘발유 74,800원</v>
      </c>
      <c r="P398" s="15">
        <f t="shared" si="68"/>
        <v>74800</v>
      </c>
      <c r="Q398" s="15" t="s">
        <v>47</v>
      </c>
      <c r="R398" s="16">
        <f t="shared" si="69"/>
        <v>0.1</v>
      </c>
      <c r="S398" s="15">
        <f t="shared" si="70"/>
        <v>7480</v>
      </c>
      <c r="T398" s="15">
        <f t="shared" si="71"/>
        <v>67320</v>
      </c>
      <c r="U398" s="15">
        <f t="shared" si="72"/>
        <v>1683</v>
      </c>
      <c r="V398" s="15">
        <f t="shared" si="73"/>
        <v>1870</v>
      </c>
      <c r="W398" s="17">
        <f>IF($T398="",1000000000000000,$T398)</f>
        <v>67320</v>
      </c>
      <c r="XFB398" s="5"/>
      <c r="XFC398" s="3"/>
    </row>
    <row r="399" spans="1:23 16382:16383" s="4" customFormat="1" ht="28.5" customHeight="1">
      <c r="A399" s="14">
        <f t="shared" ref="A399:A462" si="75">IF($T399="","",1+COUNTIF($W$15:$W$890,"&lt;"&amp;W399))</f>
        <v>384</v>
      </c>
      <c r="B399" s="14" t="s">
        <v>10</v>
      </c>
      <c r="C399" s="14" t="s">
        <v>959</v>
      </c>
      <c r="D399" s="14" t="s">
        <v>95</v>
      </c>
      <c r="E399" s="14" t="s">
        <v>26</v>
      </c>
      <c r="F399" s="14" t="s">
        <v>960</v>
      </c>
      <c r="G399" s="15">
        <v>1870</v>
      </c>
      <c r="H399" s="15"/>
      <c r="I399" s="15"/>
      <c r="J399" s="15">
        <v>1870</v>
      </c>
      <c r="K399" s="15">
        <f t="shared" si="74"/>
        <v>0</v>
      </c>
      <c r="L399" s="15">
        <f t="shared" ref="L399:L462" si="76">IF($G399="","",$G399+$K399)</f>
        <v>1870</v>
      </c>
      <c r="M399" s="15" t="str">
        <f t="shared" ref="M399:M462" si="77">IF($H399="","",$H399+$K399)</f>
        <v/>
      </c>
      <c r="N399" s="15">
        <f t="shared" ref="N399:N462" si="78">IF($J399="","",$J399+$K399)</f>
        <v>1870</v>
      </c>
      <c r="O399" s="15" t="str">
        <f t="shared" ref="O399:O462" si="79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>휘발유 74,800원</v>
      </c>
      <c r="P399" s="15">
        <f t="shared" ref="P399:P462" si="80">IF($B$10=0,"",IFERROR(IF($B$4&gt;0,IF($L399="",1/0,$L399*$B$4),0)+IF($B$5&gt;0,IF($M399="",1/0,$M399*$B$5),0)+IF($B$6&gt;0,IF($N399="",1/0,$N399*$B$6),0),""))</f>
        <v>74800</v>
      </c>
      <c r="Q399" s="15" t="s">
        <v>47</v>
      </c>
      <c r="R399" s="16">
        <f t="shared" ref="R399:R462" si="81">IF($P399="","",IF($Q399="Y",IFERROR(VLOOKUP($B399,$C$4:$D$13,2,FALSE()),0),0))</f>
        <v>0.1</v>
      </c>
      <c r="S399" s="15">
        <f t="shared" ref="S399:S462" si="82">IF($P399="","",ROUNDDOWN($P399*$R399,0))</f>
        <v>7480</v>
      </c>
      <c r="T399" s="15">
        <f t="shared" ref="T399:T462" si="83">IF($P399="","",$P399-$S399)</f>
        <v>67320</v>
      </c>
      <c r="U399" s="15">
        <f t="shared" ref="U399:U462" si="84">IF($T399="","",IF($B$10=0,"",$T399/$B$10))</f>
        <v>1683</v>
      </c>
      <c r="V399" s="15">
        <f t="shared" si="73"/>
        <v>1870</v>
      </c>
      <c r="W399" s="17">
        <f>IF($T399="",1000000000000000,$T399)</f>
        <v>67320</v>
      </c>
      <c r="XFB399" s="5"/>
      <c r="XFC399" s="3"/>
    </row>
    <row r="400" spans="1:23 16382:16383" s="4" customFormat="1" ht="28.5" customHeight="1">
      <c r="A400" s="14">
        <f t="shared" si="75"/>
        <v>386</v>
      </c>
      <c r="B400" s="14" t="s">
        <v>14</v>
      </c>
      <c r="C400" s="14" t="s">
        <v>961</v>
      </c>
      <c r="D400" s="14" t="s">
        <v>51</v>
      </c>
      <c r="E400" s="14" t="s">
        <v>63</v>
      </c>
      <c r="F400" s="14" t="s">
        <v>962</v>
      </c>
      <c r="G400" s="15">
        <v>1895</v>
      </c>
      <c r="H400" s="15"/>
      <c r="I400" s="15"/>
      <c r="J400" s="15">
        <v>1895</v>
      </c>
      <c r="K400" s="15">
        <f t="shared" si="74"/>
        <v>0</v>
      </c>
      <c r="L400" s="15">
        <f t="shared" si="76"/>
        <v>1895</v>
      </c>
      <c r="M400" s="15" t="str">
        <f t="shared" si="77"/>
        <v/>
      </c>
      <c r="N400" s="15">
        <f t="shared" si="78"/>
        <v>1895</v>
      </c>
      <c r="O400" s="15" t="str">
        <f t="shared" si="79"/>
        <v>휘발유 75,800원</v>
      </c>
      <c r="P400" s="15">
        <f t="shared" si="80"/>
        <v>75800</v>
      </c>
      <c r="Q400" s="15" t="s">
        <v>47</v>
      </c>
      <c r="R400" s="16">
        <f t="shared" si="81"/>
        <v>0.11</v>
      </c>
      <c r="S400" s="15">
        <f t="shared" si="82"/>
        <v>8338</v>
      </c>
      <c r="T400" s="15">
        <f t="shared" si="83"/>
        <v>67462</v>
      </c>
      <c r="U400" s="15">
        <f t="shared" si="84"/>
        <v>1686.55</v>
      </c>
      <c r="V400" s="15">
        <f t="shared" si="73"/>
        <v>1895</v>
      </c>
      <c r="W400" s="17">
        <f>IF($T400="",1000000000000000,$T400)</f>
        <v>67462</v>
      </c>
      <c r="XFB400" s="5"/>
      <c r="XFC400" s="3"/>
    </row>
    <row r="401" spans="1:23 16382:16383" s="4" customFormat="1" ht="28.5" customHeight="1">
      <c r="A401" s="14">
        <f t="shared" si="75"/>
        <v>387</v>
      </c>
      <c r="B401" s="14" t="s">
        <v>12</v>
      </c>
      <c r="C401" s="14" t="s">
        <v>963</v>
      </c>
      <c r="D401" s="18" t="s">
        <v>95</v>
      </c>
      <c r="E401" s="14" t="s">
        <v>63</v>
      </c>
      <c r="F401" s="14" t="s">
        <v>964</v>
      </c>
      <c r="G401" s="15">
        <v>1874</v>
      </c>
      <c r="H401" s="15"/>
      <c r="I401" s="15"/>
      <c r="J401" s="15">
        <v>1863</v>
      </c>
      <c r="K401" s="15">
        <f t="shared" si="74"/>
        <v>0</v>
      </c>
      <c r="L401" s="15">
        <f t="shared" si="76"/>
        <v>1874</v>
      </c>
      <c r="M401" s="15" t="str">
        <f t="shared" si="77"/>
        <v/>
      </c>
      <c r="N401" s="15">
        <f t="shared" si="78"/>
        <v>1863</v>
      </c>
      <c r="O401" s="15" t="str">
        <f t="shared" si="79"/>
        <v>휘발유 74,960원</v>
      </c>
      <c r="P401" s="15">
        <f t="shared" si="80"/>
        <v>74960</v>
      </c>
      <c r="Q401" s="15" t="s">
        <v>47</v>
      </c>
      <c r="R401" s="16">
        <f t="shared" si="81"/>
        <v>0.1</v>
      </c>
      <c r="S401" s="15">
        <f t="shared" si="82"/>
        <v>7496</v>
      </c>
      <c r="T401" s="15">
        <f t="shared" si="83"/>
        <v>67464</v>
      </c>
      <c r="U401" s="15">
        <f t="shared" si="84"/>
        <v>1686.6</v>
      </c>
      <c r="V401" s="15">
        <f t="shared" si="73"/>
        <v>1874</v>
      </c>
      <c r="W401" s="17">
        <f>IF($T401="",1000000000000000,$T401)</f>
        <v>67464</v>
      </c>
      <c r="XFB401" s="5"/>
      <c r="XFC401" s="3"/>
    </row>
    <row r="402" spans="1:23 16382:16383" s="4" customFormat="1" ht="28.5" customHeight="1">
      <c r="A402" s="14">
        <f t="shared" si="75"/>
        <v>388</v>
      </c>
      <c r="B402" s="14" t="s">
        <v>12</v>
      </c>
      <c r="C402" s="14" t="s">
        <v>965</v>
      </c>
      <c r="D402" s="18" t="s">
        <v>45</v>
      </c>
      <c r="E402" s="14" t="s">
        <v>26</v>
      </c>
      <c r="F402" s="14" t="s">
        <v>966</v>
      </c>
      <c r="G402" s="15">
        <v>1875</v>
      </c>
      <c r="H402" s="15"/>
      <c r="I402" s="15"/>
      <c r="J402" s="15">
        <v>1855</v>
      </c>
      <c r="K402" s="15">
        <f t="shared" si="74"/>
        <v>0</v>
      </c>
      <c r="L402" s="15">
        <f t="shared" si="76"/>
        <v>1875</v>
      </c>
      <c r="M402" s="15" t="str">
        <f t="shared" si="77"/>
        <v/>
      </c>
      <c r="N402" s="15">
        <f t="shared" si="78"/>
        <v>1855</v>
      </c>
      <c r="O402" s="15" t="str">
        <f t="shared" si="79"/>
        <v>휘발유 75,000원</v>
      </c>
      <c r="P402" s="15">
        <f t="shared" si="80"/>
        <v>75000</v>
      </c>
      <c r="Q402" s="15" t="s">
        <v>47</v>
      </c>
      <c r="R402" s="16">
        <f t="shared" si="81"/>
        <v>0.1</v>
      </c>
      <c r="S402" s="15">
        <f t="shared" si="82"/>
        <v>7500</v>
      </c>
      <c r="T402" s="15">
        <f t="shared" si="83"/>
        <v>67500</v>
      </c>
      <c r="U402" s="15">
        <f t="shared" si="84"/>
        <v>1687.5</v>
      </c>
      <c r="V402" s="15">
        <f t="shared" si="73"/>
        <v>1875</v>
      </c>
      <c r="W402" s="17">
        <f>IF($T402="",1000000000000000,$T402)</f>
        <v>67500</v>
      </c>
      <c r="XFB402" s="5"/>
      <c r="XFC402" s="3"/>
    </row>
    <row r="403" spans="1:23 16382:16383" s="4" customFormat="1" ht="28.5" customHeight="1">
      <c r="A403" s="14">
        <f t="shared" si="75"/>
        <v>388</v>
      </c>
      <c r="B403" s="14" t="s">
        <v>6</v>
      </c>
      <c r="C403" s="14" t="s">
        <v>967</v>
      </c>
      <c r="D403" s="14" t="s">
        <v>45</v>
      </c>
      <c r="E403" s="14" t="s">
        <v>26</v>
      </c>
      <c r="F403" s="14" t="s">
        <v>968</v>
      </c>
      <c r="G403" s="15">
        <v>1875</v>
      </c>
      <c r="H403" s="15"/>
      <c r="I403" s="15"/>
      <c r="J403" s="15">
        <v>1865</v>
      </c>
      <c r="K403" s="15">
        <f t="shared" si="74"/>
        <v>0</v>
      </c>
      <c r="L403" s="15">
        <f t="shared" si="76"/>
        <v>1875</v>
      </c>
      <c r="M403" s="15" t="str">
        <f t="shared" si="77"/>
        <v/>
      </c>
      <c r="N403" s="15">
        <f t="shared" si="78"/>
        <v>1865</v>
      </c>
      <c r="O403" s="15" t="str">
        <f t="shared" si="79"/>
        <v>휘발유 75,000원</v>
      </c>
      <c r="P403" s="15">
        <f t="shared" si="80"/>
        <v>75000</v>
      </c>
      <c r="Q403" s="15" t="s">
        <v>47</v>
      </c>
      <c r="R403" s="16">
        <f t="shared" si="81"/>
        <v>0.1</v>
      </c>
      <c r="S403" s="15">
        <f t="shared" si="82"/>
        <v>7500</v>
      </c>
      <c r="T403" s="15">
        <f t="shared" si="83"/>
        <v>67500</v>
      </c>
      <c r="U403" s="15">
        <f t="shared" si="84"/>
        <v>1687.5</v>
      </c>
      <c r="V403" s="15">
        <f t="shared" si="73"/>
        <v>1875</v>
      </c>
      <c r="W403" s="17">
        <f>IF($T403="",1000000000000000,$T403)</f>
        <v>67500</v>
      </c>
      <c r="XFB403" s="5"/>
      <c r="XFC403" s="3"/>
    </row>
    <row r="404" spans="1:23 16382:16383" s="4" customFormat="1" ht="28.5" customHeight="1">
      <c r="A404" s="14">
        <f t="shared" si="75"/>
        <v>390</v>
      </c>
      <c r="B404" s="14" t="s">
        <v>10</v>
      </c>
      <c r="C404" s="14" t="s">
        <v>971</v>
      </c>
      <c r="D404" s="14" t="s">
        <v>45</v>
      </c>
      <c r="E404" s="14" t="s">
        <v>26</v>
      </c>
      <c r="F404" s="14" t="s">
        <v>972</v>
      </c>
      <c r="G404" s="15">
        <v>1876</v>
      </c>
      <c r="H404" s="15"/>
      <c r="I404" s="15"/>
      <c r="J404" s="15">
        <v>1868</v>
      </c>
      <c r="K404" s="15">
        <f t="shared" si="74"/>
        <v>0</v>
      </c>
      <c r="L404" s="15">
        <f t="shared" si="76"/>
        <v>1876</v>
      </c>
      <c r="M404" s="15" t="str">
        <f t="shared" si="77"/>
        <v/>
      </c>
      <c r="N404" s="15">
        <f t="shared" si="78"/>
        <v>1868</v>
      </c>
      <c r="O404" s="15" t="str">
        <f t="shared" si="79"/>
        <v>휘발유 75,040원</v>
      </c>
      <c r="P404" s="15">
        <f t="shared" si="80"/>
        <v>75040</v>
      </c>
      <c r="Q404" s="15" t="s">
        <v>47</v>
      </c>
      <c r="R404" s="16">
        <f t="shared" si="81"/>
        <v>0.1</v>
      </c>
      <c r="S404" s="15">
        <f t="shared" si="82"/>
        <v>7504</v>
      </c>
      <c r="T404" s="15">
        <f t="shared" si="83"/>
        <v>67536</v>
      </c>
      <c r="U404" s="15">
        <f t="shared" si="84"/>
        <v>1688.4</v>
      </c>
      <c r="V404" s="15">
        <f t="shared" si="73"/>
        <v>1876</v>
      </c>
      <c r="W404" s="17">
        <f>IF($T404="",1000000000000000,$T404)</f>
        <v>67536</v>
      </c>
      <c r="XFB404" s="5"/>
      <c r="XFC404" s="3"/>
    </row>
    <row r="405" spans="1:23 16382:16383" s="4" customFormat="1" ht="28.5" customHeight="1">
      <c r="A405" s="14">
        <f t="shared" si="75"/>
        <v>391</v>
      </c>
      <c r="B405" s="14" t="s">
        <v>14</v>
      </c>
      <c r="C405" s="14" t="s">
        <v>973</v>
      </c>
      <c r="D405" s="14" t="s">
        <v>95</v>
      </c>
      <c r="E405" s="14" t="s">
        <v>26</v>
      </c>
      <c r="F405" s="14" t="s">
        <v>974</v>
      </c>
      <c r="G405" s="15">
        <v>1899</v>
      </c>
      <c r="H405" s="15"/>
      <c r="I405" s="15"/>
      <c r="J405" s="15">
        <v>1899</v>
      </c>
      <c r="K405" s="15">
        <f t="shared" si="74"/>
        <v>0</v>
      </c>
      <c r="L405" s="15">
        <f t="shared" si="76"/>
        <v>1899</v>
      </c>
      <c r="M405" s="15" t="str">
        <f t="shared" si="77"/>
        <v/>
      </c>
      <c r="N405" s="15">
        <f t="shared" si="78"/>
        <v>1899</v>
      </c>
      <c r="O405" s="15" t="str">
        <f t="shared" si="79"/>
        <v>휘발유 75,960원</v>
      </c>
      <c r="P405" s="15">
        <f t="shared" si="80"/>
        <v>75960</v>
      </c>
      <c r="Q405" s="15" t="s">
        <v>47</v>
      </c>
      <c r="R405" s="16">
        <f t="shared" si="81"/>
        <v>0.11</v>
      </c>
      <c r="S405" s="15">
        <f t="shared" si="82"/>
        <v>8355</v>
      </c>
      <c r="T405" s="15">
        <f t="shared" si="83"/>
        <v>67605</v>
      </c>
      <c r="U405" s="15">
        <f t="shared" si="84"/>
        <v>1690.125</v>
      </c>
      <c r="V405" s="15">
        <f t="shared" si="73"/>
        <v>1899</v>
      </c>
      <c r="W405" s="17">
        <f>IF($T405="",1000000000000000,$T405)</f>
        <v>67605</v>
      </c>
      <c r="XFB405" s="5"/>
      <c r="XFC405" s="3"/>
    </row>
    <row r="406" spans="1:23 16382:16383" s="4" customFormat="1" ht="28.5" customHeight="1">
      <c r="A406" s="14">
        <f t="shared" si="75"/>
        <v>392</v>
      </c>
      <c r="B406" s="14" t="s">
        <v>10</v>
      </c>
      <c r="C406" s="14" t="s">
        <v>977</v>
      </c>
      <c r="D406" s="14" t="s">
        <v>45</v>
      </c>
      <c r="E406" s="14" t="s">
        <v>26</v>
      </c>
      <c r="F406" s="14" t="s">
        <v>978</v>
      </c>
      <c r="G406" s="15">
        <v>1879</v>
      </c>
      <c r="H406" s="15"/>
      <c r="I406" s="15"/>
      <c r="J406" s="15">
        <v>1869</v>
      </c>
      <c r="K406" s="15">
        <f t="shared" si="74"/>
        <v>0</v>
      </c>
      <c r="L406" s="15">
        <f t="shared" si="76"/>
        <v>1879</v>
      </c>
      <c r="M406" s="15" t="str">
        <f t="shared" si="77"/>
        <v/>
      </c>
      <c r="N406" s="15">
        <f t="shared" si="78"/>
        <v>1869</v>
      </c>
      <c r="O406" s="15" t="str">
        <f t="shared" si="79"/>
        <v>휘발유 75,160원</v>
      </c>
      <c r="P406" s="15">
        <f t="shared" si="80"/>
        <v>75160</v>
      </c>
      <c r="Q406" s="15" t="s">
        <v>47</v>
      </c>
      <c r="R406" s="16">
        <f t="shared" si="81"/>
        <v>0.1</v>
      </c>
      <c r="S406" s="15">
        <f t="shared" si="82"/>
        <v>7516</v>
      </c>
      <c r="T406" s="15">
        <f t="shared" si="83"/>
        <v>67644</v>
      </c>
      <c r="U406" s="15">
        <f t="shared" si="84"/>
        <v>1691.1</v>
      </c>
      <c r="V406" s="15">
        <f t="shared" si="73"/>
        <v>1879</v>
      </c>
      <c r="W406" s="17">
        <f>IF($T406="",1000000000000000,$T406)</f>
        <v>67644</v>
      </c>
      <c r="XFB406" s="5"/>
      <c r="XFC406" s="3"/>
    </row>
    <row r="407" spans="1:23 16382:16383" s="4" customFormat="1" ht="28.5" customHeight="1">
      <c r="A407" s="14">
        <f t="shared" si="75"/>
        <v>393</v>
      </c>
      <c r="B407" s="14" t="s">
        <v>12</v>
      </c>
      <c r="C407" s="14" t="s">
        <v>979</v>
      </c>
      <c r="D407" s="18" t="s">
        <v>86</v>
      </c>
      <c r="E407" s="14" t="s">
        <v>26</v>
      </c>
      <c r="F407" s="14" t="s">
        <v>980</v>
      </c>
      <c r="G407" s="15">
        <v>1880</v>
      </c>
      <c r="H407" s="15"/>
      <c r="I407" s="15"/>
      <c r="J407" s="15">
        <v>1880</v>
      </c>
      <c r="K407" s="15">
        <f t="shared" si="74"/>
        <v>0</v>
      </c>
      <c r="L407" s="15">
        <f t="shared" si="76"/>
        <v>1880</v>
      </c>
      <c r="M407" s="15" t="str">
        <f t="shared" si="77"/>
        <v/>
      </c>
      <c r="N407" s="15">
        <f t="shared" si="78"/>
        <v>1880</v>
      </c>
      <c r="O407" s="15" t="str">
        <f t="shared" si="79"/>
        <v>휘발유 75,200원</v>
      </c>
      <c r="P407" s="15">
        <f t="shared" si="80"/>
        <v>75200</v>
      </c>
      <c r="Q407" s="15" t="s">
        <v>47</v>
      </c>
      <c r="R407" s="16">
        <f t="shared" si="81"/>
        <v>0.1</v>
      </c>
      <c r="S407" s="15">
        <f t="shared" si="82"/>
        <v>7520</v>
      </c>
      <c r="T407" s="15">
        <f t="shared" si="83"/>
        <v>67680</v>
      </c>
      <c r="U407" s="15">
        <f t="shared" si="84"/>
        <v>1692</v>
      </c>
      <c r="V407" s="15">
        <f t="shared" ref="V407:V470" si="85">IF($P407="","",IF($B$10=0,"",$P407/$B$10))</f>
        <v>1880</v>
      </c>
      <c r="W407" s="17">
        <f>IF($T407="",1000000000000000,$T407)</f>
        <v>67680</v>
      </c>
      <c r="XFB407" s="5"/>
      <c r="XFC407" s="3"/>
    </row>
    <row r="408" spans="1:23 16382:16383" s="4" customFormat="1" ht="28.5" customHeight="1">
      <c r="A408" s="14">
        <f t="shared" si="75"/>
        <v>394</v>
      </c>
      <c r="B408" s="14" t="s">
        <v>12</v>
      </c>
      <c r="C408" s="14" t="s">
        <v>981</v>
      </c>
      <c r="D408" s="18" t="s">
        <v>45</v>
      </c>
      <c r="E408" s="14" t="s">
        <v>63</v>
      </c>
      <c r="F408" s="14" t="s">
        <v>982</v>
      </c>
      <c r="G408" s="15">
        <v>1888</v>
      </c>
      <c r="H408" s="15"/>
      <c r="I408" s="15"/>
      <c r="J408" s="15">
        <v>1878</v>
      </c>
      <c r="K408" s="15">
        <f t="shared" si="74"/>
        <v>0</v>
      </c>
      <c r="L408" s="15">
        <f t="shared" si="76"/>
        <v>1888</v>
      </c>
      <c r="M408" s="15" t="str">
        <f t="shared" si="77"/>
        <v/>
      </c>
      <c r="N408" s="15">
        <f t="shared" si="78"/>
        <v>1878</v>
      </c>
      <c r="O408" s="15" t="str">
        <f t="shared" si="79"/>
        <v>휘발유 75,520원</v>
      </c>
      <c r="P408" s="15">
        <f t="shared" si="80"/>
        <v>75520</v>
      </c>
      <c r="Q408" s="15" t="s">
        <v>47</v>
      </c>
      <c r="R408" s="16">
        <f t="shared" si="81"/>
        <v>0.1</v>
      </c>
      <c r="S408" s="15">
        <f t="shared" si="82"/>
        <v>7552</v>
      </c>
      <c r="T408" s="15">
        <f t="shared" si="83"/>
        <v>67968</v>
      </c>
      <c r="U408" s="15">
        <f t="shared" si="84"/>
        <v>1699.2</v>
      </c>
      <c r="V408" s="15">
        <f t="shared" si="85"/>
        <v>1888</v>
      </c>
      <c r="W408" s="17">
        <f>IF($T408="",1000000000000000,$T408)</f>
        <v>67968</v>
      </c>
      <c r="XFB408" s="5"/>
      <c r="XFC408" s="3"/>
    </row>
    <row r="409" spans="1:23 16382:16383" s="4" customFormat="1" ht="28.5" customHeight="1">
      <c r="A409" s="14">
        <f t="shared" si="75"/>
        <v>395</v>
      </c>
      <c r="B409" s="14" t="s">
        <v>10</v>
      </c>
      <c r="C409" s="14" t="s">
        <v>986</v>
      </c>
      <c r="D409" s="14" t="s">
        <v>45</v>
      </c>
      <c r="E409" s="14" t="s">
        <v>63</v>
      </c>
      <c r="F409" s="14" t="s">
        <v>987</v>
      </c>
      <c r="G409" s="15">
        <v>1889</v>
      </c>
      <c r="H409" s="15"/>
      <c r="I409" s="15"/>
      <c r="J409" s="15">
        <v>1899</v>
      </c>
      <c r="K409" s="15">
        <f t="shared" si="74"/>
        <v>0</v>
      </c>
      <c r="L409" s="15">
        <f t="shared" si="76"/>
        <v>1889</v>
      </c>
      <c r="M409" s="15" t="str">
        <f t="shared" si="77"/>
        <v/>
      </c>
      <c r="N409" s="15">
        <f t="shared" si="78"/>
        <v>1899</v>
      </c>
      <c r="O409" s="15" t="str">
        <f t="shared" si="79"/>
        <v>휘발유 75,560원</v>
      </c>
      <c r="P409" s="15">
        <f t="shared" si="80"/>
        <v>75560</v>
      </c>
      <c r="Q409" s="15" t="s">
        <v>47</v>
      </c>
      <c r="R409" s="16">
        <f t="shared" si="81"/>
        <v>0.1</v>
      </c>
      <c r="S409" s="15">
        <f t="shared" si="82"/>
        <v>7556</v>
      </c>
      <c r="T409" s="15">
        <f t="shared" si="83"/>
        <v>68004</v>
      </c>
      <c r="U409" s="15">
        <f t="shared" si="84"/>
        <v>1700.1</v>
      </c>
      <c r="V409" s="15">
        <f t="shared" si="85"/>
        <v>1889</v>
      </c>
      <c r="W409" s="17">
        <f>IF($T409="",1000000000000000,$T409)</f>
        <v>68004</v>
      </c>
      <c r="XFB409" s="5"/>
      <c r="XFC409" s="3"/>
    </row>
    <row r="410" spans="1:23 16382:16383" s="4" customFormat="1" ht="28.5" customHeight="1">
      <c r="A410" s="14">
        <f t="shared" si="75"/>
        <v>396</v>
      </c>
      <c r="B410" s="14" t="s">
        <v>10</v>
      </c>
      <c r="C410" s="14" t="s">
        <v>988</v>
      </c>
      <c r="D410" s="14" t="s">
        <v>45</v>
      </c>
      <c r="E410" s="14" t="s">
        <v>26</v>
      </c>
      <c r="F410" s="14" t="s">
        <v>989</v>
      </c>
      <c r="G410" s="15">
        <v>1890</v>
      </c>
      <c r="H410" s="15"/>
      <c r="I410" s="15"/>
      <c r="J410" s="15">
        <v>1850</v>
      </c>
      <c r="K410" s="15">
        <f t="shared" si="74"/>
        <v>0</v>
      </c>
      <c r="L410" s="15">
        <f t="shared" si="76"/>
        <v>1890</v>
      </c>
      <c r="M410" s="15" t="str">
        <f t="shared" si="77"/>
        <v/>
      </c>
      <c r="N410" s="15">
        <f t="shared" si="78"/>
        <v>1850</v>
      </c>
      <c r="O410" s="15" t="str">
        <f t="shared" si="79"/>
        <v>휘발유 75,600원</v>
      </c>
      <c r="P410" s="15">
        <f t="shared" si="80"/>
        <v>75600</v>
      </c>
      <c r="Q410" s="15" t="s">
        <v>47</v>
      </c>
      <c r="R410" s="16">
        <f t="shared" si="81"/>
        <v>0.1</v>
      </c>
      <c r="S410" s="15">
        <f t="shared" si="82"/>
        <v>7560</v>
      </c>
      <c r="T410" s="15">
        <f t="shared" si="83"/>
        <v>68040</v>
      </c>
      <c r="U410" s="15">
        <f t="shared" si="84"/>
        <v>1701</v>
      </c>
      <c r="V410" s="15">
        <f t="shared" si="85"/>
        <v>1890</v>
      </c>
      <c r="W410" s="17">
        <f>IF($T410="",1000000000000000,$T410)</f>
        <v>68040</v>
      </c>
      <c r="XFB410" s="5"/>
      <c r="XFC410" s="3"/>
    </row>
    <row r="411" spans="1:23 16382:16383" s="4" customFormat="1" ht="28.5" customHeight="1">
      <c r="A411" s="14">
        <f t="shared" si="75"/>
        <v>396</v>
      </c>
      <c r="B411" s="14" t="s">
        <v>10</v>
      </c>
      <c r="C411" s="14" t="s">
        <v>992</v>
      </c>
      <c r="D411" s="14" t="s">
        <v>51</v>
      </c>
      <c r="E411" s="14" t="s">
        <v>63</v>
      </c>
      <c r="F411" s="14" t="s">
        <v>993</v>
      </c>
      <c r="G411" s="15">
        <v>1890</v>
      </c>
      <c r="H411" s="15"/>
      <c r="I411" s="15"/>
      <c r="J411" s="15">
        <v>1890</v>
      </c>
      <c r="K411" s="15">
        <f t="shared" si="74"/>
        <v>0</v>
      </c>
      <c r="L411" s="15">
        <f t="shared" si="76"/>
        <v>1890</v>
      </c>
      <c r="M411" s="15" t="str">
        <f t="shared" si="77"/>
        <v/>
      </c>
      <c r="N411" s="15">
        <f t="shared" si="78"/>
        <v>1890</v>
      </c>
      <c r="O411" s="15" t="str">
        <f t="shared" si="79"/>
        <v>휘발유 75,600원</v>
      </c>
      <c r="P411" s="15">
        <f t="shared" si="80"/>
        <v>75600</v>
      </c>
      <c r="Q411" s="15" t="s">
        <v>47</v>
      </c>
      <c r="R411" s="16">
        <f t="shared" si="81"/>
        <v>0.1</v>
      </c>
      <c r="S411" s="15">
        <f t="shared" si="82"/>
        <v>7560</v>
      </c>
      <c r="T411" s="15">
        <f t="shared" si="83"/>
        <v>68040</v>
      </c>
      <c r="U411" s="15">
        <f t="shared" si="84"/>
        <v>1701</v>
      </c>
      <c r="V411" s="15">
        <f t="shared" si="85"/>
        <v>1890</v>
      </c>
      <c r="W411" s="17">
        <f>IF($T411="",1000000000000000,$T411)</f>
        <v>68040</v>
      </c>
      <c r="XFB411" s="5"/>
      <c r="XFC411" s="3"/>
    </row>
    <row r="412" spans="1:23 16382:16383" s="4" customFormat="1" ht="28.5" customHeight="1">
      <c r="A412" s="14">
        <f t="shared" si="75"/>
        <v>396</v>
      </c>
      <c r="B412" s="14" t="s">
        <v>12</v>
      </c>
      <c r="C412" s="14" t="s">
        <v>990</v>
      </c>
      <c r="D412" s="18" t="s">
        <v>45</v>
      </c>
      <c r="E412" s="14" t="s">
        <v>63</v>
      </c>
      <c r="F412" s="14" t="s">
        <v>991</v>
      </c>
      <c r="G412" s="15">
        <v>1890</v>
      </c>
      <c r="H412" s="15"/>
      <c r="I412" s="15"/>
      <c r="J412" s="15">
        <v>1899</v>
      </c>
      <c r="K412" s="15">
        <f t="shared" si="74"/>
        <v>0</v>
      </c>
      <c r="L412" s="15">
        <f t="shared" si="76"/>
        <v>1890</v>
      </c>
      <c r="M412" s="15" t="str">
        <f t="shared" si="77"/>
        <v/>
      </c>
      <c r="N412" s="15">
        <f t="shared" si="78"/>
        <v>1899</v>
      </c>
      <c r="O412" s="15" t="str">
        <f t="shared" si="79"/>
        <v>휘발유 75,600원</v>
      </c>
      <c r="P412" s="15">
        <f t="shared" si="80"/>
        <v>75600</v>
      </c>
      <c r="Q412" s="15" t="s">
        <v>47</v>
      </c>
      <c r="R412" s="16">
        <f t="shared" si="81"/>
        <v>0.1</v>
      </c>
      <c r="S412" s="15">
        <f t="shared" si="82"/>
        <v>7560</v>
      </c>
      <c r="T412" s="15">
        <f t="shared" si="83"/>
        <v>68040</v>
      </c>
      <c r="U412" s="15">
        <f t="shared" si="84"/>
        <v>1701</v>
      </c>
      <c r="V412" s="15">
        <f t="shared" si="85"/>
        <v>1890</v>
      </c>
      <c r="W412" s="17">
        <f>IF($T412="",1000000000000000,$T412)</f>
        <v>68040</v>
      </c>
      <c r="XFB412" s="5"/>
      <c r="XFC412" s="3"/>
    </row>
    <row r="413" spans="1:23 16382:16383" s="4" customFormat="1" ht="28.5" customHeight="1">
      <c r="A413" s="14">
        <f t="shared" si="75"/>
        <v>399</v>
      </c>
      <c r="B413" s="14" t="s">
        <v>10</v>
      </c>
      <c r="C413" s="14" t="s">
        <v>994</v>
      </c>
      <c r="D413" s="14" t="s">
        <v>45</v>
      </c>
      <c r="E413" s="14" t="s">
        <v>63</v>
      </c>
      <c r="F413" s="14" t="s">
        <v>995</v>
      </c>
      <c r="G413" s="15">
        <v>1895</v>
      </c>
      <c r="H413" s="15"/>
      <c r="I413" s="15"/>
      <c r="J413" s="15">
        <v>1865</v>
      </c>
      <c r="K413" s="15">
        <f t="shared" si="74"/>
        <v>0</v>
      </c>
      <c r="L413" s="15">
        <f t="shared" si="76"/>
        <v>1895</v>
      </c>
      <c r="M413" s="15" t="str">
        <f t="shared" si="77"/>
        <v/>
      </c>
      <c r="N413" s="15">
        <f t="shared" si="78"/>
        <v>1865</v>
      </c>
      <c r="O413" s="15" t="str">
        <f t="shared" si="79"/>
        <v>휘발유 75,800원</v>
      </c>
      <c r="P413" s="15">
        <f t="shared" si="80"/>
        <v>75800</v>
      </c>
      <c r="Q413" s="15" t="s">
        <v>47</v>
      </c>
      <c r="R413" s="16">
        <f t="shared" si="81"/>
        <v>0.1</v>
      </c>
      <c r="S413" s="15">
        <f t="shared" si="82"/>
        <v>7580</v>
      </c>
      <c r="T413" s="15">
        <f t="shared" si="83"/>
        <v>68220</v>
      </c>
      <c r="U413" s="15">
        <f t="shared" si="84"/>
        <v>1705.5</v>
      </c>
      <c r="V413" s="15">
        <f t="shared" si="85"/>
        <v>1895</v>
      </c>
      <c r="W413" s="17">
        <f>IF($T413="",1000000000000000,$T413)</f>
        <v>68220</v>
      </c>
      <c r="XFB413" s="5"/>
      <c r="XFC413" s="3"/>
    </row>
    <row r="414" spans="1:23 16382:16383" s="4" customFormat="1" ht="28.5" customHeight="1">
      <c r="A414" s="14">
        <f t="shared" si="75"/>
        <v>399</v>
      </c>
      <c r="B414" s="14" t="s">
        <v>8</v>
      </c>
      <c r="C414" s="14" t="s">
        <v>998</v>
      </c>
      <c r="D414" s="14" t="s">
        <v>51</v>
      </c>
      <c r="E414" s="14" t="s">
        <v>63</v>
      </c>
      <c r="F414" s="14" t="s">
        <v>999</v>
      </c>
      <c r="G414" s="15">
        <v>1895</v>
      </c>
      <c r="H414" s="15"/>
      <c r="I414" s="15"/>
      <c r="J414" s="15">
        <v>1895</v>
      </c>
      <c r="K414" s="15">
        <f t="shared" si="74"/>
        <v>0</v>
      </c>
      <c r="L414" s="15">
        <f t="shared" si="76"/>
        <v>1895</v>
      </c>
      <c r="M414" s="15" t="str">
        <f t="shared" si="77"/>
        <v/>
      </c>
      <c r="N414" s="15">
        <f t="shared" si="78"/>
        <v>1895</v>
      </c>
      <c r="O414" s="15" t="str">
        <f t="shared" si="79"/>
        <v>휘발유 75,800원</v>
      </c>
      <c r="P414" s="15">
        <f t="shared" si="80"/>
        <v>75800</v>
      </c>
      <c r="Q414" s="15" t="s">
        <v>47</v>
      </c>
      <c r="R414" s="16">
        <f t="shared" si="81"/>
        <v>0.1</v>
      </c>
      <c r="S414" s="15">
        <f t="shared" si="82"/>
        <v>7580</v>
      </c>
      <c r="T414" s="15">
        <f t="shared" si="83"/>
        <v>68220</v>
      </c>
      <c r="U414" s="15">
        <f t="shared" si="84"/>
        <v>1705.5</v>
      </c>
      <c r="V414" s="15">
        <f t="shared" si="85"/>
        <v>1895</v>
      </c>
      <c r="W414" s="17">
        <f>IF($T414="",1000000000000000,$T414)</f>
        <v>68220</v>
      </c>
      <c r="XFB414" s="5"/>
      <c r="XFC414" s="3"/>
    </row>
    <row r="415" spans="1:23 16382:16383" s="4" customFormat="1" ht="28.5" customHeight="1">
      <c r="A415" s="14">
        <f t="shared" si="75"/>
        <v>401</v>
      </c>
      <c r="B415" s="14" t="s">
        <v>12</v>
      </c>
      <c r="C415" s="14" t="s">
        <v>1000</v>
      </c>
      <c r="D415" s="18" t="s">
        <v>95</v>
      </c>
      <c r="E415" s="14" t="s">
        <v>63</v>
      </c>
      <c r="F415" s="14" t="s">
        <v>1001</v>
      </c>
      <c r="G415" s="15">
        <v>1897</v>
      </c>
      <c r="H415" s="15"/>
      <c r="I415" s="15"/>
      <c r="J415" s="15">
        <v>1877</v>
      </c>
      <c r="K415" s="15">
        <f t="shared" si="74"/>
        <v>0</v>
      </c>
      <c r="L415" s="15">
        <f t="shared" si="76"/>
        <v>1897</v>
      </c>
      <c r="M415" s="15" t="str">
        <f t="shared" si="77"/>
        <v/>
      </c>
      <c r="N415" s="15">
        <f t="shared" si="78"/>
        <v>1877</v>
      </c>
      <c r="O415" s="15" t="str">
        <f t="shared" si="79"/>
        <v>휘발유 75,880원</v>
      </c>
      <c r="P415" s="15">
        <f t="shared" si="80"/>
        <v>75880</v>
      </c>
      <c r="Q415" s="15" t="s">
        <v>47</v>
      </c>
      <c r="R415" s="16">
        <f t="shared" si="81"/>
        <v>0.1</v>
      </c>
      <c r="S415" s="15">
        <f t="shared" si="82"/>
        <v>7588</v>
      </c>
      <c r="T415" s="15">
        <f t="shared" si="83"/>
        <v>68292</v>
      </c>
      <c r="U415" s="15">
        <f t="shared" si="84"/>
        <v>1707.3</v>
      </c>
      <c r="V415" s="15">
        <f t="shared" si="85"/>
        <v>1897</v>
      </c>
      <c r="W415" s="17">
        <f>IF($T415="",1000000000000000,$T415)</f>
        <v>68292</v>
      </c>
      <c r="XFB415" s="5"/>
      <c r="XFC415" s="3"/>
    </row>
    <row r="416" spans="1:23 16382:16383" s="4" customFormat="1" ht="28.5" customHeight="1">
      <c r="A416" s="14">
        <f t="shared" si="75"/>
        <v>401</v>
      </c>
      <c r="B416" s="14" t="s">
        <v>10</v>
      </c>
      <c r="C416" s="14" t="s">
        <v>1002</v>
      </c>
      <c r="D416" s="14" t="s">
        <v>45</v>
      </c>
      <c r="E416" s="14" t="s">
        <v>26</v>
      </c>
      <c r="F416" s="14" t="s">
        <v>1003</v>
      </c>
      <c r="G416" s="15">
        <v>1897</v>
      </c>
      <c r="H416" s="15"/>
      <c r="I416" s="15"/>
      <c r="J416" s="15">
        <v>1877</v>
      </c>
      <c r="K416" s="15">
        <f t="shared" si="74"/>
        <v>0</v>
      </c>
      <c r="L416" s="15">
        <f t="shared" si="76"/>
        <v>1897</v>
      </c>
      <c r="M416" s="15" t="str">
        <f t="shared" si="77"/>
        <v/>
      </c>
      <c r="N416" s="15">
        <f t="shared" si="78"/>
        <v>1877</v>
      </c>
      <c r="O416" s="15" t="str">
        <f t="shared" si="79"/>
        <v>휘발유 75,880원</v>
      </c>
      <c r="P416" s="15">
        <f t="shared" si="80"/>
        <v>75880</v>
      </c>
      <c r="Q416" s="15" t="s">
        <v>47</v>
      </c>
      <c r="R416" s="16">
        <f t="shared" si="81"/>
        <v>0.1</v>
      </c>
      <c r="S416" s="15">
        <f t="shared" si="82"/>
        <v>7588</v>
      </c>
      <c r="T416" s="15">
        <f t="shared" si="83"/>
        <v>68292</v>
      </c>
      <c r="U416" s="15">
        <f t="shared" si="84"/>
        <v>1707.3</v>
      </c>
      <c r="V416" s="15">
        <f t="shared" si="85"/>
        <v>1897</v>
      </c>
      <c r="W416" s="17">
        <f>IF($T416="",1000000000000000,$T416)</f>
        <v>68292</v>
      </c>
      <c r="XFB416" s="5"/>
      <c r="XFC416" s="3"/>
    </row>
    <row r="417" spans="1:23 16382:16383" s="4" customFormat="1" ht="28.5" customHeight="1">
      <c r="A417" s="14">
        <f t="shared" si="75"/>
        <v>401</v>
      </c>
      <c r="B417" s="14" t="s">
        <v>10</v>
      </c>
      <c r="C417" s="14" t="s">
        <v>1004</v>
      </c>
      <c r="D417" s="18" t="s">
        <v>86</v>
      </c>
      <c r="E417" s="14" t="s">
        <v>26</v>
      </c>
      <c r="F417" s="14" t="s">
        <v>1005</v>
      </c>
      <c r="G417" s="15">
        <v>1897</v>
      </c>
      <c r="H417" s="15"/>
      <c r="I417" s="15"/>
      <c r="J417" s="15">
        <v>1879</v>
      </c>
      <c r="K417" s="15">
        <f t="shared" si="74"/>
        <v>0</v>
      </c>
      <c r="L417" s="15">
        <f t="shared" si="76"/>
        <v>1897</v>
      </c>
      <c r="M417" s="15" t="str">
        <f t="shared" si="77"/>
        <v/>
      </c>
      <c r="N417" s="15">
        <f t="shared" si="78"/>
        <v>1879</v>
      </c>
      <c r="O417" s="15" t="str">
        <f t="shared" si="79"/>
        <v>휘발유 75,880원</v>
      </c>
      <c r="P417" s="15">
        <f t="shared" si="80"/>
        <v>75880</v>
      </c>
      <c r="Q417" s="15" t="s">
        <v>47</v>
      </c>
      <c r="R417" s="16">
        <f t="shared" si="81"/>
        <v>0.1</v>
      </c>
      <c r="S417" s="15">
        <f t="shared" si="82"/>
        <v>7588</v>
      </c>
      <c r="T417" s="15">
        <f t="shared" si="83"/>
        <v>68292</v>
      </c>
      <c r="U417" s="15">
        <f t="shared" si="84"/>
        <v>1707.3</v>
      </c>
      <c r="V417" s="15">
        <f t="shared" si="85"/>
        <v>1897</v>
      </c>
      <c r="W417" s="17">
        <f>IF($T417="",1000000000000000,$T417)</f>
        <v>68292</v>
      </c>
      <c r="XFB417" s="5"/>
      <c r="XFC417" s="3"/>
    </row>
    <row r="418" spans="1:23 16382:16383" s="4" customFormat="1" ht="28.5" customHeight="1">
      <c r="A418" s="14">
        <f t="shared" si="75"/>
        <v>401</v>
      </c>
      <c r="B418" s="14" t="s">
        <v>12</v>
      </c>
      <c r="C418" s="14" t="s">
        <v>1006</v>
      </c>
      <c r="D418" s="18" t="s">
        <v>86</v>
      </c>
      <c r="E418" s="14" t="s">
        <v>63</v>
      </c>
      <c r="F418" s="14" t="s">
        <v>1007</v>
      </c>
      <c r="G418" s="15">
        <v>1897</v>
      </c>
      <c r="H418" s="15"/>
      <c r="I418" s="15"/>
      <c r="J418" s="15">
        <v>1897</v>
      </c>
      <c r="K418" s="15">
        <f t="shared" si="74"/>
        <v>0</v>
      </c>
      <c r="L418" s="15">
        <f t="shared" si="76"/>
        <v>1897</v>
      </c>
      <c r="M418" s="15" t="str">
        <f t="shared" si="77"/>
        <v/>
      </c>
      <c r="N418" s="15">
        <f t="shared" si="78"/>
        <v>1897</v>
      </c>
      <c r="O418" s="15" t="str">
        <f t="shared" si="79"/>
        <v>휘발유 75,880원</v>
      </c>
      <c r="P418" s="15">
        <f t="shared" si="80"/>
        <v>75880</v>
      </c>
      <c r="Q418" s="15" t="s">
        <v>47</v>
      </c>
      <c r="R418" s="16">
        <f t="shared" si="81"/>
        <v>0.1</v>
      </c>
      <c r="S418" s="15">
        <f t="shared" si="82"/>
        <v>7588</v>
      </c>
      <c r="T418" s="15">
        <f t="shared" si="83"/>
        <v>68292</v>
      </c>
      <c r="U418" s="15">
        <f t="shared" si="84"/>
        <v>1707.3</v>
      </c>
      <c r="V418" s="15">
        <f t="shared" si="85"/>
        <v>1897</v>
      </c>
      <c r="W418" s="17">
        <f>IF($T418="",1000000000000000,$T418)</f>
        <v>68292</v>
      </c>
      <c r="XFB418" s="5"/>
      <c r="XFC418" s="3"/>
    </row>
    <row r="419" spans="1:23 16382:16383" s="4" customFormat="1" ht="28.5" customHeight="1">
      <c r="A419" s="14">
        <f t="shared" si="75"/>
        <v>401</v>
      </c>
      <c r="B419" s="14" t="s">
        <v>12</v>
      </c>
      <c r="C419" s="14" t="s">
        <v>742</v>
      </c>
      <c r="D419" s="18" t="s">
        <v>51</v>
      </c>
      <c r="E419" s="14" t="s">
        <v>63</v>
      </c>
      <c r="F419" s="14" t="s">
        <v>1008</v>
      </c>
      <c r="G419" s="15">
        <v>1897</v>
      </c>
      <c r="H419" s="15"/>
      <c r="I419" s="15"/>
      <c r="J419" s="15">
        <v>1897</v>
      </c>
      <c r="K419" s="15">
        <f t="shared" si="74"/>
        <v>0</v>
      </c>
      <c r="L419" s="15">
        <f t="shared" si="76"/>
        <v>1897</v>
      </c>
      <c r="M419" s="15" t="str">
        <f t="shared" si="77"/>
        <v/>
      </c>
      <c r="N419" s="15">
        <f t="shared" si="78"/>
        <v>1897</v>
      </c>
      <c r="O419" s="15" t="str">
        <f t="shared" si="79"/>
        <v>휘발유 75,880원</v>
      </c>
      <c r="P419" s="15">
        <f t="shared" si="80"/>
        <v>75880</v>
      </c>
      <c r="Q419" s="15" t="s">
        <v>47</v>
      </c>
      <c r="R419" s="16">
        <f t="shared" si="81"/>
        <v>0.1</v>
      </c>
      <c r="S419" s="15">
        <f t="shared" si="82"/>
        <v>7588</v>
      </c>
      <c r="T419" s="15">
        <f t="shared" si="83"/>
        <v>68292</v>
      </c>
      <c r="U419" s="15">
        <f t="shared" si="84"/>
        <v>1707.3</v>
      </c>
      <c r="V419" s="15">
        <f t="shared" si="85"/>
        <v>1897</v>
      </c>
      <c r="W419" s="17">
        <f>IF($T419="",1000000000000000,$T419)</f>
        <v>68292</v>
      </c>
      <c r="XFB419" s="5"/>
      <c r="XFC419" s="3"/>
    </row>
    <row r="420" spans="1:23 16382:16383" s="4" customFormat="1" ht="28.5" customHeight="1">
      <c r="A420" s="14">
        <f t="shared" si="75"/>
        <v>406</v>
      </c>
      <c r="B420" s="14" t="s">
        <v>12</v>
      </c>
      <c r="C420" s="14" t="s">
        <v>227</v>
      </c>
      <c r="D420" s="18" t="s">
        <v>45</v>
      </c>
      <c r="E420" s="14" t="s">
        <v>26</v>
      </c>
      <c r="F420" s="14" t="s">
        <v>228</v>
      </c>
      <c r="G420" s="15">
        <v>1718</v>
      </c>
      <c r="H420" s="15">
        <v>2059</v>
      </c>
      <c r="I420" s="15"/>
      <c r="J420" s="15">
        <v>1778</v>
      </c>
      <c r="K420" s="15">
        <f t="shared" si="74"/>
        <v>-10</v>
      </c>
      <c r="L420" s="15">
        <f t="shared" si="76"/>
        <v>1708</v>
      </c>
      <c r="M420" s="15">
        <f t="shared" si="77"/>
        <v>2049</v>
      </c>
      <c r="N420" s="15">
        <f t="shared" si="78"/>
        <v>1768</v>
      </c>
      <c r="O420" s="15" t="str">
        <f t="shared" si="79"/>
        <v>휘발유 68,320원</v>
      </c>
      <c r="P420" s="15">
        <f t="shared" si="80"/>
        <v>68320</v>
      </c>
      <c r="Q420" s="15"/>
      <c r="R420" s="16">
        <f t="shared" si="81"/>
        <v>0</v>
      </c>
      <c r="S420" s="15">
        <f t="shared" si="82"/>
        <v>0</v>
      </c>
      <c r="T420" s="15">
        <f t="shared" si="83"/>
        <v>68320</v>
      </c>
      <c r="U420" s="15">
        <f t="shared" si="84"/>
        <v>1708</v>
      </c>
      <c r="V420" s="15">
        <f t="shared" si="85"/>
        <v>1708</v>
      </c>
      <c r="W420" s="17">
        <f>IF($T420="",1000000000000000,$T420)</f>
        <v>68320</v>
      </c>
      <c r="XFB420" s="5"/>
      <c r="XFC420" s="3"/>
    </row>
    <row r="421" spans="1:23 16382:16383" s="4" customFormat="1" ht="28.5" customHeight="1">
      <c r="A421" s="14">
        <f t="shared" si="75"/>
        <v>407</v>
      </c>
      <c r="B421" s="14" t="s">
        <v>6</v>
      </c>
      <c r="C421" s="14" t="s">
        <v>344</v>
      </c>
      <c r="D421" s="14" t="s">
        <v>95</v>
      </c>
      <c r="E421" s="14" t="s">
        <v>63</v>
      </c>
      <c r="F421" s="14" t="s">
        <v>345</v>
      </c>
      <c r="G421" s="15">
        <v>1898</v>
      </c>
      <c r="H421" s="15">
        <v>2489</v>
      </c>
      <c r="I421" s="15"/>
      <c r="J421" s="15">
        <v>1879</v>
      </c>
      <c r="K421" s="15">
        <f t="shared" si="74"/>
        <v>0</v>
      </c>
      <c r="L421" s="15">
        <f t="shared" si="76"/>
        <v>1898</v>
      </c>
      <c r="M421" s="15">
        <f t="shared" si="77"/>
        <v>2489</v>
      </c>
      <c r="N421" s="15">
        <f t="shared" si="78"/>
        <v>1879</v>
      </c>
      <c r="O421" s="15" t="str">
        <f t="shared" si="79"/>
        <v>휘발유 75,920원</v>
      </c>
      <c r="P421" s="15">
        <f t="shared" si="80"/>
        <v>75920</v>
      </c>
      <c r="Q421" s="15" t="s">
        <v>47</v>
      </c>
      <c r="R421" s="16">
        <f t="shared" si="81"/>
        <v>0.1</v>
      </c>
      <c r="S421" s="15">
        <f t="shared" si="82"/>
        <v>7592</v>
      </c>
      <c r="T421" s="15">
        <f t="shared" si="83"/>
        <v>68328</v>
      </c>
      <c r="U421" s="15">
        <f t="shared" si="84"/>
        <v>1708.2</v>
      </c>
      <c r="V421" s="15">
        <f t="shared" si="85"/>
        <v>1898</v>
      </c>
      <c r="W421" s="17">
        <f>IF($T421="",1000000000000000,$T421)</f>
        <v>68328</v>
      </c>
      <c r="XFB421" s="5"/>
      <c r="XFC421" s="3"/>
    </row>
    <row r="422" spans="1:23 16382:16383" s="4" customFormat="1" ht="28.5" customHeight="1">
      <c r="A422" s="14">
        <f t="shared" si="75"/>
        <v>407</v>
      </c>
      <c r="B422" s="14" t="s">
        <v>10</v>
      </c>
      <c r="C422" s="14" t="s">
        <v>1011</v>
      </c>
      <c r="D422" s="14" t="s">
        <v>95</v>
      </c>
      <c r="E422" s="14" t="s">
        <v>63</v>
      </c>
      <c r="F422" s="14" t="s">
        <v>1012</v>
      </c>
      <c r="G422" s="15">
        <v>1898</v>
      </c>
      <c r="H422" s="15"/>
      <c r="I422" s="15"/>
      <c r="J422" s="15">
        <v>1868</v>
      </c>
      <c r="K422" s="15">
        <f t="shared" si="74"/>
        <v>0</v>
      </c>
      <c r="L422" s="15">
        <f t="shared" si="76"/>
        <v>1898</v>
      </c>
      <c r="M422" s="15" t="str">
        <f t="shared" si="77"/>
        <v/>
      </c>
      <c r="N422" s="15">
        <f t="shared" si="78"/>
        <v>1868</v>
      </c>
      <c r="O422" s="15" t="str">
        <f t="shared" si="79"/>
        <v>휘발유 75,920원</v>
      </c>
      <c r="P422" s="15">
        <f t="shared" si="80"/>
        <v>75920</v>
      </c>
      <c r="Q422" s="15" t="s">
        <v>47</v>
      </c>
      <c r="R422" s="16">
        <f t="shared" si="81"/>
        <v>0.1</v>
      </c>
      <c r="S422" s="15">
        <f t="shared" si="82"/>
        <v>7592</v>
      </c>
      <c r="T422" s="15">
        <f t="shared" si="83"/>
        <v>68328</v>
      </c>
      <c r="U422" s="15">
        <f t="shared" si="84"/>
        <v>1708.2</v>
      </c>
      <c r="V422" s="15">
        <f t="shared" si="85"/>
        <v>1898</v>
      </c>
      <c r="W422" s="17">
        <f>IF($T422="",1000000000000000,$T422)</f>
        <v>68328</v>
      </c>
      <c r="XFB422" s="5"/>
      <c r="XFC422" s="3"/>
    </row>
    <row r="423" spans="1:23 16382:16383" s="4" customFormat="1" ht="28.5" customHeight="1">
      <c r="A423" s="14">
        <f t="shared" si="75"/>
        <v>407</v>
      </c>
      <c r="B423" s="14" t="s">
        <v>12</v>
      </c>
      <c r="C423" s="14" t="s">
        <v>1013</v>
      </c>
      <c r="D423" s="18" t="s">
        <v>51</v>
      </c>
      <c r="E423" s="14" t="s">
        <v>26</v>
      </c>
      <c r="F423" s="14" t="s">
        <v>1014</v>
      </c>
      <c r="G423" s="15">
        <v>1898</v>
      </c>
      <c r="H423" s="15"/>
      <c r="I423" s="15"/>
      <c r="J423" s="15">
        <v>1898</v>
      </c>
      <c r="K423" s="15">
        <f t="shared" si="74"/>
        <v>0</v>
      </c>
      <c r="L423" s="15">
        <f t="shared" si="76"/>
        <v>1898</v>
      </c>
      <c r="M423" s="15" t="str">
        <f t="shared" si="77"/>
        <v/>
      </c>
      <c r="N423" s="15">
        <f t="shared" si="78"/>
        <v>1898</v>
      </c>
      <c r="O423" s="15" t="str">
        <f t="shared" si="79"/>
        <v>휘발유 75,920원</v>
      </c>
      <c r="P423" s="15">
        <f t="shared" si="80"/>
        <v>75920</v>
      </c>
      <c r="Q423" s="15" t="s">
        <v>47</v>
      </c>
      <c r="R423" s="16">
        <f t="shared" si="81"/>
        <v>0.1</v>
      </c>
      <c r="S423" s="15">
        <f t="shared" si="82"/>
        <v>7592</v>
      </c>
      <c r="T423" s="15">
        <f t="shared" si="83"/>
        <v>68328</v>
      </c>
      <c r="U423" s="15">
        <f t="shared" si="84"/>
        <v>1708.2</v>
      </c>
      <c r="V423" s="15">
        <f t="shared" si="85"/>
        <v>1898</v>
      </c>
      <c r="W423" s="17">
        <f>IF($T423="",1000000000000000,$T423)</f>
        <v>68328</v>
      </c>
      <c r="XFB423" s="5"/>
      <c r="XFC423" s="3"/>
    </row>
    <row r="424" spans="1:23 16382:16383" s="4" customFormat="1" ht="28.5" customHeight="1">
      <c r="A424" s="14">
        <f t="shared" si="75"/>
        <v>407</v>
      </c>
      <c r="B424" s="14" t="s">
        <v>12</v>
      </c>
      <c r="C424" s="14" t="s">
        <v>1015</v>
      </c>
      <c r="D424" s="18" t="s">
        <v>45</v>
      </c>
      <c r="E424" s="14" t="s">
        <v>63</v>
      </c>
      <c r="F424" s="14" t="s">
        <v>1016</v>
      </c>
      <c r="G424" s="15">
        <v>1898</v>
      </c>
      <c r="H424" s="15"/>
      <c r="I424" s="15"/>
      <c r="J424" s="15">
        <v>1898</v>
      </c>
      <c r="K424" s="15">
        <f t="shared" si="74"/>
        <v>0</v>
      </c>
      <c r="L424" s="15">
        <f t="shared" si="76"/>
        <v>1898</v>
      </c>
      <c r="M424" s="15" t="str">
        <f t="shared" si="77"/>
        <v/>
      </c>
      <c r="N424" s="15">
        <f t="shared" si="78"/>
        <v>1898</v>
      </c>
      <c r="O424" s="15" t="str">
        <f t="shared" si="79"/>
        <v>휘발유 75,920원</v>
      </c>
      <c r="P424" s="15">
        <f t="shared" si="80"/>
        <v>75920</v>
      </c>
      <c r="Q424" s="15" t="s">
        <v>47</v>
      </c>
      <c r="R424" s="16">
        <f t="shared" si="81"/>
        <v>0.1</v>
      </c>
      <c r="S424" s="15">
        <f t="shared" si="82"/>
        <v>7592</v>
      </c>
      <c r="T424" s="15">
        <f t="shared" si="83"/>
        <v>68328</v>
      </c>
      <c r="U424" s="15">
        <f t="shared" si="84"/>
        <v>1708.2</v>
      </c>
      <c r="V424" s="15">
        <f t="shared" si="85"/>
        <v>1898</v>
      </c>
      <c r="W424" s="17">
        <f>IF($T424="",1000000000000000,$T424)</f>
        <v>68328</v>
      </c>
      <c r="XFB424" s="5"/>
      <c r="XFC424" s="3"/>
    </row>
    <row r="425" spans="1:23 16382:16383" s="4" customFormat="1" ht="28.5" customHeight="1">
      <c r="A425" s="14">
        <f t="shared" si="75"/>
        <v>407</v>
      </c>
      <c r="B425" s="14" t="s">
        <v>12</v>
      </c>
      <c r="C425" s="14" t="s">
        <v>1040</v>
      </c>
      <c r="D425" s="18" t="s">
        <v>51</v>
      </c>
      <c r="E425" s="14" t="s">
        <v>63</v>
      </c>
      <c r="F425" s="14" t="s">
        <v>1041</v>
      </c>
      <c r="G425" s="15">
        <v>1898</v>
      </c>
      <c r="H425" s="15"/>
      <c r="I425" s="15"/>
      <c r="J425" s="15">
        <v>1898</v>
      </c>
      <c r="K425" s="15">
        <f t="shared" si="74"/>
        <v>0</v>
      </c>
      <c r="L425" s="15">
        <f t="shared" si="76"/>
        <v>1898</v>
      </c>
      <c r="M425" s="15" t="str">
        <f t="shared" si="77"/>
        <v/>
      </c>
      <c r="N425" s="15">
        <f t="shared" si="78"/>
        <v>1898</v>
      </c>
      <c r="O425" s="15" t="str">
        <f t="shared" si="79"/>
        <v>휘발유 75,920원</v>
      </c>
      <c r="P425" s="15">
        <f t="shared" si="80"/>
        <v>75920</v>
      </c>
      <c r="Q425" s="15" t="s">
        <v>47</v>
      </c>
      <c r="R425" s="16">
        <f t="shared" si="81"/>
        <v>0.1</v>
      </c>
      <c r="S425" s="15">
        <f t="shared" si="82"/>
        <v>7592</v>
      </c>
      <c r="T425" s="15">
        <f t="shared" si="83"/>
        <v>68328</v>
      </c>
      <c r="U425" s="15">
        <f t="shared" si="84"/>
        <v>1708.2</v>
      </c>
      <c r="V425" s="15">
        <f t="shared" si="85"/>
        <v>1898</v>
      </c>
      <c r="W425" s="17">
        <f>IF($T425="",1000000000000000,$T425)</f>
        <v>68328</v>
      </c>
      <c r="XFB425" s="5"/>
      <c r="XFC425" s="3"/>
    </row>
    <row r="426" spans="1:23 16382:16383" s="4" customFormat="1" ht="28.5" customHeight="1">
      <c r="A426" s="14">
        <f t="shared" si="75"/>
        <v>412</v>
      </c>
      <c r="B426" s="14" t="s">
        <v>10</v>
      </c>
      <c r="C426" s="14" t="s">
        <v>1036</v>
      </c>
      <c r="D426" s="14" t="s">
        <v>45</v>
      </c>
      <c r="E426" s="14" t="s">
        <v>26</v>
      </c>
      <c r="F426" s="14" t="s">
        <v>1037</v>
      </c>
      <c r="G426" s="15">
        <v>1899</v>
      </c>
      <c r="H426" s="15"/>
      <c r="I426" s="15"/>
      <c r="J426" s="15">
        <v>1850</v>
      </c>
      <c r="K426" s="15">
        <f t="shared" si="74"/>
        <v>0</v>
      </c>
      <c r="L426" s="15">
        <f t="shared" si="76"/>
        <v>1899</v>
      </c>
      <c r="M426" s="15" t="str">
        <f t="shared" si="77"/>
        <v/>
      </c>
      <c r="N426" s="15">
        <f t="shared" si="78"/>
        <v>1850</v>
      </c>
      <c r="O426" s="15" t="str">
        <f t="shared" si="79"/>
        <v>휘발유 75,960원</v>
      </c>
      <c r="P426" s="15">
        <f t="shared" si="80"/>
        <v>75960</v>
      </c>
      <c r="Q426" s="15" t="s">
        <v>47</v>
      </c>
      <c r="R426" s="16">
        <f t="shared" si="81"/>
        <v>0.1</v>
      </c>
      <c r="S426" s="15">
        <f t="shared" si="82"/>
        <v>7596</v>
      </c>
      <c r="T426" s="15">
        <f t="shared" si="83"/>
        <v>68364</v>
      </c>
      <c r="U426" s="15">
        <f t="shared" si="84"/>
        <v>1709.1</v>
      </c>
      <c r="V426" s="15">
        <f t="shared" si="85"/>
        <v>1899</v>
      </c>
      <c r="W426" s="17">
        <f>IF($T426="",1000000000000000,$T426)</f>
        <v>68364</v>
      </c>
      <c r="XFB426" s="5"/>
      <c r="XFC426" s="3"/>
    </row>
    <row r="427" spans="1:23 16382:16383" s="4" customFormat="1" ht="28.5" customHeight="1">
      <c r="A427" s="14">
        <f t="shared" si="75"/>
        <v>412</v>
      </c>
      <c r="B427" s="14" t="s">
        <v>12</v>
      </c>
      <c r="C427" s="14" t="s">
        <v>1021</v>
      </c>
      <c r="D427" s="18" t="s">
        <v>86</v>
      </c>
      <c r="E427" s="14" t="s">
        <v>26</v>
      </c>
      <c r="F427" s="14" t="s">
        <v>1022</v>
      </c>
      <c r="G427" s="15">
        <v>1899</v>
      </c>
      <c r="H427" s="15"/>
      <c r="I427" s="15"/>
      <c r="J427" s="15">
        <v>1859</v>
      </c>
      <c r="K427" s="15">
        <f t="shared" si="74"/>
        <v>0</v>
      </c>
      <c r="L427" s="15">
        <f t="shared" si="76"/>
        <v>1899</v>
      </c>
      <c r="M427" s="15" t="str">
        <f t="shared" si="77"/>
        <v/>
      </c>
      <c r="N427" s="15">
        <f t="shared" si="78"/>
        <v>1859</v>
      </c>
      <c r="O427" s="15" t="str">
        <f t="shared" si="79"/>
        <v>휘발유 75,960원</v>
      </c>
      <c r="P427" s="15">
        <f t="shared" si="80"/>
        <v>75960</v>
      </c>
      <c r="Q427" s="15" t="s">
        <v>47</v>
      </c>
      <c r="R427" s="16">
        <f t="shared" si="81"/>
        <v>0.1</v>
      </c>
      <c r="S427" s="15">
        <f t="shared" si="82"/>
        <v>7596</v>
      </c>
      <c r="T427" s="15">
        <f t="shared" si="83"/>
        <v>68364</v>
      </c>
      <c r="U427" s="15">
        <f t="shared" si="84"/>
        <v>1709.1</v>
      </c>
      <c r="V427" s="15">
        <f t="shared" si="85"/>
        <v>1899</v>
      </c>
      <c r="W427" s="17">
        <f>IF($T427="",1000000000000000,$T427)</f>
        <v>68364</v>
      </c>
      <c r="XFB427" s="5"/>
      <c r="XFC427" s="3"/>
    </row>
    <row r="428" spans="1:23 16382:16383" s="4" customFormat="1" ht="28.5" customHeight="1">
      <c r="A428" s="14">
        <f t="shared" si="75"/>
        <v>412</v>
      </c>
      <c r="B428" s="14" t="s">
        <v>10</v>
      </c>
      <c r="C428" s="14" t="s">
        <v>943</v>
      </c>
      <c r="D428" s="14" t="s">
        <v>51</v>
      </c>
      <c r="E428" s="14" t="s">
        <v>63</v>
      </c>
      <c r="F428" s="14" t="s">
        <v>1029</v>
      </c>
      <c r="G428" s="15">
        <v>1899</v>
      </c>
      <c r="H428" s="15"/>
      <c r="I428" s="15"/>
      <c r="J428" s="15">
        <v>1859</v>
      </c>
      <c r="K428" s="15">
        <f t="shared" si="74"/>
        <v>0</v>
      </c>
      <c r="L428" s="15">
        <f t="shared" si="76"/>
        <v>1899</v>
      </c>
      <c r="M428" s="15" t="str">
        <f t="shared" si="77"/>
        <v/>
      </c>
      <c r="N428" s="15">
        <f t="shared" si="78"/>
        <v>1859</v>
      </c>
      <c r="O428" s="15" t="str">
        <f t="shared" si="79"/>
        <v>휘발유 75,960원</v>
      </c>
      <c r="P428" s="15">
        <f t="shared" si="80"/>
        <v>75960</v>
      </c>
      <c r="Q428" s="15" t="s">
        <v>47</v>
      </c>
      <c r="R428" s="16">
        <f t="shared" si="81"/>
        <v>0.1</v>
      </c>
      <c r="S428" s="15">
        <f t="shared" si="82"/>
        <v>7596</v>
      </c>
      <c r="T428" s="15">
        <f t="shared" si="83"/>
        <v>68364</v>
      </c>
      <c r="U428" s="15">
        <f t="shared" si="84"/>
        <v>1709.1</v>
      </c>
      <c r="V428" s="15">
        <f t="shared" si="85"/>
        <v>1899</v>
      </c>
      <c r="W428" s="17">
        <f>IF($T428="",1000000000000000,$T428)</f>
        <v>68364</v>
      </c>
      <c r="XFB428" s="5"/>
      <c r="XFC428" s="3"/>
    </row>
    <row r="429" spans="1:23 16382:16383" s="4" customFormat="1" ht="28.5" customHeight="1">
      <c r="A429" s="14">
        <f t="shared" si="75"/>
        <v>412</v>
      </c>
      <c r="B429" s="14" t="s">
        <v>10</v>
      </c>
      <c r="C429" s="14" t="s">
        <v>1025</v>
      </c>
      <c r="D429" s="14" t="s">
        <v>51</v>
      </c>
      <c r="E429" s="14" t="s">
        <v>63</v>
      </c>
      <c r="F429" s="14" t="s">
        <v>1026</v>
      </c>
      <c r="G429" s="15">
        <v>1899</v>
      </c>
      <c r="H429" s="15"/>
      <c r="I429" s="15"/>
      <c r="J429" s="15">
        <v>1869</v>
      </c>
      <c r="K429" s="15">
        <f t="shared" si="74"/>
        <v>0</v>
      </c>
      <c r="L429" s="15">
        <f t="shared" si="76"/>
        <v>1899</v>
      </c>
      <c r="M429" s="15" t="str">
        <f t="shared" si="77"/>
        <v/>
      </c>
      <c r="N429" s="15">
        <f t="shared" si="78"/>
        <v>1869</v>
      </c>
      <c r="O429" s="15" t="str">
        <f t="shared" si="79"/>
        <v>휘발유 75,960원</v>
      </c>
      <c r="P429" s="15">
        <f t="shared" si="80"/>
        <v>75960</v>
      </c>
      <c r="Q429" s="15" t="s">
        <v>47</v>
      </c>
      <c r="R429" s="16">
        <f t="shared" si="81"/>
        <v>0.1</v>
      </c>
      <c r="S429" s="15">
        <f t="shared" si="82"/>
        <v>7596</v>
      </c>
      <c r="T429" s="15">
        <f t="shared" si="83"/>
        <v>68364</v>
      </c>
      <c r="U429" s="15">
        <f t="shared" si="84"/>
        <v>1709.1</v>
      </c>
      <c r="V429" s="15">
        <f t="shared" si="85"/>
        <v>1899</v>
      </c>
      <c r="W429" s="17">
        <f>IF($T429="",1000000000000000,$T429)</f>
        <v>68364</v>
      </c>
      <c r="XFB429" s="5"/>
      <c r="XFC429" s="3"/>
    </row>
    <row r="430" spans="1:23 16382:16383" s="4" customFormat="1" ht="28.5" customHeight="1">
      <c r="A430" s="14">
        <f t="shared" si="75"/>
        <v>412</v>
      </c>
      <c r="B430" s="14" t="s">
        <v>6</v>
      </c>
      <c r="C430" s="14" t="s">
        <v>1044</v>
      </c>
      <c r="D430" s="14" t="s">
        <v>51</v>
      </c>
      <c r="E430" s="14" t="s">
        <v>63</v>
      </c>
      <c r="F430" s="14" t="s">
        <v>1045</v>
      </c>
      <c r="G430" s="15">
        <v>1899</v>
      </c>
      <c r="H430" s="15"/>
      <c r="I430" s="15"/>
      <c r="J430" s="15">
        <v>1899</v>
      </c>
      <c r="K430" s="15">
        <f t="shared" si="74"/>
        <v>0</v>
      </c>
      <c r="L430" s="15">
        <f t="shared" si="76"/>
        <v>1899</v>
      </c>
      <c r="M430" s="15" t="str">
        <f t="shared" si="77"/>
        <v/>
      </c>
      <c r="N430" s="15">
        <f t="shared" si="78"/>
        <v>1899</v>
      </c>
      <c r="O430" s="15" t="str">
        <f t="shared" si="79"/>
        <v>휘발유 75,960원</v>
      </c>
      <c r="P430" s="15">
        <f t="shared" si="80"/>
        <v>75960</v>
      </c>
      <c r="Q430" s="15" t="s">
        <v>47</v>
      </c>
      <c r="R430" s="16">
        <f t="shared" si="81"/>
        <v>0.1</v>
      </c>
      <c r="S430" s="15">
        <f t="shared" si="82"/>
        <v>7596</v>
      </c>
      <c r="T430" s="15">
        <f t="shared" si="83"/>
        <v>68364</v>
      </c>
      <c r="U430" s="15">
        <f t="shared" si="84"/>
        <v>1709.1</v>
      </c>
      <c r="V430" s="15">
        <f t="shared" si="85"/>
        <v>1899</v>
      </c>
      <c r="W430" s="17">
        <f>IF($T430="",1000000000000000,$T430)</f>
        <v>68364</v>
      </c>
      <c r="XFB430" s="5"/>
      <c r="XFC430" s="3"/>
    </row>
    <row r="431" spans="1:23 16382:16383" s="4" customFormat="1" ht="28.5" customHeight="1">
      <c r="A431" s="14">
        <f t="shared" si="75"/>
        <v>412</v>
      </c>
      <c r="B431" s="14" t="s">
        <v>10</v>
      </c>
      <c r="C431" s="14" t="s">
        <v>1027</v>
      </c>
      <c r="D431" s="14" t="s">
        <v>45</v>
      </c>
      <c r="E431" s="14" t="s">
        <v>63</v>
      </c>
      <c r="F431" s="14" t="s">
        <v>1028</v>
      </c>
      <c r="G431" s="15">
        <v>1899</v>
      </c>
      <c r="H431" s="15"/>
      <c r="I431" s="15"/>
      <c r="J431" s="15">
        <v>1899</v>
      </c>
      <c r="K431" s="15">
        <f t="shared" si="74"/>
        <v>0</v>
      </c>
      <c r="L431" s="15">
        <f t="shared" si="76"/>
        <v>1899</v>
      </c>
      <c r="M431" s="15" t="str">
        <f t="shared" si="77"/>
        <v/>
      </c>
      <c r="N431" s="15">
        <f t="shared" si="78"/>
        <v>1899</v>
      </c>
      <c r="O431" s="15" t="str">
        <f t="shared" si="79"/>
        <v>휘발유 75,960원</v>
      </c>
      <c r="P431" s="15">
        <f t="shared" si="80"/>
        <v>75960</v>
      </c>
      <c r="Q431" s="15" t="s">
        <v>47</v>
      </c>
      <c r="R431" s="16">
        <f t="shared" si="81"/>
        <v>0.1</v>
      </c>
      <c r="S431" s="15">
        <f t="shared" si="82"/>
        <v>7596</v>
      </c>
      <c r="T431" s="15">
        <f t="shared" si="83"/>
        <v>68364</v>
      </c>
      <c r="U431" s="15">
        <f t="shared" si="84"/>
        <v>1709.1</v>
      </c>
      <c r="V431" s="15">
        <f t="shared" si="85"/>
        <v>1899</v>
      </c>
      <c r="W431" s="17">
        <f>IF($T431="",1000000000000000,$T431)</f>
        <v>68364</v>
      </c>
      <c r="XFB431" s="5"/>
      <c r="XFC431" s="3"/>
    </row>
    <row r="432" spans="1:23 16382:16383" s="4" customFormat="1" ht="28.5" customHeight="1">
      <c r="A432" s="14">
        <f t="shared" si="75"/>
        <v>412</v>
      </c>
      <c r="B432" s="14" t="s">
        <v>10</v>
      </c>
      <c r="C432" s="14" t="s">
        <v>1030</v>
      </c>
      <c r="D432" s="14" t="s">
        <v>95</v>
      </c>
      <c r="E432" s="14" t="s">
        <v>63</v>
      </c>
      <c r="F432" s="14" t="s">
        <v>1031</v>
      </c>
      <c r="G432" s="15">
        <v>1899</v>
      </c>
      <c r="H432" s="15"/>
      <c r="I432" s="15"/>
      <c r="J432" s="15">
        <v>1899</v>
      </c>
      <c r="K432" s="15">
        <f t="shared" si="74"/>
        <v>0</v>
      </c>
      <c r="L432" s="15">
        <f t="shared" si="76"/>
        <v>1899</v>
      </c>
      <c r="M432" s="15" t="str">
        <f t="shared" si="77"/>
        <v/>
      </c>
      <c r="N432" s="15">
        <f t="shared" si="78"/>
        <v>1899</v>
      </c>
      <c r="O432" s="15" t="str">
        <f t="shared" si="79"/>
        <v>휘발유 75,960원</v>
      </c>
      <c r="P432" s="15">
        <f t="shared" si="80"/>
        <v>75960</v>
      </c>
      <c r="Q432" s="15" t="s">
        <v>47</v>
      </c>
      <c r="R432" s="16">
        <f t="shared" si="81"/>
        <v>0.1</v>
      </c>
      <c r="S432" s="15">
        <f t="shared" si="82"/>
        <v>7596</v>
      </c>
      <c r="T432" s="15">
        <f t="shared" si="83"/>
        <v>68364</v>
      </c>
      <c r="U432" s="15">
        <f t="shared" si="84"/>
        <v>1709.1</v>
      </c>
      <c r="V432" s="15">
        <f t="shared" si="85"/>
        <v>1899</v>
      </c>
      <c r="W432" s="17">
        <f>IF($T432="",1000000000000000,$T432)</f>
        <v>68364</v>
      </c>
      <c r="XFB432" s="5"/>
      <c r="XFC432" s="3"/>
    </row>
    <row r="433" spans="1:23 16382:16383" s="4" customFormat="1" ht="28.5" customHeight="1">
      <c r="A433" s="14">
        <f t="shared" si="75"/>
        <v>412</v>
      </c>
      <c r="B433" s="14" t="s">
        <v>10</v>
      </c>
      <c r="C433" s="14" t="s">
        <v>1032</v>
      </c>
      <c r="D433" s="18" t="s">
        <v>86</v>
      </c>
      <c r="E433" s="14" t="s">
        <v>63</v>
      </c>
      <c r="F433" s="14" t="s">
        <v>1033</v>
      </c>
      <c r="G433" s="15">
        <v>1899</v>
      </c>
      <c r="H433" s="15"/>
      <c r="I433" s="15"/>
      <c r="J433" s="15">
        <v>1899</v>
      </c>
      <c r="K433" s="15">
        <f t="shared" si="74"/>
        <v>0</v>
      </c>
      <c r="L433" s="15">
        <f t="shared" si="76"/>
        <v>1899</v>
      </c>
      <c r="M433" s="15" t="str">
        <f t="shared" si="77"/>
        <v/>
      </c>
      <c r="N433" s="15">
        <f t="shared" si="78"/>
        <v>1899</v>
      </c>
      <c r="O433" s="15" t="str">
        <f t="shared" si="79"/>
        <v>휘발유 75,960원</v>
      </c>
      <c r="P433" s="15">
        <f t="shared" si="80"/>
        <v>75960</v>
      </c>
      <c r="Q433" s="15" t="s">
        <v>47</v>
      </c>
      <c r="R433" s="16">
        <f t="shared" si="81"/>
        <v>0.1</v>
      </c>
      <c r="S433" s="15">
        <f t="shared" si="82"/>
        <v>7596</v>
      </c>
      <c r="T433" s="15">
        <f t="shared" si="83"/>
        <v>68364</v>
      </c>
      <c r="U433" s="15">
        <f t="shared" si="84"/>
        <v>1709.1</v>
      </c>
      <c r="V433" s="15">
        <f t="shared" si="85"/>
        <v>1899</v>
      </c>
      <c r="W433" s="17">
        <f>IF($T433="",1000000000000000,$T433)</f>
        <v>68364</v>
      </c>
      <c r="XFB433" s="5"/>
      <c r="XFC433" s="3"/>
    </row>
    <row r="434" spans="1:23 16382:16383" s="4" customFormat="1" ht="28.5" customHeight="1">
      <c r="A434" s="14">
        <f t="shared" si="75"/>
        <v>420</v>
      </c>
      <c r="B434" s="14" t="s">
        <v>14</v>
      </c>
      <c r="C434" s="14" t="s">
        <v>1034</v>
      </c>
      <c r="D434" s="14" t="s">
        <v>51</v>
      </c>
      <c r="E434" s="14" t="s">
        <v>63</v>
      </c>
      <c r="F434" s="14" t="s">
        <v>1035</v>
      </c>
      <c r="G434" s="15">
        <v>1950</v>
      </c>
      <c r="H434" s="15"/>
      <c r="I434" s="15"/>
      <c r="J434" s="15">
        <v>1950</v>
      </c>
      <c r="K434" s="15">
        <f t="shared" si="74"/>
        <v>0</v>
      </c>
      <c r="L434" s="15">
        <f t="shared" si="76"/>
        <v>1950</v>
      </c>
      <c r="M434" s="15" t="str">
        <f t="shared" si="77"/>
        <v/>
      </c>
      <c r="N434" s="15">
        <f t="shared" si="78"/>
        <v>1950</v>
      </c>
      <c r="O434" s="15" t="str">
        <f t="shared" si="79"/>
        <v>휘발유 78,000원</v>
      </c>
      <c r="P434" s="15">
        <f t="shared" si="80"/>
        <v>78000</v>
      </c>
      <c r="Q434" s="15" t="s">
        <v>47</v>
      </c>
      <c r="R434" s="16">
        <f t="shared" si="81"/>
        <v>0.11</v>
      </c>
      <c r="S434" s="15">
        <f t="shared" si="82"/>
        <v>8580</v>
      </c>
      <c r="T434" s="15">
        <f t="shared" si="83"/>
        <v>69420</v>
      </c>
      <c r="U434" s="15">
        <f t="shared" si="84"/>
        <v>1735.5</v>
      </c>
      <c r="V434" s="15">
        <f t="shared" si="85"/>
        <v>1950</v>
      </c>
      <c r="W434" s="17">
        <f>IF($T434="",1000000000000000,$T434)</f>
        <v>69420</v>
      </c>
      <c r="XFB434" s="5"/>
      <c r="XFC434" s="3"/>
    </row>
    <row r="435" spans="1:23 16382:16383" s="4" customFormat="1" ht="28.5" customHeight="1">
      <c r="A435" s="14">
        <f t="shared" si="75"/>
        <v>421</v>
      </c>
      <c r="B435" s="14" t="s">
        <v>10</v>
      </c>
      <c r="C435" s="14" t="s">
        <v>199</v>
      </c>
      <c r="D435" s="18" t="s">
        <v>86</v>
      </c>
      <c r="E435" s="14" t="s">
        <v>26</v>
      </c>
      <c r="F435" s="14" t="s">
        <v>200</v>
      </c>
      <c r="G435" s="15">
        <v>1937</v>
      </c>
      <c r="H435" s="15">
        <v>2097</v>
      </c>
      <c r="I435" s="15"/>
      <c r="J435" s="15">
        <v>1967</v>
      </c>
      <c r="K435" s="15">
        <f t="shared" si="74"/>
        <v>0</v>
      </c>
      <c r="L435" s="15">
        <f t="shared" si="76"/>
        <v>1937</v>
      </c>
      <c r="M435" s="15">
        <f t="shared" si="77"/>
        <v>2097</v>
      </c>
      <c r="N435" s="15">
        <f t="shared" si="78"/>
        <v>1967</v>
      </c>
      <c r="O435" s="15" t="str">
        <f t="shared" si="79"/>
        <v>휘발유 77,480원</v>
      </c>
      <c r="P435" s="15">
        <f t="shared" si="80"/>
        <v>77480</v>
      </c>
      <c r="Q435" s="15" t="s">
        <v>47</v>
      </c>
      <c r="R435" s="16">
        <f t="shared" si="81"/>
        <v>0.1</v>
      </c>
      <c r="S435" s="15">
        <f t="shared" si="82"/>
        <v>7748</v>
      </c>
      <c r="T435" s="15">
        <f t="shared" si="83"/>
        <v>69732</v>
      </c>
      <c r="U435" s="15">
        <f t="shared" si="84"/>
        <v>1743.3</v>
      </c>
      <c r="V435" s="15">
        <f t="shared" si="85"/>
        <v>1937</v>
      </c>
      <c r="W435" s="17">
        <f>IF($T435="",1000000000000000,$T435)</f>
        <v>69732</v>
      </c>
      <c r="XFB435" s="5"/>
      <c r="XFC435" s="3"/>
    </row>
    <row r="436" spans="1:23 16382:16383" s="4" customFormat="1" ht="28.5" customHeight="1">
      <c r="A436" s="14">
        <f t="shared" si="75"/>
        <v>422</v>
      </c>
      <c r="B436" s="14" t="s">
        <v>16</v>
      </c>
      <c r="C436" s="14" t="s">
        <v>1038</v>
      </c>
      <c r="D436" s="14" t="s">
        <v>496</v>
      </c>
      <c r="E436" s="14" t="s">
        <v>26</v>
      </c>
      <c r="F436" s="14" t="s">
        <v>1039</v>
      </c>
      <c r="G436" s="15">
        <v>1750</v>
      </c>
      <c r="H436" s="15"/>
      <c r="I436" s="15"/>
      <c r="J436" s="15">
        <v>1760</v>
      </c>
      <c r="K436" s="15">
        <f t="shared" si="74"/>
        <v>0</v>
      </c>
      <c r="L436" s="15">
        <f t="shared" si="76"/>
        <v>1750</v>
      </c>
      <c r="M436" s="15" t="str">
        <f t="shared" si="77"/>
        <v/>
      </c>
      <c r="N436" s="15">
        <f t="shared" si="78"/>
        <v>1760</v>
      </c>
      <c r="O436" s="15" t="str">
        <f t="shared" si="79"/>
        <v>휘발유 70,000원</v>
      </c>
      <c r="P436" s="15">
        <f t="shared" si="80"/>
        <v>70000</v>
      </c>
      <c r="Q436" s="15"/>
      <c r="R436" s="16">
        <f t="shared" si="81"/>
        <v>0</v>
      </c>
      <c r="S436" s="15">
        <f t="shared" si="82"/>
        <v>0</v>
      </c>
      <c r="T436" s="15">
        <f t="shared" si="83"/>
        <v>70000</v>
      </c>
      <c r="U436" s="15">
        <f t="shared" si="84"/>
        <v>1750</v>
      </c>
      <c r="V436" s="15">
        <f t="shared" si="85"/>
        <v>1750</v>
      </c>
      <c r="W436" s="17">
        <f>IF($T436="",1000000000000000,$T436)</f>
        <v>70000</v>
      </c>
      <c r="XFB436" s="5"/>
      <c r="XFC436" s="3"/>
    </row>
    <row r="437" spans="1:23 16382:16383" s="4" customFormat="1" ht="28.5" customHeight="1">
      <c r="A437" s="14">
        <f t="shared" si="75"/>
        <v>423</v>
      </c>
      <c r="B437" s="14" t="s">
        <v>12</v>
      </c>
      <c r="C437" s="14" t="s">
        <v>1234</v>
      </c>
      <c r="D437" s="18" t="s">
        <v>45</v>
      </c>
      <c r="E437" s="14" t="s">
        <v>63</v>
      </c>
      <c r="F437" s="14" t="s">
        <v>1235</v>
      </c>
      <c r="G437" s="15">
        <v>1948</v>
      </c>
      <c r="H437" s="15"/>
      <c r="I437" s="15"/>
      <c r="J437" s="15">
        <v>1928</v>
      </c>
      <c r="K437" s="15">
        <f t="shared" si="74"/>
        <v>0</v>
      </c>
      <c r="L437" s="15">
        <f t="shared" si="76"/>
        <v>1948</v>
      </c>
      <c r="M437" s="15" t="str">
        <f t="shared" si="77"/>
        <v/>
      </c>
      <c r="N437" s="15">
        <f t="shared" si="78"/>
        <v>1928</v>
      </c>
      <c r="O437" s="15" t="str">
        <f t="shared" si="79"/>
        <v>휘발유 77,920원</v>
      </c>
      <c r="P437" s="15">
        <f t="shared" si="80"/>
        <v>77920</v>
      </c>
      <c r="Q437" s="15" t="s">
        <v>47</v>
      </c>
      <c r="R437" s="16">
        <f t="shared" si="81"/>
        <v>0.1</v>
      </c>
      <c r="S437" s="15">
        <f t="shared" si="82"/>
        <v>7792</v>
      </c>
      <c r="T437" s="15">
        <f t="shared" si="83"/>
        <v>70128</v>
      </c>
      <c r="U437" s="15">
        <f t="shared" si="84"/>
        <v>1753.2</v>
      </c>
      <c r="V437" s="15">
        <f t="shared" si="85"/>
        <v>1948</v>
      </c>
      <c r="W437" s="17">
        <f>IF($T437="",1000000000000000,$T437)</f>
        <v>70128</v>
      </c>
      <c r="XFB437" s="5"/>
      <c r="XFC437" s="3"/>
    </row>
    <row r="438" spans="1:23 16382:16383" s="4" customFormat="1" ht="28.5" customHeight="1">
      <c r="A438" s="14">
        <f t="shared" si="75"/>
        <v>424</v>
      </c>
      <c r="B438" s="14" t="s">
        <v>12</v>
      </c>
      <c r="C438" s="14" t="s">
        <v>1046</v>
      </c>
      <c r="D438" s="18" t="s">
        <v>45</v>
      </c>
      <c r="E438" s="14" t="s">
        <v>63</v>
      </c>
      <c r="F438" s="14" t="s">
        <v>1047</v>
      </c>
      <c r="G438" s="15">
        <v>1950</v>
      </c>
      <c r="H438" s="15"/>
      <c r="I438" s="15"/>
      <c r="J438" s="15">
        <v>1940</v>
      </c>
      <c r="K438" s="15">
        <f t="shared" si="74"/>
        <v>0</v>
      </c>
      <c r="L438" s="15">
        <f t="shared" si="76"/>
        <v>1950</v>
      </c>
      <c r="M438" s="15" t="str">
        <f t="shared" si="77"/>
        <v/>
      </c>
      <c r="N438" s="15">
        <f t="shared" si="78"/>
        <v>1940</v>
      </c>
      <c r="O438" s="15" t="str">
        <f t="shared" si="79"/>
        <v>휘발유 78,000원</v>
      </c>
      <c r="P438" s="15">
        <f t="shared" si="80"/>
        <v>78000</v>
      </c>
      <c r="Q438" s="15" t="s">
        <v>47</v>
      </c>
      <c r="R438" s="16">
        <f t="shared" si="81"/>
        <v>0.1</v>
      </c>
      <c r="S438" s="15">
        <f t="shared" si="82"/>
        <v>7800</v>
      </c>
      <c r="T438" s="15">
        <f t="shared" si="83"/>
        <v>70200</v>
      </c>
      <c r="U438" s="15">
        <f t="shared" si="84"/>
        <v>1755</v>
      </c>
      <c r="V438" s="15">
        <f t="shared" si="85"/>
        <v>1950</v>
      </c>
      <c r="W438" s="17">
        <f>IF($T438="",1000000000000000,$T438)</f>
        <v>70200</v>
      </c>
      <c r="XFB438" s="5"/>
      <c r="XFC438" s="3"/>
    </row>
    <row r="439" spans="1:23 16382:16383" s="4" customFormat="1" ht="28.5" customHeight="1">
      <c r="A439" s="14">
        <f t="shared" si="75"/>
        <v>425</v>
      </c>
      <c r="B439" s="14" t="s">
        <v>8</v>
      </c>
      <c r="C439" s="14" t="s">
        <v>219</v>
      </c>
      <c r="D439" s="14" t="s">
        <v>45</v>
      </c>
      <c r="E439" s="14" t="s">
        <v>26</v>
      </c>
      <c r="F439" s="14" t="s">
        <v>220</v>
      </c>
      <c r="G439" s="15">
        <v>1768</v>
      </c>
      <c r="H439" s="15">
        <v>2025</v>
      </c>
      <c r="I439" s="15"/>
      <c r="J439" s="15">
        <v>1759</v>
      </c>
      <c r="K439" s="15">
        <f t="shared" si="74"/>
        <v>-10</v>
      </c>
      <c r="L439" s="15">
        <f t="shared" si="76"/>
        <v>1758</v>
      </c>
      <c r="M439" s="15">
        <f t="shared" si="77"/>
        <v>2015</v>
      </c>
      <c r="N439" s="15">
        <f t="shared" si="78"/>
        <v>1749</v>
      </c>
      <c r="O439" s="15" t="str">
        <f t="shared" si="79"/>
        <v>휘발유 70,320원</v>
      </c>
      <c r="P439" s="15">
        <f t="shared" si="80"/>
        <v>70320</v>
      </c>
      <c r="Q439" s="15"/>
      <c r="R439" s="16">
        <f t="shared" si="81"/>
        <v>0</v>
      </c>
      <c r="S439" s="15">
        <f t="shared" si="82"/>
        <v>0</v>
      </c>
      <c r="T439" s="15">
        <f t="shared" si="83"/>
        <v>70320</v>
      </c>
      <c r="U439" s="15">
        <f t="shared" si="84"/>
        <v>1758</v>
      </c>
      <c r="V439" s="15">
        <f t="shared" si="85"/>
        <v>1758</v>
      </c>
      <c r="W439" s="17">
        <f>IF($T439="",1000000000000000,$T439)</f>
        <v>70320</v>
      </c>
      <c r="XFB439" s="5"/>
      <c r="XFC439" s="3"/>
    </row>
    <row r="440" spans="1:23 16382:16383" s="4" customFormat="1" ht="28.5" customHeight="1">
      <c r="A440" s="14">
        <f t="shared" si="75"/>
        <v>425</v>
      </c>
      <c r="B440" s="14" t="s">
        <v>12</v>
      </c>
      <c r="C440" s="14" t="s">
        <v>221</v>
      </c>
      <c r="D440" s="18" t="s">
        <v>45</v>
      </c>
      <c r="E440" s="14" t="s">
        <v>26</v>
      </c>
      <c r="F440" s="14" t="s">
        <v>222</v>
      </c>
      <c r="G440" s="15">
        <v>1768</v>
      </c>
      <c r="H440" s="15">
        <v>2049</v>
      </c>
      <c r="I440" s="15"/>
      <c r="J440" s="15">
        <v>1763</v>
      </c>
      <c r="K440" s="15">
        <f t="shared" si="74"/>
        <v>-10</v>
      </c>
      <c r="L440" s="15">
        <f t="shared" si="76"/>
        <v>1758</v>
      </c>
      <c r="M440" s="15">
        <f t="shared" si="77"/>
        <v>2039</v>
      </c>
      <c r="N440" s="15">
        <f t="shared" si="78"/>
        <v>1753</v>
      </c>
      <c r="O440" s="15" t="str">
        <f t="shared" si="79"/>
        <v>휘발유 70,320원</v>
      </c>
      <c r="P440" s="15">
        <f t="shared" si="80"/>
        <v>70320</v>
      </c>
      <c r="Q440" s="15"/>
      <c r="R440" s="16">
        <f t="shared" si="81"/>
        <v>0</v>
      </c>
      <c r="S440" s="15">
        <f t="shared" si="82"/>
        <v>0</v>
      </c>
      <c r="T440" s="15">
        <f t="shared" si="83"/>
        <v>70320</v>
      </c>
      <c r="U440" s="15">
        <f t="shared" si="84"/>
        <v>1758</v>
      </c>
      <c r="V440" s="15">
        <f t="shared" si="85"/>
        <v>1758</v>
      </c>
      <c r="W440" s="17">
        <f>IF($T440="",1000000000000000,$T440)</f>
        <v>70320</v>
      </c>
      <c r="XFB440" s="5"/>
      <c r="XFC440" s="3"/>
    </row>
    <row r="441" spans="1:23 16382:16383" s="4" customFormat="1" ht="28.5" customHeight="1">
      <c r="A441" s="14">
        <f t="shared" si="75"/>
        <v>425</v>
      </c>
      <c r="B441" s="14" t="s">
        <v>12</v>
      </c>
      <c r="C441" s="14" t="s">
        <v>368</v>
      </c>
      <c r="D441" s="18" t="s">
        <v>45</v>
      </c>
      <c r="E441" s="14" t="s">
        <v>26</v>
      </c>
      <c r="F441" s="14" t="s">
        <v>369</v>
      </c>
      <c r="G441" s="15">
        <v>1768</v>
      </c>
      <c r="H441" s="15">
        <v>2178</v>
      </c>
      <c r="I441" s="15" t="s">
        <v>47</v>
      </c>
      <c r="J441" s="15">
        <v>1763</v>
      </c>
      <c r="K441" s="15">
        <f t="shared" si="74"/>
        <v>-10</v>
      </c>
      <c r="L441" s="15">
        <f t="shared" si="76"/>
        <v>1758</v>
      </c>
      <c r="M441" s="15">
        <f t="shared" si="77"/>
        <v>2168</v>
      </c>
      <c r="N441" s="15">
        <f t="shared" si="78"/>
        <v>1753</v>
      </c>
      <c r="O441" s="15" t="str">
        <f t="shared" si="79"/>
        <v>휘발유 70,320원</v>
      </c>
      <c r="P441" s="15">
        <f t="shared" si="80"/>
        <v>70320</v>
      </c>
      <c r="Q441" s="15"/>
      <c r="R441" s="16">
        <f t="shared" si="81"/>
        <v>0</v>
      </c>
      <c r="S441" s="15">
        <f t="shared" si="82"/>
        <v>0</v>
      </c>
      <c r="T441" s="15">
        <f t="shared" si="83"/>
        <v>70320</v>
      </c>
      <c r="U441" s="15">
        <f t="shared" si="84"/>
        <v>1758</v>
      </c>
      <c r="V441" s="15">
        <f t="shared" si="85"/>
        <v>1758</v>
      </c>
      <c r="W441" s="17">
        <f>IF($T441="",1000000000000000,$T441)</f>
        <v>70320</v>
      </c>
      <c r="XFB441" s="5"/>
      <c r="XFC441" s="3"/>
    </row>
    <row r="442" spans="1:23 16382:16383" s="4" customFormat="1" ht="28.5" customHeight="1">
      <c r="A442" s="14">
        <f t="shared" si="75"/>
        <v>428</v>
      </c>
      <c r="B442" s="14" t="s">
        <v>12</v>
      </c>
      <c r="C442" s="14" t="s">
        <v>973</v>
      </c>
      <c r="D442" s="18" t="s">
        <v>86</v>
      </c>
      <c r="E442" s="14" t="s">
        <v>26</v>
      </c>
      <c r="F442" s="14" t="s">
        <v>1048</v>
      </c>
      <c r="G442" s="15">
        <v>1954</v>
      </c>
      <c r="H442" s="15"/>
      <c r="I442" s="15"/>
      <c r="J442" s="15">
        <v>1899</v>
      </c>
      <c r="K442" s="15">
        <f t="shared" si="74"/>
        <v>0</v>
      </c>
      <c r="L442" s="15">
        <f t="shared" si="76"/>
        <v>1954</v>
      </c>
      <c r="M442" s="15" t="str">
        <f t="shared" si="77"/>
        <v/>
      </c>
      <c r="N442" s="15">
        <f t="shared" si="78"/>
        <v>1899</v>
      </c>
      <c r="O442" s="15" t="str">
        <f t="shared" si="79"/>
        <v>휘발유 78,160원</v>
      </c>
      <c r="P442" s="15">
        <f t="shared" si="80"/>
        <v>78160</v>
      </c>
      <c r="Q442" s="15" t="s">
        <v>47</v>
      </c>
      <c r="R442" s="16">
        <f t="shared" si="81"/>
        <v>0.1</v>
      </c>
      <c r="S442" s="15">
        <f t="shared" si="82"/>
        <v>7816</v>
      </c>
      <c r="T442" s="15">
        <f t="shared" si="83"/>
        <v>70344</v>
      </c>
      <c r="U442" s="15">
        <f t="shared" si="84"/>
        <v>1758.6</v>
      </c>
      <c r="V442" s="15">
        <f t="shared" si="85"/>
        <v>1954</v>
      </c>
      <c r="W442" s="17">
        <f>IF($T442="",1000000000000000,$T442)</f>
        <v>70344</v>
      </c>
      <c r="XFB442" s="5"/>
      <c r="XFC442" s="3"/>
    </row>
    <row r="443" spans="1:23 16382:16383" s="4" customFormat="1" ht="28.5" customHeight="1">
      <c r="A443" s="14">
        <f t="shared" si="75"/>
        <v>429</v>
      </c>
      <c r="B443" s="14" t="s">
        <v>10</v>
      </c>
      <c r="C443" s="14" t="s">
        <v>1049</v>
      </c>
      <c r="D443" s="14" t="s">
        <v>45</v>
      </c>
      <c r="E443" s="14" t="s">
        <v>26</v>
      </c>
      <c r="F443" s="14" t="s">
        <v>1050</v>
      </c>
      <c r="G443" s="15">
        <v>1759</v>
      </c>
      <c r="H443" s="15"/>
      <c r="I443" s="15"/>
      <c r="J443" s="15">
        <v>1744</v>
      </c>
      <c r="K443" s="15">
        <f t="shared" si="74"/>
        <v>0</v>
      </c>
      <c r="L443" s="15">
        <f t="shared" si="76"/>
        <v>1759</v>
      </c>
      <c r="M443" s="15" t="str">
        <f t="shared" si="77"/>
        <v/>
      </c>
      <c r="N443" s="15">
        <f t="shared" si="78"/>
        <v>1744</v>
      </c>
      <c r="O443" s="15" t="str">
        <f t="shared" si="79"/>
        <v>휘발유 70,360원</v>
      </c>
      <c r="P443" s="15">
        <f t="shared" si="80"/>
        <v>70360</v>
      </c>
      <c r="Q443" s="15"/>
      <c r="R443" s="16">
        <f t="shared" si="81"/>
        <v>0</v>
      </c>
      <c r="S443" s="15">
        <f t="shared" si="82"/>
        <v>0</v>
      </c>
      <c r="T443" s="15">
        <f t="shared" si="83"/>
        <v>70360</v>
      </c>
      <c r="U443" s="15">
        <f t="shared" si="84"/>
        <v>1759</v>
      </c>
      <c r="V443" s="15">
        <f t="shared" si="85"/>
        <v>1759</v>
      </c>
      <c r="W443" s="17">
        <f>IF($T443="",1000000000000000,$T443)</f>
        <v>70360</v>
      </c>
      <c r="XFB443" s="5"/>
      <c r="XFC443" s="3"/>
    </row>
    <row r="444" spans="1:23 16382:16383" s="4" customFormat="1" ht="28.5" customHeight="1">
      <c r="A444" s="14">
        <f t="shared" si="75"/>
        <v>430</v>
      </c>
      <c r="B444" s="14" t="s">
        <v>10</v>
      </c>
      <c r="C444" s="14" t="s">
        <v>1042</v>
      </c>
      <c r="D444" s="14" t="s">
        <v>45</v>
      </c>
      <c r="E444" s="14" t="s">
        <v>63</v>
      </c>
      <c r="F444" s="14" t="s">
        <v>1043</v>
      </c>
      <c r="G444" s="15">
        <v>1764</v>
      </c>
      <c r="H444" s="15"/>
      <c r="I444" s="15"/>
      <c r="J444" s="15">
        <v>1749</v>
      </c>
      <c r="K444" s="15">
        <v>0</v>
      </c>
      <c r="L444" s="15">
        <f t="shared" si="76"/>
        <v>1764</v>
      </c>
      <c r="M444" s="15" t="str">
        <f t="shared" si="77"/>
        <v/>
      </c>
      <c r="N444" s="15">
        <f t="shared" si="78"/>
        <v>1749</v>
      </c>
      <c r="O444" s="15" t="str">
        <f t="shared" si="79"/>
        <v>휘발유 70,560원</v>
      </c>
      <c r="P444" s="15">
        <f t="shared" si="80"/>
        <v>70560</v>
      </c>
      <c r="Q444" s="15"/>
      <c r="R444" s="16">
        <f t="shared" si="81"/>
        <v>0</v>
      </c>
      <c r="S444" s="15">
        <f t="shared" si="82"/>
        <v>0</v>
      </c>
      <c r="T444" s="15">
        <f t="shared" si="83"/>
        <v>70560</v>
      </c>
      <c r="U444" s="15">
        <f t="shared" si="84"/>
        <v>1764</v>
      </c>
      <c r="V444" s="15">
        <f t="shared" si="85"/>
        <v>1764</v>
      </c>
      <c r="W444" s="17">
        <f>IF($T444="",1000000000000000,$T444)</f>
        <v>70560</v>
      </c>
      <c r="XFB444" s="5"/>
      <c r="XFC444" s="3"/>
    </row>
    <row r="445" spans="1:23 16382:16383" s="4" customFormat="1" ht="28.5" customHeight="1">
      <c r="A445" s="14">
        <f t="shared" si="75"/>
        <v>431</v>
      </c>
      <c r="B445" s="14" t="s">
        <v>12</v>
      </c>
      <c r="C445" s="14" t="s">
        <v>340</v>
      </c>
      <c r="D445" s="18" t="s">
        <v>51</v>
      </c>
      <c r="E445" s="14" t="s">
        <v>26</v>
      </c>
      <c r="F445" s="14" t="s">
        <v>341</v>
      </c>
      <c r="G445" s="15">
        <v>1765</v>
      </c>
      <c r="H445" s="15">
        <v>2149</v>
      </c>
      <c r="I445" s="15"/>
      <c r="J445" s="15">
        <v>1765</v>
      </c>
      <c r="K445" s="15">
        <f t="shared" ref="K445:K468" si="86">IF(AND(IFERROR(SEARCH("현대오일뱅크",$C445),0)&gt;0,IFERROR(SEARCH("직영",$C445),0)&gt;0),$B$13,0)</f>
        <v>0</v>
      </c>
      <c r="L445" s="15">
        <f t="shared" si="76"/>
        <v>1765</v>
      </c>
      <c r="M445" s="15">
        <f t="shared" si="77"/>
        <v>2149</v>
      </c>
      <c r="N445" s="15">
        <f t="shared" si="78"/>
        <v>1765</v>
      </c>
      <c r="O445" s="15" t="str">
        <f t="shared" si="79"/>
        <v>휘발유 70,600원</v>
      </c>
      <c r="P445" s="15">
        <f t="shared" si="80"/>
        <v>70600</v>
      </c>
      <c r="Q445" s="15"/>
      <c r="R445" s="16">
        <f t="shared" si="81"/>
        <v>0</v>
      </c>
      <c r="S445" s="15">
        <f t="shared" si="82"/>
        <v>0</v>
      </c>
      <c r="T445" s="15">
        <f t="shared" si="83"/>
        <v>70600</v>
      </c>
      <c r="U445" s="15">
        <f t="shared" si="84"/>
        <v>1765</v>
      </c>
      <c r="V445" s="15">
        <f t="shared" si="85"/>
        <v>1765</v>
      </c>
      <c r="W445" s="17">
        <f>IF($T445="",1000000000000000,$T445)</f>
        <v>70600</v>
      </c>
      <c r="XFB445" s="5"/>
      <c r="XFC445" s="3"/>
    </row>
    <row r="446" spans="1:23 16382:16383" s="4" customFormat="1" ht="28.5" customHeight="1">
      <c r="A446" s="14">
        <f t="shared" si="75"/>
        <v>431</v>
      </c>
      <c r="B446" s="14" t="s">
        <v>10</v>
      </c>
      <c r="C446" s="14" t="s">
        <v>1238</v>
      </c>
      <c r="D446" s="14" t="s">
        <v>496</v>
      </c>
      <c r="E446" s="14" t="s">
        <v>26</v>
      </c>
      <c r="F446" s="14" t="s">
        <v>1239</v>
      </c>
      <c r="G446" s="15">
        <v>1765</v>
      </c>
      <c r="H446" s="15"/>
      <c r="I446" s="15"/>
      <c r="J446" s="15">
        <v>1745</v>
      </c>
      <c r="K446" s="15">
        <f t="shared" si="86"/>
        <v>0</v>
      </c>
      <c r="L446" s="15">
        <f t="shared" si="76"/>
        <v>1765</v>
      </c>
      <c r="M446" s="15" t="str">
        <f t="shared" si="77"/>
        <v/>
      </c>
      <c r="N446" s="15">
        <f t="shared" si="78"/>
        <v>1745</v>
      </c>
      <c r="O446" s="15" t="str">
        <f t="shared" si="79"/>
        <v>휘발유 70,600원</v>
      </c>
      <c r="P446" s="15">
        <f t="shared" si="80"/>
        <v>70600</v>
      </c>
      <c r="Q446" s="15"/>
      <c r="R446" s="16">
        <f t="shared" si="81"/>
        <v>0</v>
      </c>
      <c r="S446" s="15">
        <f t="shared" si="82"/>
        <v>0</v>
      </c>
      <c r="T446" s="15">
        <f t="shared" si="83"/>
        <v>70600</v>
      </c>
      <c r="U446" s="15">
        <f t="shared" si="84"/>
        <v>1765</v>
      </c>
      <c r="V446" s="15">
        <f t="shared" si="85"/>
        <v>1765</v>
      </c>
      <c r="W446" s="17">
        <f>IF($T446="",1000000000000000,$T446)</f>
        <v>70600</v>
      </c>
      <c r="XFB446" s="5"/>
      <c r="XFC446" s="3"/>
    </row>
    <row r="447" spans="1:23 16382:16383" s="4" customFormat="1" ht="28.5" customHeight="1">
      <c r="A447" s="14">
        <f t="shared" si="75"/>
        <v>431</v>
      </c>
      <c r="B447" s="14" t="s">
        <v>12</v>
      </c>
      <c r="C447" s="14" t="s">
        <v>1253</v>
      </c>
      <c r="D447" s="18" t="s">
        <v>95</v>
      </c>
      <c r="E447" s="14" t="s">
        <v>26</v>
      </c>
      <c r="F447" s="14" t="s">
        <v>1254</v>
      </c>
      <c r="G447" s="15">
        <v>1765</v>
      </c>
      <c r="H447" s="15"/>
      <c r="I447" s="15"/>
      <c r="J447" s="15">
        <v>1765</v>
      </c>
      <c r="K447" s="15">
        <f t="shared" si="86"/>
        <v>0</v>
      </c>
      <c r="L447" s="15">
        <f t="shared" si="76"/>
        <v>1765</v>
      </c>
      <c r="M447" s="15" t="str">
        <f t="shared" si="77"/>
        <v/>
      </c>
      <c r="N447" s="15">
        <f t="shared" si="78"/>
        <v>1765</v>
      </c>
      <c r="O447" s="15" t="str">
        <f t="shared" si="79"/>
        <v>휘발유 70,600원</v>
      </c>
      <c r="P447" s="15">
        <f t="shared" si="80"/>
        <v>70600</v>
      </c>
      <c r="Q447" s="15"/>
      <c r="R447" s="16">
        <f t="shared" si="81"/>
        <v>0</v>
      </c>
      <c r="S447" s="15">
        <f t="shared" si="82"/>
        <v>0</v>
      </c>
      <c r="T447" s="15">
        <f t="shared" si="83"/>
        <v>70600</v>
      </c>
      <c r="U447" s="15">
        <f t="shared" si="84"/>
        <v>1765</v>
      </c>
      <c r="V447" s="15">
        <f t="shared" si="85"/>
        <v>1765</v>
      </c>
      <c r="W447" s="17">
        <f>IF($T447="",1000000000000000,$T447)</f>
        <v>70600</v>
      </c>
      <c r="XFB447" s="5"/>
      <c r="XFC447" s="3"/>
    </row>
    <row r="448" spans="1:23 16382:16383" s="4" customFormat="1" ht="28.5" customHeight="1">
      <c r="A448" s="14">
        <f t="shared" si="75"/>
        <v>431</v>
      </c>
      <c r="B448" s="14" t="s">
        <v>12</v>
      </c>
      <c r="C448" s="14" t="s">
        <v>1059</v>
      </c>
      <c r="D448" s="18" t="s">
        <v>95</v>
      </c>
      <c r="E448" s="14" t="s">
        <v>26</v>
      </c>
      <c r="F448" s="14" t="s">
        <v>1060</v>
      </c>
      <c r="G448" s="15">
        <v>1765</v>
      </c>
      <c r="H448" s="15"/>
      <c r="I448" s="15"/>
      <c r="J448" s="15">
        <v>1765</v>
      </c>
      <c r="K448" s="15">
        <f t="shared" si="86"/>
        <v>0</v>
      </c>
      <c r="L448" s="15">
        <f t="shared" si="76"/>
        <v>1765</v>
      </c>
      <c r="M448" s="15" t="str">
        <f t="shared" si="77"/>
        <v/>
      </c>
      <c r="N448" s="15">
        <f t="shared" si="78"/>
        <v>1765</v>
      </c>
      <c r="O448" s="15" t="str">
        <f t="shared" si="79"/>
        <v>휘발유 70,600원</v>
      </c>
      <c r="P448" s="15">
        <f t="shared" si="80"/>
        <v>70600</v>
      </c>
      <c r="Q448" s="15"/>
      <c r="R448" s="16">
        <f t="shared" si="81"/>
        <v>0</v>
      </c>
      <c r="S448" s="15">
        <f t="shared" si="82"/>
        <v>0</v>
      </c>
      <c r="T448" s="15">
        <f t="shared" si="83"/>
        <v>70600</v>
      </c>
      <c r="U448" s="15">
        <f t="shared" si="84"/>
        <v>1765</v>
      </c>
      <c r="V448" s="15">
        <f t="shared" si="85"/>
        <v>1765</v>
      </c>
      <c r="W448" s="17">
        <f>IF($T448="",1000000000000000,$T448)</f>
        <v>70600</v>
      </c>
      <c r="XFB448" s="5"/>
      <c r="XFC448" s="3"/>
    </row>
    <row r="449" spans="1:23 16382:16383" s="4" customFormat="1" ht="28.5" customHeight="1">
      <c r="A449" s="14">
        <f t="shared" si="75"/>
        <v>435</v>
      </c>
      <c r="B449" s="14" t="s">
        <v>12</v>
      </c>
      <c r="C449" s="14" t="s">
        <v>338</v>
      </c>
      <c r="D449" s="18" t="s">
        <v>51</v>
      </c>
      <c r="E449" s="14" t="s">
        <v>26</v>
      </c>
      <c r="F449" s="14" t="s">
        <v>339</v>
      </c>
      <c r="G449" s="15">
        <v>1768</v>
      </c>
      <c r="H449" s="15">
        <v>2149</v>
      </c>
      <c r="I449" s="15"/>
      <c r="J449" s="15">
        <v>1778</v>
      </c>
      <c r="K449" s="15">
        <f t="shared" si="86"/>
        <v>0</v>
      </c>
      <c r="L449" s="15">
        <f t="shared" si="76"/>
        <v>1768</v>
      </c>
      <c r="M449" s="15">
        <f t="shared" si="77"/>
        <v>2149</v>
      </c>
      <c r="N449" s="15">
        <f t="shared" si="78"/>
        <v>1778</v>
      </c>
      <c r="O449" s="15" t="str">
        <f t="shared" si="79"/>
        <v>휘발유 70,720원</v>
      </c>
      <c r="P449" s="15">
        <f t="shared" si="80"/>
        <v>70720</v>
      </c>
      <c r="Q449" s="15"/>
      <c r="R449" s="16">
        <f t="shared" si="81"/>
        <v>0</v>
      </c>
      <c r="S449" s="15">
        <f t="shared" si="82"/>
        <v>0</v>
      </c>
      <c r="T449" s="15">
        <f t="shared" si="83"/>
        <v>70720</v>
      </c>
      <c r="U449" s="15">
        <f t="shared" si="84"/>
        <v>1768</v>
      </c>
      <c r="V449" s="15">
        <f t="shared" si="85"/>
        <v>1768</v>
      </c>
      <c r="W449" s="17">
        <f>IF($T449="",1000000000000000,$T449)</f>
        <v>70720</v>
      </c>
      <c r="XFB449" s="5"/>
      <c r="XFC449" s="3"/>
    </row>
    <row r="450" spans="1:23 16382:16383" s="4" customFormat="1" ht="28.5" customHeight="1">
      <c r="A450" s="14">
        <f t="shared" si="75"/>
        <v>436</v>
      </c>
      <c r="B450" s="14" t="s">
        <v>10</v>
      </c>
      <c r="C450" s="14" t="s">
        <v>231</v>
      </c>
      <c r="D450" s="18" t="s">
        <v>86</v>
      </c>
      <c r="E450" s="14" t="s">
        <v>26</v>
      </c>
      <c r="F450" s="14" t="s">
        <v>232</v>
      </c>
      <c r="G450" s="15">
        <v>1769</v>
      </c>
      <c r="H450" s="15">
        <v>2039</v>
      </c>
      <c r="I450" s="15"/>
      <c r="J450" s="15">
        <v>1748</v>
      </c>
      <c r="K450" s="15">
        <f t="shared" si="86"/>
        <v>0</v>
      </c>
      <c r="L450" s="15">
        <f t="shared" si="76"/>
        <v>1769</v>
      </c>
      <c r="M450" s="15">
        <f t="shared" si="77"/>
        <v>2039</v>
      </c>
      <c r="N450" s="15">
        <f t="shared" si="78"/>
        <v>1748</v>
      </c>
      <c r="O450" s="15" t="str">
        <f t="shared" si="79"/>
        <v>휘발유 70,760원</v>
      </c>
      <c r="P450" s="15">
        <f t="shared" si="80"/>
        <v>70760</v>
      </c>
      <c r="Q450" s="15"/>
      <c r="R450" s="16">
        <f t="shared" si="81"/>
        <v>0</v>
      </c>
      <c r="S450" s="15">
        <f t="shared" si="82"/>
        <v>0</v>
      </c>
      <c r="T450" s="15">
        <f t="shared" si="83"/>
        <v>70760</v>
      </c>
      <c r="U450" s="15">
        <f t="shared" si="84"/>
        <v>1769</v>
      </c>
      <c r="V450" s="15">
        <f t="shared" si="85"/>
        <v>1769</v>
      </c>
      <c r="W450" s="17">
        <f>IF($T450="",1000000000000000,$T450)</f>
        <v>70760</v>
      </c>
      <c r="XFB450" s="5"/>
      <c r="XFC450" s="3"/>
    </row>
    <row r="451" spans="1:23 16382:16383" s="4" customFormat="1" ht="28.5" customHeight="1">
      <c r="A451" s="14">
        <f t="shared" si="75"/>
        <v>436</v>
      </c>
      <c r="B451" s="14" t="s">
        <v>10</v>
      </c>
      <c r="C451" s="14" t="s">
        <v>677</v>
      </c>
      <c r="D451" s="14" t="s">
        <v>56</v>
      </c>
      <c r="E451" s="14" t="s">
        <v>26</v>
      </c>
      <c r="F451" s="14" t="s">
        <v>1065</v>
      </c>
      <c r="G451" s="15">
        <v>1769</v>
      </c>
      <c r="H451" s="15"/>
      <c r="I451" s="15"/>
      <c r="J451" s="15">
        <v>1759</v>
      </c>
      <c r="K451" s="15">
        <f t="shared" si="86"/>
        <v>0</v>
      </c>
      <c r="L451" s="15">
        <f t="shared" si="76"/>
        <v>1769</v>
      </c>
      <c r="M451" s="15" t="str">
        <f t="shared" si="77"/>
        <v/>
      </c>
      <c r="N451" s="15">
        <f t="shared" si="78"/>
        <v>1759</v>
      </c>
      <c r="O451" s="15" t="str">
        <f t="shared" si="79"/>
        <v>휘발유 70,760원</v>
      </c>
      <c r="P451" s="15">
        <f t="shared" si="80"/>
        <v>70760</v>
      </c>
      <c r="Q451" s="15"/>
      <c r="R451" s="16">
        <f t="shared" si="81"/>
        <v>0</v>
      </c>
      <c r="S451" s="15">
        <f t="shared" si="82"/>
        <v>0</v>
      </c>
      <c r="T451" s="15">
        <f t="shared" si="83"/>
        <v>70760</v>
      </c>
      <c r="U451" s="15">
        <f t="shared" si="84"/>
        <v>1769</v>
      </c>
      <c r="V451" s="15">
        <f t="shared" si="85"/>
        <v>1769</v>
      </c>
      <c r="W451" s="17">
        <f>IF($T451="",1000000000000000,$T451)</f>
        <v>70760</v>
      </c>
      <c r="XFB451" s="5"/>
      <c r="XFC451" s="3"/>
    </row>
    <row r="452" spans="1:23 16382:16383" s="4" customFormat="1" ht="28.5" customHeight="1">
      <c r="A452" s="14">
        <f t="shared" si="75"/>
        <v>438</v>
      </c>
      <c r="B452" s="14" t="s">
        <v>6</v>
      </c>
      <c r="C452" s="14" t="s">
        <v>201</v>
      </c>
      <c r="D452" s="14" t="s">
        <v>51</v>
      </c>
      <c r="E452" s="14" t="s">
        <v>26</v>
      </c>
      <c r="F452" s="14" t="s">
        <v>202</v>
      </c>
      <c r="G452" s="15">
        <v>1770</v>
      </c>
      <c r="H452" s="15">
        <v>2010</v>
      </c>
      <c r="I452" s="15"/>
      <c r="J452" s="15">
        <v>1748</v>
      </c>
      <c r="K452" s="15">
        <f t="shared" si="86"/>
        <v>0</v>
      </c>
      <c r="L452" s="15">
        <f t="shared" si="76"/>
        <v>1770</v>
      </c>
      <c r="M452" s="15">
        <f t="shared" si="77"/>
        <v>2010</v>
      </c>
      <c r="N452" s="15">
        <f t="shared" si="78"/>
        <v>1748</v>
      </c>
      <c r="O452" s="15" t="str">
        <f t="shared" si="79"/>
        <v>휘발유 70,800원</v>
      </c>
      <c r="P452" s="15">
        <f t="shared" si="80"/>
        <v>70800</v>
      </c>
      <c r="Q452" s="15"/>
      <c r="R452" s="16">
        <f t="shared" si="81"/>
        <v>0</v>
      </c>
      <c r="S452" s="15">
        <f t="shared" si="82"/>
        <v>0</v>
      </c>
      <c r="T452" s="15">
        <f t="shared" si="83"/>
        <v>70800</v>
      </c>
      <c r="U452" s="15">
        <f t="shared" si="84"/>
        <v>1770</v>
      </c>
      <c r="V452" s="15">
        <f t="shared" si="85"/>
        <v>1770</v>
      </c>
      <c r="W452" s="17">
        <f>IF($T452="",1000000000000000,$T452)</f>
        <v>70800</v>
      </c>
      <c r="XFB452" s="5"/>
      <c r="XFC452" s="3"/>
    </row>
    <row r="453" spans="1:23 16382:16383" s="4" customFormat="1" ht="28.5" customHeight="1">
      <c r="A453" s="14">
        <f t="shared" si="75"/>
        <v>438</v>
      </c>
      <c r="B453" s="14" t="s">
        <v>6</v>
      </c>
      <c r="C453" s="14" t="s">
        <v>107</v>
      </c>
      <c r="D453" s="14" t="s">
        <v>45</v>
      </c>
      <c r="E453" s="14" t="s">
        <v>26</v>
      </c>
      <c r="F453" s="14" t="s">
        <v>108</v>
      </c>
      <c r="G453" s="15">
        <v>1780</v>
      </c>
      <c r="H453" s="15">
        <v>2038</v>
      </c>
      <c r="I453" s="15"/>
      <c r="J453" s="15">
        <v>1750</v>
      </c>
      <c r="K453" s="15">
        <f t="shared" si="86"/>
        <v>-10</v>
      </c>
      <c r="L453" s="15">
        <f t="shared" si="76"/>
        <v>1770</v>
      </c>
      <c r="M453" s="15">
        <f t="shared" si="77"/>
        <v>2028</v>
      </c>
      <c r="N453" s="15">
        <f t="shared" si="78"/>
        <v>1740</v>
      </c>
      <c r="O453" s="15" t="str">
        <f t="shared" si="79"/>
        <v>휘발유 70,800원</v>
      </c>
      <c r="P453" s="15">
        <f t="shared" si="80"/>
        <v>70800</v>
      </c>
      <c r="Q453" s="15"/>
      <c r="R453" s="16">
        <f t="shared" si="81"/>
        <v>0</v>
      </c>
      <c r="S453" s="15">
        <f t="shared" si="82"/>
        <v>0</v>
      </c>
      <c r="T453" s="15">
        <f t="shared" si="83"/>
        <v>70800</v>
      </c>
      <c r="U453" s="15">
        <f t="shared" si="84"/>
        <v>1770</v>
      </c>
      <c r="V453" s="15">
        <f t="shared" si="85"/>
        <v>1770</v>
      </c>
      <c r="W453" s="17">
        <f>IF($T453="",1000000000000000,$T453)</f>
        <v>70800</v>
      </c>
      <c r="XFB453" s="5"/>
      <c r="XFC453" s="3"/>
    </row>
    <row r="454" spans="1:23 16382:16383" s="4" customFormat="1" ht="28.5" customHeight="1">
      <c r="A454" s="14">
        <f t="shared" si="75"/>
        <v>438</v>
      </c>
      <c r="B454" s="14" t="s">
        <v>10</v>
      </c>
      <c r="C454" s="14" t="s">
        <v>225</v>
      </c>
      <c r="D454" s="14" t="s">
        <v>45</v>
      </c>
      <c r="E454" s="14" t="s">
        <v>26</v>
      </c>
      <c r="F454" s="14" t="s">
        <v>226</v>
      </c>
      <c r="G454" s="15">
        <v>1780</v>
      </c>
      <c r="H454" s="15">
        <v>2043</v>
      </c>
      <c r="I454" s="15"/>
      <c r="J454" s="15">
        <v>1759</v>
      </c>
      <c r="K454" s="15">
        <f t="shared" si="86"/>
        <v>-10</v>
      </c>
      <c r="L454" s="15">
        <f t="shared" si="76"/>
        <v>1770</v>
      </c>
      <c r="M454" s="15">
        <f t="shared" si="77"/>
        <v>2033</v>
      </c>
      <c r="N454" s="15">
        <f t="shared" si="78"/>
        <v>1749</v>
      </c>
      <c r="O454" s="15" t="str">
        <f t="shared" si="79"/>
        <v>휘발유 70,800원</v>
      </c>
      <c r="P454" s="15">
        <f t="shared" si="80"/>
        <v>70800</v>
      </c>
      <c r="Q454" s="15"/>
      <c r="R454" s="16">
        <f t="shared" si="81"/>
        <v>0</v>
      </c>
      <c r="S454" s="15">
        <f t="shared" si="82"/>
        <v>0</v>
      </c>
      <c r="T454" s="15">
        <f t="shared" si="83"/>
        <v>70800</v>
      </c>
      <c r="U454" s="15">
        <f t="shared" si="84"/>
        <v>1770</v>
      </c>
      <c r="V454" s="15">
        <f t="shared" si="85"/>
        <v>1770</v>
      </c>
      <c r="W454" s="17">
        <f>IF($T454="",1000000000000000,$T454)</f>
        <v>70800</v>
      </c>
      <c r="XFB454" s="5"/>
      <c r="XFC454" s="3"/>
    </row>
    <row r="455" spans="1:23 16382:16383" s="4" customFormat="1" ht="28.5" customHeight="1">
      <c r="A455" s="14">
        <f t="shared" si="75"/>
        <v>438</v>
      </c>
      <c r="B455" s="14" t="s">
        <v>10</v>
      </c>
      <c r="C455" s="14" t="s">
        <v>239</v>
      </c>
      <c r="D455" s="14" t="s">
        <v>56</v>
      </c>
      <c r="E455" s="14" t="s">
        <v>26</v>
      </c>
      <c r="F455" s="14" t="s">
        <v>240</v>
      </c>
      <c r="G455" s="15">
        <v>1770</v>
      </c>
      <c r="H455" s="15">
        <v>2049</v>
      </c>
      <c r="I455" s="15"/>
      <c r="J455" s="15">
        <v>1750</v>
      </c>
      <c r="K455" s="15">
        <f t="shared" si="86"/>
        <v>0</v>
      </c>
      <c r="L455" s="15">
        <f t="shared" si="76"/>
        <v>1770</v>
      </c>
      <c r="M455" s="15">
        <f t="shared" si="77"/>
        <v>2049</v>
      </c>
      <c r="N455" s="15">
        <f t="shared" si="78"/>
        <v>1750</v>
      </c>
      <c r="O455" s="15" t="str">
        <f t="shared" si="79"/>
        <v>휘발유 70,800원</v>
      </c>
      <c r="P455" s="15">
        <f t="shared" si="80"/>
        <v>70800</v>
      </c>
      <c r="Q455" s="15"/>
      <c r="R455" s="16">
        <f t="shared" si="81"/>
        <v>0</v>
      </c>
      <c r="S455" s="15">
        <f t="shared" si="82"/>
        <v>0</v>
      </c>
      <c r="T455" s="15">
        <f t="shared" si="83"/>
        <v>70800</v>
      </c>
      <c r="U455" s="15">
        <f t="shared" si="84"/>
        <v>1770</v>
      </c>
      <c r="V455" s="15">
        <f t="shared" si="85"/>
        <v>1770</v>
      </c>
      <c r="W455" s="17">
        <f>IF($T455="",1000000000000000,$T455)</f>
        <v>70800</v>
      </c>
      <c r="XFB455" s="5"/>
      <c r="XFC455" s="3"/>
    </row>
    <row r="456" spans="1:23 16382:16383" s="5" customFormat="1" ht="28.65" customHeight="1">
      <c r="A456" s="14">
        <f t="shared" si="75"/>
        <v>438</v>
      </c>
      <c r="B456" s="14" t="s">
        <v>10</v>
      </c>
      <c r="C456" s="14" t="s">
        <v>1066</v>
      </c>
      <c r="D456" s="14" t="s">
        <v>51</v>
      </c>
      <c r="E456" s="14" t="s">
        <v>63</v>
      </c>
      <c r="F456" s="14" t="s">
        <v>1067</v>
      </c>
      <c r="G456" s="15">
        <v>1770</v>
      </c>
      <c r="H456" s="15"/>
      <c r="I456" s="15"/>
      <c r="J456" s="15">
        <v>1750</v>
      </c>
      <c r="K456" s="15">
        <f t="shared" si="86"/>
        <v>0</v>
      </c>
      <c r="L456" s="15">
        <f t="shared" si="76"/>
        <v>1770</v>
      </c>
      <c r="M456" s="15" t="str">
        <f t="shared" si="77"/>
        <v/>
      </c>
      <c r="N456" s="15">
        <f t="shared" si="78"/>
        <v>1750</v>
      </c>
      <c r="O456" s="15" t="str">
        <f t="shared" si="79"/>
        <v>휘발유 70,800원</v>
      </c>
      <c r="P456" s="15">
        <f t="shared" si="80"/>
        <v>70800</v>
      </c>
      <c r="Q456" s="15"/>
      <c r="R456" s="16">
        <f t="shared" si="81"/>
        <v>0</v>
      </c>
      <c r="S456" s="15">
        <f t="shared" si="82"/>
        <v>0</v>
      </c>
      <c r="T456" s="15">
        <f t="shared" si="83"/>
        <v>70800</v>
      </c>
      <c r="U456" s="15">
        <f t="shared" si="84"/>
        <v>1770</v>
      </c>
      <c r="V456" s="15">
        <f t="shared" si="85"/>
        <v>1770</v>
      </c>
      <c r="W456" s="17">
        <f>IF($T456="",1000000000000000,$T456)</f>
        <v>70800</v>
      </c>
      <c r="XFC456" s="3"/>
    </row>
    <row r="457" spans="1:23 16382:16383" s="4" customFormat="1" ht="28.5" customHeight="1">
      <c r="A457" s="14">
        <f t="shared" si="75"/>
        <v>438</v>
      </c>
      <c r="B457" s="14" t="s">
        <v>8</v>
      </c>
      <c r="C457" s="14" t="s">
        <v>1068</v>
      </c>
      <c r="D457" s="14" t="s">
        <v>45</v>
      </c>
      <c r="E457" s="14" t="s">
        <v>26</v>
      </c>
      <c r="F457" s="14" t="s">
        <v>1069</v>
      </c>
      <c r="G457" s="15">
        <v>1770</v>
      </c>
      <c r="H457" s="15"/>
      <c r="I457" s="15"/>
      <c r="J457" s="15">
        <v>1765</v>
      </c>
      <c r="K457" s="15">
        <f t="shared" si="86"/>
        <v>0</v>
      </c>
      <c r="L457" s="15">
        <f t="shared" si="76"/>
        <v>1770</v>
      </c>
      <c r="M457" s="15" t="str">
        <f t="shared" si="77"/>
        <v/>
      </c>
      <c r="N457" s="15">
        <f t="shared" si="78"/>
        <v>1765</v>
      </c>
      <c r="O457" s="15" t="str">
        <f t="shared" si="79"/>
        <v>휘발유 70,800원</v>
      </c>
      <c r="P457" s="15">
        <f t="shared" si="80"/>
        <v>70800</v>
      </c>
      <c r="Q457" s="15"/>
      <c r="R457" s="16">
        <f t="shared" si="81"/>
        <v>0</v>
      </c>
      <c r="S457" s="15">
        <f t="shared" si="82"/>
        <v>0</v>
      </c>
      <c r="T457" s="15">
        <f t="shared" si="83"/>
        <v>70800</v>
      </c>
      <c r="U457" s="15">
        <f t="shared" si="84"/>
        <v>1770</v>
      </c>
      <c r="V457" s="15">
        <f t="shared" si="85"/>
        <v>1770</v>
      </c>
      <c r="W457" s="17">
        <f>IF($T457="",1000000000000000,$T457)</f>
        <v>70800</v>
      </c>
      <c r="XFB457" s="5"/>
      <c r="XFC457" s="3"/>
    </row>
    <row r="458" spans="1:23 16382:16383" s="4" customFormat="1" ht="28.5" customHeight="1">
      <c r="A458" s="14">
        <f t="shared" si="75"/>
        <v>438</v>
      </c>
      <c r="B458" s="14" t="s">
        <v>8</v>
      </c>
      <c r="C458" s="14" t="s">
        <v>1070</v>
      </c>
      <c r="D458" s="14" t="s">
        <v>51</v>
      </c>
      <c r="E458" s="14" t="s">
        <v>26</v>
      </c>
      <c r="F458" s="14" t="s">
        <v>1071</v>
      </c>
      <c r="G458" s="15">
        <v>1770</v>
      </c>
      <c r="H458" s="15"/>
      <c r="I458" s="15"/>
      <c r="J458" s="15">
        <v>1765</v>
      </c>
      <c r="K458" s="15">
        <f t="shared" si="86"/>
        <v>0</v>
      </c>
      <c r="L458" s="15">
        <f t="shared" si="76"/>
        <v>1770</v>
      </c>
      <c r="M458" s="15" t="str">
        <f t="shared" si="77"/>
        <v/>
      </c>
      <c r="N458" s="15">
        <f t="shared" si="78"/>
        <v>1765</v>
      </c>
      <c r="O458" s="15" t="str">
        <f t="shared" si="79"/>
        <v>휘발유 70,800원</v>
      </c>
      <c r="P458" s="15">
        <f t="shared" si="80"/>
        <v>70800</v>
      </c>
      <c r="Q458" s="15"/>
      <c r="R458" s="16">
        <f t="shared" si="81"/>
        <v>0</v>
      </c>
      <c r="S458" s="15">
        <f t="shared" si="82"/>
        <v>0</v>
      </c>
      <c r="T458" s="15">
        <f t="shared" si="83"/>
        <v>70800</v>
      </c>
      <c r="U458" s="15">
        <f t="shared" si="84"/>
        <v>1770</v>
      </c>
      <c r="V458" s="15">
        <f t="shared" si="85"/>
        <v>1770</v>
      </c>
      <c r="W458" s="17">
        <f>IF($T458="",1000000000000000,$T458)</f>
        <v>70800</v>
      </c>
      <c r="XFB458" s="5"/>
      <c r="XFC458" s="3"/>
    </row>
    <row r="459" spans="1:23 16382:16383" s="4" customFormat="1" ht="28.5" customHeight="1">
      <c r="A459" s="14">
        <f t="shared" si="75"/>
        <v>438</v>
      </c>
      <c r="B459" s="14" t="s">
        <v>8</v>
      </c>
      <c r="C459" s="14" t="s">
        <v>1072</v>
      </c>
      <c r="D459" s="14" t="s">
        <v>56</v>
      </c>
      <c r="E459" s="14" t="s">
        <v>26</v>
      </c>
      <c r="F459" s="14" t="s">
        <v>1073</v>
      </c>
      <c r="G459" s="15">
        <v>1770</v>
      </c>
      <c r="H459" s="15"/>
      <c r="I459" s="15"/>
      <c r="J459" s="15">
        <v>1765</v>
      </c>
      <c r="K459" s="15">
        <f t="shared" si="86"/>
        <v>0</v>
      </c>
      <c r="L459" s="15">
        <f t="shared" si="76"/>
        <v>1770</v>
      </c>
      <c r="M459" s="15" t="str">
        <f t="shared" si="77"/>
        <v/>
      </c>
      <c r="N459" s="15">
        <f t="shared" si="78"/>
        <v>1765</v>
      </c>
      <c r="O459" s="15" t="str">
        <f t="shared" si="79"/>
        <v>휘발유 70,800원</v>
      </c>
      <c r="P459" s="15">
        <f t="shared" si="80"/>
        <v>70800</v>
      </c>
      <c r="Q459" s="15"/>
      <c r="R459" s="16">
        <f t="shared" si="81"/>
        <v>0</v>
      </c>
      <c r="S459" s="15">
        <f t="shared" si="82"/>
        <v>0</v>
      </c>
      <c r="T459" s="15">
        <f t="shared" si="83"/>
        <v>70800</v>
      </c>
      <c r="U459" s="15">
        <f t="shared" si="84"/>
        <v>1770</v>
      </c>
      <c r="V459" s="15">
        <f t="shared" si="85"/>
        <v>1770</v>
      </c>
      <c r="W459" s="17">
        <f>IF($T459="",1000000000000000,$T459)</f>
        <v>70800</v>
      </c>
      <c r="XFB459" s="5"/>
      <c r="XFC459" s="3"/>
    </row>
    <row r="460" spans="1:23 16382:16383" s="4" customFormat="1" ht="28.5" customHeight="1">
      <c r="A460" s="14">
        <f t="shared" si="75"/>
        <v>446</v>
      </c>
      <c r="B460" s="14" t="s">
        <v>8</v>
      </c>
      <c r="C460" s="14" t="s">
        <v>229</v>
      </c>
      <c r="D460" s="14" t="s">
        <v>45</v>
      </c>
      <c r="E460" s="14" t="s">
        <v>26</v>
      </c>
      <c r="F460" s="14" t="s">
        <v>230</v>
      </c>
      <c r="G460" s="15">
        <v>1782</v>
      </c>
      <c r="H460" s="15">
        <v>2044</v>
      </c>
      <c r="I460" s="15"/>
      <c r="J460" s="15">
        <v>1758</v>
      </c>
      <c r="K460" s="15">
        <f t="shared" si="86"/>
        <v>-10</v>
      </c>
      <c r="L460" s="15">
        <f t="shared" si="76"/>
        <v>1772</v>
      </c>
      <c r="M460" s="15">
        <f t="shared" si="77"/>
        <v>2034</v>
      </c>
      <c r="N460" s="15">
        <f t="shared" si="78"/>
        <v>1748</v>
      </c>
      <c r="O460" s="15" t="str">
        <f t="shared" si="79"/>
        <v>휘발유 70,880원</v>
      </c>
      <c r="P460" s="15">
        <f t="shared" si="80"/>
        <v>70880</v>
      </c>
      <c r="Q460" s="15"/>
      <c r="R460" s="16">
        <f t="shared" si="81"/>
        <v>0</v>
      </c>
      <c r="S460" s="15">
        <f t="shared" si="82"/>
        <v>0</v>
      </c>
      <c r="T460" s="15">
        <f t="shared" si="83"/>
        <v>70880</v>
      </c>
      <c r="U460" s="15">
        <f t="shared" si="84"/>
        <v>1772</v>
      </c>
      <c r="V460" s="15">
        <f t="shared" si="85"/>
        <v>1772</v>
      </c>
      <c r="W460" s="17">
        <f>IF($T460="",1000000000000000,$T460)</f>
        <v>70880</v>
      </c>
      <c r="XFB460" s="5"/>
      <c r="XFC460" s="3"/>
    </row>
    <row r="461" spans="1:23 16382:16383" s="4" customFormat="1" ht="28.5" customHeight="1">
      <c r="A461" s="14">
        <f t="shared" si="75"/>
        <v>446</v>
      </c>
      <c r="B461" s="14" t="s">
        <v>12</v>
      </c>
      <c r="C461" s="14" t="s">
        <v>1076</v>
      </c>
      <c r="D461" s="18" t="s">
        <v>51</v>
      </c>
      <c r="E461" s="14" t="s">
        <v>26</v>
      </c>
      <c r="F461" s="14" t="s">
        <v>1077</v>
      </c>
      <c r="G461" s="15">
        <v>1772</v>
      </c>
      <c r="H461" s="15"/>
      <c r="I461" s="15"/>
      <c r="J461" s="15">
        <v>1775</v>
      </c>
      <c r="K461" s="15">
        <f t="shared" si="86"/>
        <v>0</v>
      </c>
      <c r="L461" s="15">
        <f t="shared" si="76"/>
        <v>1772</v>
      </c>
      <c r="M461" s="15" t="str">
        <f t="shared" si="77"/>
        <v/>
      </c>
      <c r="N461" s="15">
        <f t="shared" si="78"/>
        <v>1775</v>
      </c>
      <c r="O461" s="15" t="str">
        <f t="shared" si="79"/>
        <v>휘발유 70,880원</v>
      </c>
      <c r="P461" s="15">
        <f t="shared" si="80"/>
        <v>70880</v>
      </c>
      <c r="Q461" s="15"/>
      <c r="R461" s="16">
        <f t="shared" si="81"/>
        <v>0</v>
      </c>
      <c r="S461" s="15">
        <f t="shared" si="82"/>
        <v>0</v>
      </c>
      <c r="T461" s="15">
        <f t="shared" si="83"/>
        <v>70880</v>
      </c>
      <c r="U461" s="15">
        <f t="shared" si="84"/>
        <v>1772</v>
      </c>
      <c r="V461" s="15">
        <f t="shared" si="85"/>
        <v>1772</v>
      </c>
      <c r="W461" s="17">
        <f>IF($T461="",1000000000000000,$T461)</f>
        <v>70880</v>
      </c>
      <c r="XFB461" s="5"/>
      <c r="XFC461" s="3"/>
    </row>
    <row r="462" spans="1:23 16382:16383" s="4" customFormat="1" ht="28.5" customHeight="1">
      <c r="A462" s="14">
        <f t="shared" si="75"/>
        <v>448</v>
      </c>
      <c r="B462" s="14" t="s">
        <v>10</v>
      </c>
      <c r="C462" s="14" t="s">
        <v>203</v>
      </c>
      <c r="D462" s="14" t="s">
        <v>51</v>
      </c>
      <c r="E462" s="14" t="s">
        <v>26</v>
      </c>
      <c r="F462" s="14" t="s">
        <v>204</v>
      </c>
      <c r="G462" s="15">
        <v>1773</v>
      </c>
      <c r="H462" s="15">
        <v>2033</v>
      </c>
      <c r="I462" s="15"/>
      <c r="J462" s="15">
        <v>1750</v>
      </c>
      <c r="K462" s="15">
        <f t="shared" si="86"/>
        <v>0</v>
      </c>
      <c r="L462" s="15">
        <f t="shared" si="76"/>
        <v>1773</v>
      </c>
      <c r="M462" s="15">
        <f t="shared" si="77"/>
        <v>2033</v>
      </c>
      <c r="N462" s="15">
        <f t="shared" si="78"/>
        <v>1750</v>
      </c>
      <c r="O462" s="15" t="str">
        <f t="shared" si="79"/>
        <v>휘발유 70,920원</v>
      </c>
      <c r="P462" s="15">
        <f t="shared" si="80"/>
        <v>70920</v>
      </c>
      <c r="Q462" s="15"/>
      <c r="R462" s="16">
        <f t="shared" si="81"/>
        <v>0</v>
      </c>
      <c r="S462" s="15">
        <f t="shared" si="82"/>
        <v>0</v>
      </c>
      <c r="T462" s="15">
        <f t="shared" si="83"/>
        <v>70920</v>
      </c>
      <c r="U462" s="15">
        <f t="shared" si="84"/>
        <v>1773</v>
      </c>
      <c r="V462" s="15">
        <f t="shared" si="85"/>
        <v>1773</v>
      </c>
      <c r="W462" s="17">
        <f>IF($T462="",1000000000000000,$T462)</f>
        <v>70920</v>
      </c>
      <c r="XFB462" s="5"/>
      <c r="XFC462" s="3"/>
    </row>
    <row r="463" spans="1:23 16382:16383" s="4" customFormat="1" ht="28.5" customHeight="1">
      <c r="A463" s="14">
        <f t="shared" ref="A463:A526" si="87">IF($T463="","",1+COUNTIF($W$15:$W$890,"&lt;"&amp;W463))</f>
        <v>448</v>
      </c>
      <c r="B463" s="14" t="s">
        <v>10</v>
      </c>
      <c r="C463" s="14" t="s">
        <v>1159</v>
      </c>
      <c r="D463" s="14" t="s">
        <v>294</v>
      </c>
      <c r="E463" s="14" t="s">
        <v>26</v>
      </c>
      <c r="F463" s="14" t="s">
        <v>1160</v>
      </c>
      <c r="G463" s="15">
        <v>1773</v>
      </c>
      <c r="H463" s="15"/>
      <c r="I463" s="15"/>
      <c r="J463" s="15">
        <v>1763</v>
      </c>
      <c r="K463" s="15">
        <f t="shared" si="86"/>
        <v>0</v>
      </c>
      <c r="L463" s="15">
        <f t="shared" ref="L463:L526" si="88">IF($G463="","",$G463+$K463)</f>
        <v>1773</v>
      </c>
      <c r="M463" s="15" t="str">
        <f t="shared" ref="M463:M526" si="89">IF($H463="","",$H463+$K463)</f>
        <v/>
      </c>
      <c r="N463" s="15">
        <f t="shared" ref="N463:N526" si="90">IF($J463="","",$J463+$K463)</f>
        <v>1763</v>
      </c>
      <c r="O463" s="15" t="str">
        <f t="shared" ref="O463:O526" si="91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>휘발유 70,920원</v>
      </c>
      <c r="P463" s="15">
        <f t="shared" ref="P463:P526" si="92">IF($B$10=0,"",IFERROR(IF($B$4&gt;0,IF($L463="",1/0,$L463*$B$4),0)+IF($B$5&gt;0,IF($M463="",1/0,$M463*$B$5),0)+IF($B$6&gt;0,IF($N463="",1/0,$N463*$B$6),0),""))</f>
        <v>70920</v>
      </c>
      <c r="Q463" s="15"/>
      <c r="R463" s="16">
        <f t="shared" ref="R463:R526" si="93">IF($P463="","",IF($Q463="Y",IFERROR(VLOOKUP($B463,$C$4:$D$13,2,FALSE()),0),0))</f>
        <v>0</v>
      </c>
      <c r="S463" s="15">
        <f t="shared" ref="S463:S526" si="94">IF($P463="","",ROUNDDOWN($P463*$R463,0))</f>
        <v>0</v>
      </c>
      <c r="T463" s="15">
        <f t="shared" ref="T463:T526" si="95">IF($P463="","",$P463-$S463)</f>
        <v>70920</v>
      </c>
      <c r="U463" s="15">
        <f t="shared" ref="U463:U526" si="96">IF($T463="","",IF($B$10=0,"",$T463/$B$10))</f>
        <v>1773</v>
      </c>
      <c r="V463" s="15">
        <f t="shared" si="85"/>
        <v>1773</v>
      </c>
      <c r="W463" s="17">
        <f>IF($T463="",1000000000000000,$T463)</f>
        <v>70920</v>
      </c>
      <c r="XFB463" s="5"/>
      <c r="XFC463" s="3"/>
    </row>
    <row r="464" spans="1:23 16382:16383" s="4" customFormat="1" ht="28.5" customHeight="1">
      <c r="A464" s="14">
        <f t="shared" si="87"/>
        <v>448</v>
      </c>
      <c r="B464" s="14" t="s">
        <v>12</v>
      </c>
      <c r="C464" s="14" t="s">
        <v>1078</v>
      </c>
      <c r="D464" s="18" t="s">
        <v>45</v>
      </c>
      <c r="E464" s="14" t="s">
        <v>26</v>
      </c>
      <c r="F464" s="14" t="s">
        <v>1079</v>
      </c>
      <c r="G464" s="15">
        <v>1773</v>
      </c>
      <c r="H464" s="15"/>
      <c r="I464" s="15"/>
      <c r="J464" s="15">
        <v>1775</v>
      </c>
      <c r="K464" s="15">
        <f t="shared" si="86"/>
        <v>0</v>
      </c>
      <c r="L464" s="15">
        <f t="shared" si="88"/>
        <v>1773</v>
      </c>
      <c r="M464" s="15" t="str">
        <f t="shared" si="89"/>
        <v/>
      </c>
      <c r="N464" s="15">
        <f t="shared" si="90"/>
        <v>1775</v>
      </c>
      <c r="O464" s="15" t="str">
        <f t="shared" si="91"/>
        <v>휘발유 70,920원</v>
      </c>
      <c r="P464" s="15">
        <f t="shared" si="92"/>
        <v>70920</v>
      </c>
      <c r="Q464" s="15"/>
      <c r="R464" s="16">
        <f t="shared" si="93"/>
        <v>0</v>
      </c>
      <c r="S464" s="15">
        <f t="shared" si="94"/>
        <v>0</v>
      </c>
      <c r="T464" s="15">
        <f t="shared" si="95"/>
        <v>70920</v>
      </c>
      <c r="U464" s="15">
        <f t="shared" si="96"/>
        <v>1773</v>
      </c>
      <c r="V464" s="15">
        <f t="shared" si="85"/>
        <v>1773</v>
      </c>
      <c r="W464" s="17">
        <f>IF($T464="",1000000000000000,$T464)</f>
        <v>70920</v>
      </c>
      <c r="XFB464" s="5"/>
      <c r="XFC464" s="3"/>
    </row>
    <row r="465" spans="1:23 16382:16383" s="4" customFormat="1" ht="28.5" customHeight="1">
      <c r="A465" s="14">
        <f t="shared" si="87"/>
        <v>451</v>
      </c>
      <c r="B465" s="14" t="s">
        <v>12</v>
      </c>
      <c r="C465" s="14" t="s">
        <v>211</v>
      </c>
      <c r="D465" s="14" t="s">
        <v>45</v>
      </c>
      <c r="E465" s="14" t="s">
        <v>26</v>
      </c>
      <c r="F465" s="14" t="s">
        <v>212</v>
      </c>
      <c r="G465" s="15">
        <v>1774</v>
      </c>
      <c r="H465" s="15">
        <v>2000</v>
      </c>
      <c r="I465" s="15"/>
      <c r="J465" s="15">
        <v>1774</v>
      </c>
      <c r="K465" s="15">
        <f t="shared" si="86"/>
        <v>0</v>
      </c>
      <c r="L465" s="15">
        <f t="shared" si="88"/>
        <v>1774</v>
      </c>
      <c r="M465" s="15">
        <f t="shared" si="89"/>
        <v>2000</v>
      </c>
      <c r="N465" s="15">
        <f t="shared" si="90"/>
        <v>1774</v>
      </c>
      <c r="O465" s="15" t="str">
        <f t="shared" si="91"/>
        <v>휘발유 70,960원</v>
      </c>
      <c r="P465" s="15">
        <f t="shared" si="92"/>
        <v>70960</v>
      </c>
      <c r="Q465" s="15"/>
      <c r="R465" s="16">
        <f t="shared" si="93"/>
        <v>0</v>
      </c>
      <c r="S465" s="15">
        <f t="shared" si="94"/>
        <v>0</v>
      </c>
      <c r="T465" s="15">
        <f t="shared" si="95"/>
        <v>70960</v>
      </c>
      <c r="U465" s="15">
        <f t="shared" si="96"/>
        <v>1774</v>
      </c>
      <c r="V465" s="15">
        <f t="shared" si="85"/>
        <v>1774</v>
      </c>
      <c r="W465" s="17">
        <f>IF($T465="",1000000000000000,$T465)</f>
        <v>70960</v>
      </c>
      <c r="XFB465" s="5"/>
      <c r="XFC465" s="3"/>
    </row>
    <row r="466" spans="1:23 16382:16383" s="4" customFormat="1" ht="28.5" customHeight="1">
      <c r="A466" s="14">
        <f t="shared" si="87"/>
        <v>451</v>
      </c>
      <c r="B466" s="14" t="s">
        <v>10</v>
      </c>
      <c r="C466" s="14" t="s">
        <v>233</v>
      </c>
      <c r="D466" s="14" t="s">
        <v>45</v>
      </c>
      <c r="E466" s="14" t="s">
        <v>63</v>
      </c>
      <c r="F466" s="14" t="s">
        <v>234</v>
      </c>
      <c r="G466" s="15">
        <v>1784</v>
      </c>
      <c r="H466" s="15">
        <v>2044</v>
      </c>
      <c r="I466" s="15"/>
      <c r="J466" s="15">
        <v>1749</v>
      </c>
      <c r="K466" s="15">
        <f t="shared" si="86"/>
        <v>-10</v>
      </c>
      <c r="L466" s="15">
        <f t="shared" si="88"/>
        <v>1774</v>
      </c>
      <c r="M466" s="15">
        <f t="shared" si="89"/>
        <v>2034</v>
      </c>
      <c r="N466" s="15">
        <f t="shared" si="90"/>
        <v>1739</v>
      </c>
      <c r="O466" s="15" t="str">
        <f t="shared" si="91"/>
        <v>휘발유 70,960원</v>
      </c>
      <c r="P466" s="15">
        <f t="shared" si="92"/>
        <v>70960</v>
      </c>
      <c r="Q466" s="15"/>
      <c r="R466" s="16">
        <f t="shared" si="93"/>
        <v>0</v>
      </c>
      <c r="S466" s="15">
        <f t="shared" si="94"/>
        <v>0</v>
      </c>
      <c r="T466" s="15">
        <f t="shared" si="95"/>
        <v>70960</v>
      </c>
      <c r="U466" s="15">
        <f t="shared" si="96"/>
        <v>1774</v>
      </c>
      <c r="V466" s="15">
        <f t="shared" si="85"/>
        <v>1774</v>
      </c>
      <c r="W466" s="17">
        <f>IF($T466="",1000000000000000,$T466)</f>
        <v>70960</v>
      </c>
      <c r="XFB466" s="5"/>
      <c r="XFC466" s="3"/>
    </row>
    <row r="467" spans="1:23 16382:16383" s="4" customFormat="1" ht="28.5" customHeight="1">
      <c r="A467" s="14">
        <f t="shared" si="87"/>
        <v>451</v>
      </c>
      <c r="B467" s="14" t="s">
        <v>10</v>
      </c>
      <c r="C467" s="14" t="s">
        <v>235</v>
      </c>
      <c r="D467" s="14" t="s">
        <v>45</v>
      </c>
      <c r="E467" s="14" t="s">
        <v>26</v>
      </c>
      <c r="F467" s="14" t="s">
        <v>236</v>
      </c>
      <c r="G467" s="15">
        <v>1784</v>
      </c>
      <c r="H467" s="15">
        <v>2044</v>
      </c>
      <c r="I467" s="15"/>
      <c r="J467" s="15">
        <v>1755</v>
      </c>
      <c r="K467" s="15">
        <f t="shared" si="86"/>
        <v>-10</v>
      </c>
      <c r="L467" s="15">
        <f t="shared" si="88"/>
        <v>1774</v>
      </c>
      <c r="M467" s="15">
        <f t="shared" si="89"/>
        <v>2034</v>
      </c>
      <c r="N467" s="15">
        <f t="shared" si="90"/>
        <v>1745</v>
      </c>
      <c r="O467" s="15" t="str">
        <f t="shared" si="91"/>
        <v>휘발유 70,960원</v>
      </c>
      <c r="P467" s="15">
        <f t="shared" si="92"/>
        <v>70960</v>
      </c>
      <c r="Q467" s="15"/>
      <c r="R467" s="16">
        <f t="shared" si="93"/>
        <v>0</v>
      </c>
      <c r="S467" s="15">
        <f t="shared" si="94"/>
        <v>0</v>
      </c>
      <c r="T467" s="15">
        <f t="shared" si="95"/>
        <v>70960</v>
      </c>
      <c r="U467" s="15">
        <f t="shared" si="96"/>
        <v>1774</v>
      </c>
      <c r="V467" s="15">
        <f t="shared" si="85"/>
        <v>1774</v>
      </c>
      <c r="W467" s="17">
        <f>IF($T467="",1000000000000000,$T467)</f>
        <v>70960</v>
      </c>
      <c r="XFB467" s="5"/>
      <c r="XFC467" s="3"/>
    </row>
    <row r="468" spans="1:23 16382:16383" s="4" customFormat="1" ht="28.5" customHeight="1">
      <c r="A468" s="14">
        <f t="shared" si="87"/>
        <v>451</v>
      </c>
      <c r="B468" s="14" t="s">
        <v>10</v>
      </c>
      <c r="C468" s="14" t="s">
        <v>291</v>
      </c>
      <c r="D468" s="14" t="s">
        <v>45</v>
      </c>
      <c r="E468" s="14" t="s">
        <v>26</v>
      </c>
      <c r="F468" s="14" t="s">
        <v>292</v>
      </c>
      <c r="G468" s="15">
        <v>1784</v>
      </c>
      <c r="H468" s="15">
        <v>2059</v>
      </c>
      <c r="I468" s="15" t="s">
        <v>47</v>
      </c>
      <c r="J468" s="15">
        <v>1735</v>
      </c>
      <c r="K468" s="15">
        <f t="shared" si="86"/>
        <v>-10</v>
      </c>
      <c r="L468" s="15">
        <f t="shared" si="88"/>
        <v>1774</v>
      </c>
      <c r="M468" s="15">
        <f t="shared" si="89"/>
        <v>2049</v>
      </c>
      <c r="N468" s="15">
        <f t="shared" si="90"/>
        <v>1725</v>
      </c>
      <c r="O468" s="15" t="str">
        <f t="shared" si="91"/>
        <v>휘발유 70,960원</v>
      </c>
      <c r="P468" s="15">
        <f t="shared" si="92"/>
        <v>70960</v>
      </c>
      <c r="Q468" s="15"/>
      <c r="R468" s="16">
        <f t="shared" si="93"/>
        <v>0</v>
      </c>
      <c r="S468" s="15">
        <f t="shared" si="94"/>
        <v>0</v>
      </c>
      <c r="T468" s="15">
        <f t="shared" si="95"/>
        <v>70960</v>
      </c>
      <c r="U468" s="15">
        <f t="shared" si="96"/>
        <v>1774</v>
      </c>
      <c r="V468" s="15">
        <f t="shared" si="85"/>
        <v>1774</v>
      </c>
      <c r="W468" s="17">
        <f>IF($T468="",1000000000000000,$T468)</f>
        <v>70960</v>
      </c>
      <c r="XFB468" s="5"/>
      <c r="XFC468" s="3"/>
    </row>
    <row r="469" spans="1:23 16382:16383" s="4" customFormat="1" ht="28.5" customHeight="1">
      <c r="A469" s="14">
        <f t="shared" si="87"/>
        <v>451</v>
      </c>
      <c r="B469" s="14" t="s">
        <v>10</v>
      </c>
      <c r="C469" s="14" t="s">
        <v>1055</v>
      </c>
      <c r="D469" s="14" t="s">
        <v>45</v>
      </c>
      <c r="E469" s="14" t="s">
        <v>26</v>
      </c>
      <c r="F469" s="14" t="s">
        <v>1056</v>
      </c>
      <c r="G469" s="15">
        <v>1774</v>
      </c>
      <c r="H469" s="15"/>
      <c r="I469" s="15"/>
      <c r="J469" s="15">
        <v>1769</v>
      </c>
      <c r="K469" s="15">
        <v>0</v>
      </c>
      <c r="L469" s="15">
        <f t="shared" si="88"/>
        <v>1774</v>
      </c>
      <c r="M469" s="15" t="str">
        <f t="shared" si="89"/>
        <v/>
      </c>
      <c r="N469" s="15">
        <f t="shared" si="90"/>
        <v>1769</v>
      </c>
      <c r="O469" s="15" t="str">
        <f t="shared" si="91"/>
        <v>휘발유 70,960원</v>
      </c>
      <c r="P469" s="15">
        <f t="shared" si="92"/>
        <v>70960</v>
      </c>
      <c r="Q469" s="15"/>
      <c r="R469" s="16">
        <f t="shared" si="93"/>
        <v>0</v>
      </c>
      <c r="S469" s="15">
        <f t="shared" si="94"/>
        <v>0</v>
      </c>
      <c r="T469" s="15">
        <f t="shared" si="95"/>
        <v>70960</v>
      </c>
      <c r="U469" s="15">
        <f t="shared" si="96"/>
        <v>1774</v>
      </c>
      <c r="V469" s="15">
        <f t="shared" si="85"/>
        <v>1774</v>
      </c>
      <c r="W469" s="17">
        <f>IF($T469="",1000000000000000,$T469)</f>
        <v>70960</v>
      </c>
      <c r="XFB469" s="5"/>
      <c r="XFC469" s="3"/>
    </row>
    <row r="470" spans="1:23 16382:16383" s="4" customFormat="1" ht="28.5" customHeight="1">
      <c r="A470" s="14">
        <f t="shared" si="87"/>
        <v>451</v>
      </c>
      <c r="B470" s="14" t="s">
        <v>18</v>
      </c>
      <c r="C470" s="14" t="s">
        <v>1082</v>
      </c>
      <c r="D470" s="14" t="s">
        <v>95</v>
      </c>
      <c r="E470" s="14" t="s">
        <v>26</v>
      </c>
      <c r="F470" s="14" t="s">
        <v>1083</v>
      </c>
      <c r="G470" s="15">
        <v>1774</v>
      </c>
      <c r="H470" s="15"/>
      <c r="I470" s="15"/>
      <c r="J470" s="15">
        <v>1774</v>
      </c>
      <c r="K470" s="15">
        <f t="shared" ref="K470:K501" si="97">IF(AND(IFERROR(SEARCH("현대오일뱅크",$C470),0)&gt;0,IFERROR(SEARCH("직영",$C470),0)&gt;0),$B$13,0)</f>
        <v>0</v>
      </c>
      <c r="L470" s="15">
        <f t="shared" si="88"/>
        <v>1774</v>
      </c>
      <c r="M470" s="15" t="str">
        <f t="shared" si="89"/>
        <v/>
      </c>
      <c r="N470" s="15">
        <f t="shared" si="90"/>
        <v>1774</v>
      </c>
      <c r="O470" s="15" t="str">
        <f t="shared" si="91"/>
        <v>휘발유 70,960원</v>
      </c>
      <c r="P470" s="15">
        <f t="shared" si="92"/>
        <v>70960</v>
      </c>
      <c r="Q470" s="15"/>
      <c r="R470" s="16">
        <f t="shared" si="93"/>
        <v>0</v>
      </c>
      <c r="S470" s="15">
        <f t="shared" si="94"/>
        <v>0</v>
      </c>
      <c r="T470" s="15">
        <f t="shared" si="95"/>
        <v>70960</v>
      </c>
      <c r="U470" s="15">
        <f t="shared" si="96"/>
        <v>1774</v>
      </c>
      <c r="V470" s="15">
        <f t="shared" si="85"/>
        <v>1774</v>
      </c>
      <c r="W470" s="17">
        <f>IF($T470="",1000000000000000,$T470)</f>
        <v>70960</v>
      </c>
      <c r="XFB470" s="5"/>
      <c r="XFC470" s="3"/>
    </row>
    <row r="471" spans="1:23 16382:16383" s="4" customFormat="1" ht="28.5" customHeight="1">
      <c r="A471" s="14">
        <f t="shared" si="87"/>
        <v>451</v>
      </c>
      <c r="B471" s="14" t="s">
        <v>18</v>
      </c>
      <c r="C471" s="14" t="s">
        <v>1084</v>
      </c>
      <c r="D471" s="14" t="s">
        <v>45</v>
      </c>
      <c r="E471" s="14" t="s">
        <v>26</v>
      </c>
      <c r="F471" s="14" t="s">
        <v>1085</v>
      </c>
      <c r="G471" s="15">
        <v>1774</v>
      </c>
      <c r="H471" s="15"/>
      <c r="I471" s="15"/>
      <c r="J471" s="15">
        <v>1774</v>
      </c>
      <c r="K471" s="15">
        <f t="shared" si="97"/>
        <v>0</v>
      </c>
      <c r="L471" s="15">
        <f t="shared" si="88"/>
        <v>1774</v>
      </c>
      <c r="M471" s="15" t="str">
        <f t="shared" si="89"/>
        <v/>
      </c>
      <c r="N471" s="15">
        <f t="shared" si="90"/>
        <v>1774</v>
      </c>
      <c r="O471" s="15" t="str">
        <f t="shared" si="91"/>
        <v>휘발유 70,960원</v>
      </c>
      <c r="P471" s="15">
        <f t="shared" si="92"/>
        <v>70960</v>
      </c>
      <c r="Q471" s="15"/>
      <c r="R471" s="16">
        <f t="shared" si="93"/>
        <v>0</v>
      </c>
      <c r="S471" s="15">
        <f t="shared" si="94"/>
        <v>0</v>
      </c>
      <c r="T471" s="15">
        <f t="shared" si="95"/>
        <v>70960</v>
      </c>
      <c r="U471" s="15">
        <f t="shared" si="96"/>
        <v>1774</v>
      </c>
      <c r="V471" s="15">
        <f t="shared" ref="V471:V534" si="98">IF($P471="","",IF($B$10=0,"",$P471/$B$10))</f>
        <v>1774</v>
      </c>
      <c r="W471" s="17">
        <f>IF($T471="",1000000000000000,$T471)</f>
        <v>70960</v>
      </c>
      <c r="XFB471" s="5"/>
      <c r="XFC471" s="3"/>
    </row>
    <row r="472" spans="1:23 16382:16383" s="5" customFormat="1" ht="28.65" customHeight="1">
      <c r="A472" s="14">
        <f t="shared" si="87"/>
        <v>451</v>
      </c>
      <c r="B472" s="14" t="s">
        <v>18</v>
      </c>
      <c r="C472" s="14" t="s">
        <v>1187</v>
      </c>
      <c r="D472" s="14" t="s">
        <v>45</v>
      </c>
      <c r="E472" s="14" t="s">
        <v>26</v>
      </c>
      <c r="F472" s="14" t="s">
        <v>1188</v>
      </c>
      <c r="G472" s="15">
        <v>1774</v>
      </c>
      <c r="H472" s="15"/>
      <c r="I472" s="15"/>
      <c r="J472" s="15">
        <v>1774</v>
      </c>
      <c r="K472" s="15">
        <f t="shared" si="97"/>
        <v>0</v>
      </c>
      <c r="L472" s="15">
        <f t="shared" si="88"/>
        <v>1774</v>
      </c>
      <c r="M472" s="15" t="str">
        <f t="shared" si="89"/>
        <v/>
      </c>
      <c r="N472" s="15">
        <f t="shared" si="90"/>
        <v>1774</v>
      </c>
      <c r="O472" s="15" t="str">
        <f t="shared" si="91"/>
        <v>휘발유 70,960원</v>
      </c>
      <c r="P472" s="15">
        <f t="shared" si="92"/>
        <v>70960</v>
      </c>
      <c r="Q472" s="15"/>
      <c r="R472" s="16">
        <f t="shared" si="93"/>
        <v>0</v>
      </c>
      <c r="S472" s="15">
        <f t="shared" si="94"/>
        <v>0</v>
      </c>
      <c r="T472" s="15">
        <f t="shared" si="95"/>
        <v>70960</v>
      </c>
      <c r="U472" s="15">
        <f t="shared" si="96"/>
        <v>1774</v>
      </c>
      <c r="V472" s="15">
        <f t="shared" si="98"/>
        <v>1774</v>
      </c>
      <c r="W472" s="17">
        <f>IF($T472="",1000000000000000,$T472)</f>
        <v>70960</v>
      </c>
      <c r="XFC472" s="3"/>
    </row>
    <row r="473" spans="1:23 16382:16383" s="4" customFormat="1" ht="28.5" customHeight="1">
      <c r="A473" s="14">
        <f t="shared" si="87"/>
        <v>451</v>
      </c>
      <c r="B473" s="14" t="s">
        <v>18</v>
      </c>
      <c r="C473" s="14" t="s">
        <v>1086</v>
      </c>
      <c r="D473" s="14" t="s">
        <v>95</v>
      </c>
      <c r="E473" s="14" t="s">
        <v>26</v>
      </c>
      <c r="F473" s="14" t="s">
        <v>1087</v>
      </c>
      <c r="G473" s="15">
        <v>1774</v>
      </c>
      <c r="H473" s="15"/>
      <c r="I473" s="15"/>
      <c r="J473" s="15">
        <v>1774</v>
      </c>
      <c r="K473" s="15">
        <f t="shared" si="97"/>
        <v>0</v>
      </c>
      <c r="L473" s="15">
        <f t="shared" si="88"/>
        <v>1774</v>
      </c>
      <c r="M473" s="15" t="str">
        <f t="shared" si="89"/>
        <v/>
      </c>
      <c r="N473" s="15">
        <f t="shared" si="90"/>
        <v>1774</v>
      </c>
      <c r="O473" s="15" t="str">
        <f t="shared" si="91"/>
        <v>휘발유 70,960원</v>
      </c>
      <c r="P473" s="15">
        <f t="shared" si="92"/>
        <v>70960</v>
      </c>
      <c r="Q473" s="15"/>
      <c r="R473" s="16">
        <f t="shared" si="93"/>
        <v>0</v>
      </c>
      <c r="S473" s="15">
        <f t="shared" si="94"/>
        <v>0</v>
      </c>
      <c r="T473" s="15">
        <f t="shared" si="95"/>
        <v>70960</v>
      </c>
      <c r="U473" s="15">
        <f t="shared" si="96"/>
        <v>1774</v>
      </c>
      <c r="V473" s="15">
        <f t="shared" si="98"/>
        <v>1774</v>
      </c>
      <c r="W473" s="17">
        <f>IF($T473="",1000000000000000,$T473)</f>
        <v>70960</v>
      </c>
      <c r="XFB473" s="5"/>
      <c r="XFC473" s="3"/>
    </row>
    <row r="474" spans="1:23 16382:16383" s="4" customFormat="1" ht="28.5" customHeight="1">
      <c r="A474" s="14">
        <f t="shared" si="87"/>
        <v>451</v>
      </c>
      <c r="B474" s="14" t="s">
        <v>12</v>
      </c>
      <c r="C474" s="14" t="s">
        <v>1057</v>
      </c>
      <c r="D474" s="18" t="s">
        <v>95</v>
      </c>
      <c r="E474" s="14" t="s">
        <v>26</v>
      </c>
      <c r="F474" s="14" t="s">
        <v>1058</v>
      </c>
      <c r="G474" s="15">
        <v>1774</v>
      </c>
      <c r="H474" s="15"/>
      <c r="I474" s="15"/>
      <c r="J474" s="15">
        <v>1774</v>
      </c>
      <c r="K474" s="15">
        <f t="shared" si="97"/>
        <v>0</v>
      </c>
      <c r="L474" s="15">
        <f t="shared" si="88"/>
        <v>1774</v>
      </c>
      <c r="M474" s="15" t="str">
        <f t="shared" si="89"/>
        <v/>
      </c>
      <c r="N474" s="15">
        <f t="shared" si="90"/>
        <v>1774</v>
      </c>
      <c r="O474" s="15" t="str">
        <f t="shared" si="91"/>
        <v>휘발유 70,960원</v>
      </c>
      <c r="P474" s="15">
        <f t="shared" si="92"/>
        <v>70960</v>
      </c>
      <c r="Q474" s="15"/>
      <c r="R474" s="16">
        <f t="shared" si="93"/>
        <v>0</v>
      </c>
      <c r="S474" s="15">
        <f t="shared" si="94"/>
        <v>0</v>
      </c>
      <c r="T474" s="15">
        <f t="shared" si="95"/>
        <v>70960</v>
      </c>
      <c r="U474" s="15">
        <f t="shared" si="96"/>
        <v>1774</v>
      </c>
      <c r="V474" s="15">
        <f t="shared" si="98"/>
        <v>1774</v>
      </c>
      <c r="W474" s="17">
        <f>IF($T474="",1000000000000000,$T474)</f>
        <v>70960</v>
      </c>
      <c r="XFB474" s="5"/>
      <c r="XFC474" s="3"/>
    </row>
    <row r="475" spans="1:23 16382:16383" s="4" customFormat="1" ht="28.5" customHeight="1">
      <c r="A475" s="14">
        <f t="shared" si="87"/>
        <v>461</v>
      </c>
      <c r="B475" s="14" t="s">
        <v>12</v>
      </c>
      <c r="C475" s="14" t="s">
        <v>336</v>
      </c>
      <c r="D475" s="18" t="s">
        <v>45</v>
      </c>
      <c r="E475" s="14" t="s">
        <v>26</v>
      </c>
      <c r="F475" s="14" t="s">
        <v>337</v>
      </c>
      <c r="G475" s="15">
        <v>1775</v>
      </c>
      <c r="H475" s="15">
        <v>2148</v>
      </c>
      <c r="I475" s="15"/>
      <c r="J475" s="15">
        <v>1799</v>
      </c>
      <c r="K475" s="15">
        <f t="shared" si="97"/>
        <v>0</v>
      </c>
      <c r="L475" s="15">
        <f t="shared" si="88"/>
        <v>1775</v>
      </c>
      <c r="M475" s="15">
        <f t="shared" si="89"/>
        <v>2148</v>
      </c>
      <c r="N475" s="15">
        <f t="shared" si="90"/>
        <v>1799</v>
      </c>
      <c r="O475" s="15" t="str">
        <f t="shared" si="91"/>
        <v>휘발유 71,000원</v>
      </c>
      <c r="P475" s="15">
        <f t="shared" si="92"/>
        <v>71000</v>
      </c>
      <c r="Q475" s="15"/>
      <c r="R475" s="16">
        <f t="shared" si="93"/>
        <v>0</v>
      </c>
      <c r="S475" s="15">
        <f t="shared" si="94"/>
        <v>0</v>
      </c>
      <c r="T475" s="15">
        <f t="shared" si="95"/>
        <v>71000</v>
      </c>
      <c r="U475" s="15">
        <f t="shared" si="96"/>
        <v>1775</v>
      </c>
      <c r="V475" s="15">
        <f t="shared" si="98"/>
        <v>1775</v>
      </c>
      <c r="W475" s="17">
        <f>IF($T475="",1000000000000000,$T475)</f>
        <v>71000</v>
      </c>
      <c r="XFB475" s="5"/>
      <c r="XFC475" s="3"/>
    </row>
    <row r="476" spans="1:23 16382:16383" s="5" customFormat="1" ht="28.65" customHeight="1">
      <c r="A476" s="14">
        <f t="shared" si="87"/>
        <v>461</v>
      </c>
      <c r="B476" s="14" t="s">
        <v>12</v>
      </c>
      <c r="C476" s="14" t="s">
        <v>1298</v>
      </c>
      <c r="D476" s="18" t="s">
        <v>51</v>
      </c>
      <c r="E476" s="14" t="s">
        <v>26</v>
      </c>
      <c r="F476" s="14" t="s">
        <v>1299</v>
      </c>
      <c r="G476" s="15">
        <v>1775</v>
      </c>
      <c r="H476" s="15"/>
      <c r="I476" s="15"/>
      <c r="J476" s="15">
        <v>1764</v>
      </c>
      <c r="K476" s="15">
        <f t="shared" si="97"/>
        <v>0</v>
      </c>
      <c r="L476" s="15">
        <f t="shared" si="88"/>
        <v>1775</v>
      </c>
      <c r="M476" s="15" t="str">
        <f t="shared" si="89"/>
        <v/>
      </c>
      <c r="N476" s="15">
        <f t="shared" si="90"/>
        <v>1764</v>
      </c>
      <c r="O476" s="15" t="str">
        <f t="shared" si="91"/>
        <v>휘발유 71,000원</v>
      </c>
      <c r="P476" s="15">
        <f t="shared" si="92"/>
        <v>71000</v>
      </c>
      <c r="Q476" s="15"/>
      <c r="R476" s="16">
        <f t="shared" si="93"/>
        <v>0</v>
      </c>
      <c r="S476" s="15">
        <f t="shared" si="94"/>
        <v>0</v>
      </c>
      <c r="T476" s="15">
        <f t="shared" si="95"/>
        <v>71000</v>
      </c>
      <c r="U476" s="15">
        <f t="shared" si="96"/>
        <v>1775</v>
      </c>
      <c r="V476" s="15">
        <f t="shared" si="98"/>
        <v>1775</v>
      </c>
      <c r="W476" s="17">
        <f>IF($T476="",1000000000000000,$T476)</f>
        <v>71000</v>
      </c>
      <c r="XFC476" s="3"/>
    </row>
    <row r="477" spans="1:23 16382:16383" s="4" customFormat="1" ht="28.5" customHeight="1">
      <c r="A477" s="14">
        <f t="shared" si="87"/>
        <v>461</v>
      </c>
      <c r="B477" s="14" t="s">
        <v>14</v>
      </c>
      <c r="C477" s="14" t="s">
        <v>1090</v>
      </c>
      <c r="D477" s="14" t="s">
        <v>45</v>
      </c>
      <c r="E477" s="14" t="s">
        <v>26</v>
      </c>
      <c r="F477" s="14" t="s">
        <v>1091</v>
      </c>
      <c r="G477" s="15">
        <v>1775</v>
      </c>
      <c r="H477" s="15"/>
      <c r="I477" s="15"/>
      <c r="J477" s="15">
        <v>1769</v>
      </c>
      <c r="K477" s="15">
        <f t="shared" si="97"/>
        <v>0</v>
      </c>
      <c r="L477" s="15">
        <f t="shared" si="88"/>
        <v>1775</v>
      </c>
      <c r="M477" s="15" t="str">
        <f t="shared" si="89"/>
        <v/>
      </c>
      <c r="N477" s="15">
        <f t="shared" si="90"/>
        <v>1769</v>
      </c>
      <c r="O477" s="15" t="str">
        <f t="shared" si="91"/>
        <v>휘발유 71,000원</v>
      </c>
      <c r="P477" s="15">
        <f t="shared" si="92"/>
        <v>71000</v>
      </c>
      <c r="Q477" s="15"/>
      <c r="R477" s="16">
        <f t="shared" si="93"/>
        <v>0</v>
      </c>
      <c r="S477" s="15">
        <f t="shared" si="94"/>
        <v>0</v>
      </c>
      <c r="T477" s="15">
        <f t="shared" si="95"/>
        <v>71000</v>
      </c>
      <c r="U477" s="15">
        <f t="shared" si="96"/>
        <v>1775</v>
      </c>
      <c r="V477" s="15">
        <f t="shared" si="98"/>
        <v>1775</v>
      </c>
      <c r="W477" s="17">
        <f>IF($T477="",1000000000000000,$T477)</f>
        <v>71000</v>
      </c>
      <c r="XFB477" s="5"/>
      <c r="XFC477" s="3"/>
    </row>
    <row r="478" spans="1:23 16382:16383" s="4" customFormat="1" ht="28.5" customHeight="1">
      <c r="A478" s="14">
        <f t="shared" si="87"/>
        <v>461</v>
      </c>
      <c r="B478" s="14" t="s">
        <v>14</v>
      </c>
      <c r="C478" s="14" t="s">
        <v>1092</v>
      </c>
      <c r="D478" s="14" t="s">
        <v>45</v>
      </c>
      <c r="E478" s="14" t="s">
        <v>26</v>
      </c>
      <c r="F478" s="14" t="s">
        <v>1093</v>
      </c>
      <c r="G478" s="15">
        <v>1775</v>
      </c>
      <c r="H478" s="15"/>
      <c r="I478" s="15"/>
      <c r="J478" s="15">
        <v>1769</v>
      </c>
      <c r="K478" s="15">
        <f t="shared" si="97"/>
        <v>0</v>
      </c>
      <c r="L478" s="15">
        <f t="shared" si="88"/>
        <v>1775</v>
      </c>
      <c r="M478" s="15" t="str">
        <f t="shared" si="89"/>
        <v/>
      </c>
      <c r="N478" s="15">
        <f t="shared" si="90"/>
        <v>1769</v>
      </c>
      <c r="O478" s="15" t="str">
        <f t="shared" si="91"/>
        <v>휘발유 71,000원</v>
      </c>
      <c r="P478" s="15">
        <f t="shared" si="92"/>
        <v>71000</v>
      </c>
      <c r="Q478" s="15"/>
      <c r="R478" s="16">
        <f t="shared" si="93"/>
        <v>0</v>
      </c>
      <c r="S478" s="15">
        <f t="shared" si="94"/>
        <v>0</v>
      </c>
      <c r="T478" s="15">
        <f t="shared" si="95"/>
        <v>71000</v>
      </c>
      <c r="U478" s="15">
        <f t="shared" si="96"/>
        <v>1775</v>
      </c>
      <c r="V478" s="15">
        <f t="shared" si="98"/>
        <v>1775</v>
      </c>
      <c r="W478" s="17">
        <f>IF($T478="",1000000000000000,$T478)</f>
        <v>71000</v>
      </c>
      <c r="XFB478" s="5"/>
      <c r="XFC478" s="3"/>
    </row>
    <row r="479" spans="1:23 16382:16383" s="4" customFormat="1" ht="28.5" customHeight="1">
      <c r="A479" s="14">
        <f t="shared" si="87"/>
        <v>461</v>
      </c>
      <c r="B479" s="14" t="s">
        <v>12</v>
      </c>
      <c r="C479" s="14" t="s">
        <v>1100</v>
      </c>
      <c r="D479" s="18" t="s">
        <v>95</v>
      </c>
      <c r="E479" s="14" t="s">
        <v>26</v>
      </c>
      <c r="F479" s="14" t="s">
        <v>1101</v>
      </c>
      <c r="G479" s="15">
        <v>1775</v>
      </c>
      <c r="H479" s="15"/>
      <c r="I479" s="15"/>
      <c r="J479" s="15">
        <v>1775</v>
      </c>
      <c r="K479" s="15">
        <f t="shared" si="97"/>
        <v>0</v>
      </c>
      <c r="L479" s="15">
        <f t="shared" si="88"/>
        <v>1775</v>
      </c>
      <c r="M479" s="15" t="str">
        <f t="shared" si="89"/>
        <v/>
      </c>
      <c r="N479" s="15">
        <f t="shared" si="90"/>
        <v>1775</v>
      </c>
      <c r="O479" s="15" t="str">
        <f t="shared" si="91"/>
        <v>휘발유 71,000원</v>
      </c>
      <c r="P479" s="15">
        <f t="shared" si="92"/>
        <v>71000</v>
      </c>
      <c r="Q479" s="15"/>
      <c r="R479" s="16">
        <f t="shared" si="93"/>
        <v>0</v>
      </c>
      <c r="S479" s="15">
        <f t="shared" si="94"/>
        <v>0</v>
      </c>
      <c r="T479" s="15">
        <f t="shared" si="95"/>
        <v>71000</v>
      </c>
      <c r="U479" s="15">
        <f t="shared" si="96"/>
        <v>1775</v>
      </c>
      <c r="V479" s="15">
        <f t="shared" si="98"/>
        <v>1775</v>
      </c>
      <c r="W479" s="17">
        <f>IF($T479="",1000000000000000,$T479)</f>
        <v>71000</v>
      </c>
      <c r="XFB479" s="5"/>
      <c r="XFC479" s="3"/>
    </row>
    <row r="480" spans="1:23 16382:16383" s="4" customFormat="1" ht="28.5" customHeight="1">
      <c r="A480" s="14">
        <f t="shared" si="87"/>
        <v>461</v>
      </c>
      <c r="B480" s="14" t="s">
        <v>12</v>
      </c>
      <c r="C480" s="14" t="s">
        <v>1094</v>
      </c>
      <c r="D480" s="18" t="s">
        <v>496</v>
      </c>
      <c r="E480" s="14" t="s">
        <v>26</v>
      </c>
      <c r="F480" s="14" t="s">
        <v>1095</v>
      </c>
      <c r="G480" s="15">
        <v>1775</v>
      </c>
      <c r="H480" s="15"/>
      <c r="I480" s="15"/>
      <c r="J480" s="15">
        <v>1775</v>
      </c>
      <c r="K480" s="15">
        <f t="shared" si="97"/>
        <v>0</v>
      </c>
      <c r="L480" s="15">
        <f t="shared" si="88"/>
        <v>1775</v>
      </c>
      <c r="M480" s="15" t="str">
        <f t="shared" si="89"/>
        <v/>
      </c>
      <c r="N480" s="15">
        <f t="shared" si="90"/>
        <v>1775</v>
      </c>
      <c r="O480" s="15" t="str">
        <f t="shared" si="91"/>
        <v>휘발유 71,000원</v>
      </c>
      <c r="P480" s="15">
        <f t="shared" si="92"/>
        <v>71000</v>
      </c>
      <c r="Q480" s="15"/>
      <c r="R480" s="16">
        <f t="shared" si="93"/>
        <v>0</v>
      </c>
      <c r="S480" s="15">
        <f t="shared" si="94"/>
        <v>0</v>
      </c>
      <c r="T480" s="15">
        <f t="shared" si="95"/>
        <v>71000</v>
      </c>
      <c r="U480" s="15">
        <f t="shared" si="96"/>
        <v>1775</v>
      </c>
      <c r="V480" s="15">
        <f t="shared" si="98"/>
        <v>1775</v>
      </c>
      <c r="W480" s="17">
        <f>IF($T480="",1000000000000000,$T480)</f>
        <v>71000</v>
      </c>
      <c r="XFB480" s="5"/>
      <c r="XFC480" s="3"/>
    </row>
    <row r="481" spans="1:23 16382:16383" s="4" customFormat="1" ht="28.5" customHeight="1">
      <c r="A481" s="14">
        <f t="shared" si="87"/>
        <v>461</v>
      </c>
      <c r="B481" s="14" t="s">
        <v>12</v>
      </c>
      <c r="C481" s="14" t="s">
        <v>1274</v>
      </c>
      <c r="D481" s="18" t="s">
        <v>45</v>
      </c>
      <c r="E481" s="14" t="s">
        <v>26</v>
      </c>
      <c r="F481" s="14" t="s">
        <v>1275</v>
      </c>
      <c r="G481" s="15">
        <v>1775</v>
      </c>
      <c r="H481" s="15"/>
      <c r="I481" s="15"/>
      <c r="J481" s="15">
        <v>1785</v>
      </c>
      <c r="K481" s="15">
        <f t="shared" si="97"/>
        <v>0</v>
      </c>
      <c r="L481" s="15">
        <f t="shared" si="88"/>
        <v>1775</v>
      </c>
      <c r="M481" s="15" t="str">
        <f t="shared" si="89"/>
        <v/>
      </c>
      <c r="N481" s="15">
        <f t="shared" si="90"/>
        <v>1785</v>
      </c>
      <c r="O481" s="15" t="str">
        <f t="shared" si="91"/>
        <v>휘발유 71,000원</v>
      </c>
      <c r="P481" s="15">
        <f t="shared" si="92"/>
        <v>71000</v>
      </c>
      <c r="Q481" s="15"/>
      <c r="R481" s="16">
        <f t="shared" si="93"/>
        <v>0</v>
      </c>
      <c r="S481" s="15">
        <f t="shared" si="94"/>
        <v>0</v>
      </c>
      <c r="T481" s="15">
        <f t="shared" si="95"/>
        <v>71000</v>
      </c>
      <c r="U481" s="15">
        <f t="shared" si="96"/>
        <v>1775</v>
      </c>
      <c r="V481" s="15">
        <f t="shared" si="98"/>
        <v>1775</v>
      </c>
      <c r="W481" s="17">
        <f>IF($T481="",1000000000000000,$T481)</f>
        <v>71000</v>
      </c>
      <c r="XFB481" s="5"/>
      <c r="XFC481" s="3"/>
    </row>
    <row r="482" spans="1:23 16382:16383" s="4" customFormat="1" ht="28.5" customHeight="1">
      <c r="A482" s="14">
        <f t="shared" si="87"/>
        <v>461</v>
      </c>
      <c r="B482" s="14" t="s">
        <v>12</v>
      </c>
      <c r="C482" s="14" t="s">
        <v>1098</v>
      </c>
      <c r="D482" s="18" t="s">
        <v>86</v>
      </c>
      <c r="E482" s="14" t="s">
        <v>26</v>
      </c>
      <c r="F482" s="14" t="s">
        <v>1099</v>
      </c>
      <c r="G482" s="15">
        <v>1775</v>
      </c>
      <c r="H482" s="15"/>
      <c r="I482" s="15"/>
      <c r="J482" s="15">
        <v>1785</v>
      </c>
      <c r="K482" s="15">
        <f t="shared" si="97"/>
        <v>0</v>
      </c>
      <c r="L482" s="15">
        <f t="shared" si="88"/>
        <v>1775</v>
      </c>
      <c r="M482" s="15" t="str">
        <f t="shared" si="89"/>
        <v/>
      </c>
      <c r="N482" s="15">
        <f t="shared" si="90"/>
        <v>1785</v>
      </c>
      <c r="O482" s="15" t="str">
        <f t="shared" si="91"/>
        <v>휘발유 71,000원</v>
      </c>
      <c r="P482" s="15">
        <f t="shared" si="92"/>
        <v>71000</v>
      </c>
      <c r="Q482" s="15"/>
      <c r="R482" s="16">
        <f t="shared" si="93"/>
        <v>0</v>
      </c>
      <c r="S482" s="15">
        <f t="shared" si="94"/>
        <v>0</v>
      </c>
      <c r="T482" s="15">
        <f t="shared" si="95"/>
        <v>71000</v>
      </c>
      <c r="U482" s="15">
        <f t="shared" si="96"/>
        <v>1775</v>
      </c>
      <c r="V482" s="15">
        <f t="shared" si="98"/>
        <v>1775</v>
      </c>
      <c r="W482" s="17">
        <f>IF($T482="",1000000000000000,$T482)</f>
        <v>71000</v>
      </c>
      <c r="XFB482" s="5"/>
      <c r="XFC482" s="3"/>
    </row>
    <row r="483" spans="1:23 16382:16383" s="4" customFormat="1" ht="28.5" customHeight="1">
      <c r="A483" s="14">
        <f t="shared" si="87"/>
        <v>461</v>
      </c>
      <c r="B483" s="14" t="s">
        <v>14</v>
      </c>
      <c r="C483" s="14" t="s">
        <v>1191</v>
      </c>
      <c r="D483" s="14" t="s">
        <v>45</v>
      </c>
      <c r="E483" s="14" t="s">
        <v>26</v>
      </c>
      <c r="F483" s="14" t="s">
        <v>1192</v>
      </c>
      <c r="G483" s="15">
        <v>1775</v>
      </c>
      <c r="H483" s="15"/>
      <c r="I483" s="15"/>
      <c r="J483" s="15">
        <v>1789</v>
      </c>
      <c r="K483" s="15">
        <f t="shared" si="97"/>
        <v>0</v>
      </c>
      <c r="L483" s="15">
        <f t="shared" si="88"/>
        <v>1775</v>
      </c>
      <c r="M483" s="15" t="str">
        <f t="shared" si="89"/>
        <v/>
      </c>
      <c r="N483" s="15">
        <f t="shared" si="90"/>
        <v>1789</v>
      </c>
      <c r="O483" s="15" t="str">
        <f t="shared" si="91"/>
        <v>휘발유 71,000원</v>
      </c>
      <c r="P483" s="15">
        <f t="shared" si="92"/>
        <v>71000</v>
      </c>
      <c r="Q483" s="15"/>
      <c r="R483" s="16">
        <f t="shared" si="93"/>
        <v>0</v>
      </c>
      <c r="S483" s="15">
        <f t="shared" si="94"/>
        <v>0</v>
      </c>
      <c r="T483" s="15">
        <f t="shared" si="95"/>
        <v>71000</v>
      </c>
      <c r="U483" s="15">
        <f t="shared" si="96"/>
        <v>1775</v>
      </c>
      <c r="V483" s="15">
        <f t="shared" si="98"/>
        <v>1775</v>
      </c>
      <c r="W483" s="17">
        <f>IF($T483="",1000000000000000,$T483)</f>
        <v>71000</v>
      </c>
      <c r="XFB483" s="5"/>
      <c r="XFC483" s="3"/>
    </row>
    <row r="484" spans="1:23 16382:16383" s="4" customFormat="1" ht="28.5" customHeight="1">
      <c r="A484" s="14">
        <f t="shared" si="87"/>
        <v>470</v>
      </c>
      <c r="B484" s="14" t="s">
        <v>14</v>
      </c>
      <c r="C484" s="14" t="s">
        <v>269</v>
      </c>
      <c r="D484" s="14" t="s">
        <v>51</v>
      </c>
      <c r="E484" s="14" t="s">
        <v>26</v>
      </c>
      <c r="F484" s="14" t="s">
        <v>270</v>
      </c>
      <c r="G484" s="15">
        <v>1776</v>
      </c>
      <c r="H484" s="15">
        <v>2050</v>
      </c>
      <c r="I484" s="15"/>
      <c r="J484" s="15">
        <v>1746</v>
      </c>
      <c r="K484" s="15">
        <f t="shared" si="97"/>
        <v>0</v>
      </c>
      <c r="L484" s="15">
        <f t="shared" si="88"/>
        <v>1776</v>
      </c>
      <c r="M484" s="15">
        <f t="shared" si="89"/>
        <v>2050</v>
      </c>
      <c r="N484" s="15">
        <f t="shared" si="90"/>
        <v>1746</v>
      </c>
      <c r="O484" s="15" t="str">
        <f t="shared" si="91"/>
        <v>휘발유 71,040원</v>
      </c>
      <c r="P484" s="15">
        <f t="shared" si="92"/>
        <v>71040</v>
      </c>
      <c r="Q484" s="15"/>
      <c r="R484" s="16">
        <f t="shared" si="93"/>
        <v>0</v>
      </c>
      <c r="S484" s="15">
        <f t="shared" si="94"/>
        <v>0</v>
      </c>
      <c r="T484" s="15">
        <f t="shared" si="95"/>
        <v>71040</v>
      </c>
      <c r="U484" s="15">
        <f t="shared" si="96"/>
        <v>1776</v>
      </c>
      <c r="V484" s="15">
        <f t="shared" si="98"/>
        <v>1776</v>
      </c>
      <c r="W484" s="17">
        <f>IF($T484="",1000000000000000,$T484)</f>
        <v>71040</v>
      </c>
      <c r="XFB484" s="5"/>
      <c r="XFC484" s="3"/>
    </row>
    <row r="485" spans="1:23 16382:16383" s="4" customFormat="1" ht="28.5" customHeight="1">
      <c r="A485" s="14">
        <f t="shared" si="87"/>
        <v>470</v>
      </c>
      <c r="B485" s="14" t="s">
        <v>14</v>
      </c>
      <c r="C485" s="14" t="s">
        <v>247</v>
      </c>
      <c r="D485" s="14" t="s">
        <v>51</v>
      </c>
      <c r="E485" s="14" t="s">
        <v>26</v>
      </c>
      <c r="F485" s="14" t="s">
        <v>248</v>
      </c>
      <c r="G485" s="15">
        <v>1776</v>
      </c>
      <c r="H485" s="15"/>
      <c r="I485" s="15"/>
      <c r="J485" s="15">
        <v>1746</v>
      </c>
      <c r="K485" s="15">
        <f t="shared" si="97"/>
        <v>0</v>
      </c>
      <c r="L485" s="15">
        <f t="shared" si="88"/>
        <v>1776</v>
      </c>
      <c r="M485" s="15" t="str">
        <f t="shared" si="89"/>
        <v/>
      </c>
      <c r="N485" s="15">
        <f t="shared" si="90"/>
        <v>1746</v>
      </c>
      <c r="O485" s="15" t="str">
        <f t="shared" si="91"/>
        <v>휘발유 71,040원</v>
      </c>
      <c r="P485" s="15">
        <f t="shared" si="92"/>
        <v>71040</v>
      </c>
      <c r="Q485" s="15"/>
      <c r="R485" s="16">
        <f t="shared" si="93"/>
        <v>0</v>
      </c>
      <c r="S485" s="15">
        <f t="shared" si="94"/>
        <v>0</v>
      </c>
      <c r="T485" s="15">
        <f t="shared" si="95"/>
        <v>71040</v>
      </c>
      <c r="U485" s="15">
        <f t="shared" si="96"/>
        <v>1776</v>
      </c>
      <c r="V485" s="15">
        <f t="shared" si="98"/>
        <v>1776</v>
      </c>
      <c r="W485" s="17">
        <f>IF($T485="",1000000000000000,$T485)</f>
        <v>71040</v>
      </c>
      <c r="XFB485" s="5"/>
      <c r="XFC485" s="3"/>
    </row>
    <row r="486" spans="1:23 16382:16383" s="4" customFormat="1" ht="28.5" customHeight="1">
      <c r="A486" s="14">
        <f t="shared" si="87"/>
        <v>470</v>
      </c>
      <c r="B486" s="14" t="s">
        <v>8</v>
      </c>
      <c r="C486" s="14" t="s">
        <v>1051</v>
      </c>
      <c r="D486" s="18" t="s">
        <v>86</v>
      </c>
      <c r="E486" s="14" t="s">
        <v>26</v>
      </c>
      <c r="F486" s="14" t="s">
        <v>1052</v>
      </c>
      <c r="G486" s="15">
        <v>1776</v>
      </c>
      <c r="H486" s="15"/>
      <c r="I486" s="15"/>
      <c r="J486" s="15">
        <v>1769</v>
      </c>
      <c r="K486" s="15">
        <f t="shared" si="97"/>
        <v>0</v>
      </c>
      <c r="L486" s="15">
        <f t="shared" si="88"/>
        <v>1776</v>
      </c>
      <c r="M486" s="15" t="str">
        <f t="shared" si="89"/>
        <v/>
      </c>
      <c r="N486" s="15">
        <f t="shared" si="90"/>
        <v>1769</v>
      </c>
      <c r="O486" s="15" t="str">
        <f t="shared" si="91"/>
        <v>휘발유 71,040원</v>
      </c>
      <c r="P486" s="15">
        <f t="shared" si="92"/>
        <v>71040</v>
      </c>
      <c r="Q486" s="15"/>
      <c r="R486" s="16">
        <f t="shared" si="93"/>
        <v>0</v>
      </c>
      <c r="S486" s="15">
        <f t="shared" si="94"/>
        <v>0</v>
      </c>
      <c r="T486" s="15">
        <f t="shared" si="95"/>
        <v>71040</v>
      </c>
      <c r="U486" s="15">
        <f t="shared" si="96"/>
        <v>1776</v>
      </c>
      <c r="V486" s="15">
        <f t="shared" si="98"/>
        <v>1776</v>
      </c>
      <c r="W486" s="17">
        <f>IF($T486="",1000000000000000,$T486)</f>
        <v>71040</v>
      </c>
      <c r="XFB486" s="5"/>
      <c r="XFC486" s="3"/>
    </row>
    <row r="487" spans="1:23 16382:16383" s="4" customFormat="1" ht="28.5" customHeight="1">
      <c r="A487" s="14">
        <f t="shared" si="87"/>
        <v>473</v>
      </c>
      <c r="B487" s="14" t="s">
        <v>10</v>
      </c>
      <c r="C487" s="14" t="s">
        <v>207</v>
      </c>
      <c r="D487" s="14" t="s">
        <v>51</v>
      </c>
      <c r="E487" s="14" t="s">
        <v>26</v>
      </c>
      <c r="F487" s="14" t="s">
        <v>208</v>
      </c>
      <c r="G487" s="15">
        <v>1777</v>
      </c>
      <c r="H487" s="15">
        <v>2029</v>
      </c>
      <c r="I487" s="15"/>
      <c r="J487" s="15">
        <v>1746</v>
      </c>
      <c r="K487" s="15">
        <f t="shared" si="97"/>
        <v>0</v>
      </c>
      <c r="L487" s="15">
        <f t="shared" si="88"/>
        <v>1777</v>
      </c>
      <c r="M487" s="15">
        <f t="shared" si="89"/>
        <v>2029</v>
      </c>
      <c r="N487" s="15">
        <f t="shared" si="90"/>
        <v>1746</v>
      </c>
      <c r="O487" s="15" t="str">
        <f t="shared" si="91"/>
        <v>휘발유 71,080원</v>
      </c>
      <c r="P487" s="15">
        <f t="shared" si="92"/>
        <v>71080</v>
      </c>
      <c r="Q487" s="15"/>
      <c r="R487" s="16">
        <f t="shared" si="93"/>
        <v>0</v>
      </c>
      <c r="S487" s="15">
        <f t="shared" si="94"/>
        <v>0</v>
      </c>
      <c r="T487" s="15">
        <f t="shared" si="95"/>
        <v>71080</v>
      </c>
      <c r="U487" s="15">
        <f t="shared" si="96"/>
        <v>1777</v>
      </c>
      <c r="V487" s="15">
        <f t="shared" si="98"/>
        <v>1777</v>
      </c>
      <c r="W487" s="17">
        <f>IF($T487="",1000000000000000,$T487)</f>
        <v>71080</v>
      </c>
      <c r="XFB487" s="5"/>
      <c r="XFC487" s="3"/>
    </row>
    <row r="488" spans="1:23 16382:16383" s="4" customFormat="1" ht="28.5" customHeight="1">
      <c r="A488" s="14">
        <f t="shared" si="87"/>
        <v>473</v>
      </c>
      <c r="B488" s="14" t="s">
        <v>8</v>
      </c>
      <c r="C488" s="14" t="s">
        <v>1110</v>
      </c>
      <c r="D488" s="14" t="s">
        <v>51</v>
      </c>
      <c r="E488" s="14" t="s">
        <v>26</v>
      </c>
      <c r="F488" s="14" t="s">
        <v>1111</v>
      </c>
      <c r="G488" s="15">
        <v>1777</v>
      </c>
      <c r="H488" s="15"/>
      <c r="I488" s="15"/>
      <c r="J488" s="15">
        <v>1738</v>
      </c>
      <c r="K488" s="15">
        <f t="shared" si="97"/>
        <v>0</v>
      </c>
      <c r="L488" s="15">
        <f t="shared" si="88"/>
        <v>1777</v>
      </c>
      <c r="M488" s="15" t="str">
        <f t="shared" si="89"/>
        <v/>
      </c>
      <c r="N488" s="15">
        <f t="shared" si="90"/>
        <v>1738</v>
      </c>
      <c r="O488" s="15" t="str">
        <f t="shared" si="91"/>
        <v>휘발유 71,080원</v>
      </c>
      <c r="P488" s="15">
        <f t="shared" si="92"/>
        <v>71080</v>
      </c>
      <c r="Q488" s="15"/>
      <c r="R488" s="16">
        <f t="shared" si="93"/>
        <v>0</v>
      </c>
      <c r="S488" s="15">
        <f t="shared" si="94"/>
        <v>0</v>
      </c>
      <c r="T488" s="15">
        <f t="shared" si="95"/>
        <v>71080</v>
      </c>
      <c r="U488" s="15">
        <f t="shared" si="96"/>
        <v>1777</v>
      </c>
      <c r="V488" s="15">
        <f t="shared" si="98"/>
        <v>1777</v>
      </c>
      <c r="W488" s="17">
        <f>IF($T488="",1000000000000000,$T488)</f>
        <v>71080</v>
      </c>
      <c r="XFB488" s="5"/>
      <c r="XFC488" s="3"/>
    </row>
    <row r="489" spans="1:23 16382:16383" s="4" customFormat="1" ht="28.5" customHeight="1">
      <c r="A489" s="14">
        <f t="shared" si="87"/>
        <v>473</v>
      </c>
      <c r="B489" s="14" t="s">
        <v>18</v>
      </c>
      <c r="C489" s="14" t="s">
        <v>1108</v>
      </c>
      <c r="D489" s="18" t="s">
        <v>45</v>
      </c>
      <c r="E489" s="14" t="s">
        <v>26</v>
      </c>
      <c r="F489" s="14" t="s">
        <v>1109</v>
      </c>
      <c r="G489" s="15">
        <v>1777</v>
      </c>
      <c r="H489" s="15"/>
      <c r="I489" s="15"/>
      <c r="J489" s="15">
        <v>1777</v>
      </c>
      <c r="K489" s="15">
        <f t="shared" si="97"/>
        <v>0</v>
      </c>
      <c r="L489" s="15">
        <f t="shared" si="88"/>
        <v>1777</v>
      </c>
      <c r="M489" s="15" t="str">
        <f t="shared" si="89"/>
        <v/>
      </c>
      <c r="N489" s="15">
        <f t="shared" si="90"/>
        <v>1777</v>
      </c>
      <c r="O489" s="15" t="str">
        <f t="shared" si="91"/>
        <v>휘발유 71,080원</v>
      </c>
      <c r="P489" s="15">
        <f t="shared" si="92"/>
        <v>71080</v>
      </c>
      <c r="Q489" s="15"/>
      <c r="R489" s="16">
        <f t="shared" si="93"/>
        <v>0</v>
      </c>
      <c r="S489" s="15">
        <f t="shared" si="94"/>
        <v>0</v>
      </c>
      <c r="T489" s="15">
        <f t="shared" si="95"/>
        <v>71080</v>
      </c>
      <c r="U489" s="15">
        <f t="shared" si="96"/>
        <v>1777</v>
      </c>
      <c r="V489" s="15">
        <f t="shared" si="98"/>
        <v>1777</v>
      </c>
      <c r="W489" s="17">
        <f>IF($T489="",1000000000000000,$T489)</f>
        <v>71080</v>
      </c>
      <c r="XFB489" s="5"/>
      <c r="XFC489" s="3"/>
    </row>
    <row r="490" spans="1:23 16382:16383" s="4" customFormat="1" ht="28.5" customHeight="1">
      <c r="A490" s="14">
        <f t="shared" si="87"/>
        <v>473</v>
      </c>
      <c r="B490" s="14" t="s">
        <v>8</v>
      </c>
      <c r="C490" s="14" t="s">
        <v>1386</v>
      </c>
      <c r="D490" s="14" t="s">
        <v>496</v>
      </c>
      <c r="E490" s="14" t="s">
        <v>26</v>
      </c>
      <c r="F490" s="14" t="s">
        <v>1387</v>
      </c>
      <c r="G490" s="15">
        <v>1777</v>
      </c>
      <c r="H490" s="15"/>
      <c r="I490" s="15"/>
      <c r="J490" s="15">
        <v>1777</v>
      </c>
      <c r="K490" s="15">
        <f t="shared" si="97"/>
        <v>0</v>
      </c>
      <c r="L490" s="15">
        <f t="shared" si="88"/>
        <v>1777</v>
      </c>
      <c r="M490" s="15" t="str">
        <f t="shared" si="89"/>
        <v/>
      </c>
      <c r="N490" s="15">
        <f t="shared" si="90"/>
        <v>1777</v>
      </c>
      <c r="O490" s="15" t="str">
        <f t="shared" si="91"/>
        <v>휘발유 71,080원</v>
      </c>
      <c r="P490" s="15">
        <f t="shared" si="92"/>
        <v>71080</v>
      </c>
      <c r="Q490" s="15"/>
      <c r="R490" s="16">
        <f t="shared" si="93"/>
        <v>0</v>
      </c>
      <c r="S490" s="15">
        <f t="shared" si="94"/>
        <v>0</v>
      </c>
      <c r="T490" s="15">
        <f t="shared" si="95"/>
        <v>71080</v>
      </c>
      <c r="U490" s="15">
        <f t="shared" si="96"/>
        <v>1777</v>
      </c>
      <c r="V490" s="15">
        <f t="shared" si="98"/>
        <v>1777</v>
      </c>
      <c r="W490" s="17">
        <f>IF($T490="",1000000000000000,$T490)</f>
        <v>71080</v>
      </c>
      <c r="XFB490" s="5"/>
      <c r="XFC490" s="3"/>
    </row>
    <row r="491" spans="1:23 16382:16383" s="4" customFormat="1" ht="28.5" customHeight="1">
      <c r="A491" s="14">
        <f t="shared" si="87"/>
        <v>473</v>
      </c>
      <c r="B491" s="14" t="s">
        <v>10</v>
      </c>
      <c r="C491" s="14" t="s">
        <v>1157</v>
      </c>
      <c r="D491" s="14" t="s">
        <v>294</v>
      </c>
      <c r="E491" s="14" t="s">
        <v>26</v>
      </c>
      <c r="F491" s="14" t="s">
        <v>1158</v>
      </c>
      <c r="G491" s="15">
        <v>1777</v>
      </c>
      <c r="H491" s="15"/>
      <c r="I491" s="15"/>
      <c r="J491" s="15">
        <v>1777</v>
      </c>
      <c r="K491" s="15">
        <f t="shared" si="97"/>
        <v>0</v>
      </c>
      <c r="L491" s="15">
        <f t="shared" si="88"/>
        <v>1777</v>
      </c>
      <c r="M491" s="15" t="str">
        <f t="shared" si="89"/>
        <v/>
      </c>
      <c r="N491" s="15">
        <f t="shared" si="90"/>
        <v>1777</v>
      </c>
      <c r="O491" s="15" t="str">
        <f t="shared" si="91"/>
        <v>휘발유 71,080원</v>
      </c>
      <c r="P491" s="15">
        <f t="shared" si="92"/>
        <v>71080</v>
      </c>
      <c r="Q491" s="15"/>
      <c r="R491" s="16">
        <f t="shared" si="93"/>
        <v>0</v>
      </c>
      <c r="S491" s="15">
        <f t="shared" si="94"/>
        <v>0</v>
      </c>
      <c r="T491" s="15">
        <f t="shared" si="95"/>
        <v>71080</v>
      </c>
      <c r="U491" s="15">
        <f t="shared" si="96"/>
        <v>1777</v>
      </c>
      <c r="V491" s="15">
        <f t="shared" si="98"/>
        <v>1777</v>
      </c>
      <c r="W491" s="17">
        <f>IF($T491="",1000000000000000,$T491)</f>
        <v>71080</v>
      </c>
      <c r="XFB491" s="5"/>
      <c r="XFC491" s="3"/>
    </row>
    <row r="492" spans="1:23 16382:16383" s="4" customFormat="1" ht="28.5" customHeight="1">
      <c r="A492" s="14">
        <f t="shared" si="87"/>
        <v>478</v>
      </c>
      <c r="B492" s="14" t="s">
        <v>12</v>
      </c>
      <c r="C492" s="14" t="s">
        <v>1112</v>
      </c>
      <c r="D492" s="18" t="s">
        <v>95</v>
      </c>
      <c r="E492" s="14" t="s">
        <v>26</v>
      </c>
      <c r="F492" s="14" t="s">
        <v>1113</v>
      </c>
      <c r="G492" s="15">
        <v>1975</v>
      </c>
      <c r="H492" s="15"/>
      <c r="I492" s="15"/>
      <c r="J492" s="15">
        <v>1975</v>
      </c>
      <c r="K492" s="15">
        <f t="shared" si="97"/>
        <v>0</v>
      </c>
      <c r="L492" s="15">
        <f t="shared" si="88"/>
        <v>1975</v>
      </c>
      <c r="M492" s="15" t="str">
        <f t="shared" si="89"/>
        <v/>
      </c>
      <c r="N492" s="15">
        <f t="shared" si="90"/>
        <v>1975</v>
      </c>
      <c r="O492" s="15" t="str">
        <f t="shared" si="91"/>
        <v>휘발유 79,000원</v>
      </c>
      <c r="P492" s="15">
        <f t="shared" si="92"/>
        <v>79000</v>
      </c>
      <c r="Q492" s="15" t="s">
        <v>47</v>
      </c>
      <c r="R492" s="16">
        <f t="shared" si="93"/>
        <v>0.1</v>
      </c>
      <c r="S492" s="15">
        <f t="shared" si="94"/>
        <v>7900</v>
      </c>
      <c r="T492" s="15">
        <f t="shared" si="95"/>
        <v>71100</v>
      </c>
      <c r="U492" s="15">
        <f t="shared" si="96"/>
        <v>1777.5</v>
      </c>
      <c r="V492" s="15">
        <f t="shared" si="98"/>
        <v>1975</v>
      </c>
      <c r="W492" s="17">
        <f>IF($T492="",1000000000000000,$T492)</f>
        <v>71100</v>
      </c>
      <c r="XFB492" s="5"/>
      <c r="XFC492" s="3"/>
    </row>
    <row r="493" spans="1:23 16382:16383" s="4" customFormat="1" ht="28.5" customHeight="1">
      <c r="A493" s="14">
        <f t="shared" si="87"/>
        <v>479</v>
      </c>
      <c r="B493" s="14" t="s">
        <v>10</v>
      </c>
      <c r="C493" s="14" t="s">
        <v>209</v>
      </c>
      <c r="D493" s="14" t="s">
        <v>51</v>
      </c>
      <c r="E493" s="14" t="s">
        <v>26</v>
      </c>
      <c r="F493" s="14" t="s">
        <v>210</v>
      </c>
      <c r="G493" s="15">
        <v>1778</v>
      </c>
      <c r="H493" s="15">
        <v>2038</v>
      </c>
      <c r="I493" s="15"/>
      <c r="J493" s="15">
        <v>1737</v>
      </c>
      <c r="K493" s="15">
        <f t="shared" si="97"/>
        <v>0</v>
      </c>
      <c r="L493" s="15">
        <f t="shared" si="88"/>
        <v>1778</v>
      </c>
      <c r="M493" s="15">
        <f t="shared" si="89"/>
        <v>2038</v>
      </c>
      <c r="N493" s="15">
        <f t="shared" si="90"/>
        <v>1737</v>
      </c>
      <c r="O493" s="15" t="str">
        <f t="shared" si="91"/>
        <v>휘발유 71,120원</v>
      </c>
      <c r="P493" s="15">
        <f t="shared" si="92"/>
        <v>71120</v>
      </c>
      <c r="Q493" s="15"/>
      <c r="R493" s="16">
        <f t="shared" si="93"/>
        <v>0</v>
      </c>
      <c r="S493" s="15">
        <f t="shared" si="94"/>
        <v>0</v>
      </c>
      <c r="T493" s="15">
        <f t="shared" si="95"/>
        <v>71120</v>
      </c>
      <c r="U493" s="15">
        <f t="shared" si="96"/>
        <v>1778</v>
      </c>
      <c r="V493" s="15">
        <f t="shared" si="98"/>
        <v>1778</v>
      </c>
      <c r="W493" s="17">
        <f>IF($T493="",1000000000000000,$T493)</f>
        <v>71120</v>
      </c>
      <c r="XFB493" s="5"/>
      <c r="XFC493" s="3"/>
    </row>
    <row r="494" spans="1:23 16382:16383" s="4" customFormat="1" ht="28.5" customHeight="1">
      <c r="A494" s="14">
        <f t="shared" si="87"/>
        <v>479</v>
      </c>
      <c r="B494" s="14" t="s">
        <v>12</v>
      </c>
      <c r="C494" s="14" t="s">
        <v>293</v>
      </c>
      <c r="D494" s="14" t="s">
        <v>294</v>
      </c>
      <c r="E494" s="14" t="s">
        <v>26</v>
      </c>
      <c r="F494" s="14" t="s">
        <v>295</v>
      </c>
      <c r="G494" s="15">
        <v>1778</v>
      </c>
      <c r="H494" s="15">
        <v>2088</v>
      </c>
      <c r="I494" s="15"/>
      <c r="J494" s="15">
        <v>1768</v>
      </c>
      <c r="K494" s="15">
        <f t="shared" si="97"/>
        <v>0</v>
      </c>
      <c r="L494" s="15">
        <f t="shared" si="88"/>
        <v>1778</v>
      </c>
      <c r="M494" s="15">
        <f t="shared" si="89"/>
        <v>2088</v>
      </c>
      <c r="N494" s="15">
        <f t="shared" si="90"/>
        <v>1768</v>
      </c>
      <c r="O494" s="15" t="str">
        <f t="shared" si="91"/>
        <v>휘발유 71,120원</v>
      </c>
      <c r="P494" s="15">
        <f t="shared" si="92"/>
        <v>71120</v>
      </c>
      <c r="Q494" s="15"/>
      <c r="R494" s="16">
        <f t="shared" si="93"/>
        <v>0</v>
      </c>
      <c r="S494" s="15">
        <f t="shared" si="94"/>
        <v>0</v>
      </c>
      <c r="T494" s="15">
        <f t="shared" si="95"/>
        <v>71120</v>
      </c>
      <c r="U494" s="15">
        <f t="shared" si="96"/>
        <v>1778</v>
      </c>
      <c r="V494" s="15">
        <f t="shared" si="98"/>
        <v>1778</v>
      </c>
      <c r="W494" s="17">
        <f>IF($T494="",1000000000000000,$T494)</f>
        <v>71120</v>
      </c>
      <c r="XFB494" s="5"/>
      <c r="XFC494" s="3"/>
    </row>
    <row r="495" spans="1:23 16382:16383" s="4" customFormat="1" ht="28.5" customHeight="1">
      <c r="A495" s="14">
        <f t="shared" si="87"/>
        <v>479</v>
      </c>
      <c r="B495" s="14" t="s">
        <v>12</v>
      </c>
      <c r="C495" s="14" t="s">
        <v>1185</v>
      </c>
      <c r="D495" s="18" t="s">
        <v>45</v>
      </c>
      <c r="E495" s="14" t="s">
        <v>26</v>
      </c>
      <c r="F495" s="14" t="s">
        <v>1186</v>
      </c>
      <c r="G495" s="15">
        <v>1778</v>
      </c>
      <c r="H495" s="15"/>
      <c r="I495" s="15"/>
      <c r="J495" s="15">
        <v>1765</v>
      </c>
      <c r="K495" s="15">
        <f t="shared" si="97"/>
        <v>0</v>
      </c>
      <c r="L495" s="15">
        <f t="shared" si="88"/>
        <v>1778</v>
      </c>
      <c r="M495" s="15" t="str">
        <f t="shared" si="89"/>
        <v/>
      </c>
      <c r="N495" s="15">
        <f t="shared" si="90"/>
        <v>1765</v>
      </c>
      <c r="O495" s="15" t="str">
        <f t="shared" si="91"/>
        <v>휘발유 71,120원</v>
      </c>
      <c r="P495" s="15">
        <f t="shared" si="92"/>
        <v>71120</v>
      </c>
      <c r="Q495" s="15"/>
      <c r="R495" s="16">
        <f t="shared" si="93"/>
        <v>0</v>
      </c>
      <c r="S495" s="15">
        <f t="shared" si="94"/>
        <v>0</v>
      </c>
      <c r="T495" s="15">
        <f t="shared" si="95"/>
        <v>71120</v>
      </c>
      <c r="U495" s="15">
        <f t="shared" si="96"/>
        <v>1778</v>
      </c>
      <c r="V495" s="15">
        <f t="shared" si="98"/>
        <v>1778</v>
      </c>
      <c r="W495" s="17">
        <f>IF($T495="",1000000000000000,$T495)</f>
        <v>71120</v>
      </c>
      <c r="XFB495" s="5"/>
      <c r="XFC495" s="3"/>
    </row>
    <row r="496" spans="1:23 16382:16383" s="4" customFormat="1" ht="28.5" customHeight="1">
      <c r="A496" s="14">
        <f t="shared" si="87"/>
        <v>479</v>
      </c>
      <c r="B496" s="14" t="s">
        <v>14</v>
      </c>
      <c r="C496" s="14" t="s">
        <v>1114</v>
      </c>
      <c r="D496" s="14" t="s">
        <v>51</v>
      </c>
      <c r="E496" s="14" t="s">
        <v>26</v>
      </c>
      <c r="F496" s="14" t="s">
        <v>1115</v>
      </c>
      <c r="G496" s="15">
        <v>1778</v>
      </c>
      <c r="H496" s="15"/>
      <c r="I496" s="15"/>
      <c r="J496" s="15">
        <v>1868</v>
      </c>
      <c r="K496" s="15">
        <f t="shared" si="97"/>
        <v>0</v>
      </c>
      <c r="L496" s="15">
        <f t="shared" si="88"/>
        <v>1778</v>
      </c>
      <c r="M496" s="15" t="str">
        <f t="shared" si="89"/>
        <v/>
      </c>
      <c r="N496" s="15">
        <f t="shared" si="90"/>
        <v>1868</v>
      </c>
      <c r="O496" s="15" t="str">
        <f t="shared" si="91"/>
        <v>휘발유 71,120원</v>
      </c>
      <c r="P496" s="15">
        <f t="shared" si="92"/>
        <v>71120</v>
      </c>
      <c r="Q496" s="15"/>
      <c r="R496" s="16">
        <f t="shared" si="93"/>
        <v>0</v>
      </c>
      <c r="S496" s="15">
        <f t="shared" si="94"/>
        <v>0</v>
      </c>
      <c r="T496" s="15">
        <f t="shared" si="95"/>
        <v>71120</v>
      </c>
      <c r="U496" s="15">
        <f t="shared" si="96"/>
        <v>1778</v>
      </c>
      <c r="V496" s="15">
        <f t="shared" si="98"/>
        <v>1778</v>
      </c>
      <c r="W496" s="17">
        <f>IF($T496="",1000000000000000,$T496)</f>
        <v>71120</v>
      </c>
      <c r="XFB496" s="5"/>
      <c r="XFC496" s="3"/>
    </row>
    <row r="497" spans="1:23 16382:16383" s="4" customFormat="1" ht="28.5" customHeight="1">
      <c r="A497" s="14">
        <f t="shared" si="87"/>
        <v>483</v>
      </c>
      <c r="B497" s="14" t="s">
        <v>10</v>
      </c>
      <c r="C497" s="14" t="s">
        <v>213</v>
      </c>
      <c r="D497" s="18" t="s">
        <v>86</v>
      </c>
      <c r="E497" s="14" t="s">
        <v>26</v>
      </c>
      <c r="F497" s="14" t="s">
        <v>214</v>
      </c>
      <c r="G497" s="15">
        <v>1779</v>
      </c>
      <c r="H497" s="15">
        <v>1999</v>
      </c>
      <c r="I497" s="15"/>
      <c r="J497" s="15">
        <v>1819</v>
      </c>
      <c r="K497" s="15">
        <f t="shared" si="97"/>
        <v>0</v>
      </c>
      <c r="L497" s="15">
        <f t="shared" si="88"/>
        <v>1779</v>
      </c>
      <c r="M497" s="15">
        <f t="shared" si="89"/>
        <v>1999</v>
      </c>
      <c r="N497" s="15">
        <f t="shared" si="90"/>
        <v>1819</v>
      </c>
      <c r="O497" s="15" t="str">
        <f t="shared" si="91"/>
        <v>휘발유 71,160원</v>
      </c>
      <c r="P497" s="15">
        <f t="shared" si="92"/>
        <v>71160</v>
      </c>
      <c r="Q497" s="15"/>
      <c r="R497" s="16">
        <f t="shared" si="93"/>
        <v>0</v>
      </c>
      <c r="S497" s="15">
        <f t="shared" si="94"/>
        <v>0</v>
      </c>
      <c r="T497" s="15">
        <f t="shared" si="95"/>
        <v>71160</v>
      </c>
      <c r="U497" s="15">
        <f t="shared" si="96"/>
        <v>1779</v>
      </c>
      <c r="V497" s="15">
        <f t="shared" si="98"/>
        <v>1779</v>
      </c>
      <c r="W497" s="17">
        <f>IF($T497="",1000000000000000,$T497)</f>
        <v>71160</v>
      </c>
      <c r="XFB497" s="5"/>
      <c r="XFC497" s="3"/>
    </row>
    <row r="498" spans="1:23 16382:16383" s="4" customFormat="1" ht="28.5" customHeight="1">
      <c r="A498" s="14">
        <f t="shared" si="87"/>
        <v>483</v>
      </c>
      <c r="B498" s="14" t="s">
        <v>10</v>
      </c>
      <c r="C498" s="14" t="s">
        <v>279</v>
      </c>
      <c r="D498" s="14" t="s">
        <v>56</v>
      </c>
      <c r="E498" s="14" t="s">
        <v>26</v>
      </c>
      <c r="F498" s="14" t="s">
        <v>280</v>
      </c>
      <c r="G498" s="15">
        <v>1779</v>
      </c>
      <c r="H498" s="15">
        <v>2069</v>
      </c>
      <c r="I498" s="15"/>
      <c r="J498" s="15">
        <v>1775</v>
      </c>
      <c r="K498" s="15">
        <f t="shared" si="97"/>
        <v>0</v>
      </c>
      <c r="L498" s="15">
        <f t="shared" si="88"/>
        <v>1779</v>
      </c>
      <c r="M498" s="15">
        <f t="shared" si="89"/>
        <v>2069</v>
      </c>
      <c r="N498" s="15">
        <f t="shared" si="90"/>
        <v>1775</v>
      </c>
      <c r="O498" s="15" t="str">
        <f t="shared" si="91"/>
        <v>휘발유 71,160원</v>
      </c>
      <c r="P498" s="15">
        <f t="shared" si="92"/>
        <v>71160</v>
      </c>
      <c r="Q498" s="15"/>
      <c r="R498" s="16">
        <f t="shared" si="93"/>
        <v>0</v>
      </c>
      <c r="S498" s="15">
        <f t="shared" si="94"/>
        <v>0</v>
      </c>
      <c r="T498" s="15">
        <f t="shared" si="95"/>
        <v>71160</v>
      </c>
      <c r="U498" s="15">
        <f t="shared" si="96"/>
        <v>1779</v>
      </c>
      <c r="V498" s="15">
        <f t="shared" si="98"/>
        <v>1779</v>
      </c>
      <c r="W498" s="17">
        <f>IF($T498="",1000000000000000,$T498)</f>
        <v>71160</v>
      </c>
      <c r="XFB498" s="5"/>
      <c r="XFC498" s="3"/>
    </row>
    <row r="499" spans="1:23 16382:16383" s="4" customFormat="1" ht="28.5" customHeight="1">
      <c r="A499" s="14">
        <f t="shared" si="87"/>
        <v>483</v>
      </c>
      <c r="B499" s="14" t="s">
        <v>18</v>
      </c>
      <c r="C499" s="14" t="s">
        <v>1116</v>
      </c>
      <c r="D499" s="14" t="s">
        <v>45</v>
      </c>
      <c r="E499" s="14" t="s">
        <v>26</v>
      </c>
      <c r="F499" s="14" t="s">
        <v>1117</v>
      </c>
      <c r="G499" s="15">
        <v>1779</v>
      </c>
      <c r="H499" s="15"/>
      <c r="I499" s="15"/>
      <c r="J499" s="15">
        <v>1779</v>
      </c>
      <c r="K499" s="15">
        <f t="shared" si="97"/>
        <v>0</v>
      </c>
      <c r="L499" s="15">
        <f t="shared" si="88"/>
        <v>1779</v>
      </c>
      <c r="M499" s="15" t="str">
        <f t="shared" si="89"/>
        <v/>
      </c>
      <c r="N499" s="15">
        <f t="shared" si="90"/>
        <v>1779</v>
      </c>
      <c r="O499" s="15" t="str">
        <f t="shared" si="91"/>
        <v>휘발유 71,160원</v>
      </c>
      <c r="P499" s="15">
        <f t="shared" si="92"/>
        <v>71160</v>
      </c>
      <c r="Q499" s="15"/>
      <c r="R499" s="16">
        <f t="shared" si="93"/>
        <v>0</v>
      </c>
      <c r="S499" s="15">
        <f t="shared" si="94"/>
        <v>0</v>
      </c>
      <c r="T499" s="15">
        <f t="shared" si="95"/>
        <v>71160</v>
      </c>
      <c r="U499" s="15">
        <f t="shared" si="96"/>
        <v>1779</v>
      </c>
      <c r="V499" s="15">
        <f t="shared" si="98"/>
        <v>1779</v>
      </c>
      <c r="W499" s="17">
        <f>IF($T499="",1000000000000000,$T499)</f>
        <v>71160</v>
      </c>
      <c r="XFB499" s="5"/>
      <c r="XFC499" s="3"/>
    </row>
    <row r="500" spans="1:23 16382:16383" s="4" customFormat="1" ht="28.5" customHeight="1">
      <c r="A500" s="14">
        <f t="shared" si="87"/>
        <v>483</v>
      </c>
      <c r="B500" s="14" t="s">
        <v>18</v>
      </c>
      <c r="C500" s="14" t="s">
        <v>1118</v>
      </c>
      <c r="D500" s="14" t="s">
        <v>56</v>
      </c>
      <c r="E500" s="14" t="s">
        <v>26</v>
      </c>
      <c r="F500" s="14" t="s">
        <v>1119</v>
      </c>
      <c r="G500" s="15">
        <v>1779</v>
      </c>
      <c r="H500" s="15"/>
      <c r="I500" s="15"/>
      <c r="J500" s="15">
        <v>1779</v>
      </c>
      <c r="K500" s="15">
        <f t="shared" si="97"/>
        <v>0</v>
      </c>
      <c r="L500" s="15">
        <f t="shared" si="88"/>
        <v>1779</v>
      </c>
      <c r="M500" s="15" t="str">
        <f t="shared" si="89"/>
        <v/>
      </c>
      <c r="N500" s="15">
        <f t="shared" si="90"/>
        <v>1779</v>
      </c>
      <c r="O500" s="15" t="str">
        <f t="shared" si="91"/>
        <v>휘발유 71,160원</v>
      </c>
      <c r="P500" s="15">
        <f t="shared" si="92"/>
        <v>71160</v>
      </c>
      <c r="Q500" s="15"/>
      <c r="R500" s="16">
        <f t="shared" si="93"/>
        <v>0</v>
      </c>
      <c r="S500" s="15">
        <f t="shared" si="94"/>
        <v>0</v>
      </c>
      <c r="T500" s="15">
        <f t="shared" si="95"/>
        <v>71160</v>
      </c>
      <c r="U500" s="15">
        <f t="shared" si="96"/>
        <v>1779</v>
      </c>
      <c r="V500" s="15">
        <f t="shared" si="98"/>
        <v>1779</v>
      </c>
      <c r="W500" s="17">
        <f>IF($T500="",1000000000000000,$T500)</f>
        <v>71160</v>
      </c>
      <c r="XFB500" s="5"/>
      <c r="XFC500" s="3"/>
    </row>
    <row r="501" spans="1:23 16382:16383" s="4" customFormat="1" ht="28.5" customHeight="1">
      <c r="A501" s="14">
        <f t="shared" si="87"/>
        <v>483</v>
      </c>
      <c r="B501" s="14" t="s">
        <v>10</v>
      </c>
      <c r="C501" s="14" t="s">
        <v>1199</v>
      </c>
      <c r="D501" s="14" t="s">
        <v>294</v>
      </c>
      <c r="E501" s="14" t="s">
        <v>26</v>
      </c>
      <c r="F501" s="14" t="s">
        <v>1200</v>
      </c>
      <c r="G501" s="15">
        <v>1779</v>
      </c>
      <c r="H501" s="15"/>
      <c r="I501" s="15"/>
      <c r="J501" s="15">
        <v>1779</v>
      </c>
      <c r="K501" s="15">
        <f t="shared" si="97"/>
        <v>0</v>
      </c>
      <c r="L501" s="15">
        <f t="shared" si="88"/>
        <v>1779</v>
      </c>
      <c r="M501" s="15" t="str">
        <f t="shared" si="89"/>
        <v/>
      </c>
      <c r="N501" s="15">
        <f t="shared" si="90"/>
        <v>1779</v>
      </c>
      <c r="O501" s="15" t="str">
        <f t="shared" si="91"/>
        <v>휘발유 71,160원</v>
      </c>
      <c r="P501" s="15">
        <f t="shared" si="92"/>
        <v>71160</v>
      </c>
      <c r="Q501" s="15"/>
      <c r="R501" s="16">
        <f t="shared" si="93"/>
        <v>0</v>
      </c>
      <c r="S501" s="15">
        <f t="shared" si="94"/>
        <v>0</v>
      </c>
      <c r="T501" s="15">
        <f t="shared" si="95"/>
        <v>71160</v>
      </c>
      <c r="U501" s="15">
        <f t="shared" si="96"/>
        <v>1779</v>
      </c>
      <c r="V501" s="15">
        <f t="shared" si="98"/>
        <v>1779</v>
      </c>
      <c r="W501" s="17">
        <f>IF($T501="",1000000000000000,$T501)</f>
        <v>71160</v>
      </c>
      <c r="XFB501" s="5"/>
      <c r="XFC501" s="3"/>
    </row>
    <row r="502" spans="1:23 16382:16383" s="4" customFormat="1" ht="28.5" customHeight="1">
      <c r="A502" s="14">
        <f t="shared" si="87"/>
        <v>483</v>
      </c>
      <c r="B502" s="14" t="s">
        <v>10</v>
      </c>
      <c r="C502" s="14" t="s">
        <v>1173</v>
      </c>
      <c r="D502" s="14" t="s">
        <v>294</v>
      </c>
      <c r="E502" s="14" t="s">
        <v>26</v>
      </c>
      <c r="F502" s="14" t="s">
        <v>1174</v>
      </c>
      <c r="G502" s="15">
        <v>1779</v>
      </c>
      <c r="H502" s="15"/>
      <c r="I502" s="15"/>
      <c r="J502" s="15">
        <v>1779</v>
      </c>
      <c r="K502" s="15">
        <f t="shared" ref="K502:K533" si="99">IF(AND(IFERROR(SEARCH("현대오일뱅크",$C502),0)&gt;0,IFERROR(SEARCH("직영",$C502),0)&gt;0),$B$13,0)</f>
        <v>0</v>
      </c>
      <c r="L502" s="15">
        <f t="shared" si="88"/>
        <v>1779</v>
      </c>
      <c r="M502" s="15" t="str">
        <f t="shared" si="89"/>
        <v/>
      </c>
      <c r="N502" s="15">
        <f t="shared" si="90"/>
        <v>1779</v>
      </c>
      <c r="O502" s="15" t="str">
        <f t="shared" si="91"/>
        <v>휘발유 71,160원</v>
      </c>
      <c r="P502" s="15">
        <f t="shared" si="92"/>
        <v>71160</v>
      </c>
      <c r="Q502" s="15"/>
      <c r="R502" s="16">
        <f t="shared" si="93"/>
        <v>0</v>
      </c>
      <c r="S502" s="15">
        <f t="shared" si="94"/>
        <v>0</v>
      </c>
      <c r="T502" s="15">
        <f t="shared" si="95"/>
        <v>71160</v>
      </c>
      <c r="U502" s="15">
        <f t="shared" si="96"/>
        <v>1779</v>
      </c>
      <c r="V502" s="15">
        <f t="shared" si="98"/>
        <v>1779</v>
      </c>
      <c r="W502" s="17">
        <f>IF($T502="",1000000000000000,$T502)</f>
        <v>71160</v>
      </c>
      <c r="XFB502" s="5"/>
      <c r="XFC502" s="3"/>
    </row>
    <row r="503" spans="1:23 16382:16383" s="4" customFormat="1" ht="28.5" customHeight="1">
      <c r="A503" s="14">
        <f t="shared" si="87"/>
        <v>483</v>
      </c>
      <c r="B503" s="14" t="s">
        <v>10</v>
      </c>
      <c r="C503" s="14" t="s">
        <v>1175</v>
      </c>
      <c r="D503" s="14" t="s">
        <v>294</v>
      </c>
      <c r="E503" s="14" t="s">
        <v>26</v>
      </c>
      <c r="F503" s="14" t="s">
        <v>1176</v>
      </c>
      <c r="G503" s="15">
        <v>1779</v>
      </c>
      <c r="H503" s="15"/>
      <c r="I503" s="15"/>
      <c r="J503" s="15">
        <v>1779</v>
      </c>
      <c r="K503" s="15">
        <f t="shared" si="99"/>
        <v>0</v>
      </c>
      <c r="L503" s="15">
        <f t="shared" si="88"/>
        <v>1779</v>
      </c>
      <c r="M503" s="15" t="str">
        <f t="shared" si="89"/>
        <v/>
      </c>
      <c r="N503" s="15">
        <f t="shared" si="90"/>
        <v>1779</v>
      </c>
      <c r="O503" s="15" t="str">
        <f t="shared" si="91"/>
        <v>휘발유 71,160원</v>
      </c>
      <c r="P503" s="15">
        <f t="shared" si="92"/>
        <v>71160</v>
      </c>
      <c r="Q503" s="15"/>
      <c r="R503" s="16">
        <f t="shared" si="93"/>
        <v>0</v>
      </c>
      <c r="S503" s="15">
        <f t="shared" si="94"/>
        <v>0</v>
      </c>
      <c r="T503" s="15">
        <f t="shared" si="95"/>
        <v>71160</v>
      </c>
      <c r="U503" s="15">
        <f t="shared" si="96"/>
        <v>1779</v>
      </c>
      <c r="V503" s="15">
        <f t="shared" si="98"/>
        <v>1779</v>
      </c>
      <c r="W503" s="17">
        <f>IF($T503="",1000000000000000,$T503)</f>
        <v>71160</v>
      </c>
      <c r="XFB503" s="5"/>
      <c r="XFC503" s="3"/>
    </row>
    <row r="504" spans="1:23 16382:16383" s="4" customFormat="1" ht="28.5" customHeight="1">
      <c r="A504" s="14">
        <f t="shared" si="87"/>
        <v>483</v>
      </c>
      <c r="B504" s="14" t="s">
        <v>10</v>
      </c>
      <c r="C504" s="14" t="s">
        <v>1120</v>
      </c>
      <c r="D504" s="14" t="s">
        <v>56</v>
      </c>
      <c r="E504" s="14" t="s">
        <v>26</v>
      </c>
      <c r="F504" s="14" t="s">
        <v>1121</v>
      </c>
      <c r="G504" s="15">
        <v>1779</v>
      </c>
      <c r="H504" s="15"/>
      <c r="I504" s="15"/>
      <c r="J504" s="15">
        <v>1779</v>
      </c>
      <c r="K504" s="15">
        <f t="shared" si="99"/>
        <v>0</v>
      </c>
      <c r="L504" s="15">
        <f t="shared" si="88"/>
        <v>1779</v>
      </c>
      <c r="M504" s="15" t="str">
        <f t="shared" si="89"/>
        <v/>
      </c>
      <c r="N504" s="15">
        <f t="shared" si="90"/>
        <v>1779</v>
      </c>
      <c r="O504" s="15" t="str">
        <f t="shared" si="91"/>
        <v>휘발유 71,160원</v>
      </c>
      <c r="P504" s="15">
        <f t="shared" si="92"/>
        <v>71160</v>
      </c>
      <c r="Q504" s="15"/>
      <c r="R504" s="16">
        <f t="shared" si="93"/>
        <v>0</v>
      </c>
      <c r="S504" s="15">
        <f t="shared" si="94"/>
        <v>0</v>
      </c>
      <c r="T504" s="15">
        <f t="shared" si="95"/>
        <v>71160</v>
      </c>
      <c r="U504" s="15">
        <f t="shared" si="96"/>
        <v>1779</v>
      </c>
      <c r="V504" s="15">
        <f t="shared" si="98"/>
        <v>1779</v>
      </c>
      <c r="W504" s="17">
        <f>IF($T504="",1000000000000000,$T504)</f>
        <v>71160</v>
      </c>
      <c r="XFB504" s="5"/>
      <c r="XFC504" s="3"/>
    </row>
    <row r="505" spans="1:23 16382:16383" s="19" customFormat="1" ht="28.5" customHeight="1">
      <c r="A505" s="14">
        <f t="shared" si="87"/>
        <v>483</v>
      </c>
      <c r="B505" s="14" t="s">
        <v>6</v>
      </c>
      <c r="C505" s="14" t="s">
        <v>1122</v>
      </c>
      <c r="D505" s="14" t="s">
        <v>95</v>
      </c>
      <c r="E505" s="14" t="s">
        <v>26</v>
      </c>
      <c r="F505" s="14" t="s">
        <v>1123</v>
      </c>
      <c r="G505" s="15">
        <v>1779</v>
      </c>
      <c r="H505" s="15"/>
      <c r="I505" s="15"/>
      <c r="J505" s="15">
        <v>1780</v>
      </c>
      <c r="K505" s="15">
        <f t="shared" si="99"/>
        <v>0</v>
      </c>
      <c r="L505" s="15">
        <f t="shared" si="88"/>
        <v>1779</v>
      </c>
      <c r="M505" s="15" t="str">
        <f t="shared" si="89"/>
        <v/>
      </c>
      <c r="N505" s="15">
        <f t="shared" si="90"/>
        <v>1780</v>
      </c>
      <c r="O505" s="15" t="str">
        <f t="shared" si="91"/>
        <v>휘발유 71,160원</v>
      </c>
      <c r="P505" s="15">
        <f t="shared" si="92"/>
        <v>71160</v>
      </c>
      <c r="Q505" s="15"/>
      <c r="R505" s="16">
        <f t="shared" si="93"/>
        <v>0</v>
      </c>
      <c r="S505" s="15">
        <f t="shared" si="94"/>
        <v>0</v>
      </c>
      <c r="T505" s="15">
        <f t="shared" si="95"/>
        <v>71160</v>
      </c>
      <c r="U505" s="15">
        <f t="shared" si="96"/>
        <v>1779</v>
      </c>
      <c r="V505" s="15">
        <f t="shared" si="98"/>
        <v>1779</v>
      </c>
      <c r="W505" s="17">
        <f>IF($T505="",1000000000000000,$T505)</f>
        <v>71160</v>
      </c>
      <c r="XFB505" s="5"/>
      <c r="XFC505" s="3"/>
    </row>
    <row r="506" spans="1:23 16382:16383" s="4" customFormat="1" ht="28.5" customHeight="1">
      <c r="A506" s="14">
        <f t="shared" si="87"/>
        <v>492</v>
      </c>
      <c r="B506" s="14" t="s">
        <v>6</v>
      </c>
      <c r="C506" s="14" t="s">
        <v>217</v>
      </c>
      <c r="D506" s="14" t="s">
        <v>51</v>
      </c>
      <c r="E506" s="14" t="s">
        <v>26</v>
      </c>
      <c r="F506" s="14" t="s">
        <v>218</v>
      </c>
      <c r="G506" s="15">
        <v>1780</v>
      </c>
      <c r="H506" s="15">
        <v>2056</v>
      </c>
      <c r="I506" s="15"/>
      <c r="J506" s="15">
        <v>1760</v>
      </c>
      <c r="K506" s="15">
        <f t="shared" si="99"/>
        <v>0</v>
      </c>
      <c r="L506" s="15">
        <f t="shared" si="88"/>
        <v>1780</v>
      </c>
      <c r="M506" s="15">
        <f t="shared" si="89"/>
        <v>2056</v>
      </c>
      <c r="N506" s="15">
        <f t="shared" si="90"/>
        <v>1760</v>
      </c>
      <c r="O506" s="15" t="str">
        <f t="shared" si="91"/>
        <v>휘발유 71,200원</v>
      </c>
      <c r="P506" s="15">
        <f t="shared" si="92"/>
        <v>71200</v>
      </c>
      <c r="Q506" s="15"/>
      <c r="R506" s="16">
        <f t="shared" si="93"/>
        <v>0</v>
      </c>
      <c r="S506" s="15">
        <f t="shared" si="94"/>
        <v>0</v>
      </c>
      <c r="T506" s="15">
        <f t="shared" si="95"/>
        <v>71200</v>
      </c>
      <c r="U506" s="15">
        <f t="shared" si="96"/>
        <v>1780</v>
      </c>
      <c r="V506" s="15">
        <f t="shared" si="98"/>
        <v>1780</v>
      </c>
      <c r="W506" s="17">
        <f>IF($T506="",1000000000000000,$T506)</f>
        <v>71200</v>
      </c>
      <c r="XFB506" s="5"/>
      <c r="XFC506" s="3"/>
    </row>
    <row r="507" spans="1:23 16382:16383" s="4" customFormat="1" ht="28.5" customHeight="1">
      <c r="A507" s="14">
        <f t="shared" si="87"/>
        <v>492</v>
      </c>
      <c r="B507" s="14" t="s">
        <v>10</v>
      </c>
      <c r="C507" s="14" t="s">
        <v>1124</v>
      </c>
      <c r="D507" s="14" t="s">
        <v>496</v>
      </c>
      <c r="E507" s="14" t="s">
        <v>26</v>
      </c>
      <c r="F507" s="14" t="s">
        <v>1125</v>
      </c>
      <c r="G507" s="15">
        <v>1780</v>
      </c>
      <c r="H507" s="15"/>
      <c r="I507" s="15"/>
      <c r="J507" s="15">
        <v>1780</v>
      </c>
      <c r="K507" s="15">
        <f t="shared" si="99"/>
        <v>0</v>
      </c>
      <c r="L507" s="15">
        <f t="shared" si="88"/>
        <v>1780</v>
      </c>
      <c r="M507" s="15" t="str">
        <f t="shared" si="89"/>
        <v/>
      </c>
      <c r="N507" s="15">
        <f t="shared" si="90"/>
        <v>1780</v>
      </c>
      <c r="O507" s="15" t="str">
        <f t="shared" si="91"/>
        <v>휘발유 71,200원</v>
      </c>
      <c r="P507" s="15">
        <f t="shared" si="92"/>
        <v>71200</v>
      </c>
      <c r="Q507" s="15"/>
      <c r="R507" s="16">
        <f t="shared" si="93"/>
        <v>0</v>
      </c>
      <c r="S507" s="15">
        <f t="shared" si="94"/>
        <v>0</v>
      </c>
      <c r="T507" s="15">
        <f t="shared" si="95"/>
        <v>71200</v>
      </c>
      <c r="U507" s="15">
        <f t="shared" si="96"/>
        <v>1780</v>
      </c>
      <c r="V507" s="15">
        <f t="shared" si="98"/>
        <v>1780</v>
      </c>
      <c r="W507" s="17">
        <f>IF($T507="",1000000000000000,$T507)</f>
        <v>71200</v>
      </c>
      <c r="XFB507" s="5"/>
      <c r="XFC507" s="3"/>
    </row>
    <row r="508" spans="1:23 16382:16383" s="4" customFormat="1" ht="28.5" customHeight="1">
      <c r="A508" s="14">
        <f t="shared" si="87"/>
        <v>494</v>
      </c>
      <c r="B508" s="14" t="s">
        <v>12</v>
      </c>
      <c r="C508" s="14" t="s">
        <v>302</v>
      </c>
      <c r="D508" s="14" t="s">
        <v>294</v>
      </c>
      <c r="E508" s="14" t="s">
        <v>26</v>
      </c>
      <c r="F508" s="14" t="s">
        <v>303</v>
      </c>
      <c r="G508" s="15">
        <v>1781</v>
      </c>
      <c r="H508" s="15">
        <v>2088</v>
      </c>
      <c r="I508" s="15"/>
      <c r="J508" s="15">
        <v>1779</v>
      </c>
      <c r="K508" s="15">
        <f t="shared" si="99"/>
        <v>0</v>
      </c>
      <c r="L508" s="15">
        <f t="shared" si="88"/>
        <v>1781</v>
      </c>
      <c r="M508" s="15">
        <f t="shared" si="89"/>
        <v>2088</v>
      </c>
      <c r="N508" s="15">
        <f t="shared" si="90"/>
        <v>1779</v>
      </c>
      <c r="O508" s="15" t="str">
        <f t="shared" si="91"/>
        <v>휘발유 71,240원</v>
      </c>
      <c r="P508" s="15">
        <f t="shared" si="92"/>
        <v>71240</v>
      </c>
      <c r="Q508" s="15"/>
      <c r="R508" s="16">
        <f t="shared" si="93"/>
        <v>0</v>
      </c>
      <c r="S508" s="15">
        <f t="shared" si="94"/>
        <v>0</v>
      </c>
      <c r="T508" s="15">
        <f t="shared" si="95"/>
        <v>71240</v>
      </c>
      <c r="U508" s="15">
        <f t="shared" si="96"/>
        <v>1781</v>
      </c>
      <c r="V508" s="15">
        <f t="shared" si="98"/>
        <v>1781</v>
      </c>
      <c r="W508" s="17">
        <f>IF($T508="",1000000000000000,$T508)</f>
        <v>71240</v>
      </c>
      <c r="XFB508" s="5"/>
      <c r="XFC508" s="3"/>
    </row>
    <row r="509" spans="1:23 16382:16383" s="4" customFormat="1" ht="28.5" customHeight="1">
      <c r="A509" s="14">
        <f t="shared" si="87"/>
        <v>494</v>
      </c>
      <c r="B509" s="14" t="s">
        <v>14</v>
      </c>
      <c r="C509" s="14" t="s">
        <v>322</v>
      </c>
      <c r="D509" s="14" t="s">
        <v>45</v>
      </c>
      <c r="E509" s="14" t="s">
        <v>63</v>
      </c>
      <c r="F509" s="14" t="s">
        <v>323</v>
      </c>
      <c r="G509" s="15">
        <v>1791</v>
      </c>
      <c r="H509" s="15">
        <v>2100</v>
      </c>
      <c r="I509" s="15"/>
      <c r="J509" s="15">
        <v>1804</v>
      </c>
      <c r="K509" s="15">
        <f t="shared" si="99"/>
        <v>-10</v>
      </c>
      <c r="L509" s="15">
        <f t="shared" si="88"/>
        <v>1781</v>
      </c>
      <c r="M509" s="15">
        <f t="shared" si="89"/>
        <v>2090</v>
      </c>
      <c r="N509" s="15">
        <f t="shared" si="90"/>
        <v>1794</v>
      </c>
      <c r="O509" s="15" t="str">
        <f t="shared" si="91"/>
        <v>휘발유 71,240원</v>
      </c>
      <c r="P509" s="15">
        <f t="shared" si="92"/>
        <v>71240</v>
      </c>
      <c r="Q509" s="15"/>
      <c r="R509" s="16">
        <f t="shared" si="93"/>
        <v>0</v>
      </c>
      <c r="S509" s="15">
        <f t="shared" si="94"/>
        <v>0</v>
      </c>
      <c r="T509" s="15">
        <f t="shared" si="95"/>
        <v>71240</v>
      </c>
      <c r="U509" s="15">
        <f t="shared" si="96"/>
        <v>1781</v>
      </c>
      <c r="V509" s="15">
        <f t="shared" si="98"/>
        <v>1781</v>
      </c>
      <c r="W509" s="17">
        <f>IF($T509="",1000000000000000,$T509)</f>
        <v>71240</v>
      </c>
      <c r="XFB509" s="5"/>
      <c r="XFC509" s="3"/>
    </row>
    <row r="510" spans="1:23 16382:16383" s="4" customFormat="1" ht="28.5" customHeight="1">
      <c r="A510" s="14">
        <f t="shared" si="87"/>
        <v>494</v>
      </c>
      <c r="B510" s="14" t="s">
        <v>8</v>
      </c>
      <c r="C510" s="14" t="s">
        <v>1132</v>
      </c>
      <c r="D510" s="14" t="s">
        <v>51</v>
      </c>
      <c r="E510" s="14" t="s">
        <v>26</v>
      </c>
      <c r="F510" s="14" t="s">
        <v>1133</v>
      </c>
      <c r="G510" s="15">
        <v>1781</v>
      </c>
      <c r="H510" s="15"/>
      <c r="I510" s="15"/>
      <c r="J510" s="15">
        <v>1736</v>
      </c>
      <c r="K510" s="15">
        <f t="shared" si="99"/>
        <v>0</v>
      </c>
      <c r="L510" s="15">
        <f t="shared" si="88"/>
        <v>1781</v>
      </c>
      <c r="M510" s="15" t="str">
        <f t="shared" si="89"/>
        <v/>
      </c>
      <c r="N510" s="15">
        <f t="shared" si="90"/>
        <v>1736</v>
      </c>
      <c r="O510" s="15" t="str">
        <f t="shared" si="91"/>
        <v>휘발유 71,240원</v>
      </c>
      <c r="P510" s="15">
        <f t="shared" si="92"/>
        <v>71240</v>
      </c>
      <c r="Q510" s="15"/>
      <c r="R510" s="16">
        <f t="shared" si="93"/>
        <v>0</v>
      </c>
      <c r="S510" s="15">
        <f t="shared" si="94"/>
        <v>0</v>
      </c>
      <c r="T510" s="15">
        <f t="shared" si="95"/>
        <v>71240</v>
      </c>
      <c r="U510" s="15">
        <f t="shared" si="96"/>
        <v>1781</v>
      </c>
      <c r="V510" s="15">
        <f t="shared" si="98"/>
        <v>1781</v>
      </c>
      <c r="W510" s="17">
        <f>IF($T510="",1000000000000000,$T510)</f>
        <v>71240</v>
      </c>
      <c r="XFB510" s="5"/>
      <c r="XFC510" s="3"/>
    </row>
    <row r="511" spans="1:23 16382:16383" s="4" customFormat="1" ht="28.5" customHeight="1">
      <c r="A511" s="14">
        <f t="shared" si="87"/>
        <v>494</v>
      </c>
      <c r="B511" s="14" t="s">
        <v>18</v>
      </c>
      <c r="C511" s="14" t="s">
        <v>1205</v>
      </c>
      <c r="D511" s="14" t="s">
        <v>95</v>
      </c>
      <c r="E511" s="14" t="s">
        <v>26</v>
      </c>
      <c r="F511" s="14" t="s">
        <v>1206</v>
      </c>
      <c r="G511" s="15">
        <v>1781</v>
      </c>
      <c r="H511" s="15"/>
      <c r="I511" s="15"/>
      <c r="J511" s="15">
        <v>1779</v>
      </c>
      <c r="K511" s="15">
        <f t="shared" si="99"/>
        <v>0</v>
      </c>
      <c r="L511" s="15">
        <f t="shared" si="88"/>
        <v>1781</v>
      </c>
      <c r="M511" s="15" t="str">
        <f t="shared" si="89"/>
        <v/>
      </c>
      <c r="N511" s="15">
        <f t="shared" si="90"/>
        <v>1779</v>
      </c>
      <c r="O511" s="15" t="str">
        <f t="shared" si="91"/>
        <v>휘발유 71,240원</v>
      </c>
      <c r="P511" s="15">
        <f t="shared" si="92"/>
        <v>71240</v>
      </c>
      <c r="Q511" s="15"/>
      <c r="R511" s="16">
        <f t="shared" si="93"/>
        <v>0</v>
      </c>
      <c r="S511" s="15">
        <f t="shared" si="94"/>
        <v>0</v>
      </c>
      <c r="T511" s="15">
        <f t="shared" si="95"/>
        <v>71240</v>
      </c>
      <c r="U511" s="15">
        <f t="shared" si="96"/>
        <v>1781</v>
      </c>
      <c r="V511" s="15">
        <f t="shared" si="98"/>
        <v>1781</v>
      </c>
      <c r="W511" s="17">
        <f>IF($T511="",1000000000000000,$T511)</f>
        <v>71240</v>
      </c>
      <c r="XFB511" s="5"/>
      <c r="XFC511" s="3"/>
    </row>
    <row r="512" spans="1:23 16382:16383" s="4" customFormat="1" ht="28.5" customHeight="1">
      <c r="A512" s="14">
        <f t="shared" si="87"/>
        <v>494</v>
      </c>
      <c r="B512" s="14" t="s">
        <v>18</v>
      </c>
      <c r="C512" s="14" t="s">
        <v>1207</v>
      </c>
      <c r="D512" s="14" t="s">
        <v>95</v>
      </c>
      <c r="E512" s="14" t="s">
        <v>26</v>
      </c>
      <c r="F512" s="14" t="s">
        <v>1208</v>
      </c>
      <c r="G512" s="15">
        <v>1781</v>
      </c>
      <c r="H512" s="15"/>
      <c r="I512" s="15"/>
      <c r="J512" s="15">
        <v>1779</v>
      </c>
      <c r="K512" s="15">
        <f t="shared" si="99"/>
        <v>0</v>
      </c>
      <c r="L512" s="15">
        <f t="shared" si="88"/>
        <v>1781</v>
      </c>
      <c r="M512" s="15" t="str">
        <f t="shared" si="89"/>
        <v/>
      </c>
      <c r="N512" s="15">
        <f t="shared" si="90"/>
        <v>1779</v>
      </c>
      <c r="O512" s="15" t="str">
        <f t="shared" si="91"/>
        <v>휘발유 71,240원</v>
      </c>
      <c r="P512" s="15">
        <f t="shared" si="92"/>
        <v>71240</v>
      </c>
      <c r="Q512" s="15"/>
      <c r="R512" s="16">
        <f t="shared" si="93"/>
        <v>0</v>
      </c>
      <c r="S512" s="15">
        <f t="shared" si="94"/>
        <v>0</v>
      </c>
      <c r="T512" s="15">
        <f t="shared" si="95"/>
        <v>71240</v>
      </c>
      <c r="U512" s="15">
        <f t="shared" si="96"/>
        <v>1781</v>
      </c>
      <c r="V512" s="15">
        <f t="shared" si="98"/>
        <v>1781</v>
      </c>
      <c r="W512" s="17">
        <f>IF($T512="",1000000000000000,$T512)</f>
        <v>71240</v>
      </c>
      <c r="XFB512" s="5"/>
      <c r="XFC512" s="3"/>
    </row>
    <row r="513" spans="1:23 16382:16383" s="4" customFormat="1" ht="28.5" customHeight="1">
      <c r="A513" s="14">
        <f t="shared" si="87"/>
        <v>494</v>
      </c>
      <c r="B513" s="14" t="s">
        <v>12</v>
      </c>
      <c r="C513" s="14" t="s">
        <v>1197</v>
      </c>
      <c r="D513" s="14" t="s">
        <v>294</v>
      </c>
      <c r="E513" s="14" t="s">
        <v>26</v>
      </c>
      <c r="F513" s="14" t="s">
        <v>1198</v>
      </c>
      <c r="G513" s="15">
        <v>1781</v>
      </c>
      <c r="H513" s="15"/>
      <c r="I513" s="15"/>
      <c r="J513" s="15">
        <v>1779</v>
      </c>
      <c r="K513" s="15">
        <f t="shared" si="99"/>
        <v>0</v>
      </c>
      <c r="L513" s="15">
        <f t="shared" si="88"/>
        <v>1781</v>
      </c>
      <c r="M513" s="15" t="str">
        <f t="shared" si="89"/>
        <v/>
      </c>
      <c r="N513" s="15">
        <f t="shared" si="90"/>
        <v>1779</v>
      </c>
      <c r="O513" s="15" t="str">
        <f t="shared" si="91"/>
        <v>휘발유 71,240원</v>
      </c>
      <c r="P513" s="15">
        <f t="shared" si="92"/>
        <v>71240</v>
      </c>
      <c r="Q513" s="15"/>
      <c r="R513" s="16">
        <f t="shared" si="93"/>
        <v>0</v>
      </c>
      <c r="S513" s="15">
        <f t="shared" si="94"/>
        <v>0</v>
      </c>
      <c r="T513" s="15">
        <f t="shared" si="95"/>
        <v>71240</v>
      </c>
      <c r="U513" s="15">
        <f t="shared" si="96"/>
        <v>1781</v>
      </c>
      <c r="V513" s="15">
        <f t="shared" si="98"/>
        <v>1781</v>
      </c>
      <c r="W513" s="17">
        <f>IF($T513="",1000000000000000,$T513)</f>
        <v>71240</v>
      </c>
      <c r="XFB513" s="5"/>
      <c r="XFC513" s="3"/>
    </row>
    <row r="514" spans="1:23 16382:16383" s="4" customFormat="1" ht="28.5" customHeight="1">
      <c r="A514" s="14">
        <f t="shared" si="87"/>
        <v>494</v>
      </c>
      <c r="B514" s="14" t="s">
        <v>10</v>
      </c>
      <c r="C514" s="14" t="s">
        <v>1201</v>
      </c>
      <c r="D514" s="14" t="s">
        <v>294</v>
      </c>
      <c r="E514" s="14" t="s">
        <v>26</v>
      </c>
      <c r="F514" s="14" t="s">
        <v>1202</v>
      </c>
      <c r="G514" s="15">
        <v>1781</v>
      </c>
      <c r="H514" s="15"/>
      <c r="I514" s="15"/>
      <c r="J514" s="15">
        <v>1779</v>
      </c>
      <c r="K514" s="15">
        <f t="shared" si="99"/>
        <v>0</v>
      </c>
      <c r="L514" s="15">
        <f t="shared" si="88"/>
        <v>1781</v>
      </c>
      <c r="M514" s="15" t="str">
        <f t="shared" si="89"/>
        <v/>
      </c>
      <c r="N514" s="15">
        <f t="shared" si="90"/>
        <v>1779</v>
      </c>
      <c r="O514" s="15" t="str">
        <f t="shared" si="91"/>
        <v>휘발유 71,240원</v>
      </c>
      <c r="P514" s="15">
        <f t="shared" si="92"/>
        <v>71240</v>
      </c>
      <c r="Q514" s="15"/>
      <c r="R514" s="16">
        <f t="shared" si="93"/>
        <v>0</v>
      </c>
      <c r="S514" s="15">
        <f t="shared" si="94"/>
        <v>0</v>
      </c>
      <c r="T514" s="15">
        <f t="shared" si="95"/>
        <v>71240</v>
      </c>
      <c r="U514" s="15">
        <f t="shared" si="96"/>
        <v>1781</v>
      </c>
      <c r="V514" s="15">
        <f t="shared" si="98"/>
        <v>1781</v>
      </c>
      <c r="W514" s="17">
        <f>IF($T514="",1000000000000000,$T514)</f>
        <v>71240</v>
      </c>
      <c r="XFB514" s="5"/>
      <c r="XFC514" s="3"/>
    </row>
    <row r="515" spans="1:23 16382:16383" s="4" customFormat="1" ht="28.5" customHeight="1">
      <c r="A515" s="14">
        <f t="shared" si="87"/>
        <v>501</v>
      </c>
      <c r="B515" s="14" t="s">
        <v>12</v>
      </c>
      <c r="C515" s="14" t="s">
        <v>1134</v>
      </c>
      <c r="D515" s="18" t="s">
        <v>86</v>
      </c>
      <c r="E515" s="14" t="s">
        <v>63</v>
      </c>
      <c r="F515" s="14" t="s">
        <v>1135</v>
      </c>
      <c r="G515" s="15">
        <v>1979</v>
      </c>
      <c r="H515" s="15"/>
      <c r="I515" s="15"/>
      <c r="J515" s="15">
        <v>1979</v>
      </c>
      <c r="K515" s="15">
        <f t="shared" si="99"/>
        <v>0</v>
      </c>
      <c r="L515" s="15">
        <f t="shared" si="88"/>
        <v>1979</v>
      </c>
      <c r="M515" s="15" t="str">
        <f t="shared" si="89"/>
        <v/>
      </c>
      <c r="N515" s="15">
        <f t="shared" si="90"/>
        <v>1979</v>
      </c>
      <c r="O515" s="15" t="str">
        <f t="shared" si="91"/>
        <v>휘발유 79,160원</v>
      </c>
      <c r="P515" s="15">
        <f t="shared" si="92"/>
        <v>79160</v>
      </c>
      <c r="Q515" s="15" t="s">
        <v>47</v>
      </c>
      <c r="R515" s="16">
        <f t="shared" si="93"/>
        <v>0.1</v>
      </c>
      <c r="S515" s="15">
        <f t="shared" si="94"/>
        <v>7916</v>
      </c>
      <c r="T515" s="15">
        <f t="shared" si="95"/>
        <v>71244</v>
      </c>
      <c r="U515" s="15">
        <f t="shared" si="96"/>
        <v>1781.1</v>
      </c>
      <c r="V515" s="15">
        <f t="shared" si="98"/>
        <v>1979</v>
      </c>
      <c r="W515" s="17">
        <f>IF($T515="",1000000000000000,$T515)</f>
        <v>71244</v>
      </c>
      <c r="XFB515" s="5"/>
      <c r="XFC515" s="3"/>
    </row>
    <row r="516" spans="1:23 16382:16383" s="4" customFormat="1" ht="28.5" customHeight="1">
      <c r="A516" s="14">
        <f t="shared" si="87"/>
        <v>502</v>
      </c>
      <c r="B516" s="14" t="s">
        <v>18</v>
      </c>
      <c r="C516" s="14" t="s">
        <v>296</v>
      </c>
      <c r="D516" s="14" t="s">
        <v>51</v>
      </c>
      <c r="E516" s="14" t="s">
        <v>26</v>
      </c>
      <c r="F516" s="14" t="s">
        <v>297</v>
      </c>
      <c r="G516" s="15">
        <v>1782</v>
      </c>
      <c r="H516" s="15">
        <v>2129</v>
      </c>
      <c r="I516" s="15"/>
      <c r="J516" s="15">
        <v>1782</v>
      </c>
      <c r="K516" s="15">
        <f t="shared" si="99"/>
        <v>0</v>
      </c>
      <c r="L516" s="15">
        <f t="shared" si="88"/>
        <v>1782</v>
      </c>
      <c r="M516" s="15">
        <f t="shared" si="89"/>
        <v>2129</v>
      </c>
      <c r="N516" s="15">
        <f t="shared" si="90"/>
        <v>1782</v>
      </c>
      <c r="O516" s="15" t="str">
        <f t="shared" si="91"/>
        <v>휘발유 71,280원</v>
      </c>
      <c r="P516" s="15">
        <f t="shared" si="92"/>
        <v>71280</v>
      </c>
      <c r="Q516" s="15"/>
      <c r="R516" s="16">
        <f t="shared" si="93"/>
        <v>0</v>
      </c>
      <c r="S516" s="15">
        <f t="shared" si="94"/>
        <v>0</v>
      </c>
      <c r="T516" s="15">
        <f t="shared" si="95"/>
        <v>71280</v>
      </c>
      <c r="U516" s="15">
        <f t="shared" si="96"/>
        <v>1782</v>
      </c>
      <c r="V516" s="15">
        <f t="shared" si="98"/>
        <v>1782</v>
      </c>
      <c r="W516" s="17">
        <f>IF($T516="",1000000000000000,$T516)</f>
        <v>71280</v>
      </c>
      <c r="XFB516" s="5"/>
      <c r="XFC516" s="3"/>
    </row>
    <row r="517" spans="1:23 16382:16383" s="4" customFormat="1" ht="28.5" customHeight="1">
      <c r="A517" s="14">
        <f t="shared" si="87"/>
        <v>502</v>
      </c>
      <c r="B517" s="14" t="s">
        <v>18</v>
      </c>
      <c r="C517" s="14" t="s">
        <v>1136</v>
      </c>
      <c r="D517" s="14" t="s">
        <v>51</v>
      </c>
      <c r="E517" s="14" t="s">
        <v>26</v>
      </c>
      <c r="F517" s="14" t="s">
        <v>1137</v>
      </c>
      <c r="G517" s="15">
        <v>1782</v>
      </c>
      <c r="H517" s="15"/>
      <c r="I517" s="15"/>
      <c r="J517" s="15">
        <v>1772</v>
      </c>
      <c r="K517" s="15">
        <f t="shared" si="99"/>
        <v>0</v>
      </c>
      <c r="L517" s="15">
        <f t="shared" si="88"/>
        <v>1782</v>
      </c>
      <c r="M517" s="15" t="str">
        <f t="shared" si="89"/>
        <v/>
      </c>
      <c r="N517" s="15">
        <f t="shared" si="90"/>
        <v>1772</v>
      </c>
      <c r="O517" s="15" t="str">
        <f t="shared" si="91"/>
        <v>휘발유 71,280원</v>
      </c>
      <c r="P517" s="15">
        <f t="shared" si="92"/>
        <v>71280</v>
      </c>
      <c r="Q517" s="15"/>
      <c r="R517" s="16">
        <f t="shared" si="93"/>
        <v>0</v>
      </c>
      <c r="S517" s="15">
        <f t="shared" si="94"/>
        <v>0</v>
      </c>
      <c r="T517" s="15">
        <f t="shared" si="95"/>
        <v>71280</v>
      </c>
      <c r="U517" s="15">
        <f t="shared" si="96"/>
        <v>1782</v>
      </c>
      <c r="V517" s="15">
        <f t="shared" si="98"/>
        <v>1782</v>
      </c>
      <c r="W517" s="17">
        <f>IF($T517="",1000000000000000,$T517)</f>
        <v>71280</v>
      </c>
      <c r="XFB517" s="5"/>
      <c r="XFC517" s="3"/>
    </row>
    <row r="518" spans="1:23 16382:16383" s="4" customFormat="1" ht="28.5" customHeight="1">
      <c r="A518" s="14">
        <f t="shared" si="87"/>
        <v>502</v>
      </c>
      <c r="B518" s="14" t="s">
        <v>10</v>
      </c>
      <c r="C518" s="14" t="s">
        <v>1142</v>
      </c>
      <c r="D518" s="14" t="s">
        <v>45</v>
      </c>
      <c r="E518" s="14" t="s">
        <v>26</v>
      </c>
      <c r="F518" s="14" t="s">
        <v>1143</v>
      </c>
      <c r="G518" s="15">
        <v>1782</v>
      </c>
      <c r="H518" s="15"/>
      <c r="I518" s="15"/>
      <c r="J518" s="15">
        <v>1779</v>
      </c>
      <c r="K518" s="15">
        <f t="shared" si="99"/>
        <v>0</v>
      </c>
      <c r="L518" s="15">
        <f t="shared" si="88"/>
        <v>1782</v>
      </c>
      <c r="M518" s="15" t="str">
        <f t="shared" si="89"/>
        <v/>
      </c>
      <c r="N518" s="15">
        <f t="shared" si="90"/>
        <v>1779</v>
      </c>
      <c r="O518" s="15" t="str">
        <f t="shared" si="91"/>
        <v>휘발유 71,280원</v>
      </c>
      <c r="P518" s="15">
        <f t="shared" si="92"/>
        <v>71280</v>
      </c>
      <c r="Q518" s="15"/>
      <c r="R518" s="16">
        <f t="shared" si="93"/>
        <v>0</v>
      </c>
      <c r="S518" s="15">
        <f t="shared" si="94"/>
        <v>0</v>
      </c>
      <c r="T518" s="15">
        <f t="shared" si="95"/>
        <v>71280</v>
      </c>
      <c r="U518" s="15">
        <f t="shared" si="96"/>
        <v>1782</v>
      </c>
      <c r="V518" s="15">
        <f t="shared" si="98"/>
        <v>1782</v>
      </c>
      <c r="W518" s="17">
        <f>IF($T518="",1000000000000000,$T518)</f>
        <v>71280</v>
      </c>
      <c r="XFB518" s="5"/>
      <c r="XFC518" s="3"/>
    </row>
    <row r="519" spans="1:23 16382:16383" s="4" customFormat="1" ht="28.5" customHeight="1">
      <c r="A519" s="14">
        <f t="shared" si="87"/>
        <v>502</v>
      </c>
      <c r="B519" s="14" t="s">
        <v>10</v>
      </c>
      <c r="C519" s="14" t="s">
        <v>1144</v>
      </c>
      <c r="D519" s="14" t="s">
        <v>56</v>
      </c>
      <c r="E519" s="14" t="s">
        <v>26</v>
      </c>
      <c r="F519" s="14" t="s">
        <v>1145</v>
      </c>
      <c r="G519" s="15">
        <v>1782</v>
      </c>
      <c r="H519" s="15"/>
      <c r="I519" s="15"/>
      <c r="J519" s="15">
        <v>1779</v>
      </c>
      <c r="K519" s="15">
        <f t="shared" si="99"/>
        <v>0</v>
      </c>
      <c r="L519" s="15">
        <f t="shared" si="88"/>
        <v>1782</v>
      </c>
      <c r="M519" s="15" t="str">
        <f t="shared" si="89"/>
        <v/>
      </c>
      <c r="N519" s="15">
        <f t="shared" si="90"/>
        <v>1779</v>
      </c>
      <c r="O519" s="15" t="str">
        <f t="shared" si="91"/>
        <v>휘발유 71,280원</v>
      </c>
      <c r="P519" s="15">
        <f t="shared" si="92"/>
        <v>71280</v>
      </c>
      <c r="Q519" s="15"/>
      <c r="R519" s="16">
        <f t="shared" si="93"/>
        <v>0</v>
      </c>
      <c r="S519" s="15">
        <f t="shared" si="94"/>
        <v>0</v>
      </c>
      <c r="T519" s="15">
        <f t="shared" si="95"/>
        <v>71280</v>
      </c>
      <c r="U519" s="15">
        <f t="shared" si="96"/>
        <v>1782</v>
      </c>
      <c r="V519" s="15">
        <f t="shared" si="98"/>
        <v>1782</v>
      </c>
      <c r="W519" s="17">
        <f>IF($T519="",1000000000000000,$T519)</f>
        <v>71280</v>
      </c>
      <c r="XFB519" s="5"/>
      <c r="XFC519" s="3"/>
    </row>
    <row r="520" spans="1:23 16382:16383" s="4" customFormat="1" ht="28.5" customHeight="1">
      <c r="A520" s="14">
        <f t="shared" si="87"/>
        <v>502</v>
      </c>
      <c r="B520" s="14" t="s">
        <v>10</v>
      </c>
      <c r="C520" s="14" t="s">
        <v>1246</v>
      </c>
      <c r="D520" s="14" t="s">
        <v>294</v>
      </c>
      <c r="E520" s="14" t="s">
        <v>26</v>
      </c>
      <c r="F520" s="14" t="s">
        <v>1247</v>
      </c>
      <c r="G520" s="15">
        <v>1782</v>
      </c>
      <c r="H520" s="15"/>
      <c r="I520" s="15"/>
      <c r="J520" s="15">
        <v>1780</v>
      </c>
      <c r="K520" s="15">
        <f t="shared" si="99"/>
        <v>0</v>
      </c>
      <c r="L520" s="15">
        <f t="shared" si="88"/>
        <v>1782</v>
      </c>
      <c r="M520" s="15" t="str">
        <f t="shared" si="89"/>
        <v/>
      </c>
      <c r="N520" s="15">
        <f t="shared" si="90"/>
        <v>1780</v>
      </c>
      <c r="O520" s="15" t="str">
        <f t="shared" si="91"/>
        <v>휘발유 71,280원</v>
      </c>
      <c r="P520" s="15">
        <f t="shared" si="92"/>
        <v>71280</v>
      </c>
      <c r="Q520" s="15"/>
      <c r="R520" s="16">
        <f t="shared" si="93"/>
        <v>0</v>
      </c>
      <c r="S520" s="15">
        <f t="shared" si="94"/>
        <v>0</v>
      </c>
      <c r="T520" s="15">
        <f t="shared" si="95"/>
        <v>71280</v>
      </c>
      <c r="U520" s="15">
        <f t="shared" si="96"/>
        <v>1782</v>
      </c>
      <c r="V520" s="15">
        <f t="shared" si="98"/>
        <v>1782</v>
      </c>
      <c r="W520" s="17">
        <f>IF($T520="",1000000000000000,$T520)</f>
        <v>71280</v>
      </c>
      <c r="XFB520" s="5"/>
      <c r="XFC520" s="3"/>
    </row>
    <row r="521" spans="1:23 16382:16383" s="4" customFormat="1" ht="28.5" customHeight="1">
      <c r="A521" s="14">
        <f t="shared" si="87"/>
        <v>502</v>
      </c>
      <c r="B521" s="14" t="s">
        <v>18</v>
      </c>
      <c r="C521" s="14" t="s">
        <v>1179</v>
      </c>
      <c r="D521" s="14" t="s">
        <v>294</v>
      </c>
      <c r="E521" s="14" t="s">
        <v>26</v>
      </c>
      <c r="F521" s="14" t="s">
        <v>1180</v>
      </c>
      <c r="G521" s="15">
        <v>1782</v>
      </c>
      <c r="H521" s="15"/>
      <c r="I521" s="15"/>
      <c r="J521" s="15">
        <v>1781</v>
      </c>
      <c r="K521" s="15">
        <f t="shared" si="99"/>
        <v>0</v>
      </c>
      <c r="L521" s="15">
        <f t="shared" si="88"/>
        <v>1782</v>
      </c>
      <c r="M521" s="15" t="str">
        <f t="shared" si="89"/>
        <v/>
      </c>
      <c r="N521" s="15">
        <f t="shared" si="90"/>
        <v>1781</v>
      </c>
      <c r="O521" s="15" t="str">
        <f t="shared" si="91"/>
        <v>휘발유 71,280원</v>
      </c>
      <c r="P521" s="15">
        <f t="shared" si="92"/>
        <v>71280</v>
      </c>
      <c r="Q521" s="15"/>
      <c r="R521" s="16">
        <f t="shared" si="93"/>
        <v>0</v>
      </c>
      <c r="S521" s="15">
        <f t="shared" si="94"/>
        <v>0</v>
      </c>
      <c r="T521" s="15">
        <f t="shared" si="95"/>
        <v>71280</v>
      </c>
      <c r="U521" s="15">
        <f t="shared" si="96"/>
        <v>1782</v>
      </c>
      <c r="V521" s="15">
        <f t="shared" si="98"/>
        <v>1782</v>
      </c>
      <c r="W521" s="17">
        <f>IF($T521="",1000000000000000,$T521)</f>
        <v>71280</v>
      </c>
      <c r="XFB521" s="5"/>
      <c r="XFC521" s="3"/>
    </row>
    <row r="522" spans="1:23 16382:16383" s="4" customFormat="1" ht="28.5" customHeight="1">
      <c r="A522" s="14">
        <f t="shared" si="87"/>
        <v>502</v>
      </c>
      <c r="B522" s="14" t="s">
        <v>18</v>
      </c>
      <c r="C522" s="14" t="s">
        <v>1181</v>
      </c>
      <c r="D522" s="14" t="s">
        <v>294</v>
      </c>
      <c r="E522" s="14" t="s">
        <v>26</v>
      </c>
      <c r="F522" s="14" t="s">
        <v>1182</v>
      </c>
      <c r="G522" s="15">
        <v>1782</v>
      </c>
      <c r="H522" s="15"/>
      <c r="I522" s="15"/>
      <c r="J522" s="15">
        <v>1781</v>
      </c>
      <c r="K522" s="15">
        <f t="shared" si="99"/>
        <v>0</v>
      </c>
      <c r="L522" s="15">
        <f t="shared" si="88"/>
        <v>1782</v>
      </c>
      <c r="M522" s="15" t="str">
        <f t="shared" si="89"/>
        <v/>
      </c>
      <c r="N522" s="15">
        <f t="shared" si="90"/>
        <v>1781</v>
      </c>
      <c r="O522" s="15" t="str">
        <f t="shared" si="91"/>
        <v>휘발유 71,280원</v>
      </c>
      <c r="P522" s="15">
        <f t="shared" si="92"/>
        <v>71280</v>
      </c>
      <c r="Q522" s="15"/>
      <c r="R522" s="16">
        <f t="shared" si="93"/>
        <v>0</v>
      </c>
      <c r="S522" s="15">
        <f t="shared" si="94"/>
        <v>0</v>
      </c>
      <c r="T522" s="15">
        <f t="shared" si="95"/>
        <v>71280</v>
      </c>
      <c r="U522" s="15">
        <f t="shared" si="96"/>
        <v>1782</v>
      </c>
      <c r="V522" s="15">
        <f t="shared" si="98"/>
        <v>1782</v>
      </c>
      <c r="W522" s="17">
        <f>IF($T522="",1000000000000000,$T522)</f>
        <v>71280</v>
      </c>
      <c r="XFB522" s="5"/>
      <c r="XFC522" s="3"/>
    </row>
    <row r="523" spans="1:23 16382:16383" s="4" customFormat="1" ht="28.5" customHeight="1">
      <c r="A523" s="14">
        <f t="shared" si="87"/>
        <v>502</v>
      </c>
      <c r="B523" s="14" t="s">
        <v>18</v>
      </c>
      <c r="C523" s="14" t="s">
        <v>1146</v>
      </c>
      <c r="D523" s="14" t="s">
        <v>95</v>
      </c>
      <c r="E523" s="14" t="s">
        <v>26</v>
      </c>
      <c r="F523" s="14" t="s">
        <v>1147</v>
      </c>
      <c r="G523" s="15">
        <v>1782</v>
      </c>
      <c r="H523" s="15"/>
      <c r="I523" s="15"/>
      <c r="J523" s="15">
        <v>1782</v>
      </c>
      <c r="K523" s="15">
        <f t="shared" si="99"/>
        <v>0</v>
      </c>
      <c r="L523" s="15">
        <f t="shared" si="88"/>
        <v>1782</v>
      </c>
      <c r="M523" s="15" t="str">
        <f t="shared" si="89"/>
        <v/>
      </c>
      <c r="N523" s="15">
        <f t="shared" si="90"/>
        <v>1782</v>
      </c>
      <c r="O523" s="15" t="str">
        <f t="shared" si="91"/>
        <v>휘발유 71,280원</v>
      </c>
      <c r="P523" s="15">
        <f t="shared" si="92"/>
        <v>71280</v>
      </c>
      <c r="Q523" s="15"/>
      <c r="R523" s="16">
        <f t="shared" si="93"/>
        <v>0</v>
      </c>
      <c r="S523" s="15">
        <f t="shared" si="94"/>
        <v>0</v>
      </c>
      <c r="T523" s="15">
        <f t="shared" si="95"/>
        <v>71280</v>
      </c>
      <c r="U523" s="15">
        <f t="shared" si="96"/>
        <v>1782</v>
      </c>
      <c r="V523" s="15">
        <f t="shared" si="98"/>
        <v>1782</v>
      </c>
      <c r="W523" s="17">
        <f>IF($T523="",1000000000000000,$T523)</f>
        <v>71280</v>
      </c>
      <c r="XFB523" s="5"/>
      <c r="XFC523" s="3"/>
    </row>
    <row r="524" spans="1:23 16382:16383" s="5" customFormat="1" ht="28.65" customHeight="1">
      <c r="A524" s="14">
        <f t="shared" si="87"/>
        <v>502</v>
      </c>
      <c r="B524" s="14" t="s">
        <v>18</v>
      </c>
      <c r="C524" s="14" t="s">
        <v>1148</v>
      </c>
      <c r="D524" s="14" t="s">
        <v>95</v>
      </c>
      <c r="E524" s="14" t="s">
        <v>26</v>
      </c>
      <c r="F524" s="14" t="s">
        <v>1149</v>
      </c>
      <c r="G524" s="15">
        <v>1782</v>
      </c>
      <c r="H524" s="15"/>
      <c r="I524" s="15"/>
      <c r="J524" s="15">
        <v>1782</v>
      </c>
      <c r="K524" s="15">
        <f t="shared" si="99"/>
        <v>0</v>
      </c>
      <c r="L524" s="15">
        <f t="shared" si="88"/>
        <v>1782</v>
      </c>
      <c r="M524" s="15" t="str">
        <f t="shared" si="89"/>
        <v/>
      </c>
      <c r="N524" s="15">
        <f t="shared" si="90"/>
        <v>1782</v>
      </c>
      <c r="O524" s="15" t="str">
        <f t="shared" si="91"/>
        <v>휘발유 71,280원</v>
      </c>
      <c r="P524" s="15">
        <f t="shared" si="92"/>
        <v>71280</v>
      </c>
      <c r="Q524" s="15"/>
      <c r="R524" s="16">
        <f t="shared" si="93"/>
        <v>0</v>
      </c>
      <c r="S524" s="15">
        <f t="shared" si="94"/>
        <v>0</v>
      </c>
      <c r="T524" s="15">
        <f t="shared" si="95"/>
        <v>71280</v>
      </c>
      <c r="U524" s="15">
        <f t="shared" si="96"/>
        <v>1782</v>
      </c>
      <c r="V524" s="15">
        <f t="shared" si="98"/>
        <v>1782</v>
      </c>
      <c r="W524" s="17">
        <f>IF($T524="",1000000000000000,$T524)</f>
        <v>71280</v>
      </c>
      <c r="XFC524" s="3"/>
    </row>
    <row r="525" spans="1:23 16382:16383" s="4" customFormat="1" ht="28.5" customHeight="1">
      <c r="A525" s="14">
        <f t="shared" si="87"/>
        <v>502</v>
      </c>
      <c r="B525" s="14" t="s">
        <v>18</v>
      </c>
      <c r="C525" s="14" t="s">
        <v>1138</v>
      </c>
      <c r="D525" s="14" t="s">
        <v>45</v>
      </c>
      <c r="E525" s="14" t="s">
        <v>26</v>
      </c>
      <c r="F525" s="14" t="s">
        <v>1139</v>
      </c>
      <c r="G525" s="15">
        <v>1782</v>
      </c>
      <c r="H525" s="15"/>
      <c r="I525" s="15"/>
      <c r="J525" s="15">
        <v>1782</v>
      </c>
      <c r="K525" s="15">
        <f t="shared" si="99"/>
        <v>0</v>
      </c>
      <c r="L525" s="15">
        <f t="shared" si="88"/>
        <v>1782</v>
      </c>
      <c r="M525" s="15" t="str">
        <f t="shared" si="89"/>
        <v/>
      </c>
      <c r="N525" s="15">
        <f t="shared" si="90"/>
        <v>1782</v>
      </c>
      <c r="O525" s="15" t="str">
        <f t="shared" si="91"/>
        <v>휘발유 71,280원</v>
      </c>
      <c r="P525" s="15">
        <f t="shared" si="92"/>
        <v>71280</v>
      </c>
      <c r="Q525" s="15"/>
      <c r="R525" s="16">
        <f t="shared" si="93"/>
        <v>0</v>
      </c>
      <c r="S525" s="15">
        <f t="shared" si="94"/>
        <v>0</v>
      </c>
      <c r="T525" s="15">
        <f t="shared" si="95"/>
        <v>71280</v>
      </c>
      <c r="U525" s="15">
        <f t="shared" si="96"/>
        <v>1782</v>
      </c>
      <c r="V525" s="15">
        <f t="shared" si="98"/>
        <v>1782</v>
      </c>
      <c r="W525" s="17">
        <f>IF($T525="",1000000000000000,$T525)</f>
        <v>71280</v>
      </c>
      <c r="XFB525" s="5"/>
      <c r="XFC525" s="3"/>
    </row>
    <row r="526" spans="1:23 16382:16383" s="4" customFormat="1" ht="28.5" customHeight="1">
      <c r="A526" s="14">
        <f t="shared" si="87"/>
        <v>502</v>
      </c>
      <c r="B526" s="14" t="s">
        <v>18</v>
      </c>
      <c r="C526" s="14" t="s">
        <v>1153</v>
      </c>
      <c r="D526" s="14" t="s">
        <v>95</v>
      </c>
      <c r="E526" s="14" t="s">
        <v>26</v>
      </c>
      <c r="F526" s="14" t="s">
        <v>1154</v>
      </c>
      <c r="G526" s="15">
        <v>1782</v>
      </c>
      <c r="H526" s="15"/>
      <c r="I526" s="15"/>
      <c r="J526" s="15">
        <v>1782</v>
      </c>
      <c r="K526" s="15">
        <f t="shared" si="99"/>
        <v>0</v>
      </c>
      <c r="L526" s="15">
        <f t="shared" si="88"/>
        <v>1782</v>
      </c>
      <c r="M526" s="15" t="str">
        <f t="shared" si="89"/>
        <v/>
      </c>
      <c r="N526" s="15">
        <f t="shared" si="90"/>
        <v>1782</v>
      </c>
      <c r="O526" s="15" t="str">
        <f t="shared" si="91"/>
        <v>휘발유 71,280원</v>
      </c>
      <c r="P526" s="15">
        <f t="shared" si="92"/>
        <v>71280</v>
      </c>
      <c r="Q526" s="15"/>
      <c r="R526" s="16">
        <f t="shared" si="93"/>
        <v>0</v>
      </c>
      <c r="S526" s="15">
        <f t="shared" si="94"/>
        <v>0</v>
      </c>
      <c r="T526" s="15">
        <f t="shared" si="95"/>
        <v>71280</v>
      </c>
      <c r="U526" s="15">
        <f t="shared" si="96"/>
        <v>1782</v>
      </c>
      <c r="V526" s="15">
        <f t="shared" si="98"/>
        <v>1782</v>
      </c>
      <c r="W526" s="17">
        <f>IF($T526="",1000000000000000,$T526)</f>
        <v>71280</v>
      </c>
      <c r="XFB526" s="5"/>
      <c r="XFC526" s="3"/>
    </row>
    <row r="527" spans="1:23 16382:16383" s="5" customFormat="1" ht="28.65" customHeight="1">
      <c r="A527" s="14">
        <f t="shared" ref="A527:A590" si="100">IF($T527="","",1+COUNTIF($W$15:$W$890,"&lt;"&amp;W527))</f>
        <v>502</v>
      </c>
      <c r="B527" s="14" t="s">
        <v>18</v>
      </c>
      <c r="C527" s="14" t="s">
        <v>191</v>
      </c>
      <c r="D527" s="14" t="s">
        <v>95</v>
      </c>
      <c r="E527" s="14" t="s">
        <v>26</v>
      </c>
      <c r="F527" s="14" t="s">
        <v>1152</v>
      </c>
      <c r="G527" s="15">
        <v>1782</v>
      </c>
      <c r="H527" s="15"/>
      <c r="I527" s="15"/>
      <c r="J527" s="15">
        <v>1782</v>
      </c>
      <c r="K527" s="15">
        <f t="shared" si="99"/>
        <v>0</v>
      </c>
      <c r="L527" s="15">
        <f t="shared" ref="L527:L590" si="101">IF($G527="","",$G527+$K527)</f>
        <v>1782</v>
      </c>
      <c r="M527" s="15" t="str">
        <f t="shared" ref="M527:M590" si="102">IF($H527="","",$H527+$K527)</f>
        <v/>
      </c>
      <c r="N527" s="15">
        <f t="shared" ref="N527:N590" si="103">IF($J527="","",$J527+$K527)</f>
        <v>1782</v>
      </c>
      <c r="O527" s="15" t="str">
        <f t="shared" ref="O527:O590" si="104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>휘발유 71,280원</v>
      </c>
      <c r="P527" s="15">
        <f t="shared" ref="P527:P590" si="105">IF($B$10=0,"",IFERROR(IF($B$4&gt;0,IF($L527="",1/0,$L527*$B$4),0)+IF($B$5&gt;0,IF($M527="",1/0,$M527*$B$5),0)+IF($B$6&gt;0,IF($N527="",1/0,$N527*$B$6),0),""))</f>
        <v>71280</v>
      </c>
      <c r="Q527" s="15"/>
      <c r="R527" s="16">
        <f t="shared" ref="R527:R590" si="106">IF($P527="","",IF($Q527="Y",IFERROR(VLOOKUP($B527,$C$4:$D$13,2,FALSE()),0),0))</f>
        <v>0</v>
      </c>
      <c r="S527" s="15">
        <f t="shared" ref="S527:S590" si="107">IF($P527="","",ROUNDDOWN($P527*$R527,0))</f>
        <v>0</v>
      </c>
      <c r="T527" s="15">
        <f t="shared" ref="T527:T590" si="108">IF($P527="","",$P527-$S527)</f>
        <v>71280</v>
      </c>
      <c r="U527" s="15">
        <f t="shared" ref="U527:U590" si="109">IF($T527="","",IF($B$10=0,"",$T527/$B$10))</f>
        <v>1782</v>
      </c>
      <c r="V527" s="15">
        <f t="shared" si="98"/>
        <v>1782</v>
      </c>
      <c r="W527" s="17">
        <f>IF($T527="",1000000000000000,$T527)</f>
        <v>71280</v>
      </c>
      <c r="XFC527" s="3"/>
    </row>
    <row r="528" spans="1:23 16382:16383" s="5" customFormat="1" ht="28.65" customHeight="1">
      <c r="A528" s="14">
        <f t="shared" si="100"/>
        <v>502</v>
      </c>
      <c r="B528" s="14" t="s">
        <v>12</v>
      </c>
      <c r="C528" s="14" t="s">
        <v>1063</v>
      </c>
      <c r="D528" s="18" t="s">
        <v>45</v>
      </c>
      <c r="E528" s="14" t="s">
        <v>26</v>
      </c>
      <c r="F528" s="14" t="s">
        <v>1064</v>
      </c>
      <c r="G528" s="15">
        <v>1782</v>
      </c>
      <c r="H528" s="15"/>
      <c r="I528" s="15"/>
      <c r="J528" s="15">
        <v>1814</v>
      </c>
      <c r="K528" s="15">
        <f t="shared" si="99"/>
        <v>0</v>
      </c>
      <c r="L528" s="15">
        <f t="shared" si="101"/>
        <v>1782</v>
      </c>
      <c r="M528" s="15" t="str">
        <f t="shared" si="102"/>
        <v/>
      </c>
      <c r="N528" s="15">
        <f t="shared" si="103"/>
        <v>1814</v>
      </c>
      <c r="O528" s="15" t="str">
        <f t="shared" si="104"/>
        <v>휘발유 71,280원</v>
      </c>
      <c r="P528" s="15">
        <f t="shared" si="105"/>
        <v>71280</v>
      </c>
      <c r="Q528" s="15"/>
      <c r="R528" s="16">
        <f t="shared" si="106"/>
        <v>0</v>
      </c>
      <c r="S528" s="15">
        <f t="shared" si="107"/>
        <v>0</v>
      </c>
      <c r="T528" s="15">
        <f t="shared" si="108"/>
        <v>71280</v>
      </c>
      <c r="U528" s="15">
        <f t="shared" si="109"/>
        <v>1782</v>
      </c>
      <c r="V528" s="15">
        <f t="shared" si="98"/>
        <v>1782</v>
      </c>
      <c r="W528" s="17">
        <f>IF($T528="",1000000000000000,$T528)</f>
        <v>71280</v>
      </c>
      <c r="XFC528" s="3"/>
    </row>
    <row r="529" spans="1:23 16382:16383" s="4" customFormat="1" ht="28.5" customHeight="1">
      <c r="A529" s="14">
        <f t="shared" si="100"/>
        <v>502</v>
      </c>
      <c r="B529" s="14" t="s">
        <v>10</v>
      </c>
      <c r="C529" s="14" t="s">
        <v>1155</v>
      </c>
      <c r="D529" s="18" t="s">
        <v>86</v>
      </c>
      <c r="E529" s="14" t="s">
        <v>26</v>
      </c>
      <c r="F529" s="14" t="s">
        <v>1156</v>
      </c>
      <c r="G529" s="15">
        <v>1782</v>
      </c>
      <c r="H529" s="15"/>
      <c r="I529" s="15"/>
      <c r="J529" s="15">
        <v>1829</v>
      </c>
      <c r="K529" s="15">
        <f t="shared" si="99"/>
        <v>0</v>
      </c>
      <c r="L529" s="15">
        <f t="shared" si="101"/>
        <v>1782</v>
      </c>
      <c r="M529" s="15" t="str">
        <f t="shared" si="102"/>
        <v/>
      </c>
      <c r="N529" s="15">
        <f t="shared" si="103"/>
        <v>1829</v>
      </c>
      <c r="O529" s="15" t="str">
        <f t="shared" si="104"/>
        <v>휘발유 71,280원</v>
      </c>
      <c r="P529" s="15">
        <f t="shared" si="105"/>
        <v>71280</v>
      </c>
      <c r="Q529" s="15"/>
      <c r="R529" s="16">
        <f t="shared" si="106"/>
        <v>0</v>
      </c>
      <c r="S529" s="15">
        <f t="shared" si="107"/>
        <v>0</v>
      </c>
      <c r="T529" s="15">
        <f t="shared" si="108"/>
        <v>71280</v>
      </c>
      <c r="U529" s="15">
        <f t="shared" si="109"/>
        <v>1782</v>
      </c>
      <c r="V529" s="15">
        <f t="shared" si="98"/>
        <v>1782</v>
      </c>
      <c r="W529" s="17">
        <f>IF($T529="",1000000000000000,$T529)</f>
        <v>71280</v>
      </c>
      <c r="XFB529" s="5"/>
      <c r="XFC529" s="3"/>
    </row>
    <row r="530" spans="1:23 16382:16383" s="4" customFormat="1" ht="28.5" customHeight="1">
      <c r="A530" s="14">
        <f t="shared" si="100"/>
        <v>516</v>
      </c>
      <c r="B530" s="14" t="s">
        <v>10</v>
      </c>
      <c r="C530" s="14" t="s">
        <v>1161</v>
      </c>
      <c r="D530" s="14" t="s">
        <v>294</v>
      </c>
      <c r="E530" s="14" t="s">
        <v>26</v>
      </c>
      <c r="F530" s="14" t="s">
        <v>1162</v>
      </c>
      <c r="G530" s="15">
        <v>1783</v>
      </c>
      <c r="H530" s="15"/>
      <c r="I530" s="15"/>
      <c r="J530" s="15">
        <v>1773</v>
      </c>
      <c r="K530" s="15">
        <f t="shared" si="99"/>
        <v>0</v>
      </c>
      <c r="L530" s="15">
        <f t="shared" si="101"/>
        <v>1783</v>
      </c>
      <c r="M530" s="15" t="str">
        <f t="shared" si="102"/>
        <v/>
      </c>
      <c r="N530" s="15">
        <f t="shared" si="103"/>
        <v>1773</v>
      </c>
      <c r="O530" s="15" t="str">
        <f t="shared" si="104"/>
        <v>휘발유 71,320원</v>
      </c>
      <c r="P530" s="15">
        <f t="shared" si="105"/>
        <v>71320</v>
      </c>
      <c r="Q530" s="15"/>
      <c r="R530" s="16">
        <f t="shared" si="106"/>
        <v>0</v>
      </c>
      <c r="S530" s="15">
        <f t="shared" si="107"/>
        <v>0</v>
      </c>
      <c r="T530" s="15">
        <f t="shared" si="108"/>
        <v>71320</v>
      </c>
      <c r="U530" s="15">
        <f t="shared" si="109"/>
        <v>1783</v>
      </c>
      <c r="V530" s="15">
        <f t="shared" si="98"/>
        <v>1783</v>
      </c>
      <c r="W530" s="17">
        <f>IF($T530="",1000000000000000,$T530)</f>
        <v>71320</v>
      </c>
      <c r="XFB530" s="5"/>
      <c r="XFC530" s="3"/>
    </row>
    <row r="531" spans="1:23 16382:16383" s="19" customFormat="1" ht="28.5" customHeight="1">
      <c r="A531" s="14">
        <f t="shared" si="100"/>
        <v>516</v>
      </c>
      <c r="B531" s="14" t="s">
        <v>12</v>
      </c>
      <c r="C531" s="14" t="s">
        <v>1203</v>
      </c>
      <c r="D531" s="14" t="s">
        <v>294</v>
      </c>
      <c r="E531" s="14" t="s">
        <v>26</v>
      </c>
      <c r="F531" s="14" t="s">
        <v>1204</v>
      </c>
      <c r="G531" s="15">
        <v>1783</v>
      </c>
      <c r="H531" s="15"/>
      <c r="I531" s="15"/>
      <c r="J531" s="15">
        <v>1781</v>
      </c>
      <c r="K531" s="15">
        <f t="shared" si="99"/>
        <v>0</v>
      </c>
      <c r="L531" s="15">
        <f t="shared" si="101"/>
        <v>1783</v>
      </c>
      <c r="M531" s="15" t="str">
        <f t="shared" si="102"/>
        <v/>
      </c>
      <c r="N531" s="15">
        <f t="shared" si="103"/>
        <v>1781</v>
      </c>
      <c r="O531" s="15" t="str">
        <f t="shared" si="104"/>
        <v>휘발유 71,320원</v>
      </c>
      <c r="P531" s="15">
        <f t="shared" si="105"/>
        <v>71320</v>
      </c>
      <c r="Q531" s="15"/>
      <c r="R531" s="16">
        <f t="shared" si="106"/>
        <v>0</v>
      </c>
      <c r="S531" s="15">
        <f t="shared" si="107"/>
        <v>0</v>
      </c>
      <c r="T531" s="15">
        <f t="shared" si="108"/>
        <v>71320</v>
      </c>
      <c r="U531" s="15">
        <f t="shared" si="109"/>
        <v>1783</v>
      </c>
      <c r="V531" s="15">
        <f t="shared" si="98"/>
        <v>1783</v>
      </c>
      <c r="W531" s="17">
        <f>IF($T531="",1000000000000000,$T531)</f>
        <v>71320</v>
      </c>
      <c r="XFB531" s="5"/>
      <c r="XFC531" s="3"/>
    </row>
    <row r="532" spans="1:23 16382:16383" s="4" customFormat="1" ht="28.5" customHeight="1">
      <c r="A532" s="14">
        <f t="shared" si="100"/>
        <v>516</v>
      </c>
      <c r="B532" s="14" t="s">
        <v>10</v>
      </c>
      <c r="C532" s="14" t="s">
        <v>1165</v>
      </c>
      <c r="D532" s="14" t="s">
        <v>51</v>
      </c>
      <c r="E532" s="14" t="s">
        <v>26</v>
      </c>
      <c r="F532" s="14" t="s">
        <v>1166</v>
      </c>
      <c r="G532" s="15">
        <v>1783</v>
      </c>
      <c r="H532" s="15"/>
      <c r="I532" s="15"/>
      <c r="J532" s="15">
        <v>1783</v>
      </c>
      <c r="K532" s="15">
        <f t="shared" si="99"/>
        <v>0</v>
      </c>
      <c r="L532" s="15">
        <f t="shared" si="101"/>
        <v>1783</v>
      </c>
      <c r="M532" s="15" t="str">
        <f t="shared" si="102"/>
        <v/>
      </c>
      <c r="N532" s="15">
        <f t="shared" si="103"/>
        <v>1783</v>
      </c>
      <c r="O532" s="15" t="str">
        <f t="shared" si="104"/>
        <v>휘발유 71,320원</v>
      </c>
      <c r="P532" s="15">
        <f t="shared" si="105"/>
        <v>71320</v>
      </c>
      <c r="Q532" s="15"/>
      <c r="R532" s="16">
        <f t="shared" si="106"/>
        <v>0</v>
      </c>
      <c r="S532" s="15">
        <f t="shared" si="107"/>
        <v>0</v>
      </c>
      <c r="T532" s="15">
        <f t="shared" si="108"/>
        <v>71320</v>
      </c>
      <c r="U532" s="15">
        <f t="shared" si="109"/>
        <v>1783</v>
      </c>
      <c r="V532" s="15">
        <f t="shared" si="98"/>
        <v>1783</v>
      </c>
      <c r="W532" s="17">
        <f>IF($T532="",1000000000000000,$T532)</f>
        <v>71320</v>
      </c>
      <c r="XFB532" s="5"/>
      <c r="XFC532" s="3"/>
    </row>
    <row r="533" spans="1:23 16382:16383" s="4" customFormat="1" ht="28.5" customHeight="1">
      <c r="A533" s="14">
        <f t="shared" si="100"/>
        <v>519</v>
      </c>
      <c r="B533" s="14" t="s">
        <v>10</v>
      </c>
      <c r="C533" s="14" t="s">
        <v>245</v>
      </c>
      <c r="D533" s="14" t="s">
        <v>45</v>
      </c>
      <c r="E533" s="14" t="s">
        <v>26</v>
      </c>
      <c r="F533" s="14" t="s">
        <v>246</v>
      </c>
      <c r="G533" s="15">
        <v>1794</v>
      </c>
      <c r="H533" s="15">
        <v>2044</v>
      </c>
      <c r="I533" s="15"/>
      <c r="J533" s="15">
        <v>1764</v>
      </c>
      <c r="K533" s="15">
        <f t="shared" si="99"/>
        <v>-10</v>
      </c>
      <c r="L533" s="15">
        <f t="shared" si="101"/>
        <v>1784</v>
      </c>
      <c r="M533" s="15">
        <f t="shared" si="102"/>
        <v>2034</v>
      </c>
      <c r="N533" s="15">
        <f t="shared" si="103"/>
        <v>1754</v>
      </c>
      <c r="O533" s="15" t="str">
        <f t="shared" si="104"/>
        <v>휘발유 71,360원</v>
      </c>
      <c r="P533" s="15">
        <f t="shared" si="105"/>
        <v>71360</v>
      </c>
      <c r="Q533" s="15"/>
      <c r="R533" s="16">
        <f t="shared" si="106"/>
        <v>0</v>
      </c>
      <c r="S533" s="15">
        <f t="shared" si="107"/>
        <v>0</v>
      </c>
      <c r="T533" s="15">
        <f t="shared" si="108"/>
        <v>71360</v>
      </c>
      <c r="U533" s="15">
        <f t="shared" si="109"/>
        <v>1784</v>
      </c>
      <c r="V533" s="15">
        <f t="shared" si="98"/>
        <v>1784</v>
      </c>
      <c r="W533" s="17">
        <f>IF($T533="",1000000000000000,$T533)</f>
        <v>71360</v>
      </c>
      <c r="XFB533" s="5"/>
      <c r="XFC533" s="3"/>
    </row>
    <row r="534" spans="1:23 16382:16383" s="19" customFormat="1" ht="28.5" customHeight="1">
      <c r="A534" s="14">
        <f t="shared" si="100"/>
        <v>519</v>
      </c>
      <c r="B534" s="14" t="s">
        <v>18</v>
      </c>
      <c r="C534" s="14" t="s">
        <v>265</v>
      </c>
      <c r="D534" s="18" t="s">
        <v>86</v>
      </c>
      <c r="E534" s="14" t="s">
        <v>26</v>
      </c>
      <c r="F534" s="14" t="s">
        <v>266</v>
      </c>
      <c r="G534" s="15">
        <v>1784</v>
      </c>
      <c r="H534" s="15">
        <v>2055</v>
      </c>
      <c r="I534" s="15"/>
      <c r="J534" s="15">
        <v>1774</v>
      </c>
      <c r="K534" s="15">
        <f t="shared" ref="K534:K565" si="110">IF(AND(IFERROR(SEARCH("현대오일뱅크",$C534),0)&gt;0,IFERROR(SEARCH("직영",$C534),0)&gt;0),$B$13,0)</f>
        <v>0</v>
      </c>
      <c r="L534" s="15">
        <f t="shared" si="101"/>
        <v>1784</v>
      </c>
      <c r="M534" s="15">
        <f t="shared" si="102"/>
        <v>2055</v>
      </c>
      <c r="N534" s="15">
        <f t="shared" si="103"/>
        <v>1774</v>
      </c>
      <c r="O534" s="15" t="str">
        <f t="shared" si="104"/>
        <v>휘발유 71,360원</v>
      </c>
      <c r="P534" s="15">
        <f t="shared" si="105"/>
        <v>71360</v>
      </c>
      <c r="Q534" s="15"/>
      <c r="R534" s="16">
        <f t="shared" si="106"/>
        <v>0</v>
      </c>
      <c r="S534" s="15">
        <f t="shared" si="107"/>
        <v>0</v>
      </c>
      <c r="T534" s="15">
        <f t="shared" si="108"/>
        <v>71360</v>
      </c>
      <c r="U534" s="15">
        <f t="shared" si="109"/>
        <v>1784</v>
      </c>
      <c r="V534" s="15">
        <f t="shared" si="98"/>
        <v>1784</v>
      </c>
      <c r="W534" s="17">
        <f>IF($T534="",1000000000000000,$T534)</f>
        <v>71360</v>
      </c>
      <c r="XFB534" s="5"/>
      <c r="XFC534" s="3"/>
    </row>
    <row r="535" spans="1:23 16382:16383" s="4" customFormat="1" ht="28.5" customHeight="1">
      <c r="A535" s="14">
        <f t="shared" si="100"/>
        <v>519</v>
      </c>
      <c r="B535" s="14" t="s">
        <v>10</v>
      </c>
      <c r="C535" s="14" t="s">
        <v>346</v>
      </c>
      <c r="D535" s="14" t="s">
        <v>56</v>
      </c>
      <c r="E535" s="14" t="s">
        <v>26</v>
      </c>
      <c r="F535" s="14" t="s">
        <v>347</v>
      </c>
      <c r="G535" s="15">
        <v>1784</v>
      </c>
      <c r="H535" s="15">
        <v>2148</v>
      </c>
      <c r="I535" s="15"/>
      <c r="J535" s="15">
        <v>1782</v>
      </c>
      <c r="K535" s="15">
        <f t="shared" si="110"/>
        <v>0</v>
      </c>
      <c r="L535" s="15">
        <f t="shared" si="101"/>
        <v>1784</v>
      </c>
      <c r="M535" s="15">
        <f t="shared" si="102"/>
        <v>2148</v>
      </c>
      <c r="N535" s="15">
        <f t="shared" si="103"/>
        <v>1782</v>
      </c>
      <c r="O535" s="15" t="str">
        <f t="shared" si="104"/>
        <v>휘발유 71,360원</v>
      </c>
      <c r="P535" s="15">
        <f t="shared" si="105"/>
        <v>71360</v>
      </c>
      <c r="Q535" s="15"/>
      <c r="R535" s="16">
        <f t="shared" si="106"/>
        <v>0</v>
      </c>
      <c r="S535" s="15">
        <f t="shared" si="107"/>
        <v>0</v>
      </c>
      <c r="T535" s="15">
        <f t="shared" si="108"/>
        <v>71360</v>
      </c>
      <c r="U535" s="15">
        <f t="shared" si="109"/>
        <v>1784</v>
      </c>
      <c r="V535" s="15">
        <f t="shared" ref="V535:V598" si="111">IF($P535="","",IF($B$10=0,"",$P535/$B$10))</f>
        <v>1784</v>
      </c>
      <c r="W535" s="17">
        <f>IF($T535="",1000000000000000,$T535)</f>
        <v>71360</v>
      </c>
      <c r="XFB535" s="5"/>
      <c r="XFC535" s="3"/>
    </row>
    <row r="536" spans="1:23 16382:16383" s="5" customFormat="1" ht="28.65" customHeight="1">
      <c r="A536" s="14">
        <f t="shared" si="100"/>
        <v>519</v>
      </c>
      <c r="B536" s="14" t="s">
        <v>12</v>
      </c>
      <c r="C536" s="14" t="s">
        <v>1167</v>
      </c>
      <c r="D536" s="18" t="s">
        <v>51</v>
      </c>
      <c r="E536" s="14" t="s">
        <v>26</v>
      </c>
      <c r="F536" s="14" t="s">
        <v>1168</v>
      </c>
      <c r="G536" s="15">
        <v>1784</v>
      </c>
      <c r="H536" s="15"/>
      <c r="I536" s="15"/>
      <c r="J536" s="15">
        <v>1770</v>
      </c>
      <c r="K536" s="15">
        <f t="shared" si="110"/>
        <v>0</v>
      </c>
      <c r="L536" s="15">
        <f t="shared" si="101"/>
        <v>1784</v>
      </c>
      <c r="M536" s="15" t="str">
        <f t="shared" si="102"/>
        <v/>
      </c>
      <c r="N536" s="15">
        <f t="shared" si="103"/>
        <v>1770</v>
      </c>
      <c r="O536" s="15" t="str">
        <f t="shared" si="104"/>
        <v>휘발유 71,360원</v>
      </c>
      <c r="P536" s="15">
        <f t="shared" si="105"/>
        <v>71360</v>
      </c>
      <c r="Q536" s="15"/>
      <c r="R536" s="16">
        <f t="shared" si="106"/>
        <v>0</v>
      </c>
      <c r="S536" s="15">
        <f t="shared" si="107"/>
        <v>0</v>
      </c>
      <c r="T536" s="15">
        <f t="shared" si="108"/>
        <v>71360</v>
      </c>
      <c r="U536" s="15">
        <f t="shared" si="109"/>
        <v>1784</v>
      </c>
      <c r="V536" s="15">
        <f t="shared" si="111"/>
        <v>1784</v>
      </c>
      <c r="W536" s="17">
        <f>IF($T536="",1000000000000000,$T536)</f>
        <v>71360</v>
      </c>
      <c r="XFC536" s="3"/>
    </row>
    <row r="537" spans="1:23 16382:16383" s="19" customFormat="1" ht="28.5" customHeight="1">
      <c r="A537" s="14">
        <f t="shared" si="100"/>
        <v>519</v>
      </c>
      <c r="B537" s="14" t="s">
        <v>10</v>
      </c>
      <c r="C537" s="14" t="s">
        <v>1171</v>
      </c>
      <c r="D537" s="14" t="s">
        <v>56</v>
      </c>
      <c r="E537" s="14" t="s">
        <v>26</v>
      </c>
      <c r="F537" s="14" t="s">
        <v>1172</v>
      </c>
      <c r="G537" s="15">
        <v>1784</v>
      </c>
      <c r="H537" s="15"/>
      <c r="I537" s="15"/>
      <c r="J537" s="15">
        <v>1779</v>
      </c>
      <c r="K537" s="15">
        <f t="shared" si="110"/>
        <v>0</v>
      </c>
      <c r="L537" s="15">
        <f t="shared" si="101"/>
        <v>1784</v>
      </c>
      <c r="M537" s="15" t="str">
        <f t="shared" si="102"/>
        <v/>
      </c>
      <c r="N537" s="15">
        <f t="shared" si="103"/>
        <v>1779</v>
      </c>
      <c r="O537" s="15" t="str">
        <f t="shared" si="104"/>
        <v>휘발유 71,360원</v>
      </c>
      <c r="P537" s="15">
        <f t="shared" si="105"/>
        <v>71360</v>
      </c>
      <c r="Q537" s="15"/>
      <c r="R537" s="16">
        <f t="shared" si="106"/>
        <v>0</v>
      </c>
      <c r="S537" s="15">
        <f t="shared" si="107"/>
        <v>0</v>
      </c>
      <c r="T537" s="15">
        <f t="shared" si="108"/>
        <v>71360</v>
      </c>
      <c r="U537" s="15">
        <f t="shared" si="109"/>
        <v>1784</v>
      </c>
      <c r="V537" s="15">
        <f t="shared" si="111"/>
        <v>1784</v>
      </c>
      <c r="W537" s="17">
        <f>IF($T537="",1000000000000000,$T537)</f>
        <v>71360</v>
      </c>
      <c r="XFB537" s="5"/>
      <c r="XFC537" s="3"/>
    </row>
    <row r="538" spans="1:23 16382:16383" s="5" customFormat="1" ht="28.65" customHeight="1">
      <c r="A538" s="14">
        <f t="shared" si="100"/>
        <v>519</v>
      </c>
      <c r="B538" s="14" t="s">
        <v>10</v>
      </c>
      <c r="C538" s="14" t="s">
        <v>1177</v>
      </c>
      <c r="D538" s="14" t="s">
        <v>95</v>
      </c>
      <c r="E538" s="14" t="s">
        <v>26</v>
      </c>
      <c r="F538" s="14" t="s">
        <v>1178</v>
      </c>
      <c r="G538" s="15">
        <v>1784</v>
      </c>
      <c r="H538" s="15"/>
      <c r="I538" s="15"/>
      <c r="J538" s="15">
        <v>1782</v>
      </c>
      <c r="K538" s="15">
        <f t="shared" si="110"/>
        <v>0</v>
      </c>
      <c r="L538" s="15">
        <f t="shared" si="101"/>
        <v>1784</v>
      </c>
      <c r="M538" s="15" t="str">
        <f t="shared" si="102"/>
        <v/>
      </c>
      <c r="N538" s="15">
        <f t="shared" si="103"/>
        <v>1782</v>
      </c>
      <c r="O538" s="15" t="str">
        <f t="shared" si="104"/>
        <v>휘발유 71,360원</v>
      </c>
      <c r="P538" s="15">
        <f t="shared" si="105"/>
        <v>71360</v>
      </c>
      <c r="Q538" s="15"/>
      <c r="R538" s="16">
        <f t="shared" si="106"/>
        <v>0</v>
      </c>
      <c r="S538" s="15">
        <f t="shared" si="107"/>
        <v>0</v>
      </c>
      <c r="T538" s="15">
        <f t="shared" si="108"/>
        <v>71360</v>
      </c>
      <c r="U538" s="15">
        <f t="shared" si="109"/>
        <v>1784</v>
      </c>
      <c r="V538" s="15">
        <f t="shared" si="111"/>
        <v>1784</v>
      </c>
      <c r="W538" s="17">
        <f>IF($T538="",1000000000000000,$T538)</f>
        <v>71360</v>
      </c>
      <c r="XFC538" s="3"/>
    </row>
    <row r="539" spans="1:23 16382:16383" s="5" customFormat="1" ht="28.65" customHeight="1">
      <c r="A539" s="14">
        <f t="shared" si="100"/>
        <v>519</v>
      </c>
      <c r="B539" s="14" t="s">
        <v>14</v>
      </c>
      <c r="C539" s="14" t="s">
        <v>1773</v>
      </c>
      <c r="D539" s="14" t="s">
        <v>45</v>
      </c>
      <c r="E539" s="14" t="s">
        <v>26</v>
      </c>
      <c r="F539" s="14" t="s">
        <v>1774</v>
      </c>
      <c r="G539" s="15">
        <v>1784</v>
      </c>
      <c r="H539" s="15"/>
      <c r="I539" s="15"/>
      <c r="J539" s="15">
        <v>1784</v>
      </c>
      <c r="K539" s="15">
        <f t="shared" si="110"/>
        <v>0</v>
      </c>
      <c r="L539" s="15">
        <f t="shared" si="101"/>
        <v>1784</v>
      </c>
      <c r="M539" s="15" t="str">
        <f t="shared" si="102"/>
        <v/>
      </c>
      <c r="N539" s="15">
        <f t="shared" si="103"/>
        <v>1784</v>
      </c>
      <c r="O539" s="15" t="str">
        <f t="shared" si="104"/>
        <v>휘발유 71,360원</v>
      </c>
      <c r="P539" s="15">
        <f t="shared" si="105"/>
        <v>71360</v>
      </c>
      <c r="Q539" s="15"/>
      <c r="R539" s="16">
        <f t="shared" si="106"/>
        <v>0</v>
      </c>
      <c r="S539" s="15">
        <f t="shared" si="107"/>
        <v>0</v>
      </c>
      <c r="T539" s="15">
        <f t="shared" si="108"/>
        <v>71360</v>
      </c>
      <c r="U539" s="15">
        <f t="shared" si="109"/>
        <v>1784</v>
      </c>
      <c r="V539" s="15">
        <f t="shared" si="111"/>
        <v>1784</v>
      </c>
      <c r="W539" s="17">
        <f>IF($T539="",1000000000000000,$T539)</f>
        <v>71360</v>
      </c>
      <c r="XFC539" s="3"/>
    </row>
    <row r="540" spans="1:23 16382:16383" s="5" customFormat="1" ht="28.65" customHeight="1">
      <c r="A540" s="14">
        <f t="shared" si="100"/>
        <v>519</v>
      </c>
      <c r="B540" s="14" t="s">
        <v>12</v>
      </c>
      <c r="C540" s="14" t="s">
        <v>1088</v>
      </c>
      <c r="D540" s="18" t="s">
        <v>95</v>
      </c>
      <c r="E540" s="14" t="s">
        <v>26</v>
      </c>
      <c r="F540" s="14" t="s">
        <v>1089</v>
      </c>
      <c r="G540" s="15">
        <v>1784</v>
      </c>
      <c r="H540" s="15"/>
      <c r="I540" s="15"/>
      <c r="J540" s="15">
        <v>1784</v>
      </c>
      <c r="K540" s="15">
        <f t="shared" si="110"/>
        <v>0</v>
      </c>
      <c r="L540" s="15">
        <f t="shared" si="101"/>
        <v>1784</v>
      </c>
      <c r="M540" s="15" t="str">
        <f t="shared" si="102"/>
        <v/>
      </c>
      <c r="N540" s="15">
        <f t="shared" si="103"/>
        <v>1784</v>
      </c>
      <c r="O540" s="15" t="str">
        <f t="shared" si="104"/>
        <v>휘발유 71,360원</v>
      </c>
      <c r="P540" s="15">
        <f t="shared" si="105"/>
        <v>71360</v>
      </c>
      <c r="Q540" s="15"/>
      <c r="R540" s="16">
        <f t="shared" si="106"/>
        <v>0</v>
      </c>
      <c r="S540" s="15">
        <f t="shared" si="107"/>
        <v>0</v>
      </c>
      <c r="T540" s="15">
        <f t="shared" si="108"/>
        <v>71360</v>
      </c>
      <c r="U540" s="15">
        <f t="shared" si="109"/>
        <v>1784</v>
      </c>
      <c r="V540" s="15">
        <f t="shared" si="111"/>
        <v>1784</v>
      </c>
      <c r="W540" s="17">
        <f>IF($T540="",1000000000000000,$T540)</f>
        <v>71360</v>
      </c>
      <c r="XFC540" s="3"/>
    </row>
    <row r="541" spans="1:23 16382:16383" s="5" customFormat="1" ht="28.65" customHeight="1">
      <c r="A541" s="14">
        <f t="shared" si="100"/>
        <v>519</v>
      </c>
      <c r="B541" s="14" t="s">
        <v>10</v>
      </c>
      <c r="C541" s="14" t="s">
        <v>1183</v>
      </c>
      <c r="D541" s="14" t="s">
        <v>56</v>
      </c>
      <c r="E541" s="14" t="s">
        <v>63</v>
      </c>
      <c r="F541" s="14" t="s">
        <v>1184</v>
      </c>
      <c r="G541" s="15">
        <v>1784</v>
      </c>
      <c r="H541" s="15"/>
      <c r="I541" s="15"/>
      <c r="J541" s="15">
        <v>1784</v>
      </c>
      <c r="K541" s="15">
        <f t="shared" si="110"/>
        <v>0</v>
      </c>
      <c r="L541" s="15">
        <f t="shared" si="101"/>
        <v>1784</v>
      </c>
      <c r="M541" s="15" t="str">
        <f t="shared" si="102"/>
        <v/>
      </c>
      <c r="N541" s="15">
        <f t="shared" si="103"/>
        <v>1784</v>
      </c>
      <c r="O541" s="15" t="str">
        <f t="shared" si="104"/>
        <v>휘발유 71,360원</v>
      </c>
      <c r="P541" s="15">
        <f t="shared" si="105"/>
        <v>71360</v>
      </c>
      <c r="Q541" s="15"/>
      <c r="R541" s="16">
        <f t="shared" si="106"/>
        <v>0</v>
      </c>
      <c r="S541" s="15">
        <f t="shared" si="107"/>
        <v>0</v>
      </c>
      <c r="T541" s="15">
        <f t="shared" si="108"/>
        <v>71360</v>
      </c>
      <c r="U541" s="15">
        <f t="shared" si="109"/>
        <v>1784</v>
      </c>
      <c r="V541" s="15">
        <f t="shared" si="111"/>
        <v>1784</v>
      </c>
      <c r="W541" s="17">
        <f>IF($T541="",1000000000000000,$T541)</f>
        <v>71360</v>
      </c>
      <c r="XFC541" s="3"/>
    </row>
    <row r="542" spans="1:23 16382:16383" s="5" customFormat="1" ht="28.65" customHeight="1">
      <c r="A542" s="14">
        <f t="shared" si="100"/>
        <v>528</v>
      </c>
      <c r="B542" s="14" t="s">
        <v>14</v>
      </c>
      <c r="C542" s="14" t="s">
        <v>237</v>
      </c>
      <c r="D542" s="14" t="s">
        <v>51</v>
      </c>
      <c r="E542" s="14" t="s">
        <v>26</v>
      </c>
      <c r="F542" s="14" t="s">
        <v>238</v>
      </c>
      <c r="G542" s="15">
        <v>1785</v>
      </c>
      <c r="H542" s="15">
        <v>2025</v>
      </c>
      <c r="I542" s="15"/>
      <c r="J542" s="15">
        <v>1785</v>
      </c>
      <c r="K542" s="15">
        <f t="shared" si="110"/>
        <v>0</v>
      </c>
      <c r="L542" s="15">
        <f t="shared" si="101"/>
        <v>1785</v>
      </c>
      <c r="M542" s="15">
        <f t="shared" si="102"/>
        <v>2025</v>
      </c>
      <c r="N542" s="15">
        <f t="shared" si="103"/>
        <v>1785</v>
      </c>
      <c r="O542" s="15" t="str">
        <f t="shared" si="104"/>
        <v>휘발유 71,400원</v>
      </c>
      <c r="P542" s="15">
        <f t="shared" si="105"/>
        <v>71400</v>
      </c>
      <c r="Q542" s="15"/>
      <c r="R542" s="16">
        <f t="shared" si="106"/>
        <v>0</v>
      </c>
      <c r="S542" s="15">
        <f t="shared" si="107"/>
        <v>0</v>
      </c>
      <c r="T542" s="15">
        <f t="shared" si="108"/>
        <v>71400</v>
      </c>
      <c r="U542" s="15">
        <f t="shared" si="109"/>
        <v>1785</v>
      </c>
      <c r="V542" s="15">
        <f t="shared" si="111"/>
        <v>1785</v>
      </c>
      <c r="W542" s="17">
        <f>IF($T542="",1000000000000000,$T542)</f>
        <v>71400</v>
      </c>
      <c r="XFC542" s="3"/>
    </row>
    <row r="543" spans="1:23 16382:16383" s="5" customFormat="1" ht="28.65" customHeight="1">
      <c r="A543" s="14">
        <f t="shared" si="100"/>
        <v>528</v>
      </c>
      <c r="B543" s="14" t="s">
        <v>12</v>
      </c>
      <c r="C543" s="14" t="s">
        <v>1096</v>
      </c>
      <c r="D543" s="18" t="s">
        <v>45</v>
      </c>
      <c r="E543" s="14" t="s">
        <v>26</v>
      </c>
      <c r="F543" s="14" t="s">
        <v>1097</v>
      </c>
      <c r="G543" s="15">
        <v>1785</v>
      </c>
      <c r="H543" s="15"/>
      <c r="I543" s="15"/>
      <c r="J543" s="15">
        <v>1775</v>
      </c>
      <c r="K543" s="15">
        <f t="shared" si="110"/>
        <v>0</v>
      </c>
      <c r="L543" s="15">
        <f t="shared" si="101"/>
        <v>1785</v>
      </c>
      <c r="M543" s="15" t="str">
        <f t="shared" si="102"/>
        <v/>
      </c>
      <c r="N543" s="15">
        <f t="shared" si="103"/>
        <v>1775</v>
      </c>
      <c r="O543" s="15" t="str">
        <f t="shared" si="104"/>
        <v>휘발유 71,400원</v>
      </c>
      <c r="P543" s="15">
        <f t="shared" si="105"/>
        <v>71400</v>
      </c>
      <c r="Q543" s="15"/>
      <c r="R543" s="16">
        <f t="shared" si="106"/>
        <v>0</v>
      </c>
      <c r="S543" s="15">
        <f t="shared" si="107"/>
        <v>0</v>
      </c>
      <c r="T543" s="15">
        <f t="shared" si="108"/>
        <v>71400</v>
      </c>
      <c r="U543" s="15">
        <f t="shared" si="109"/>
        <v>1785</v>
      </c>
      <c r="V543" s="15">
        <f t="shared" si="111"/>
        <v>1785</v>
      </c>
      <c r="W543" s="17">
        <f>IF($T543="",1000000000000000,$T543)</f>
        <v>71400</v>
      </c>
      <c r="XFC543" s="3"/>
    </row>
    <row r="544" spans="1:23 16382:16383" s="5" customFormat="1" ht="28.65" customHeight="1">
      <c r="A544" s="14">
        <f t="shared" si="100"/>
        <v>528</v>
      </c>
      <c r="B544" s="14" t="s">
        <v>6</v>
      </c>
      <c r="C544" s="14" t="s">
        <v>1189</v>
      </c>
      <c r="D544" s="14" t="s">
        <v>51</v>
      </c>
      <c r="E544" s="14" t="s">
        <v>26</v>
      </c>
      <c r="F544" s="14" t="s">
        <v>1190</v>
      </c>
      <c r="G544" s="15">
        <v>1785</v>
      </c>
      <c r="H544" s="15"/>
      <c r="I544" s="15"/>
      <c r="J544" s="15">
        <v>1785</v>
      </c>
      <c r="K544" s="15">
        <f t="shared" si="110"/>
        <v>0</v>
      </c>
      <c r="L544" s="15">
        <f t="shared" si="101"/>
        <v>1785</v>
      </c>
      <c r="M544" s="15" t="str">
        <f t="shared" si="102"/>
        <v/>
      </c>
      <c r="N544" s="15">
        <f t="shared" si="103"/>
        <v>1785</v>
      </c>
      <c r="O544" s="15" t="str">
        <f t="shared" si="104"/>
        <v>휘발유 71,400원</v>
      </c>
      <c r="P544" s="15">
        <f t="shared" si="105"/>
        <v>71400</v>
      </c>
      <c r="Q544" s="15"/>
      <c r="R544" s="16">
        <f t="shared" si="106"/>
        <v>0</v>
      </c>
      <c r="S544" s="15">
        <f t="shared" si="107"/>
        <v>0</v>
      </c>
      <c r="T544" s="15">
        <f t="shared" si="108"/>
        <v>71400</v>
      </c>
      <c r="U544" s="15">
        <f t="shared" si="109"/>
        <v>1785</v>
      </c>
      <c r="V544" s="15">
        <f t="shared" si="111"/>
        <v>1785</v>
      </c>
      <c r="W544" s="17">
        <f>IF($T544="",1000000000000000,$T544)</f>
        <v>71400</v>
      </c>
      <c r="XFC544" s="3"/>
    </row>
    <row r="545" spans="1:23 16382:16383" s="5" customFormat="1" ht="28.65" customHeight="1">
      <c r="A545" s="14">
        <f t="shared" si="100"/>
        <v>528</v>
      </c>
      <c r="B545" s="14" t="s">
        <v>12</v>
      </c>
      <c r="C545" s="14" t="s">
        <v>1061</v>
      </c>
      <c r="D545" s="18" t="s">
        <v>45</v>
      </c>
      <c r="E545" s="14" t="s">
        <v>26</v>
      </c>
      <c r="F545" s="14" t="s">
        <v>1062</v>
      </c>
      <c r="G545" s="15">
        <v>1785</v>
      </c>
      <c r="H545" s="15"/>
      <c r="I545" s="15"/>
      <c r="J545" s="15">
        <v>1785</v>
      </c>
      <c r="K545" s="15">
        <f t="shared" si="110"/>
        <v>0</v>
      </c>
      <c r="L545" s="15">
        <f t="shared" si="101"/>
        <v>1785</v>
      </c>
      <c r="M545" s="15" t="str">
        <f t="shared" si="102"/>
        <v/>
      </c>
      <c r="N545" s="15">
        <f t="shared" si="103"/>
        <v>1785</v>
      </c>
      <c r="O545" s="15" t="str">
        <f t="shared" si="104"/>
        <v>휘발유 71,400원</v>
      </c>
      <c r="P545" s="15">
        <f t="shared" si="105"/>
        <v>71400</v>
      </c>
      <c r="Q545" s="15"/>
      <c r="R545" s="16">
        <f t="shared" si="106"/>
        <v>0</v>
      </c>
      <c r="S545" s="15">
        <f t="shared" si="107"/>
        <v>0</v>
      </c>
      <c r="T545" s="15">
        <f t="shared" si="108"/>
        <v>71400</v>
      </c>
      <c r="U545" s="15">
        <f t="shared" si="109"/>
        <v>1785</v>
      </c>
      <c r="V545" s="15">
        <f t="shared" si="111"/>
        <v>1785</v>
      </c>
      <c r="W545" s="17">
        <f>IF($T545="",1000000000000000,$T545)</f>
        <v>71400</v>
      </c>
      <c r="XFC545" s="3"/>
    </row>
    <row r="546" spans="1:23 16382:16383" s="19" customFormat="1" ht="28.5" customHeight="1">
      <c r="A546" s="14">
        <f t="shared" si="100"/>
        <v>528</v>
      </c>
      <c r="B546" s="14" t="s">
        <v>14</v>
      </c>
      <c r="C546" s="14" t="s">
        <v>1557</v>
      </c>
      <c r="D546" s="14" t="s">
        <v>95</v>
      </c>
      <c r="E546" s="14" t="s">
        <v>63</v>
      </c>
      <c r="F546" s="14" t="s">
        <v>1558</v>
      </c>
      <c r="G546" s="15">
        <v>1785</v>
      </c>
      <c r="H546" s="15"/>
      <c r="I546" s="15"/>
      <c r="J546" s="15">
        <v>1787</v>
      </c>
      <c r="K546" s="15">
        <f t="shared" si="110"/>
        <v>0</v>
      </c>
      <c r="L546" s="15">
        <f t="shared" si="101"/>
        <v>1785</v>
      </c>
      <c r="M546" s="15" t="str">
        <f t="shared" si="102"/>
        <v/>
      </c>
      <c r="N546" s="15">
        <f t="shared" si="103"/>
        <v>1787</v>
      </c>
      <c r="O546" s="15" t="str">
        <f t="shared" si="104"/>
        <v>휘발유 71,400원</v>
      </c>
      <c r="P546" s="15">
        <f t="shared" si="105"/>
        <v>71400</v>
      </c>
      <c r="Q546" s="15"/>
      <c r="R546" s="16">
        <f t="shared" si="106"/>
        <v>0</v>
      </c>
      <c r="S546" s="15">
        <f t="shared" si="107"/>
        <v>0</v>
      </c>
      <c r="T546" s="15">
        <f t="shared" si="108"/>
        <v>71400</v>
      </c>
      <c r="U546" s="15">
        <f t="shared" si="109"/>
        <v>1785</v>
      </c>
      <c r="V546" s="15">
        <f t="shared" si="111"/>
        <v>1785</v>
      </c>
      <c r="W546" s="17">
        <f>IF($T546="",1000000000000000,$T546)</f>
        <v>71400</v>
      </c>
      <c r="XFB546" s="5"/>
      <c r="XFC546" s="3"/>
    </row>
    <row r="547" spans="1:23 16382:16383" s="19" customFormat="1" ht="28.5" customHeight="1">
      <c r="A547" s="14">
        <f t="shared" si="100"/>
        <v>528</v>
      </c>
      <c r="B547" s="14" t="s">
        <v>14</v>
      </c>
      <c r="C547" s="14" t="s">
        <v>1559</v>
      </c>
      <c r="D547" s="18" t="s">
        <v>86</v>
      </c>
      <c r="E547" s="14" t="s">
        <v>26</v>
      </c>
      <c r="F547" s="14" t="s">
        <v>1560</v>
      </c>
      <c r="G547" s="15">
        <v>1785</v>
      </c>
      <c r="H547" s="15"/>
      <c r="I547" s="15"/>
      <c r="J547" s="15">
        <v>1787</v>
      </c>
      <c r="K547" s="15">
        <f t="shared" si="110"/>
        <v>0</v>
      </c>
      <c r="L547" s="15">
        <f t="shared" si="101"/>
        <v>1785</v>
      </c>
      <c r="M547" s="15" t="str">
        <f t="shared" si="102"/>
        <v/>
      </c>
      <c r="N547" s="15">
        <f t="shared" si="103"/>
        <v>1787</v>
      </c>
      <c r="O547" s="15" t="str">
        <f t="shared" si="104"/>
        <v>휘발유 71,400원</v>
      </c>
      <c r="P547" s="15">
        <f t="shared" si="105"/>
        <v>71400</v>
      </c>
      <c r="Q547" s="15"/>
      <c r="R547" s="16">
        <f t="shared" si="106"/>
        <v>0</v>
      </c>
      <c r="S547" s="15">
        <f t="shared" si="107"/>
        <v>0</v>
      </c>
      <c r="T547" s="15">
        <f t="shared" si="108"/>
        <v>71400</v>
      </c>
      <c r="U547" s="15">
        <f t="shared" si="109"/>
        <v>1785</v>
      </c>
      <c r="V547" s="15">
        <f t="shared" si="111"/>
        <v>1785</v>
      </c>
      <c r="W547" s="17">
        <f>IF($T547="",1000000000000000,$T547)</f>
        <v>71400</v>
      </c>
      <c r="XFB547" s="5"/>
      <c r="XFC547" s="3"/>
    </row>
    <row r="548" spans="1:23 16382:16383" s="5" customFormat="1" ht="28.65" customHeight="1">
      <c r="A548" s="14">
        <f t="shared" si="100"/>
        <v>534</v>
      </c>
      <c r="B548" s="14" t="s">
        <v>14</v>
      </c>
      <c r="C548" s="14" t="s">
        <v>1104</v>
      </c>
      <c r="D548" s="18" t="s">
        <v>86</v>
      </c>
      <c r="E548" s="14" t="s">
        <v>63</v>
      </c>
      <c r="F548" s="14" t="s">
        <v>1105</v>
      </c>
      <c r="G548" s="15">
        <v>1786</v>
      </c>
      <c r="H548" s="15"/>
      <c r="I548" s="15"/>
      <c r="J548" s="15">
        <v>1787</v>
      </c>
      <c r="K548" s="15">
        <f t="shared" si="110"/>
        <v>0</v>
      </c>
      <c r="L548" s="15">
        <f t="shared" si="101"/>
        <v>1786</v>
      </c>
      <c r="M548" s="15" t="str">
        <f t="shared" si="102"/>
        <v/>
      </c>
      <c r="N548" s="15">
        <f t="shared" si="103"/>
        <v>1787</v>
      </c>
      <c r="O548" s="15" t="str">
        <f t="shared" si="104"/>
        <v>휘발유 71,440원</v>
      </c>
      <c r="P548" s="15">
        <f t="shared" si="105"/>
        <v>71440</v>
      </c>
      <c r="Q548" s="15"/>
      <c r="R548" s="16">
        <f t="shared" si="106"/>
        <v>0</v>
      </c>
      <c r="S548" s="15">
        <f t="shared" si="107"/>
        <v>0</v>
      </c>
      <c r="T548" s="15">
        <f t="shared" si="108"/>
        <v>71440</v>
      </c>
      <c r="U548" s="15">
        <f t="shared" si="109"/>
        <v>1786</v>
      </c>
      <c r="V548" s="15">
        <f t="shared" si="111"/>
        <v>1786</v>
      </c>
      <c r="W548" s="17">
        <f>IF($T548="",1000000000000000,$T548)</f>
        <v>71440</v>
      </c>
      <c r="XFC548" s="3"/>
    </row>
    <row r="549" spans="1:23 16382:16383" s="19" customFormat="1" ht="28.5" customHeight="1">
      <c r="A549" s="14">
        <f t="shared" si="100"/>
        <v>534</v>
      </c>
      <c r="B549" s="14" t="s">
        <v>14</v>
      </c>
      <c r="C549" s="14" t="s">
        <v>1106</v>
      </c>
      <c r="D549" s="14" t="s">
        <v>45</v>
      </c>
      <c r="E549" s="14" t="s">
        <v>26</v>
      </c>
      <c r="F549" s="14" t="s">
        <v>1107</v>
      </c>
      <c r="G549" s="15">
        <v>1786</v>
      </c>
      <c r="H549" s="15"/>
      <c r="I549" s="15"/>
      <c r="J549" s="15">
        <v>1787</v>
      </c>
      <c r="K549" s="15">
        <f t="shared" si="110"/>
        <v>0</v>
      </c>
      <c r="L549" s="15">
        <f t="shared" si="101"/>
        <v>1786</v>
      </c>
      <c r="M549" s="15" t="str">
        <f t="shared" si="102"/>
        <v/>
      </c>
      <c r="N549" s="15">
        <f t="shared" si="103"/>
        <v>1787</v>
      </c>
      <c r="O549" s="15" t="str">
        <f t="shared" si="104"/>
        <v>휘발유 71,440원</v>
      </c>
      <c r="P549" s="15">
        <f t="shared" si="105"/>
        <v>71440</v>
      </c>
      <c r="Q549" s="15"/>
      <c r="R549" s="16">
        <f t="shared" si="106"/>
        <v>0</v>
      </c>
      <c r="S549" s="15">
        <f t="shared" si="107"/>
        <v>0</v>
      </c>
      <c r="T549" s="15">
        <f t="shared" si="108"/>
        <v>71440</v>
      </c>
      <c r="U549" s="15">
        <f t="shared" si="109"/>
        <v>1786</v>
      </c>
      <c r="V549" s="15">
        <f t="shared" si="111"/>
        <v>1786</v>
      </c>
      <c r="W549" s="17">
        <f>IF($T549="",1000000000000000,$T549)</f>
        <v>71440</v>
      </c>
      <c r="XFB549" s="5"/>
      <c r="XFC549" s="3"/>
    </row>
    <row r="550" spans="1:23 16382:16383" s="4" customFormat="1" ht="28.5" customHeight="1">
      <c r="A550" s="14">
        <f t="shared" si="100"/>
        <v>534</v>
      </c>
      <c r="B550" s="14" t="s">
        <v>14</v>
      </c>
      <c r="C550" s="14" t="s">
        <v>1193</v>
      </c>
      <c r="D550" s="14" t="s">
        <v>51</v>
      </c>
      <c r="E550" s="14" t="s">
        <v>26</v>
      </c>
      <c r="F550" s="14" t="s">
        <v>1194</v>
      </c>
      <c r="G550" s="15">
        <v>1786</v>
      </c>
      <c r="H550" s="15"/>
      <c r="I550" s="15"/>
      <c r="J550" s="15">
        <v>1787</v>
      </c>
      <c r="K550" s="15">
        <f t="shared" si="110"/>
        <v>0</v>
      </c>
      <c r="L550" s="15">
        <f t="shared" si="101"/>
        <v>1786</v>
      </c>
      <c r="M550" s="15" t="str">
        <f t="shared" si="102"/>
        <v/>
      </c>
      <c r="N550" s="15">
        <f t="shared" si="103"/>
        <v>1787</v>
      </c>
      <c r="O550" s="15" t="str">
        <f t="shared" si="104"/>
        <v>휘발유 71,440원</v>
      </c>
      <c r="P550" s="15">
        <f t="shared" si="105"/>
        <v>71440</v>
      </c>
      <c r="Q550" s="15"/>
      <c r="R550" s="16">
        <f t="shared" si="106"/>
        <v>0</v>
      </c>
      <c r="S550" s="15">
        <f t="shared" si="107"/>
        <v>0</v>
      </c>
      <c r="T550" s="15">
        <f t="shared" si="108"/>
        <v>71440</v>
      </c>
      <c r="U550" s="15">
        <f t="shared" si="109"/>
        <v>1786</v>
      </c>
      <c r="V550" s="15">
        <f t="shared" si="111"/>
        <v>1786</v>
      </c>
      <c r="W550" s="17">
        <f>IF($T550="",1000000000000000,$T550)</f>
        <v>71440</v>
      </c>
      <c r="XFB550" s="5"/>
      <c r="XFC550" s="3"/>
    </row>
    <row r="551" spans="1:23 16382:16383" s="19" customFormat="1" ht="28.5" customHeight="1">
      <c r="A551" s="14">
        <f t="shared" si="100"/>
        <v>537</v>
      </c>
      <c r="B551" s="14" t="s">
        <v>14</v>
      </c>
      <c r="C551" s="14" t="s">
        <v>352</v>
      </c>
      <c r="D551" s="18" t="s">
        <v>86</v>
      </c>
      <c r="E551" s="14" t="s">
        <v>26</v>
      </c>
      <c r="F551" s="14" t="s">
        <v>353</v>
      </c>
      <c r="G551" s="15">
        <v>1787</v>
      </c>
      <c r="H551" s="15">
        <v>2186</v>
      </c>
      <c r="I551" s="15"/>
      <c r="J551" s="15">
        <v>1788</v>
      </c>
      <c r="K551" s="15">
        <f t="shared" si="110"/>
        <v>0</v>
      </c>
      <c r="L551" s="15">
        <f t="shared" si="101"/>
        <v>1787</v>
      </c>
      <c r="M551" s="15">
        <f t="shared" si="102"/>
        <v>2186</v>
      </c>
      <c r="N551" s="15">
        <f t="shared" si="103"/>
        <v>1788</v>
      </c>
      <c r="O551" s="15" t="str">
        <f t="shared" si="104"/>
        <v>휘발유 71,480원</v>
      </c>
      <c r="P551" s="15">
        <f t="shared" si="105"/>
        <v>71480</v>
      </c>
      <c r="Q551" s="15"/>
      <c r="R551" s="16">
        <f t="shared" si="106"/>
        <v>0</v>
      </c>
      <c r="S551" s="15">
        <f t="shared" si="107"/>
        <v>0</v>
      </c>
      <c r="T551" s="15">
        <f t="shared" si="108"/>
        <v>71480</v>
      </c>
      <c r="U551" s="15">
        <f t="shared" si="109"/>
        <v>1787</v>
      </c>
      <c r="V551" s="15">
        <f t="shared" si="111"/>
        <v>1787</v>
      </c>
      <c r="W551" s="17">
        <f>IF($T551="",1000000000000000,$T551)</f>
        <v>71480</v>
      </c>
      <c r="XFB551" s="5"/>
      <c r="XFC551" s="3"/>
    </row>
    <row r="552" spans="1:23 16382:16383" s="4" customFormat="1" ht="28.5" customHeight="1">
      <c r="A552" s="14">
        <f t="shared" si="100"/>
        <v>537</v>
      </c>
      <c r="B552" s="14" t="s">
        <v>12</v>
      </c>
      <c r="C552" s="14" t="s">
        <v>1195</v>
      </c>
      <c r="D552" s="18" t="s">
        <v>86</v>
      </c>
      <c r="E552" s="14" t="s">
        <v>26</v>
      </c>
      <c r="F552" s="14" t="s">
        <v>1196</v>
      </c>
      <c r="G552" s="15">
        <v>1787</v>
      </c>
      <c r="H552" s="15"/>
      <c r="I552" s="15"/>
      <c r="J552" s="15">
        <v>1757</v>
      </c>
      <c r="K552" s="15">
        <f t="shared" si="110"/>
        <v>0</v>
      </c>
      <c r="L552" s="15">
        <f t="shared" si="101"/>
        <v>1787</v>
      </c>
      <c r="M552" s="15" t="str">
        <f t="shared" si="102"/>
        <v/>
      </c>
      <c r="N552" s="15">
        <f t="shared" si="103"/>
        <v>1757</v>
      </c>
      <c r="O552" s="15" t="str">
        <f t="shared" si="104"/>
        <v>휘발유 71,480원</v>
      </c>
      <c r="P552" s="15">
        <f t="shared" si="105"/>
        <v>71480</v>
      </c>
      <c r="Q552" s="15"/>
      <c r="R552" s="16">
        <f t="shared" si="106"/>
        <v>0</v>
      </c>
      <c r="S552" s="15">
        <f t="shared" si="107"/>
        <v>0</v>
      </c>
      <c r="T552" s="15">
        <f t="shared" si="108"/>
        <v>71480</v>
      </c>
      <c r="U552" s="15">
        <f t="shared" si="109"/>
        <v>1787</v>
      </c>
      <c r="V552" s="15">
        <f t="shared" si="111"/>
        <v>1787</v>
      </c>
      <c r="W552" s="17">
        <f>IF($T552="",1000000000000000,$T552)</f>
        <v>71480</v>
      </c>
      <c r="XFB552" s="5"/>
      <c r="XFC552" s="3"/>
    </row>
    <row r="553" spans="1:23 16382:16383" s="19" customFormat="1" ht="28.5" customHeight="1">
      <c r="A553" s="14">
        <f t="shared" si="100"/>
        <v>537</v>
      </c>
      <c r="B553" s="14" t="s">
        <v>18</v>
      </c>
      <c r="C553" s="14" t="s">
        <v>1684</v>
      </c>
      <c r="D553" s="18" t="s">
        <v>86</v>
      </c>
      <c r="E553" s="14" t="s">
        <v>26</v>
      </c>
      <c r="F553" s="14" t="s">
        <v>1685</v>
      </c>
      <c r="G553" s="15">
        <v>1787</v>
      </c>
      <c r="H553" s="15"/>
      <c r="I553" s="15"/>
      <c r="J553" s="15">
        <v>1787</v>
      </c>
      <c r="K553" s="15">
        <f t="shared" si="110"/>
        <v>0</v>
      </c>
      <c r="L553" s="15">
        <f t="shared" si="101"/>
        <v>1787</v>
      </c>
      <c r="M553" s="15" t="str">
        <f t="shared" si="102"/>
        <v/>
      </c>
      <c r="N553" s="15">
        <f t="shared" si="103"/>
        <v>1787</v>
      </c>
      <c r="O553" s="15" t="str">
        <f t="shared" si="104"/>
        <v>휘발유 71,480원</v>
      </c>
      <c r="P553" s="15">
        <f t="shared" si="105"/>
        <v>71480</v>
      </c>
      <c r="Q553" s="15"/>
      <c r="R553" s="16">
        <f t="shared" si="106"/>
        <v>0</v>
      </c>
      <c r="S553" s="15">
        <f t="shared" si="107"/>
        <v>0</v>
      </c>
      <c r="T553" s="15">
        <f t="shared" si="108"/>
        <v>71480</v>
      </c>
      <c r="U553" s="15">
        <f t="shared" si="109"/>
        <v>1787</v>
      </c>
      <c r="V553" s="15">
        <f t="shared" si="111"/>
        <v>1787</v>
      </c>
      <c r="W553" s="17">
        <f>IF($T553="",1000000000000000,$T553)</f>
        <v>71480</v>
      </c>
      <c r="XFB553" s="5"/>
      <c r="XFC553" s="3"/>
    </row>
    <row r="554" spans="1:23 16382:16383" s="19" customFormat="1" ht="28.5" customHeight="1">
      <c r="A554" s="14">
        <f t="shared" si="100"/>
        <v>537</v>
      </c>
      <c r="B554" s="14" t="s">
        <v>18</v>
      </c>
      <c r="C554" s="14" t="s">
        <v>1150</v>
      </c>
      <c r="D554" s="14" t="s">
        <v>45</v>
      </c>
      <c r="E554" s="14" t="s">
        <v>26</v>
      </c>
      <c r="F554" s="14" t="s">
        <v>1151</v>
      </c>
      <c r="G554" s="15">
        <v>1787</v>
      </c>
      <c r="H554" s="15"/>
      <c r="I554" s="15"/>
      <c r="J554" s="15">
        <v>1787</v>
      </c>
      <c r="K554" s="15">
        <f t="shared" si="110"/>
        <v>0</v>
      </c>
      <c r="L554" s="15">
        <f t="shared" si="101"/>
        <v>1787</v>
      </c>
      <c r="M554" s="15" t="str">
        <f t="shared" si="102"/>
        <v/>
      </c>
      <c r="N554" s="15">
        <f t="shared" si="103"/>
        <v>1787</v>
      </c>
      <c r="O554" s="15" t="str">
        <f t="shared" si="104"/>
        <v>휘발유 71,480원</v>
      </c>
      <c r="P554" s="15">
        <f t="shared" si="105"/>
        <v>71480</v>
      </c>
      <c r="Q554" s="15"/>
      <c r="R554" s="16">
        <f t="shared" si="106"/>
        <v>0</v>
      </c>
      <c r="S554" s="15">
        <f t="shared" si="107"/>
        <v>0</v>
      </c>
      <c r="T554" s="15">
        <f t="shared" si="108"/>
        <v>71480</v>
      </c>
      <c r="U554" s="15">
        <f t="shared" si="109"/>
        <v>1787</v>
      </c>
      <c r="V554" s="15">
        <f t="shared" si="111"/>
        <v>1787</v>
      </c>
      <c r="W554" s="17">
        <f>IF($T554="",1000000000000000,$T554)</f>
        <v>71480</v>
      </c>
      <c r="XFB554" s="5"/>
      <c r="XFC554" s="3"/>
    </row>
    <row r="555" spans="1:23 16382:16383" s="4" customFormat="1" ht="28.5" customHeight="1">
      <c r="A555" s="14">
        <f t="shared" si="100"/>
        <v>541</v>
      </c>
      <c r="B555" s="14" t="s">
        <v>8</v>
      </c>
      <c r="C555" s="14" t="s">
        <v>257</v>
      </c>
      <c r="D555" s="18" t="s">
        <v>86</v>
      </c>
      <c r="E555" s="14" t="s">
        <v>26</v>
      </c>
      <c r="F555" s="14" t="s">
        <v>258</v>
      </c>
      <c r="G555" s="15">
        <v>1788</v>
      </c>
      <c r="H555" s="15">
        <v>2039</v>
      </c>
      <c r="I555" s="15"/>
      <c r="J555" s="15">
        <v>1758</v>
      </c>
      <c r="K555" s="15">
        <f t="shared" si="110"/>
        <v>0</v>
      </c>
      <c r="L555" s="15">
        <f t="shared" si="101"/>
        <v>1788</v>
      </c>
      <c r="M555" s="15">
        <f t="shared" si="102"/>
        <v>2039</v>
      </c>
      <c r="N555" s="15">
        <f t="shared" si="103"/>
        <v>1758</v>
      </c>
      <c r="O555" s="15" t="str">
        <f t="shared" si="104"/>
        <v>휘발유 71,520원</v>
      </c>
      <c r="P555" s="15">
        <f t="shared" si="105"/>
        <v>71520</v>
      </c>
      <c r="Q555" s="15"/>
      <c r="R555" s="16">
        <f t="shared" si="106"/>
        <v>0</v>
      </c>
      <c r="S555" s="15">
        <f t="shared" si="107"/>
        <v>0</v>
      </c>
      <c r="T555" s="15">
        <f t="shared" si="108"/>
        <v>71520</v>
      </c>
      <c r="U555" s="15">
        <f t="shared" si="109"/>
        <v>1788</v>
      </c>
      <c r="V555" s="15">
        <f t="shared" si="111"/>
        <v>1788</v>
      </c>
      <c r="W555" s="17">
        <f>IF($T555="",1000000000000000,$T555)</f>
        <v>71520</v>
      </c>
      <c r="XFB555" s="5"/>
      <c r="XFC555" s="3"/>
    </row>
    <row r="556" spans="1:23 16382:16383" s="4" customFormat="1" ht="28.5" customHeight="1">
      <c r="A556" s="14">
        <f t="shared" si="100"/>
        <v>541</v>
      </c>
      <c r="B556" s="14" t="s">
        <v>14</v>
      </c>
      <c r="C556" s="14" t="s">
        <v>1209</v>
      </c>
      <c r="D556" s="14" t="s">
        <v>95</v>
      </c>
      <c r="E556" s="14" t="s">
        <v>26</v>
      </c>
      <c r="F556" s="14" t="s">
        <v>1210</v>
      </c>
      <c r="G556" s="15">
        <v>1788</v>
      </c>
      <c r="H556" s="15"/>
      <c r="I556" s="15"/>
      <c r="J556" s="15">
        <v>1787</v>
      </c>
      <c r="K556" s="15">
        <f t="shared" si="110"/>
        <v>0</v>
      </c>
      <c r="L556" s="15">
        <f t="shared" si="101"/>
        <v>1788</v>
      </c>
      <c r="M556" s="15" t="str">
        <f t="shared" si="102"/>
        <v/>
      </c>
      <c r="N556" s="15">
        <f t="shared" si="103"/>
        <v>1787</v>
      </c>
      <c r="O556" s="15" t="str">
        <f t="shared" si="104"/>
        <v>휘발유 71,520원</v>
      </c>
      <c r="P556" s="15">
        <f t="shared" si="105"/>
        <v>71520</v>
      </c>
      <c r="Q556" s="15"/>
      <c r="R556" s="16">
        <f t="shared" si="106"/>
        <v>0</v>
      </c>
      <c r="S556" s="15">
        <f t="shared" si="107"/>
        <v>0</v>
      </c>
      <c r="T556" s="15">
        <f t="shared" si="108"/>
        <v>71520</v>
      </c>
      <c r="U556" s="15">
        <f t="shared" si="109"/>
        <v>1788</v>
      </c>
      <c r="V556" s="15">
        <f t="shared" si="111"/>
        <v>1788</v>
      </c>
      <c r="W556" s="17">
        <f>IF($T556="",1000000000000000,$T556)</f>
        <v>71520</v>
      </c>
      <c r="XFB556" s="5"/>
      <c r="XFC556" s="3"/>
    </row>
    <row r="557" spans="1:23 16382:16383" s="5" customFormat="1" ht="28.65" customHeight="1">
      <c r="A557" s="14">
        <f t="shared" si="100"/>
        <v>543</v>
      </c>
      <c r="B557" s="14" t="s">
        <v>6</v>
      </c>
      <c r="C557" s="14" t="s">
        <v>215</v>
      </c>
      <c r="D557" s="14" t="s">
        <v>95</v>
      </c>
      <c r="E557" s="14" t="s">
        <v>26</v>
      </c>
      <c r="F557" s="14" t="s">
        <v>216</v>
      </c>
      <c r="G557" s="15">
        <v>1789</v>
      </c>
      <c r="H557" s="15">
        <v>1987</v>
      </c>
      <c r="I557" s="15"/>
      <c r="J557" s="15">
        <v>1783</v>
      </c>
      <c r="K557" s="15">
        <f t="shared" si="110"/>
        <v>0</v>
      </c>
      <c r="L557" s="15">
        <f t="shared" si="101"/>
        <v>1789</v>
      </c>
      <c r="M557" s="15">
        <f t="shared" si="102"/>
        <v>1987</v>
      </c>
      <c r="N557" s="15">
        <f t="shared" si="103"/>
        <v>1783</v>
      </c>
      <c r="O557" s="15" t="str">
        <f t="shared" si="104"/>
        <v>휘발유 71,560원</v>
      </c>
      <c r="P557" s="15">
        <f t="shared" si="105"/>
        <v>71560</v>
      </c>
      <c r="Q557" s="15"/>
      <c r="R557" s="16">
        <f t="shared" si="106"/>
        <v>0</v>
      </c>
      <c r="S557" s="15">
        <f t="shared" si="107"/>
        <v>0</v>
      </c>
      <c r="T557" s="15">
        <f t="shared" si="108"/>
        <v>71560</v>
      </c>
      <c r="U557" s="15">
        <f t="shared" si="109"/>
        <v>1789</v>
      </c>
      <c r="V557" s="15">
        <f t="shared" si="111"/>
        <v>1789</v>
      </c>
      <c r="W557" s="17">
        <f>IF($T557="",1000000000000000,$T557)</f>
        <v>71560</v>
      </c>
      <c r="XFC557" s="3"/>
    </row>
    <row r="558" spans="1:23 16382:16383" s="19" customFormat="1" ht="28.5" customHeight="1">
      <c r="A558" s="14">
        <f t="shared" si="100"/>
        <v>543</v>
      </c>
      <c r="B558" s="14" t="s">
        <v>6</v>
      </c>
      <c r="C558" s="14" t="s">
        <v>348</v>
      </c>
      <c r="D558" s="18" t="s">
        <v>86</v>
      </c>
      <c r="E558" s="14" t="s">
        <v>26</v>
      </c>
      <c r="F558" s="14" t="s">
        <v>349</v>
      </c>
      <c r="G558" s="15">
        <v>1789</v>
      </c>
      <c r="H558" s="15">
        <v>2150</v>
      </c>
      <c r="I558" s="15"/>
      <c r="J558" s="15">
        <v>1789</v>
      </c>
      <c r="K558" s="15">
        <f t="shared" si="110"/>
        <v>0</v>
      </c>
      <c r="L558" s="15">
        <f t="shared" si="101"/>
        <v>1789</v>
      </c>
      <c r="M558" s="15">
        <f t="shared" si="102"/>
        <v>2150</v>
      </c>
      <c r="N558" s="15">
        <f t="shared" si="103"/>
        <v>1789</v>
      </c>
      <c r="O558" s="15" t="str">
        <f t="shared" si="104"/>
        <v>휘발유 71,560원</v>
      </c>
      <c r="P558" s="15">
        <f t="shared" si="105"/>
        <v>71560</v>
      </c>
      <c r="Q558" s="15"/>
      <c r="R558" s="16">
        <f t="shared" si="106"/>
        <v>0</v>
      </c>
      <c r="S558" s="15">
        <f t="shared" si="107"/>
        <v>0</v>
      </c>
      <c r="T558" s="15">
        <f t="shared" si="108"/>
        <v>71560</v>
      </c>
      <c r="U558" s="15">
        <f t="shared" si="109"/>
        <v>1789</v>
      </c>
      <c r="V558" s="15">
        <f t="shared" si="111"/>
        <v>1789</v>
      </c>
      <c r="W558" s="17">
        <f>IF($T558="",1000000000000000,$T558)</f>
        <v>71560</v>
      </c>
      <c r="XFB558" s="5"/>
      <c r="XFC558" s="3"/>
    </row>
    <row r="559" spans="1:23 16382:16383" s="5" customFormat="1" ht="28.65" customHeight="1">
      <c r="A559" s="14">
        <f t="shared" si="100"/>
        <v>543</v>
      </c>
      <c r="B559" s="14" t="s">
        <v>6</v>
      </c>
      <c r="C559" s="14" t="s">
        <v>350</v>
      </c>
      <c r="D559" s="18" t="s">
        <v>86</v>
      </c>
      <c r="E559" s="14" t="s">
        <v>26</v>
      </c>
      <c r="F559" s="14" t="s">
        <v>351</v>
      </c>
      <c r="G559" s="15">
        <v>1789</v>
      </c>
      <c r="H559" s="15">
        <v>2150</v>
      </c>
      <c r="I559" s="15"/>
      <c r="J559" s="15">
        <v>1779</v>
      </c>
      <c r="K559" s="15">
        <f t="shared" si="110"/>
        <v>0</v>
      </c>
      <c r="L559" s="15">
        <f t="shared" si="101"/>
        <v>1789</v>
      </c>
      <c r="M559" s="15">
        <f t="shared" si="102"/>
        <v>2150</v>
      </c>
      <c r="N559" s="15">
        <f t="shared" si="103"/>
        <v>1779</v>
      </c>
      <c r="O559" s="15" t="str">
        <f t="shared" si="104"/>
        <v>휘발유 71,560원</v>
      </c>
      <c r="P559" s="15">
        <f t="shared" si="105"/>
        <v>71560</v>
      </c>
      <c r="Q559" s="15"/>
      <c r="R559" s="16">
        <f t="shared" si="106"/>
        <v>0</v>
      </c>
      <c r="S559" s="15">
        <f t="shared" si="107"/>
        <v>0</v>
      </c>
      <c r="T559" s="15">
        <f t="shared" si="108"/>
        <v>71560</v>
      </c>
      <c r="U559" s="15">
        <f t="shared" si="109"/>
        <v>1789</v>
      </c>
      <c r="V559" s="15">
        <f t="shared" si="111"/>
        <v>1789</v>
      </c>
      <c r="W559" s="17">
        <f>IF($T559="",1000000000000000,$T559)</f>
        <v>71560</v>
      </c>
      <c r="XFC559" s="3"/>
    </row>
    <row r="560" spans="1:23 16382:16383" s="19" customFormat="1" ht="28.5" customHeight="1">
      <c r="A560" s="14">
        <f t="shared" si="100"/>
        <v>543</v>
      </c>
      <c r="B560" s="14" t="s">
        <v>18</v>
      </c>
      <c r="C560" s="14" t="s">
        <v>1211</v>
      </c>
      <c r="D560" s="14" t="s">
        <v>496</v>
      </c>
      <c r="E560" s="14" t="s">
        <v>26</v>
      </c>
      <c r="F560" s="14" t="s">
        <v>1212</v>
      </c>
      <c r="G560" s="15">
        <v>1789</v>
      </c>
      <c r="H560" s="15"/>
      <c r="I560" s="15"/>
      <c r="J560" s="15">
        <v>1779</v>
      </c>
      <c r="K560" s="15">
        <f t="shared" si="110"/>
        <v>0</v>
      </c>
      <c r="L560" s="15">
        <f t="shared" si="101"/>
        <v>1789</v>
      </c>
      <c r="M560" s="15" t="str">
        <f t="shared" si="102"/>
        <v/>
      </c>
      <c r="N560" s="15">
        <f t="shared" si="103"/>
        <v>1779</v>
      </c>
      <c r="O560" s="15" t="str">
        <f t="shared" si="104"/>
        <v>휘발유 71,560원</v>
      </c>
      <c r="P560" s="15">
        <f t="shared" si="105"/>
        <v>71560</v>
      </c>
      <c r="Q560" s="15"/>
      <c r="R560" s="16">
        <f t="shared" si="106"/>
        <v>0</v>
      </c>
      <c r="S560" s="15">
        <f t="shared" si="107"/>
        <v>0</v>
      </c>
      <c r="T560" s="15">
        <f t="shared" si="108"/>
        <v>71560</v>
      </c>
      <c r="U560" s="15">
        <f t="shared" si="109"/>
        <v>1789</v>
      </c>
      <c r="V560" s="15">
        <f t="shared" si="111"/>
        <v>1789</v>
      </c>
      <c r="W560" s="17">
        <f>IF($T560="",1000000000000000,$T560)</f>
        <v>71560</v>
      </c>
      <c r="XFB560" s="5"/>
      <c r="XFC560" s="3"/>
    </row>
    <row r="561" spans="1:23 16382:16383" s="4" customFormat="1" ht="28.5" customHeight="1">
      <c r="A561" s="14">
        <f t="shared" si="100"/>
        <v>543</v>
      </c>
      <c r="B561" s="14" t="s">
        <v>6</v>
      </c>
      <c r="C561" s="14" t="s">
        <v>1213</v>
      </c>
      <c r="D561" s="18" t="s">
        <v>86</v>
      </c>
      <c r="E561" s="14" t="s">
        <v>26</v>
      </c>
      <c r="F561" s="14" t="s">
        <v>1214</v>
      </c>
      <c r="G561" s="15">
        <v>1789</v>
      </c>
      <c r="H561" s="15"/>
      <c r="I561" s="15"/>
      <c r="J561" s="15">
        <v>1779</v>
      </c>
      <c r="K561" s="15">
        <f t="shared" si="110"/>
        <v>0</v>
      </c>
      <c r="L561" s="15">
        <f t="shared" si="101"/>
        <v>1789</v>
      </c>
      <c r="M561" s="15" t="str">
        <f t="shared" si="102"/>
        <v/>
      </c>
      <c r="N561" s="15">
        <f t="shared" si="103"/>
        <v>1779</v>
      </c>
      <c r="O561" s="15" t="str">
        <f t="shared" si="104"/>
        <v>휘발유 71,560원</v>
      </c>
      <c r="P561" s="15">
        <f t="shared" si="105"/>
        <v>71560</v>
      </c>
      <c r="Q561" s="15"/>
      <c r="R561" s="16">
        <f t="shared" si="106"/>
        <v>0</v>
      </c>
      <c r="S561" s="15">
        <f t="shared" si="107"/>
        <v>0</v>
      </c>
      <c r="T561" s="15">
        <f t="shared" si="108"/>
        <v>71560</v>
      </c>
      <c r="U561" s="15">
        <f t="shared" si="109"/>
        <v>1789</v>
      </c>
      <c r="V561" s="15">
        <f t="shared" si="111"/>
        <v>1789</v>
      </c>
      <c r="W561" s="17">
        <f>IF($T561="",1000000000000000,$T561)</f>
        <v>71560</v>
      </c>
      <c r="XFB561" s="5"/>
      <c r="XFC561" s="3"/>
    </row>
    <row r="562" spans="1:23 16382:16383" s="4" customFormat="1" ht="28.5" customHeight="1">
      <c r="A562" s="14">
        <f t="shared" si="100"/>
        <v>543</v>
      </c>
      <c r="B562" s="14" t="s">
        <v>14</v>
      </c>
      <c r="C562" s="14" t="s">
        <v>1316</v>
      </c>
      <c r="D562" s="14" t="s">
        <v>95</v>
      </c>
      <c r="E562" s="14" t="s">
        <v>26</v>
      </c>
      <c r="F562" s="14" t="s">
        <v>1317</v>
      </c>
      <c r="G562" s="15">
        <v>1789</v>
      </c>
      <c r="H562" s="15"/>
      <c r="I562" s="15"/>
      <c r="J562" s="15">
        <v>1785</v>
      </c>
      <c r="K562" s="15">
        <f t="shared" si="110"/>
        <v>0</v>
      </c>
      <c r="L562" s="15">
        <f t="shared" si="101"/>
        <v>1789</v>
      </c>
      <c r="M562" s="15" t="str">
        <f t="shared" si="102"/>
        <v/>
      </c>
      <c r="N562" s="15">
        <f t="shared" si="103"/>
        <v>1785</v>
      </c>
      <c r="O562" s="15" t="str">
        <f t="shared" si="104"/>
        <v>휘발유 71,560원</v>
      </c>
      <c r="P562" s="15">
        <f t="shared" si="105"/>
        <v>71560</v>
      </c>
      <c r="Q562" s="15"/>
      <c r="R562" s="16">
        <f t="shared" si="106"/>
        <v>0</v>
      </c>
      <c r="S562" s="15">
        <f t="shared" si="107"/>
        <v>0</v>
      </c>
      <c r="T562" s="15">
        <f t="shared" si="108"/>
        <v>71560</v>
      </c>
      <c r="U562" s="15">
        <f t="shared" si="109"/>
        <v>1789</v>
      </c>
      <c r="V562" s="15">
        <f t="shared" si="111"/>
        <v>1789</v>
      </c>
      <c r="W562" s="17">
        <f>IF($T562="",1000000000000000,$T562)</f>
        <v>71560</v>
      </c>
      <c r="XFB562" s="5"/>
      <c r="XFC562" s="3"/>
    </row>
    <row r="563" spans="1:23 16382:16383" s="4" customFormat="1" ht="28.5" customHeight="1">
      <c r="A563" s="14">
        <f t="shared" si="100"/>
        <v>543</v>
      </c>
      <c r="B563" s="14" t="s">
        <v>14</v>
      </c>
      <c r="C563" s="14" t="s">
        <v>1320</v>
      </c>
      <c r="D563" s="14" t="s">
        <v>45</v>
      </c>
      <c r="E563" s="14" t="s">
        <v>26</v>
      </c>
      <c r="F563" s="14" t="s">
        <v>1321</v>
      </c>
      <c r="G563" s="15">
        <v>1789</v>
      </c>
      <c r="H563" s="15"/>
      <c r="I563" s="15"/>
      <c r="J563" s="15">
        <v>1785</v>
      </c>
      <c r="K563" s="15">
        <f t="shared" si="110"/>
        <v>0</v>
      </c>
      <c r="L563" s="15">
        <f t="shared" si="101"/>
        <v>1789</v>
      </c>
      <c r="M563" s="15" t="str">
        <f t="shared" si="102"/>
        <v/>
      </c>
      <c r="N563" s="15">
        <f t="shared" si="103"/>
        <v>1785</v>
      </c>
      <c r="O563" s="15" t="str">
        <f t="shared" si="104"/>
        <v>휘발유 71,560원</v>
      </c>
      <c r="P563" s="15">
        <f t="shared" si="105"/>
        <v>71560</v>
      </c>
      <c r="Q563" s="15"/>
      <c r="R563" s="16">
        <f t="shared" si="106"/>
        <v>0</v>
      </c>
      <c r="S563" s="15">
        <f t="shared" si="107"/>
        <v>0</v>
      </c>
      <c r="T563" s="15">
        <f t="shared" si="108"/>
        <v>71560</v>
      </c>
      <c r="U563" s="15">
        <f t="shared" si="109"/>
        <v>1789</v>
      </c>
      <c r="V563" s="15">
        <f t="shared" si="111"/>
        <v>1789</v>
      </c>
      <c r="W563" s="17">
        <f>IF($T563="",1000000000000000,$T563)</f>
        <v>71560</v>
      </c>
      <c r="XFB563" s="5"/>
      <c r="XFC563" s="3"/>
    </row>
    <row r="564" spans="1:23 16382:16383" s="4" customFormat="1" ht="28.5" customHeight="1">
      <c r="A564" s="14">
        <f t="shared" si="100"/>
        <v>543</v>
      </c>
      <c r="B564" s="14" t="s">
        <v>6</v>
      </c>
      <c r="C564" s="14" t="s">
        <v>1219</v>
      </c>
      <c r="D564" s="14" t="s">
        <v>496</v>
      </c>
      <c r="E564" s="14" t="s">
        <v>26</v>
      </c>
      <c r="F564" s="14" t="s">
        <v>1220</v>
      </c>
      <c r="G564" s="15">
        <v>1789</v>
      </c>
      <c r="H564" s="15"/>
      <c r="I564" s="15"/>
      <c r="J564" s="15">
        <v>1789</v>
      </c>
      <c r="K564" s="15">
        <f t="shared" si="110"/>
        <v>0</v>
      </c>
      <c r="L564" s="15">
        <f t="shared" si="101"/>
        <v>1789</v>
      </c>
      <c r="M564" s="15" t="str">
        <f t="shared" si="102"/>
        <v/>
      </c>
      <c r="N564" s="15">
        <f t="shared" si="103"/>
        <v>1789</v>
      </c>
      <c r="O564" s="15" t="str">
        <f t="shared" si="104"/>
        <v>휘발유 71,560원</v>
      </c>
      <c r="P564" s="15">
        <f t="shared" si="105"/>
        <v>71560</v>
      </c>
      <c r="Q564" s="15"/>
      <c r="R564" s="16">
        <f t="shared" si="106"/>
        <v>0</v>
      </c>
      <c r="S564" s="15">
        <f t="shared" si="107"/>
        <v>0</v>
      </c>
      <c r="T564" s="15">
        <f t="shared" si="108"/>
        <v>71560</v>
      </c>
      <c r="U564" s="15">
        <f t="shared" si="109"/>
        <v>1789</v>
      </c>
      <c r="V564" s="15">
        <f t="shared" si="111"/>
        <v>1789</v>
      </c>
      <c r="W564" s="17">
        <f>IF($T564="",1000000000000000,$T564)</f>
        <v>71560</v>
      </c>
      <c r="XFB564" s="5"/>
      <c r="XFC564" s="3"/>
    </row>
    <row r="565" spans="1:23 16382:16383" s="5" customFormat="1" ht="28.65" customHeight="1">
      <c r="A565" s="14">
        <f t="shared" si="100"/>
        <v>543</v>
      </c>
      <c r="B565" s="14" t="s">
        <v>6</v>
      </c>
      <c r="C565" s="14" t="s">
        <v>1153</v>
      </c>
      <c r="D565" s="14" t="s">
        <v>95</v>
      </c>
      <c r="E565" s="14" t="s">
        <v>26</v>
      </c>
      <c r="F565" s="14" t="s">
        <v>1221</v>
      </c>
      <c r="G565" s="15">
        <v>1789</v>
      </c>
      <c r="H565" s="15"/>
      <c r="I565" s="15"/>
      <c r="J565" s="15">
        <v>1789</v>
      </c>
      <c r="K565" s="15">
        <f t="shared" si="110"/>
        <v>0</v>
      </c>
      <c r="L565" s="15">
        <f t="shared" si="101"/>
        <v>1789</v>
      </c>
      <c r="M565" s="15" t="str">
        <f t="shared" si="102"/>
        <v/>
      </c>
      <c r="N565" s="15">
        <f t="shared" si="103"/>
        <v>1789</v>
      </c>
      <c r="O565" s="15" t="str">
        <f t="shared" si="104"/>
        <v>휘발유 71,560원</v>
      </c>
      <c r="P565" s="15">
        <f t="shared" si="105"/>
        <v>71560</v>
      </c>
      <c r="Q565" s="15"/>
      <c r="R565" s="16">
        <f t="shared" si="106"/>
        <v>0</v>
      </c>
      <c r="S565" s="15">
        <f t="shared" si="107"/>
        <v>0</v>
      </c>
      <c r="T565" s="15">
        <f t="shared" si="108"/>
        <v>71560</v>
      </c>
      <c r="U565" s="15">
        <f t="shared" si="109"/>
        <v>1789</v>
      </c>
      <c r="V565" s="15">
        <f t="shared" si="111"/>
        <v>1789</v>
      </c>
      <c r="W565" s="17">
        <f>IF($T565="",1000000000000000,$T565)</f>
        <v>71560</v>
      </c>
      <c r="XFC565" s="3"/>
    </row>
    <row r="566" spans="1:23 16382:16383" s="4" customFormat="1" ht="28.5" customHeight="1">
      <c r="A566" s="14">
        <f t="shared" si="100"/>
        <v>543</v>
      </c>
      <c r="B566" s="14" t="s">
        <v>10</v>
      </c>
      <c r="C566" s="14" t="s">
        <v>1224</v>
      </c>
      <c r="D566" s="14" t="s">
        <v>56</v>
      </c>
      <c r="E566" s="14" t="s">
        <v>26</v>
      </c>
      <c r="F566" s="14" t="s">
        <v>1225</v>
      </c>
      <c r="G566" s="15">
        <v>1789</v>
      </c>
      <c r="H566" s="15"/>
      <c r="I566" s="15"/>
      <c r="J566" s="15">
        <v>1789</v>
      </c>
      <c r="K566" s="15">
        <f t="shared" ref="K566:K583" si="112">IF(AND(IFERROR(SEARCH("현대오일뱅크",$C566),0)&gt;0,IFERROR(SEARCH("직영",$C566),0)&gt;0),$B$13,0)</f>
        <v>0</v>
      </c>
      <c r="L566" s="15">
        <f t="shared" si="101"/>
        <v>1789</v>
      </c>
      <c r="M566" s="15" t="str">
        <f t="shared" si="102"/>
        <v/>
      </c>
      <c r="N566" s="15">
        <f t="shared" si="103"/>
        <v>1789</v>
      </c>
      <c r="O566" s="15" t="str">
        <f t="shared" si="104"/>
        <v>휘발유 71,560원</v>
      </c>
      <c r="P566" s="15">
        <f t="shared" si="105"/>
        <v>71560</v>
      </c>
      <c r="Q566" s="15"/>
      <c r="R566" s="16">
        <f t="shared" si="106"/>
        <v>0</v>
      </c>
      <c r="S566" s="15">
        <f t="shared" si="107"/>
        <v>0</v>
      </c>
      <c r="T566" s="15">
        <f t="shared" si="108"/>
        <v>71560</v>
      </c>
      <c r="U566" s="15">
        <f t="shared" si="109"/>
        <v>1789</v>
      </c>
      <c r="V566" s="15">
        <f t="shared" si="111"/>
        <v>1789</v>
      </c>
      <c r="W566" s="17">
        <f>IF($T566="",1000000000000000,$T566)</f>
        <v>71560</v>
      </c>
      <c r="XFB566" s="5"/>
      <c r="XFC566" s="3"/>
    </row>
    <row r="567" spans="1:23 16382:16383" s="4" customFormat="1" ht="28.5" customHeight="1">
      <c r="A567" s="14">
        <f t="shared" si="100"/>
        <v>543</v>
      </c>
      <c r="B567" s="14" t="s">
        <v>10</v>
      </c>
      <c r="C567" s="14" t="s">
        <v>1226</v>
      </c>
      <c r="D567" s="14" t="s">
        <v>56</v>
      </c>
      <c r="E567" s="14" t="s">
        <v>26</v>
      </c>
      <c r="F567" s="14" t="s">
        <v>1227</v>
      </c>
      <c r="G567" s="15">
        <v>1789</v>
      </c>
      <c r="H567" s="15"/>
      <c r="I567" s="15"/>
      <c r="J567" s="15">
        <v>1789</v>
      </c>
      <c r="K567" s="15">
        <f t="shared" si="112"/>
        <v>0</v>
      </c>
      <c r="L567" s="15">
        <f t="shared" si="101"/>
        <v>1789</v>
      </c>
      <c r="M567" s="15" t="str">
        <f t="shared" si="102"/>
        <v/>
      </c>
      <c r="N567" s="15">
        <f t="shared" si="103"/>
        <v>1789</v>
      </c>
      <c r="O567" s="15" t="str">
        <f t="shared" si="104"/>
        <v>휘발유 71,560원</v>
      </c>
      <c r="P567" s="15">
        <f t="shared" si="105"/>
        <v>71560</v>
      </c>
      <c r="Q567" s="15"/>
      <c r="R567" s="16">
        <f t="shared" si="106"/>
        <v>0</v>
      </c>
      <c r="S567" s="15">
        <f t="shared" si="107"/>
        <v>0</v>
      </c>
      <c r="T567" s="15">
        <f t="shared" si="108"/>
        <v>71560</v>
      </c>
      <c r="U567" s="15">
        <f t="shared" si="109"/>
        <v>1789</v>
      </c>
      <c r="V567" s="15">
        <f t="shared" si="111"/>
        <v>1789</v>
      </c>
      <c r="W567" s="17">
        <f>IF($T567="",1000000000000000,$T567)</f>
        <v>71560</v>
      </c>
      <c r="XFB567" s="5"/>
      <c r="XFC567" s="3"/>
    </row>
    <row r="568" spans="1:23 16382:16383" s="4" customFormat="1" ht="28.5" customHeight="1">
      <c r="A568" s="14">
        <f t="shared" si="100"/>
        <v>543</v>
      </c>
      <c r="B568" s="14" t="s">
        <v>10</v>
      </c>
      <c r="C568" s="14" t="s">
        <v>1230</v>
      </c>
      <c r="D568" s="14" t="s">
        <v>56</v>
      </c>
      <c r="E568" s="14" t="s">
        <v>26</v>
      </c>
      <c r="F568" s="14" t="s">
        <v>1231</v>
      </c>
      <c r="G568" s="15">
        <v>1789</v>
      </c>
      <c r="H568" s="15"/>
      <c r="I568" s="15"/>
      <c r="J568" s="15">
        <v>1789</v>
      </c>
      <c r="K568" s="15">
        <f t="shared" si="112"/>
        <v>0</v>
      </c>
      <c r="L568" s="15">
        <f t="shared" si="101"/>
        <v>1789</v>
      </c>
      <c r="M568" s="15" t="str">
        <f t="shared" si="102"/>
        <v/>
      </c>
      <c r="N568" s="15">
        <f t="shared" si="103"/>
        <v>1789</v>
      </c>
      <c r="O568" s="15" t="str">
        <f t="shared" si="104"/>
        <v>휘발유 71,560원</v>
      </c>
      <c r="P568" s="15">
        <f t="shared" si="105"/>
        <v>71560</v>
      </c>
      <c r="Q568" s="15"/>
      <c r="R568" s="16">
        <f t="shared" si="106"/>
        <v>0</v>
      </c>
      <c r="S568" s="15">
        <f t="shared" si="107"/>
        <v>0</v>
      </c>
      <c r="T568" s="15">
        <f t="shared" si="108"/>
        <v>71560</v>
      </c>
      <c r="U568" s="15">
        <f t="shared" si="109"/>
        <v>1789</v>
      </c>
      <c r="V568" s="15">
        <f t="shared" si="111"/>
        <v>1789</v>
      </c>
      <c r="W568" s="17">
        <f>IF($T568="",1000000000000000,$T568)</f>
        <v>71560</v>
      </c>
      <c r="XFB568" s="5"/>
      <c r="XFC568" s="3"/>
    </row>
    <row r="569" spans="1:23 16382:16383" s="4" customFormat="1" ht="28.5" customHeight="1">
      <c r="A569" s="14">
        <f t="shared" si="100"/>
        <v>543</v>
      </c>
      <c r="B569" s="14" t="s">
        <v>8</v>
      </c>
      <c r="C569" s="14" t="s">
        <v>1232</v>
      </c>
      <c r="D569" s="14" t="s">
        <v>496</v>
      </c>
      <c r="E569" s="14" t="s">
        <v>26</v>
      </c>
      <c r="F569" s="14" t="s">
        <v>1233</v>
      </c>
      <c r="G569" s="15">
        <v>1789</v>
      </c>
      <c r="H569" s="15"/>
      <c r="I569" s="15"/>
      <c r="J569" s="15">
        <v>1795</v>
      </c>
      <c r="K569" s="15">
        <f t="shared" si="112"/>
        <v>0</v>
      </c>
      <c r="L569" s="15">
        <f t="shared" si="101"/>
        <v>1789</v>
      </c>
      <c r="M569" s="15" t="str">
        <f t="shared" si="102"/>
        <v/>
      </c>
      <c r="N569" s="15">
        <f t="shared" si="103"/>
        <v>1795</v>
      </c>
      <c r="O569" s="15" t="str">
        <f t="shared" si="104"/>
        <v>휘발유 71,560원</v>
      </c>
      <c r="P569" s="15">
        <f t="shared" si="105"/>
        <v>71560</v>
      </c>
      <c r="Q569" s="15"/>
      <c r="R569" s="16">
        <f t="shared" si="106"/>
        <v>0</v>
      </c>
      <c r="S569" s="15">
        <f t="shared" si="107"/>
        <v>0</v>
      </c>
      <c r="T569" s="15">
        <f t="shared" si="108"/>
        <v>71560</v>
      </c>
      <c r="U569" s="15">
        <f t="shared" si="109"/>
        <v>1789</v>
      </c>
      <c r="V569" s="15">
        <f t="shared" si="111"/>
        <v>1789</v>
      </c>
      <c r="W569" s="17">
        <f>IF($T569="",1000000000000000,$T569)</f>
        <v>71560</v>
      </c>
      <c r="XFB569" s="5"/>
      <c r="XFC569" s="3"/>
    </row>
    <row r="570" spans="1:23 16382:16383" s="4" customFormat="1" ht="28.5" customHeight="1">
      <c r="A570" s="14">
        <f t="shared" si="100"/>
        <v>556</v>
      </c>
      <c r="B570" s="14" t="s">
        <v>10</v>
      </c>
      <c r="C570" s="14" t="s">
        <v>241</v>
      </c>
      <c r="D570" s="14" t="s">
        <v>51</v>
      </c>
      <c r="E570" s="14" t="s">
        <v>26</v>
      </c>
      <c r="F570" s="14" t="s">
        <v>242</v>
      </c>
      <c r="G570" s="15">
        <v>1790</v>
      </c>
      <c r="H570" s="15">
        <v>2025</v>
      </c>
      <c r="I570" s="15"/>
      <c r="J570" s="15">
        <v>1783</v>
      </c>
      <c r="K570" s="15">
        <f t="shared" si="112"/>
        <v>0</v>
      </c>
      <c r="L570" s="15">
        <f t="shared" si="101"/>
        <v>1790</v>
      </c>
      <c r="M570" s="15">
        <f t="shared" si="102"/>
        <v>2025</v>
      </c>
      <c r="N570" s="15">
        <f t="shared" si="103"/>
        <v>1783</v>
      </c>
      <c r="O570" s="15" t="str">
        <f t="shared" si="104"/>
        <v>휘발유 71,600원</v>
      </c>
      <c r="P570" s="15">
        <f t="shared" si="105"/>
        <v>71600</v>
      </c>
      <c r="Q570" s="15"/>
      <c r="R570" s="16">
        <f t="shared" si="106"/>
        <v>0</v>
      </c>
      <c r="S570" s="15">
        <f t="shared" si="107"/>
        <v>0</v>
      </c>
      <c r="T570" s="15">
        <f t="shared" si="108"/>
        <v>71600</v>
      </c>
      <c r="U570" s="15">
        <f t="shared" si="109"/>
        <v>1790</v>
      </c>
      <c r="V570" s="15">
        <f t="shared" si="111"/>
        <v>1790</v>
      </c>
      <c r="W570" s="17">
        <f>IF($T570="",1000000000000000,$T570)</f>
        <v>71600</v>
      </c>
      <c r="XFB570" s="5"/>
      <c r="XFC570" s="3"/>
    </row>
    <row r="571" spans="1:23 16382:16383" s="4" customFormat="1" ht="28.5" customHeight="1">
      <c r="A571" s="14">
        <f t="shared" si="100"/>
        <v>556</v>
      </c>
      <c r="B571" s="14" t="s">
        <v>10</v>
      </c>
      <c r="C571" s="14" t="s">
        <v>243</v>
      </c>
      <c r="D571" s="14" t="s">
        <v>51</v>
      </c>
      <c r="E571" s="14" t="s">
        <v>26</v>
      </c>
      <c r="F571" s="14" t="s">
        <v>244</v>
      </c>
      <c r="G571" s="15">
        <v>1790</v>
      </c>
      <c r="H571" s="15">
        <v>2025</v>
      </c>
      <c r="I571" s="15"/>
      <c r="J571" s="15">
        <v>1790</v>
      </c>
      <c r="K571" s="15">
        <f t="shared" si="112"/>
        <v>0</v>
      </c>
      <c r="L571" s="15">
        <f t="shared" si="101"/>
        <v>1790</v>
      </c>
      <c r="M571" s="15">
        <f t="shared" si="102"/>
        <v>2025</v>
      </c>
      <c r="N571" s="15">
        <f t="shared" si="103"/>
        <v>1790</v>
      </c>
      <c r="O571" s="15" t="str">
        <f t="shared" si="104"/>
        <v>휘발유 71,600원</v>
      </c>
      <c r="P571" s="15">
        <f t="shared" si="105"/>
        <v>71600</v>
      </c>
      <c r="Q571" s="15"/>
      <c r="R571" s="16">
        <f t="shared" si="106"/>
        <v>0</v>
      </c>
      <c r="S571" s="15">
        <f t="shared" si="107"/>
        <v>0</v>
      </c>
      <c r="T571" s="15">
        <f t="shared" si="108"/>
        <v>71600</v>
      </c>
      <c r="U571" s="15">
        <f t="shared" si="109"/>
        <v>1790</v>
      </c>
      <c r="V571" s="15">
        <f t="shared" si="111"/>
        <v>1790</v>
      </c>
      <c r="W571" s="17">
        <f>IF($T571="",1000000000000000,$T571)</f>
        <v>71600</v>
      </c>
      <c r="XFB571" s="5"/>
      <c r="XFC571" s="3"/>
    </row>
    <row r="572" spans="1:23 16382:16383" s="19" customFormat="1" ht="28.5" customHeight="1">
      <c r="A572" s="14">
        <f t="shared" si="100"/>
        <v>556</v>
      </c>
      <c r="B572" s="14" t="s">
        <v>8</v>
      </c>
      <c r="C572" s="14" t="s">
        <v>1236</v>
      </c>
      <c r="D572" s="14" t="s">
        <v>496</v>
      </c>
      <c r="E572" s="14" t="s">
        <v>26</v>
      </c>
      <c r="F572" s="14" t="s">
        <v>1237</v>
      </c>
      <c r="G572" s="15">
        <v>1790</v>
      </c>
      <c r="H572" s="15"/>
      <c r="I572" s="15"/>
      <c r="J572" s="15">
        <v>1770</v>
      </c>
      <c r="K572" s="15">
        <f t="shared" si="112"/>
        <v>0</v>
      </c>
      <c r="L572" s="15">
        <f t="shared" si="101"/>
        <v>1790</v>
      </c>
      <c r="M572" s="15" t="str">
        <f t="shared" si="102"/>
        <v/>
      </c>
      <c r="N572" s="15">
        <f t="shared" si="103"/>
        <v>1770</v>
      </c>
      <c r="O572" s="15" t="str">
        <f t="shared" si="104"/>
        <v>휘발유 71,600원</v>
      </c>
      <c r="P572" s="15">
        <f t="shared" si="105"/>
        <v>71600</v>
      </c>
      <c r="Q572" s="15"/>
      <c r="R572" s="16">
        <f t="shared" si="106"/>
        <v>0</v>
      </c>
      <c r="S572" s="15">
        <f t="shared" si="107"/>
        <v>0</v>
      </c>
      <c r="T572" s="15">
        <f t="shared" si="108"/>
        <v>71600</v>
      </c>
      <c r="U572" s="15">
        <f t="shared" si="109"/>
        <v>1790</v>
      </c>
      <c r="V572" s="15">
        <f t="shared" si="111"/>
        <v>1790</v>
      </c>
      <c r="W572" s="17">
        <f>IF($T572="",1000000000000000,$T572)</f>
        <v>71600</v>
      </c>
      <c r="XFB572" s="5"/>
      <c r="XFC572" s="3"/>
    </row>
    <row r="573" spans="1:23 16382:16383" s="5" customFormat="1" ht="28.65" customHeight="1">
      <c r="A573" s="14">
        <f t="shared" si="100"/>
        <v>556</v>
      </c>
      <c r="B573" s="14" t="s">
        <v>16</v>
      </c>
      <c r="C573" s="14" t="s">
        <v>1240</v>
      </c>
      <c r="D573" s="14" t="s">
        <v>56</v>
      </c>
      <c r="E573" s="14" t="s">
        <v>26</v>
      </c>
      <c r="F573" s="14" t="s">
        <v>1241</v>
      </c>
      <c r="G573" s="15">
        <v>1790</v>
      </c>
      <c r="H573" s="15"/>
      <c r="I573" s="15"/>
      <c r="J573" s="15">
        <v>1790</v>
      </c>
      <c r="K573" s="15">
        <f t="shared" si="112"/>
        <v>0</v>
      </c>
      <c r="L573" s="15">
        <f t="shared" si="101"/>
        <v>1790</v>
      </c>
      <c r="M573" s="15" t="str">
        <f t="shared" si="102"/>
        <v/>
      </c>
      <c r="N573" s="15">
        <f t="shared" si="103"/>
        <v>1790</v>
      </c>
      <c r="O573" s="15" t="str">
        <f t="shared" si="104"/>
        <v>휘발유 71,600원</v>
      </c>
      <c r="P573" s="15">
        <f t="shared" si="105"/>
        <v>71600</v>
      </c>
      <c r="Q573" s="15"/>
      <c r="R573" s="16">
        <f t="shared" si="106"/>
        <v>0</v>
      </c>
      <c r="S573" s="15">
        <f t="shared" si="107"/>
        <v>0</v>
      </c>
      <c r="T573" s="15">
        <f t="shared" si="108"/>
        <v>71600</v>
      </c>
      <c r="U573" s="15">
        <f t="shared" si="109"/>
        <v>1790</v>
      </c>
      <c r="V573" s="15">
        <f t="shared" si="111"/>
        <v>1790</v>
      </c>
      <c r="W573" s="17">
        <f>IF($T573="",1000000000000000,$T573)</f>
        <v>71600</v>
      </c>
      <c r="XFC573" s="3"/>
    </row>
    <row r="574" spans="1:23 16382:16383" s="19" customFormat="1" ht="28.5" customHeight="1">
      <c r="A574" s="14">
        <f t="shared" si="100"/>
        <v>556</v>
      </c>
      <c r="B574" s="14" t="s">
        <v>16</v>
      </c>
      <c r="C574" s="14" t="s">
        <v>1244</v>
      </c>
      <c r="D574" s="14" t="s">
        <v>389</v>
      </c>
      <c r="E574" s="14" t="s">
        <v>26</v>
      </c>
      <c r="F574" s="14" t="s">
        <v>1245</v>
      </c>
      <c r="G574" s="15">
        <v>1790</v>
      </c>
      <c r="H574" s="15"/>
      <c r="I574" s="15"/>
      <c r="J574" s="15">
        <v>1790</v>
      </c>
      <c r="K574" s="15">
        <f t="shared" si="112"/>
        <v>0</v>
      </c>
      <c r="L574" s="15">
        <f t="shared" si="101"/>
        <v>1790</v>
      </c>
      <c r="M574" s="15" t="str">
        <f t="shared" si="102"/>
        <v/>
      </c>
      <c r="N574" s="15">
        <f t="shared" si="103"/>
        <v>1790</v>
      </c>
      <c r="O574" s="15" t="str">
        <f t="shared" si="104"/>
        <v>휘발유 71,600원</v>
      </c>
      <c r="P574" s="15">
        <f t="shared" si="105"/>
        <v>71600</v>
      </c>
      <c r="Q574" s="15"/>
      <c r="R574" s="16">
        <f t="shared" si="106"/>
        <v>0</v>
      </c>
      <c r="S574" s="15">
        <f t="shared" si="107"/>
        <v>0</v>
      </c>
      <c r="T574" s="15">
        <f t="shared" si="108"/>
        <v>71600</v>
      </c>
      <c r="U574" s="15">
        <f t="shared" si="109"/>
        <v>1790</v>
      </c>
      <c r="V574" s="15">
        <f t="shared" si="111"/>
        <v>1790</v>
      </c>
      <c r="W574" s="17">
        <f>IF($T574="",1000000000000000,$T574)</f>
        <v>71600</v>
      </c>
      <c r="XFB574" s="5"/>
      <c r="XFC574" s="3"/>
    </row>
    <row r="575" spans="1:23 16382:16383" s="4" customFormat="1" ht="28.5" customHeight="1">
      <c r="A575" s="14">
        <f t="shared" si="100"/>
        <v>561</v>
      </c>
      <c r="B575" s="14" t="s">
        <v>12</v>
      </c>
      <c r="C575" s="14" t="s">
        <v>1019</v>
      </c>
      <c r="D575" s="18" t="s">
        <v>86</v>
      </c>
      <c r="E575" s="14" t="s">
        <v>26</v>
      </c>
      <c r="F575" s="14" t="s">
        <v>1020</v>
      </c>
      <c r="G575" s="15">
        <v>1989</v>
      </c>
      <c r="H575" s="15"/>
      <c r="I575" s="15"/>
      <c r="J575" s="15">
        <v>1829</v>
      </c>
      <c r="K575" s="15">
        <f t="shared" si="112"/>
        <v>0</v>
      </c>
      <c r="L575" s="15">
        <f t="shared" si="101"/>
        <v>1989</v>
      </c>
      <c r="M575" s="15" t="str">
        <f t="shared" si="102"/>
        <v/>
      </c>
      <c r="N575" s="15">
        <f t="shared" si="103"/>
        <v>1829</v>
      </c>
      <c r="O575" s="15" t="str">
        <f t="shared" si="104"/>
        <v>휘발유 79,560원</v>
      </c>
      <c r="P575" s="15">
        <f t="shared" si="105"/>
        <v>79560</v>
      </c>
      <c r="Q575" s="15" t="s">
        <v>47</v>
      </c>
      <c r="R575" s="16">
        <f t="shared" si="106"/>
        <v>0.1</v>
      </c>
      <c r="S575" s="15">
        <f t="shared" si="107"/>
        <v>7956</v>
      </c>
      <c r="T575" s="15">
        <f t="shared" si="108"/>
        <v>71604</v>
      </c>
      <c r="U575" s="15">
        <f t="shared" si="109"/>
        <v>1790.1</v>
      </c>
      <c r="V575" s="15">
        <f t="shared" si="111"/>
        <v>1989</v>
      </c>
      <c r="W575" s="17">
        <f>IF($T575="",1000000000000000,$T575)</f>
        <v>71604</v>
      </c>
      <c r="XFB575" s="5"/>
      <c r="XFC575" s="3"/>
    </row>
    <row r="576" spans="1:23 16382:16383" s="4" customFormat="1" ht="28.5" customHeight="1">
      <c r="A576" s="14">
        <f t="shared" si="100"/>
        <v>562</v>
      </c>
      <c r="B576" s="14" t="s">
        <v>18</v>
      </c>
      <c r="C576" s="14" t="s">
        <v>318</v>
      </c>
      <c r="D576" s="18" t="s">
        <v>86</v>
      </c>
      <c r="E576" s="14" t="s">
        <v>26</v>
      </c>
      <c r="F576" s="14" t="s">
        <v>319</v>
      </c>
      <c r="G576" s="15">
        <v>1792</v>
      </c>
      <c r="H576" s="15">
        <v>2099</v>
      </c>
      <c r="I576" s="15"/>
      <c r="J576" s="15">
        <v>1792</v>
      </c>
      <c r="K576" s="15">
        <f t="shared" si="112"/>
        <v>0</v>
      </c>
      <c r="L576" s="15">
        <f t="shared" si="101"/>
        <v>1792</v>
      </c>
      <c r="M576" s="15">
        <f t="shared" si="102"/>
        <v>2099</v>
      </c>
      <c r="N576" s="15">
        <f t="shared" si="103"/>
        <v>1792</v>
      </c>
      <c r="O576" s="15" t="str">
        <f t="shared" si="104"/>
        <v>휘발유 71,680원</v>
      </c>
      <c r="P576" s="15">
        <f t="shared" si="105"/>
        <v>71680</v>
      </c>
      <c r="Q576" s="15"/>
      <c r="R576" s="16">
        <f t="shared" si="106"/>
        <v>0</v>
      </c>
      <c r="S576" s="15">
        <f t="shared" si="107"/>
        <v>0</v>
      </c>
      <c r="T576" s="15">
        <f t="shared" si="108"/>
        <v>71680</v>
      </c>
      <c r="U576" s="15">
        <f t="shared" si="109"/>
        <v>1792</v>
      </c>
      <c r="V576" s="15">
        <f t="shared" si="111"/>
        <v>1792</v>
      </c>
      <c r="W576" s="17">
        <f>IF($T576="",1000000000000000,$T576)</f>
        <v>71680</v>
      </c>
      <c r="XFB576" s="5"/>
      <c r="XFC576" s="3"/>
    </row>
    <row r="577" spans="1:23 16382:16383" s="19" customFormat="1" ht="28.5" customHeight="1">
      <c r="A577" s="14">
        <f t="shared" si="100"/>
        <v>563</v>
      </c>
      <c r="B577" s="14" t="s">
        <v>8</v>
      </c>
      <c r="C577" s="14" t="s">
        <v>619</v>
      </c>
      <c r="D577" s="14" t="s">
        <v>389</v>
      </c>
      <c r="E577" s="14" t="s">
        <v>63</v>
      </c>
      <c r="F577" s="14" t="s">
        <v>1248</v>
      </c>
      <c r="G577" s="15">
        <v>1793</v>
      </c>
      <c r="H577" s="15"/>
      <c r="I577" s="15"/>
      <c r="J577" s="15">
        <v>1793</v>
      </c>
      <c r="K577" s="15">
        <f t="shared" si="112"/>
        <v>0</v>
      </c>
      <c r="L577" s="15">
        <f t="shared" si="101"/>
        <v>1793</v>
      </c>
      <c r="M577" s="15" t="str">
        <f t="shared" si="102"/>
        <v/>
      </c>
      <c r="N577" s="15">
        <f t="shared" si="103"/>
        <v>1793</v>
      </c>
      <c r="O577" s="15" t="str">
        <f t="shared" si="104"/>
        <v>휘발유 71,720원</v>
      </c>
      <c r="P577" s="15">
        <f t="shared" si="105"/>
        <v>71720</v>
      </c>
      <c r="Q577" s="15"/>
      <c r="R577" s="16">
        <f t="shared" si="106"/>
        <v>0</v>
      </c>
      <c r="S577" s="15">
        <f t="shared" si="107"/>
        <v>0</v>
      </c>
      <c r="T577" s="15">
        <f t="shared" si="108"/>
        <v>71720</v>
      </c>
      <c r="U577" s="15">
        <f t="shared" si="109"/>
        <v>1793</v>
      </c>
      <c r="V577" s="15">
        <f t="shared" si="111"/>
        <v>1793</v>
      </c>
      <c r="W577" s="17">
        <f>IF($T577="",1000000000000000,$T577)</f>
        <v>71720</v>
      </c>
      <c r="XFB577" s="5"/>
      <c r="XFC577" s="3"/>
    </row>
    <row r="578" spans="1:23 16382:16383" s="19" customFormat="1" ht="28.5" customHeight="1">
      <c r="A578" s="14">
        <f t="shared" si="100"/>
        <v>563</v>
      </c>
      <c r="B578" s="14" t="s">
        <v>8</v>
      </c>
      <c r="C578" s="14" t="s">
        <v>1249</v>
      </c>
      <c r="D578" s="14" t="s">
        <v>56</v>
      </c>
      <c r="E578" s="14" t="s">
        <v>26</v>
      </c>
      <c r="F578" s="14" t="s">
        <v>1250</v>
      </c>
      <c r="G578" s="15">
        <v>1793</v>
      </c>
      <c r="H578" s="15"/>
      <c r="I578" s="15"/>
      <c r="J578" s="15">
        <v>1793</v>
      </c>
      <c r="K578" s="15">
        <f t="shared" si="112"/>
        <v>0</v>
      </c>
      <c r="L578" s="15">
        <f t="shared" si="101"/>
        <v>1793</v>
      </c>
      <c r="M578" s="15" t="str">
        <f t="shared" si="102"/>
        <v/>
      </c>
      <c r="N578" s="15">
        <f t="shared" si="103"/>
        <v>1793</v>
      </c>
      <c r="O578" s="15" t="str">
        <f t="shared" si="104"/>
        <v>휘발유 71,720원</v>
      </c>
      <c r="P578" s="15">
        <f t="shared" si="105"/>
        <v>71720</v>
      </c>
      <c r="Q578" s="15"/>
      <c r="R578" s="16">
        <f t="shared" si="106"/>
        <v>0</v>
      </c>
      <c r="S578" s="15">
        <f t="shared" si="107"/>
        <v>0</v>
      </c>
      <c r="T578" s="15">
        <f t="shared" si="108"/>
        <v>71720</v>
      </c>
      <c r="U578" s="15">
        <f t="shared" si="109"/>
        <v>1793</v>
      </c>
      <c r="V578" s="15">
        <f t="shared" si="111"/>
        <v>1793</v>
      </c>
      <c r="W578" s="17">
        <f>IF($T578="",1000000000000000,$T578)</f>
        <v>71720</v>
      </c>
      <c r="XFB578" s="5"/>
      <c r="XFC578" s="3"/>
    </row>
    <row r="579" spans="1:23 16382:16383" s="5" customFormat="1" ht="28.65" customHeight="1">
      <c r="A579" s="14">
        <f t="shared" si="100"/>
        <v>563</v>
      </c>
      <c r="B579" s="14" t="s">
        <v>10</v>
      </c>
      <c r="C579" s="14" t="s">
        <v>1163</v>
      </c>
      <c r="D579" s="14" t="s">
        <v>95</v>
      </c>
      <c r="E579" s="14" t="s">
        <v>26</v>
      </c>
      <c r="F579" s="14" t="s">
        <v>1164</v>
      </c>
      <c r="G579" s="15">
        <v>1793</v>
      </c>
      <c r="H579" s="15"/>
      <c r="I579" s="15"/>
      <c r="J579" s="15">
        <v>1793</v>
      </c>
      <c r="K579" s="15">
        <f t="shared" si="112"/>
        <v>0</v>
      </c>
      <c r="L579" s="15">
        <f t="shared" si="101"/>
        <v>1793</v>
      </c>
      <c r="M579" s="15" t="str">
        <f t="shared" si="102"/>
        <v/>
      </c>
      <c r="N579" s="15">
        <f t="shared" si="103"/>
        <v>1793</v>
      </c>
      <c r="O579" s="15" t="str">
        <f t="shared" si="104"/>
        <v>휘발유 71,720원</v>
      </c>
      <c r="P579" s="15">
        <f t="shared" si="105"/>
        <v>71720</v>
      </c>
      <c r="Q579" s="15"/>
      <c r="R579" s="16">
        <f t="shared" si="106"/>
        <v>0</v>
      </c>
      <c r="S579" s="15">
        <f t="shared" si="107"/>
        <v>0</v>
      </c>
      <c r="T579" s="15">
        <f t="shared" si="108"/>
        <v>71720</v>
      </c>
      <c r="U579" s="15">
        <f t="shared" si="109"/>
        <v>1793</v>
      </c>
      <c r="V579" s="15">
        <f t="shared" si="111"/>
        <v>1793</v>
      </c>
      <c r="W579" s="17">
        <f>IF($T579="",1000000000000000,$T579)</f>
        <v>71720</v>
      </c>
      <c r="XFC579" s="3"/>
    </row>
    <row r="580" spans="1:23 16382:16383" s="5" customFormat="1" ht="28.65" customHeight="1">
      <c r="A580" s="14">
        <f t="shared" si="100"/>
        <v>563</v>
      </c>
      <c r="B580" s="14" t="s">
        <v>8</v>
      </c>
      <c r="C580" s="14" t="s">
        <v>1251</v>
      </c>
      <c r="D580" s="14" t="s">
        <v>51</v>
      </c>
      <c r="E580" s="14" t="s">
        <v>26</v>
      </c>
      <c r="F580" s="14" t="s">
        <v>1252</v>
      </c>
      <c r="G580" s="15">
        <v>1793</v>
      </c>
      <c r="H580" s="15"/>
      <c r="I580" s="15"/>
      <c r="J580" s="15">
        <v>1798</v>
      </c>
      <c r="K580" s="15">
        <f t="shared" si="112"/>
        <v>0</v>
      </c>
      <c r="L580" s="15">
        <f t="shared" si="101"/>
        <v>1793</v>
      </c>
      <c r="M580" s="15" t="str">
        <f t="shared" si="102"/>
        <v/>
      </c>
      <c r="N580" s="15">
        <f t="shared" si="103"/>
        <v>1798</v>
      </c>
      <c r="O580" s="15" t="str">
        <f t="shared" si="104"/>
        <v>휘발유 71,720원</v>
      </c>
      <c r="P580" s="15">
        <f t="shared" si="105"/>
        <v>71720</v>
      </c>
      <c r="Q580" s="15"/>
      <c r="R580" s="16">
        <f t="shared" si="106"/>
        <v>0</v>
      </c>
      <c r="S580" s="15">
        <f t="shared" si="107"/>
        <v>0</v>
      </c>
      <c r="T580" s="15">
        <f t="shared" si="108"/>
        <v>71720</v>
      </c>
      <c r="U580" s="15">
        <f t="shared" si="109"/>
        <v>1793</v>
      </c>
      <c r="V580" s="15">
        <f t="shared" si="111"/>
        <v>1793</v>
      </c>
      <c r="W580" s="17">
        <f>IF($T580="",1000000000000000,$T580)</f>
        <v>71720</v>
      </c>
      <c r="XFC580" s="3"/>
    </row>
    <row r="581" spans="1:23 16382:16383" s="5" customFormat="1" ht="28.65" customHeight="1">
      <c r="A581" s="14">
        <f t="shared" si="100"/>
        <v>567</v>
      </c>
      <c r="B581" s="14" t="s">
        <v>10</v>
      </c>
      <c r="C581" s="14" t="s">
        <v>205</v>
      </c>
      <c r="D581" s="14" t="s">
        <v>51</v>
      </c>
      <c r="E581" s="14" t="s">
        <v>26</v>
      </c>
      <c r="F581" s="14" t="s">
        <v>206</v>
      </c>
      <c r="G581" s="15">
        <v>1794</v>
      </c>
      <c r="H581" s="15">
        <v>2014</v>
      </c>
      <c r="I581" s="15"/>
      <c r="J581" s="15">
        <v>1749</v>
      </c>
      <c r="K581" s="15">
        <f t="shared" si="112"/>
        <v>0</v>
      </c>
      <c r="L581" s="15">
        <f t="shared" si="101"/>
        <v>1794</v>
      </c>
      <c r="M581" s="15">
        <f t="shared" si="102"/>
        <v>2014</v>
      </c>
      <c r="N581" s="15">
        <f t="shared" si="103"/>
        <v>1749</v>
      </c>
      <c r="O581" s="15" t="str">
        <f t="shared" si="104"/>
        <v>휘발유 71,760원</v>
      </c>
      <c r="P581" s="15">
        <f t="shared" si="105"/>
        <v>71760</v>
      </c>
      <c r="Q581" s="15"/>
      <c r="R581" s="16">
        <f t="shared" si="106"/>
        <v>0</v>
      </c>
      <c r="S581" s="15">
        <f t="shared" si="107"/>
        <v>0</v>
      </c>
      <c r="T581" s="15">
        <f t="shared" si="108"/>
        <v>71760</v>
      </c>
      <c r="U581" s="15">
        <f t="shared" si="109"/>
        <v>1794</v>
      </c>
      <c r="V581" s="15">
        <f t="shared" si="111"/>
        <v>1794</v>
      </c>
      <c r="W581" s="17">
        <f>IF($T581="",1000000000000000,$T581)</f>
        <v>71760</v>
      </c>
      <c r="XFC581" s="3"/>
    </row>
    <row r="582" spans="1:23 16382:16383" s="5" customFormat="1" ht="28.65" customHeight="1">
      <c r="A582" s="14">
        <f t="shared" si="100"/>
        <v>567</v>
      </c>
      <c r="B582" s="14" t="s">
        <v>12</v>
      </c>
      <c r="C582" s="14" t="s">
        <v>271</v>
      </c>
      <c r="D582" s="18" t="s">
        <v>51</v>
      </c>
      <c r="E582" s="14" t="s">
        <v>26</v>
      </c>
      <c r="F582" s="14" t="s">
        <v>272</v>
      </c>
      <c r="G582" s="15">
        <v>1794</v>
      </c>
      <c r="H582" s="15">
        <v>2045</v>
      </c>
      <c r="I582" s="15"/>
      <c r="J582" s="15">
        <v>1794</v>
      </c>
      <c r="K582" s="15">
        <f t="shared" si="112"/>
        <v>0</v>
      </c>
      <c r="L582" s="15">
        <f t="shared" si="101"/>
        <v>1794</v>
      </c>
      <c r="M582" s="15">
        <f t="shared" si="102"/>
        <v>2045</v>
      </c>
      <c r="N582" s="15">
        <f t="shared" si="103"/>
        <v>1794</v>
      </c>
      <c r="O582" s="15" t="str">
        <f t="shared" si="104"/>
        <v>휘발유 71,760원</v>
      </c>
      <c r="P582" s="15">
        <f t="shared" si="105"/>
        <v>71760</v>
      </c>
      <c r="Q582" s="15"/>
      <c r="R582" s="16">
        <f t="shared" si="106"/>
        <v>0</v>
      </c>
      <c r="S582" s="15">
        <f t="shared" si="107"/>
        <v>0</v>
      </c>
      <c r="T582" s="15">
        <f t="shared" si="108"/>
        <v>71760</v>
      </c>
      <c r="U582" s="15">
        <f t="shared" si="109"/>
        <v>1794</v>
      </c>
      <c r="V582" s="15">
        <f t="shared" si="111"/>
        <v>1794</v>
      </c>
      <c r="W582" s="17">
        <f>IF($T582="",1000000000000000,$T582)</f>
        <v>71760</v>
      </c>
      <c r="XFC582" s="3"/>
    </row>
    <row r="583" spans="1:23 16382:16383" s="5" customFormat="1" ht="28.65" customHeight="1">
      <c r="A583" s="14">
        <f t="shared" si="100"/>
        <v>567</v>
      </c>
      <c r="B583" s="14" t="s">
        <v>12</v>
      </c>
      <c r="C583" s="14" t="s">
        <v>298</v>
      </c>
      <c r="D583" s="18" t="s">
        <v>45</v>
      </c>
      <c r="E583" s="14" t="s">
        <v>26</v>
      </c>
      <c r="F583" s="14" t="s">
        <v>299</v>
      </c>
      <c r="G583" s="15">
        <v>1794</v>
      </c>
      <c r="H583" s="15">
        <v>2074</v>
      </c>
      <c r="I583" s="15"/>
      <c r="J583" s="15">
        <v>1794</v>
      </c>
      <c r="K583" s="15">
        <f t="shared" si="112"/>
        <v>0</v>
      </c>
      <c r="L583" s="15">
        <f t="shared" si="101"/>
        <v>1794</v>
      </c>
      <c r="M583" s="15">
        <f t="shared" si="102"/>
        <v>2074</v>
      </c>
      <c r="N583" s="15">
        <f t="shared" si="103"/>
        <v>1794</v>
      </c>
      <c r="O583" s="15" t="str">
        <f t="shared" si="104"/>
        <v>휘발유 71,760원</v>
      </c>
      <c r="P583" s="15">
        <f t="shared" si="105"/>
        <v>71760</v>
      </c>
      <c r="Q583" s="15"/>
      <c r="R583" s="16">
        <f t="shared" si="106"/>
        <v>0</v>
      </c>
      <c r="S583" s="15">
        <f t="shared" si="107"/>
        <v>0</v>
      </c>
      <c r="T583" s="15">
        <f t="shared" si="108"/>
        <v>71760</v>
      </c>
      <c r="U583" s="15">
        <f t="shared" si="109"/>
        <v>1794</v>
      </c>
      <c r="V583" s="15">
        <f t="shared" si="111"/>
        <v>1794</v>
      </c>
      <c r="W583" s="17">
        <f>IF($T583="",1000000000000000,$T583)</f>
        <v>71760</v>
      </c>
      <c r="XFC583" s="3"/>
    </row>
    <row r="584" spans="1:23 16382:16383" s="5" customFormat="1" ht="28.65" customHeight="1">
      <c r="A584" s="14">
        <f t="shared" si="100"/>
        <v>567</v>
      </c>
      <c r="B584" s="14" t="s">
        <v>12</v>
      </c>
      <c r="C584" s="14" t="s">
        <v>1539</v>
      </c>
      <c r="D584" s="18" t="s">
        <v>45</v>
      </c>
      <c r="E584" s="14" t="s">
        <v>63</v>
      </c>
      <c r="F584" s="14" t="s">
        <v>1540</v>
      </c>
      <c r="G584" s="15">
        <v>1794</v>
      </c>
      <c r="H584" s="15"/>
      <c r="I584" s="15"/>
      <c r="J584" s="15">
        <v>1824</v>
      </c>
      <c r="K584" s="15">
        <v>0</v>
      </c>
      <c r="L584" s="15">
        <f t="shared" si="101"/>
        <v>1794</v>
      </c>
      <c r="M584" s="15" t="str">
        <f t="shared" si="102"/>
        <v/>
      </c>
      <c r="N584" s="15">
        <f t="shared" si="103"/>
        <v>1824</v>
      </c>
      <c r="O584" s="15" t="str">
        <f t="shared" si="104"/>
        <v>휘발유 71,760원</v>
      </c>
      <c r="P584" s="15">
        <f t="shared" si="105"/>
        <v>71760</v>
      </c>
      <c r="Q584" s="15"/>
      <c r="R584" s="16">
        <f t="shared" si="106"/>
        <v>0</v>
      </c>
      <c r="S584" s="15">
        <f t="shared" si="107"/>
        <v>0</v>
      </c>
      <c r="T584" s="15">
        <f t="shared" si="108"/>
        <v>71760</v>
      </c>
      <c r="U584" s="15">
        <f t="shared" si="109"/>
        <v>1794</v>
      </c>
      <c r="V584" s="15">
        <f t="shared" si="111"/>
        <v>1794</v>
      </c>
      <c r="W584" s="17">
        <f>IF($T584="",1000000000000000,$T584)</f>
        <v>71760</v>
      </c>
      <c r="XFC584" s="3"/>
    </row>
    <row r="585" spans="1:23 16382:16383" s="19" customFormat="1" ht="28.5" customHeight="1">
      <c r="A585" s="14">
        <f t="shared" si="100"/>
        <v>567</v>
      </c>
      <c r="B585" s="14" t="s">
        <v>6</v>
      </c>
      <c r="C585" s="14" t="s">
        <v>1255</v>
      </c>
      <c r="D585" s="14" t="s">
        <v>45</v>
      </c>
      <c r="E585" s="14" t="s">
        <v>26</v>
      </c>
      <c r="F585" s="14" t="s">
        <v>1256</v>
      </c>
      <c r="G585" s="15">
        <v>1794</v>
      </c>
      <c r="H585" s="15"/>
      <c r="I585" s="15"/>
      <c r="J585" s="15">
        <v>1774</v>
      </c>
      <c r="K585" s="15">
        <f t="shared" ref="K585:K616" si="113">IF(AND(IFERROR(SEARCH("현대오일뱅크",$C585),0)&gt;0,IFERROR(SEARCH("직영",$C585),0)&gt;0),$B$13,0)</f>
        <v>0</v>
      </c>
      <c r="L585" s="15">
        <f t="shared" si="101"/>
        <v>1794</v>
      </c>
      <c r="M585" s="15" t="str">
        <f t="shared" si="102"/>
        <v/>
      </c>
      <c r="N585" s="15">
        <f t="shared" si="103"/>
        <v>1774</v>
      </c>
      <c r="O585" s="15" t="str">
        <f t="shared" si="104"/>
        <v>휘발유 71,760원</v>
      </c>
      <c r="P585" s="15">
        <f t="shared" si="105"/>
        <v>71760</v>
      </c>
      <c r="Q585" s="15"/>
      <c r="R585" s="16">
        <f t="shared" si="106"/>
        <v>0</v>
      </c>
      <c r="S585" s="15">
        <f t="shared" si="107"/>
        <v>0</v>
      </c>
      <c r="T585" s="15">
        <f t="shared" si="108"/>
        <v>71760</v>
      </c>
      <c r="U585" s="15">
        <f t="shared" si="109"/>
        <v>1794</v>
      </c>
      <c r="V585" s="15">
        <f t="shared" si="111"/>
        <v>1794</v>
      </c>
      <c r="W585" s="17">
        <f>IF($T585="",1000000000000000,$T585)</f>
        <v>71760</v>
      </c>
      <c r="XFB585" s="5"/>
      <c r="XFC585" s="3"/>
    </row>
    <row r="586" spans="1:23 16382:16383" s="4" customFormat="1" ht="28.5" customHeight="1">
      <c r="A586" s="14">
        <f t="shared" si="100"/>
        <v>567</v>
      </c>
      <c r="B586" s="14" t="s">
        <v>12</v>
      </c>
      <c r="C586" s="14" t="s">
        <v>1257</v>
      </c>
      <c r="D586" s="18" t="s">
        <v>51</v>
      </c>
      <c r="E586" s="14" t="s">
        <v>26</v>
      </c>
      <c r="F586" s="14" t="s">
        <v>1258</v>
      </c>
      <c r="G586" s="15">
        <v>1794</v>
      </c>
      <c r="H586" s="15"/>
      <c r="I586" s="15"/>
      <c r="J586" s="15">
        <v>1780</v>
      </c>
      <c r="K586" s="15">
        <f t="shared" si="113"/>
        <v>0</v>
      </c>
      <c r="L586" s="15">
        <f t="shared" si="101"/>
        <v>1794</v>
      </c>
      <c r="M586" s="15" t="str">
        <f t="shared" si="102"/>
        <v/>
      </c>
      <c r="N586" s="15">
        <f t="shared" si="103"/>
        <v>1780</v>
      </c>
      <c r="O586" s="15" t="str">
        <f t="shared" si="104"/>
        <v>휘발유 71,760원</v>
      </c>
      <c r="P586" s="15">
        <f t="shared" si="105"/>
        <v>71760</v>
      </c>
      <c r="Q586" s="15"/>
      <c r="R586" s="16">
        <f t="shared" si="106"/>
        <v>0</v>
      </c>
      <c r="S586" s="15">
        <f t="shared" si="107"/>
        <v>0</v>
      </c>
      <c r="T586" s="15">
        <f t="shared" si="108"/>
        <v>71760</v>
      </c>
      <c r="U586" s="15">
        <f t="shared" si="109"/>
        <v>1794</v>
      </c>
      <c r="V586" s="15">
        <f t="shared" si="111"/>
        <v>1794</v>
      </c>
      <c r="W586" s="17">
        <f>IF($T586="",1000000000000000,$T586)</f>
        <v>71760</v>
      </c>
      <c r="XFB586" s="5"/>
      <c r="XFC586" s="3"/>
    </row>
    <row r="587" spans="1:23 16382:16383" s="4" customFormat="1" ht="28.5" customHeight="1">
      <c r="A587" s="14">
        <f t="shared" si="100"/>
        <v>567</v>
      </c>
      <c r="B587" s="14" t="s">
        <v>12</v>
      </c>
      <c r="C587" s="14" t="s">
        <v>1259</v>
      </c>
      <c r="D587" s="18" t="s">
        <v>51</v>
      </c>
      <c r="E587" s="14" t="s">
        <v>26</v>
      </c>
      <c r="F587" s="14" t="s">
        <v>1260</v>
      </c>
      <c r="G587" s="15">
        <v>1794</v>
      </c>
      <c r="H587" s="15"/>
      <c r="I587" s="15"/>
      <c r="J587" s="15">
        <v>1780</v>
      </c>
      <c r="K587" s="15">
        <f t="shared" si="113"/>
        <v>0</v>
      </c>
      <c r="L587" s="15">
        <f t="shared" si="101"/>
        <v>1794</v>
      </c>
      <c r="M587" s="15" t="str">
        <f t="shared" si="102"/>
        <v/>
      </c>
      <c r="N587" s="15">
        <f t="shared" si="103"/>
        <v>1780</v>
      </c>
      <c r="O587" s="15" t="str">
        <f t="shared" si="104"/>
        <v>휘발유 71,760원</v>
      </c>
      <c r="P587" s="15">
        <f t="shared" si="105"/>
        <v>71760</v>
      </c>
      <c r="Q587" s="15"/>
      <c r="R587" s="16">
        <f t="shared" si="106"/>
        <v>0</v>
      </c>
      <c r="S587" s="15">
        <f t="shared" si="107"/>
        <v>0</v>
      </c>
      <c r="T587" s="15">
        <f t="shared" si="108"/>
        <v>71760</v>
      </c>
      <c r="U587" s="15">
        <f t="shared" si="109"/>
        <v>1794</v>
      </c>
      <c r="V587" s="15">
        <f t="shared" si="111"/>
        <v>1794</v>
      </c>
      <c r="W587" s="17">
        <f>IF($T587="",1000000000000000,$T587)</f>
        <v>71760</v>
      </c>
      <c r="XFB587" s="5"/>
      <c r="XFC587" s="3"/>
    </row>
    <row r="588" spans="1:23 16382:16383" s="19" customFormat="1" ht="28.5" customHeight="1">
      <c r="A588" s="14">
        <f t="shared" si="100"/>
        <v>567</v>
      </c>
      <c r="B588" s="14" t="s">
        <v>6</v>
      </c>
      <c r="C588" s="14" t="s">
        <v>1261</v>
      </c>
      <c r="D588" s="18" t="s">
        <v>86</v>
      </c>
      <c r="E588" s="14" t="s">
        <v>26</v>
      </c>
      <c r="F588" s="14" t="s">
        <v>1262</v>
      </c>
      <c r="G588" s="15">
        <v>1794</v>
      </c>
      <c r="H588" s="15"/>
      <c r="I588" s="15"/>
      <c r="J588" s="15">
        <v>1784</v>
      </c>
      <c r="K588" s="15">
        <f t="shared" si="113"/>
        <v>0</v>
      </c>
      <c r="L588" s="15">
        <f t="shared" si="101"/>
        <v>1794</v>
      </c>
      <c r="M588" s="15" t="str">
        <f t="shared" si="102"/>
        <v/>
      </c>
      <c r="N588" s="15">
        <f t="shared" si="103"/>
        <v>1784</v>
      </c>
      <c r="O588" s="15" t="str">
        <f t="shared" si="104"/>
        <v>휘발유 71,760원</v>
      </c>
      <c r="P588" s="15">
        <f t="shared" si="105"/>
        <v>71760</v>
      </c>
      <c r="Q588" s="15"/>
      <c r="R588" s="16">
        <f t="shared" si="106"/>
        <v>0</v>
      </c>
      <c r="S588" s="15">
        <f t="shared" si="107"/>
        <v>0</v>
      </c>
      <c r="T588" s="15">
        <f t="shared" si="108"/>
        <v>71760</v>
      </c>
      <c r="U588" s="15">
        <f t="shared" si="109"/>
        <v>1794</v>
      </c>
      <c r="V588" s="15">
        <f t="shared" si="111"/>
        <v>1794</v>
      </c>
      <c r="W588" s="17">
        <f>IF($T588="",1000000000000000,$T588)</f>
        <v>71760</v>
      </c>
      <c r="XFB588" s="5"/>
      <c r="XFC588" s="3"/>
    </row>
    <row r="589" spans="1:23 16382:16383" s="5" customFormat="1" ht="28.65" customHeight="1">
      <c r="A589" s="14">
        <f t="shared" si="100"/>
        <v>567</v>
      </c>
      <c r="B589" s="14" t="s">
        <v>12</v>
      </c>
      <c r="C589" s="14" t="s">
        <v>619</v>
      </c>
      <c r="D589" s="18" t="s">
        <v>45</v>
      </c>
      <c r="E589" s="14" t="s">
        <v>63</v>
      </c>
      <c r="F589" s="14" t="s">
        <v>1263</v>
      </c>
      <c r="G589" s="15">
        <v>1794</v>
      </c>
      <c r="H589" s="15"/>
      <c r="I589" s="15"/>
      <c r="J589" s="15">
        <v>1794</v>
      </c>
      <c r="K589" s="15">
        <f t="shared" si="113"/>
        <v>0</v>
      </c>
      <c r="L589" s="15">
        <f t="shared" si="101"/>
        <v>1794</v>
      </c>
      <c r="M589" s="15" t="str">
        <f t="shared" si="102"/>
        <v/>
      </c>
      <c r="N589" s="15">
        <f t="shared" si="103"/>
        <v>1794</v>
      </c>
      <c r="O589" s="15" t="str">
        <f t="shared" si="104"/>
        <v>휘발유 71,760원</v>
      </c>
      <c r="P589" s="15">
        <f t="shared" si="105"/>
        <v>71760</v>
      </c>
      <c r="Q589" s="15"/>
      <c r="R589" s="16">
        <f t="shared" si="106"/>
        <v>0</v>
      </c>
      <c r="S589" s="15">
        <f t="shared" si="107"/>
        <v>0</v>
      </c>
      <c r="T589" s="15">
        <f t="shared" si="108"/>
        <v>71760</v>
      </c>
      <c r="U589" s="15">
        <f t="shared" si="109"/>
        <v>1794</v>
      </c>
      <c r="V589" s="15">
        <f t="shared" si="111"/>
        <v>1794</v>
      </c>
      <c r="W589" s="17">
        <f>IF($T589="",1000000000000000,$T589)</f>
        <v>71760</v>
      </c>
      <c r="XFC589" s="3"/>
    </row>
    <row r="590" spans="1:23 16382:16383" s="19" customFormat="1" ht="28.5" customHeight="1">
      <c r="A590" s="14">
        <f t="shared" si="100"/>
        <v>567</v>
      </c>
      <c r="B590" s="14" t="s">
        <v>12</v>
      </c>
      <c r="C590" s="14" t="s">
        <v>1264</v>
      </c>
      <c r="D590" s="18" t="s">
        <v>45</v>
      </c>
      <c r="E590" s="14" t="s">
        <v>26</v>
      </c>
      <c r="F590" s="14" t="s">
        <v>1265</v>
      </c>
      <c r="G590" s="15">
        <v>1794</v>
      </c>
      <c r="H590" s="15"/>
      <c r="I590" s="15"/>
      <c r="J590" s="15">
        <v>1794</v>
      </c>
      <c r="K590" s="15">
        <f t="shared" si="113"/>
        <v>0</v>
      </c>
      <c r="L590" s="15">
        <f t="shared" si="101"/>
        <v>1794</v>
      </c>
      <c r="M590" s="15" t="str">
        <f t="shared" si="102"/>
        <v/>
      </c>
      <c r="N590" s="15">
        <f t="shared" si="103"/>
        <v>1794</v>
      </c>
      <c r="O590" s="15" t="str">
        <f t="shared" si="104"/>
        <v>휘발유 71,760원</v>
      </c>
      <c r="P590" s="15">
        <f t="shared" si="105"/>
        <v>71760</v>
      </c>
      <c r="Q590" s="15"/>
      <c r="R590" s="16">
        <f t="shared" si="106"/>
        <v>0</v>
      </c>
      <c r="S590" s="15">
        <f t="shared" si="107"/>
        <v>0</v>
      </c>
      <c r="T590" s="15">
        <f t="shared" si="108"/>
        <v>71760</v>
      </c>
      <c r="U590" s="15">
        <f t="shared" si="109"/>
        <v>1794</v>
      </c>
      <c r="V590" s="15">
        <f t="shared" si="111"/>
        <v>1794</v>
      </c>
      <c r="W590" s="17">
        <f>IF($T590="",1000000000000000,$T590)</f>
        <v>71760</v>
      </c>
      <c r="XFB590" s="5"/>
      <c r="XFC590" s="3"/>
    </row>
    <row r="591" spans="1:23 16382:16383" s="19" customFormat="1" ht="28.5" customHeight="1">
      <c r="A591" s="14">
        <f t="shared" ref="A591:A654" si="114">IF($T591="","",1+COUNTIF($W$15:$W$890,"&lt;"&amp;W591))</f>
        <v>567</v>
      </c>
      <c r="B591" s="14" t="s">
        <v>12</v>
      </c>
      <c r="C591" s="14" t="s">
        <v>1266</v>
      </c>
      <c r="D591" s="18" t="s">
        <v>45</v>
      </c>
      <c r="E591" s="14" t="s">
        <v>26</v>
      </c>
      <c r="F591" s="14" t="s">
        <v>1267</v>
      </c>
      <c r="G591" s="15">
        <v>1794</v>
      </c>
      <c r="H591" s="15"/>
      <c r="I591" s="15"/>
      <c r="J591" s="15">
        <v>1794</v>
      </c>
      <c r="K591" s="15">
        <f t="shared" si="113"/>
        <v>0</v>
      </c>
      <c r="L591" s="15">
        <f t="shared" ref="L591:L654" si="115">IF($G591="","",$G591+$K591)</f>
        <v>1794</v>
      </c>
      <c r="M591" s="15" t="str">
        <f t="shared" ref="M591:M654" si="116">IF($H591="","",$H591+$K591)</f>
        <v/>
      </c>
      <c r="N591" s="15">
        <f t="shared" ref="N591:N654" si="117">IF($J591="","",$J591+$K591)</f>
        <v>1794</v>
      </c>
      <c r="O591" s="15" t="str">
        <f t="shared" ref="O591:O654" si="118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>휘발유 71,760원</v>
      </c>
      <c r="P591" s="15">
        <f t="shared" ref="P591:P654" si="119">IF($B$10=0,"",IFERROR(IF($B$4&gt;0,IF($L591="",1/0,$L591*$B$4),0)+IF($B$5&gt;0,IF($M591="",1/0,$M591*$B$5),0)+IF($B$6&gt;0,IF($N591="",1/0,$N591*$B$6),0),""))</f>
        <v>71760</v>
      </c>
      <c r="Q591" s="15"/>
      <c r="R591" s="16">
        <f t="shared" ref="R591:R654" si="120">IF($P591="","",IF($Q591="Y",IFERROR(VLOOKUP($B591,$C$4:$D$13,2,FALSE()),0),0))</f>
        <v>0</v>
      </c>
      <c r="S591" s="15">
        <f t="shared" ref="S591:S654" si="121">IF($P591="","",ROUNDDOWN($P591*$R591,0))</f>
        <v>0</v>
      </c>
      <c r="T591" s="15">
        <f t="shared" ref="T591:T654" si="122">IF($P591="","",$P591-$S591)</f>
        <v>71760</v>
      </c>
      <c r="U591" s="15">
        <f t="shared" ref="U591:U654" si="123">IF($T591="","",IF($B$10=0,"",$T591/$B$10))</f>
        <v>1794</v>
      </c>
      <c r="V591" s="15">
        <f t="shared" si="111"/>
        <v>1794</v>
      </c>
      <c r="W591" s="17">
        <f>IF($T591="",1000000000000000,$T591)</f>
        <v>71760</v>
      </c>
      <c r="XFB591" s="5"/>
      <c r="XFC591" s="3"/>
    </row>
    <row r="592" spans="1:23 16382:16383" s="4" customFormat="1" ht="28.5" customHeight="1">
      <c r="A592" s="14">
        <f t="shared" si="114"/>
        <v>567</v>
      </c>
      <c r="B592" s="14" t="s">
        <v>8</v>
      </c>
      <c r="C592" s="14" t="s">
        <v>1268</v>
      </c>
      <c r="D592" s="14" t="s">
        <v>45</v>
      </c>
      <c r="E592" s="14" t="s">
        <v>26</v>
      </c>
      <c r="F592" s="14" t="s">
        <v>1269</v>
      </c>
      <c r="G592" s="15">
        <v>1794</v>
      </c>
      <c r="H592" s="15"/>
      <c r="I592" s="15"/>
      <c r="J592" s="15">
        <v>1814</v>
      </c>
      <c r="K592" s="15">
        <f t="shared" si="113"/>
        <v>0</v>
      </c>
      <c r="L592" s="15">
        <f t="shared" si="115"/>
        <v>1794</v>
      </c>
      <c r="M592" s="15" t="str">
        <f t="shared" si="116"/>
        <v/>
      </c>
      <c r="N592" s="15">
        <f t="shared" si="117"/>
        <v>1814</v>
      </c>
      <c r="O592" s="15" t="str">
        <f t="shared" si="118"/>
        <v>휘발유 71,760원</v>
      </c>
      <c r="P592" s="15">
        <f t="shared" si="119"/>
        <v>71760</v>
      </c>
      <c r="Q592" s="15"/>
      <c r="R592" s="16">
        <f t="shared" si="120"/>
        <v>0</v>
      </c>
      <c r="S592" s="15">
        <f t="shared" si="121"/>
        <v>0</v>
      </c>
      <c r="T592" s="15">
        <f t="shared" si="122"/>
        <v>71760</v>
      </c>
      <c r="U592" s="15">
        <f t="shared" si="123"/>
        <v>1794</v>
      </c>
      <c r="V592" s="15">
        <f t="shared" si="111"/>
        <v>1794</v>
      </c>
      <c r="W592" s="17">
        <f>IF($T592="",1000000000000000,$T592)</f>
        <v>71760</v>
      </c>
      <c r="XFB592" s="5"/>
      <c r="XFC592" s="3"/>
    </row>
    <row r="593" spans="1:23 16382:16383" s="19" customFormat="1" ht="28.5" customHeight="1">
      <c r="A593" s="14">
        <f t="shared" si="114"/>
        <v>579</v>
      </c>
      <c r="B593" s="14" t="s">
        <v>10</v>
      </c>
      <c r="C593" s="14" t="s">
        <v>249</v>
      </c>
      <c r="D593" s="14" t="s">
        <v>51</v>
      </c>
      <c r="E593" s="14" t="s">
        <v>26</v>
      </c>
      <c r="F593" s="14" t="s">
        <v>250</v>
      </c>
      <c r="G593" s="15">
        <v>1795</v>
      </c>
      <c r="H593" s="15">
        <v>2026</v>
      </c>
      <c r="I593" s="15"/>
      <c r="J593" s="15">
        <v>1785</v>
      </c>
      <c r="K593" s="15">
        <f t="shared" si="113"/>
        <v>0</v>
      </c>
      <c r="L593" s="15">
        <f t="shared" si="115"/>
        <v>1795</v>
      </c>
      <c r="M593" s="15">
        <f t="shared" si="116"/>
        <v>2026</v>
      </c>
      <c r="N593" s="15">
        <f t="shared" si="117"/>
        <v>1785</v>
      </c>
      <c r="O593" s="15" t="str">
        <f t="shared" si="118"/>
        <v>휘발유 71,800원</v>
      </c>
      <c r="P593" s="15">
        <f t="shared" si="119"/>
        <v>71800</v>
      </c>
      <c r="Q593" s="15"/>
      <c r="R593" s="16">
        <f t="shared" si="120"/>
        <v>0</v>
      </c>
      <c r="S593" s="15">
        <f t="shared" si="121"/>
        <v>0</v>
      </c>
      <c r="T593" s="15">
        <f t="shared" si="122"/>
        <v>71800</v>
      </c>
      <c r="U593" s="15">
        <f t="shared" si="123"/>
        <v>1795</v>
      </c>
      <c r="V593" s="15">
        <f t="shared" si="111"/>
        <v>1795</v>
      </c>
      <c r="W593" s="17">
        <f>IF($T593="",1000000000000000,$T593)</f>
        <v>71800</v>
      </c>
      <c r="XFB593" s="5"/>
      <c r="XFC593" s="3"/>
    </row>
    <row r="594" spans="1:23 16382:16383" s="19" customFormat="1" ht="28.5" customHeight="1">
      <c r="A594" s="14">
        <f t="shared" si="114"/>
        <v>579</v>
      </c>
      <c r="B594" s="14" t="s">
        <v>10</v>
      </c>
      <c r="C594" s="14" t="s">
        <v>253</v>
      </c>
      <c r="D594" s="18" t="s">
        <v>86</v>
      </c>
      <c r="E594" s="14" t="s">
        <v>26</v>
      </c>
      <c r="F594" s="14" t="s">
        <v>254</v>
      </c>
      <c r="G594" s="15">
        <v>1795</v>
      </c>
      <c r="H594" s="15">
        <v>2029</v>
      </c>
      <c r="I594" s="15"/>
      <c r="J594" s="15">
        <v>1795</v>
      </c>
      <c r="K594" s="15">
        <f t="shared" si="113"/>
        <v>0</v>
      </c>
      <c r="L594" s="15">
        <f t="shared" si="115"/>
        <v>1795</v>
      </c>
      <c r="M594" s="15">
        <f t="shared" si="116"/>
        <v>2029</v>
      </c>
      <c r="N594" s="15">
        <f t="shared" si="117"/>
        <v>1795</v>
      </c>
      <c r="O594" s="15" t="str">
        <f t="shared" si="118"/>
        <v>휘발유 71,800원</v>
      </c>
      <c r="P594" s="15">
        <f t="shared" si="119"/>
        <v>71800</v>
      </c>
      <c r="Q594" s="15"/>
      <c r="R594" s="16">
        <f t="shared" si="120"/>
        <v>0</v>
      </c>
      <c r="S594" s="15">
        <f t="shared" si="121"/>
        <v>0</v>
      </c>
      <c r="T594" s="15">
        <f t="shared" si="122"/>
        <v>71800</v>
      </c>
      <c r="U594" s="15">
        <f t="shared" si="123"/>
        <v>1795</v>
      </c>
      <c r="V594" s="15">
        <f t="shared" si="111"/>
        <v>1795</v>
      </c>
      <c r="W594" s="17">
        <f>IF($T594="",1000000000000000,$T594)</f>
        <v>71800</v>
      </c>
      <c r="XFB594" s="5"/>
      <c r="XFC594" s="3"/>
    </row>
    <row r="595" spans="1:23 16382:16383" s="19" customFormat="1" ht="28.5" customHeight="1">
      <c r="A595" s="14">
        <f t="shared" si="114"/>
        <v>579</v>
      </c>
      <c r="B595" s="14" t="s">
        <v>12</v>
      </c>
      <c r="C595" s="14" t="s">
        <v>342</v>
      </c>
      <c r="D595" s="18" t="s">
        <v>51</v>
      </c>
      <c r="E595" s="14" t="s">
        <v>26</v>
      </c>
      <c r="F595" s="14" t="s">
        <v>343</v>
      </c>
      <c r="G595" s="15">
        <v>1795</v>
      </c>
      <c r="H595" s="15">
        <v>2149</v>
      </c>
      <c r="I595" s="15"/>
      <c r="J595" s="15">
        <v>1815</v>
      </c>
      <c r="K595" s="15">
        <f t="shared" si="113"/>
        <v>0</v>
      </c>
      <c r="L595" s="15">
        <f t="shared" si="115"/>
        <v>1795</v>
      </c>
      <c r="M595" s="15">
        <f t="shared" si="116"/>
        <v>2149</v>
      </c>
      <c r="N595" s="15">
        <f t="shared" si="117"/>
        <v>1815</v>
      </c>
      <c r="O595" s="15" t="str">
        <f t="shared" si="118"/>
        <v>휘발유 71,800원</v>
      </c>
      <c r="P595" s="15">
        <f t="shared" si="119"/>
        <v>71800</v>
      </c>
      <c r="Q595" s="15"/>
      <c r="R595" s="16">
        <f t="shared" si="120"/>
        <v>0</v>
      </c>
      <c r="S595" s="15">
        <f t="shared" si="121"/>
        <v>0</v>
      </c>
      <c r="T595" s="15">
        <f t="shared" si="122"/>
        <v>71800</v>
      </c>
      <c r="U595" s="15">
        <f t="shared" si="123"/>
        <v>1795</v>
      </c>
      <c r="V595" s="15">
        <f t="shared" si="111"/>
        <v>1795</v>
      </c>
      <c r="W595" s="17">
        <f>IF($T595="",1000000000000000,$T595)</f>
        <v>71800</v>
      </c>
      <c r="XFB595" s="5"/>
      <c r="XFC595" s="3"/>
    </row>
    <row r="596" spans="1:23 16382:16383" s="5" customFormat="1" ht="28.65" customHeight="1">
      <c r="A596" s="14">
        <f t="shared" si="114"/>
        <v>579</v>
      </c>
      <c r="B596" s="14" t="s">
        <v>12</v>
      </c>
      <c r="C596" s="14" t="s">
        <v>358</v>
      </c>
      <c r="D596" s="18" t="s">
        <v>95</v>
      </c>
      <c r="E596" s="14" t="s">
        <v>26</v>
      </c>
      <c r="F596" s="14" t="s">
        <v>359</v>
      </c>
      <c r="G596" s="15">
        <v>1795</v>
      </c>
      <c r="H596" s="15">
        <v>2195</v>
      </c>
      <c r="I596" s="15"/>
      <c r="J596" s="15">
        <v>1795</v>
      </c>
      <c r="K596" s="15">
        <f t="shared" si="113"/>
        <v>0</v>
      </c>
      <c r="L596" s="15">
        <f t="shared" si="115"/>
        <v>1795</v>
      </c>
      <c r="M596" s="15">
        <f t="shared" si="116"/>
        <v>2195</v>
      </c>
      <c r="N596" s="15">
        <f t="shared" si="117"/>
        <v>1795</v>
      </c>
      <c r="O596" s="15" t="str">
        <f t="shared" si="118"/>
        <v>휘발유 71,800원</v>
      </c>
      <c r="P596" s="15">
        <f t="shared" si="119"/>
        <v>71800</v>
      </c>
      <c r="Q596" s="15"/>
      <c r="R596" s="16">
        <f t="shared" si="120"/>
        <v>0</v>
      </c>
      <c r="S596" s="15">
        <f t="shared" si="121"/>
        <v>0</v>
      </c>
      <c r="T596" s="15">
        <f t="shared" si="122"/>
        <v>71800</v>
      </c>
      <c r="U596" s="15">
        <f t="shared" si="123"/>
        <v>1795</v>
      </c>
      <c r="V596" s="15">
        <f t="shared" si="111"/>
        <v>1795</v>
      </c>
      <c r="W596" s="17">
        <f>IF($T596="",1000000000000000,$T596)</f>
        <v>71800</v>
      </c>
      <c r="XFC596" s="3"/>
    </row>
    <row r="597" spans="1:23 16382:16383" s="19" customFormat="1" ht="28.5" customHeight="1">
      <c r="A597" s="14">
        <f t="shared" si="114"/>
        <v>579</v>
      </c>
      <c r="B597" s="14" t="s">
        <v>6</v>
      </c>
      <c r="C597" s="14" t="s">
        <v>1270</v>
      </c>
      <c r="D597" s="14" t="s">
        <v>51</v>
      </c>
      <c r="E597" s="14" t="s">
        <v>26</v>
      </c>
      <c r="F597" s="14" t="s">
        <v>1271</v>
      </c>
      <c r="G597" s="15">
        <v>1795</v>
      </c>
      <c r="H597" s="15"/>
      <c r="I597" s="15"/>
      <c r="J597" s="15">
        <v>1785</v>
      </c>
      <c r="K597" s="15">
        <f t="shared" si="113"/>
        <v>0</v>
      </c>
      <c r="L597" s="15">
        <f t="shared" si="115"/>
        <v>1795</v>
      </c>
      <c r="M597" s="15" t="str">
        <f t="shared" si="116"/>
        <v/>
      </c>
      <c r="N597" s="15">
        <f t="shared" si="117"/>
        <v>1785</v>
      </c>
      <c r="O597" s="15" t="str">
        <f t="shared" si="118"/>
        <v>휘발유 71,800원</v>
      </c>
      <c r="P597" s="15">
        <f t="shared" si="119"/>
        <v>71800</v>
      </c>
      <c r="Q597" s="15"/>
      <c r="R597" s="16">
        <f t="shared" si="120"/>
        <v>0</v>
      </c>
      <c r="S597" s="15">
        <f t="shared" si="121"/>
        <v>0</v>
      </c>
      <c r="T597" s="15">
        <f t="shared" si="122"/>
        <v>71800</v>
      </c>
      <c r="U597" s="15">
        <f t="shared" si="123"/>
        <v>1795</v>
      </c>
      <c r="V597" s="15">
        <f t="shared" si="111"/>
        <v>1795</v>
      </c>
      <c r="W597" s="17">
        <f>IF($T597="",1000000000000000,$T597)</f>
        <v>71800</v>
      </c>
      <c r="XFB597" s="5"/>
      <c r="XFC597" s="3"/>
    </row>
    <row r="598" spans="1:23 16382:16383" s="19" customFormat="1" ht="28.5" customHeight="1">
      <c r="A598" s="14">
        <f t="shared" si="114"/>
        <v>579</v>
      </c>
      <c r="B598" s="14" t="s">
        <v>14</v>
      </c>
      <c r="C598" s="14" t="s">
        <v>1272</v>
      </c>
      <c r="D598" s="14" t="s">
        <v>45</v>
      </c>
      <c r="E598" s="14" t="s">
        <v>26</v>
      </c>
      <c r="F598" s="14" t="s">
        <v>1273</v>
      </c>
      <c r="G598" s="15">
        <v>1795</v>
      </c>
      <c r="H598" s="15"/>
      <c r="I598" s="15"/>
      <c r="J598" s="15">
        <v>1785</v>
      </c>
      <c r="K598" s="15">
        <f t="shared" si="113"/>
        <v>0</v>
      </c>
      <c r="L598" s="15">
        <f t="shared" si="115"/>
        <v>1795</v>
      </c>
      <c r="M598" s="15" t="str">
        <f t="shared" si="116"/>
        <v/>
      </c>
      <c r="N598" s="15">
        <f t="shared" si="117"/>
        <v>1785</v>
      </c>
      <c r="O598" s="15" t="str">
        <f t="shared" si="118"/>
        <v>휘발유 71,800원</v>
      </c>
      <c r="P598" s="15">
        <f t="shared" si="119"/>
        <v>71800</v>
      </c>
      <c r="Q598" s="15"/>
      <c r="R598" s="16">
        <f t="shared" si="120"/>
        <v>0</v>
      </c>
      <c r="S598" s="15">
        <f t="shared" si="121"/>
        <v>0</v>
      </c>
      <c r="T598" s="15">
        <f t="shared" si="122"/>
        <v>71800</v>
      </c>
      <c r="U598" s="15">
        <f t="shared" si="123"/>
        <v>1795</v>
      </c>
      <c r="V598" s="15">
        <f t="shared" si="111"/>
        <v>1795</v>
      </c>
      <c r="W598" s="17">
        <f>IF($T598="",1000000000000000,$T598)</f>
        <v>71800</v>
      </c>
      <c r="XFB598" s="5"/>
      <c r="XFC598" s="3"/>
    </row>
    <row r="599" spans="1:23 16382:16383" s="19" customFormat="1" ht="28.5" customHeight="1">
      <c r="A599" s="14">
        <f t="shared" si="114"/>
        <v>579</v>
      </c>
      <c r="B599" s="14" t="s">
        <v>12</v>
      </c>
      <c r="C599" s="14" t="s">
        <v>1102</v>
      </c>
      <c r="D599" s="18" t="s">
        <v>45</v>
      </c>
      <c r="E599" s="14" t="s">
        <v>26</v>
      </c>
      <c r="F599" s="14" t="s">
        <v>1103</v>
      </c>
      <c r="G599" s="15">
        <v>1795</v>
      </c>
      <c r="H599" s="15"/>
      <c r="I599" s="15"/>
      <c r="J599" s="15">
        <v>1785</v>
      </c>
      <c r="K599" s="15">
        <f t="shared" si="113"/>
        <v>0</v>
      </c>
      <c r="L599" s="15">
        <f t="shared" si="115"/>
        <v>1795</v>
      </c>
      <c r="M599" s="15" t="str">
        <f t="shared" si="116"/>
        <v/>
      </c>
      <c r="N599" s="15">
        <f t="shared" si="117"/>
        <v>1785</v>
      </c>
      <c r="O599" s="15" t="str">
        <f t="shared" si="118"/>
        <v>휘발유 71,800원</v>
      </c>
      <c r="P599" s="15">
        <f t="shared" si="119"/>
        <v>71800</v>
      </c>
      <c r="Q599" s="15"/>
      <c r="R599" s="16">
        <f t="shared" si="120"/>
        <v>0</v>
      </c>
      <c r="S599" s="15">
        <f t="shared" si="121"/>
        <v>0</v>
      </c>
      <c r="T599" s="15">
        <f t="shared" si="122"/>
        <v>71800</v>
      </c>
      <c r="U599" s="15">
        <f t="shared" si="123"/>
        <v>1795</v>
      </c>
      <c r="V599" s="15">
        <f t="shared" ref="V599:V662" si="124">IF($P599="","",IF($B$10=0,"",$P599/$B$10))</f>
        <v>1795</v>
      </c>
      <c r="W599" s="17">
        <f>IF($T599="",1000000000000000,$T599)</f>
        <v>71800</v>
      </c>
      <c r="XFB599" s="5"/>
      <c r="XFC599" s="3"/>
    </row>
    <row r="600" spans="1:23 16382:16383" s="19" customFormat="1" ht="28.5" customHeight="1">
      <c r="A600" s="14">
        <f t="shared" si="114"/>
        <v>579</v>
      </c>
      <c r="B600" s="14" t="s">
        <v>6</v>
      </c>
      <c r="C600" s="14" t="s">
        <v>1276</v>
      </c>
      <c r="D600" s="18" t="s">
        <v>86</v>
      </c>
      <c r="E600" s="14" t="s">
        <v>26</v>
      </c>
      <c r="F600" s="14" t="s">
        <v>1277</v>
      </c>
      <c r="G600" s="15">
        <v>1795</v>
      </c>
      <c r="H600" s="15"/>
      <c r="I600" s="15"/>
      <c r="J600" s="15">
        <v>1795</v>
      </c>
      <c r="K600" s="15">
        <f t="shared" si="113"/>
        <v>0</v>
      </c>
      <c r="L600" s="15">
        <f t="shared" si="115"/>
        <v>1795</v>
      </c>
      <c r="M600" s="15" t="str">
        <f t="shared" si="116"/>
        <v/>
      </c>
      <c r="N600" s="15">
        <f t="shared" si="117"/>
        <v>1795</v>
      </c>
      <c r="O600" s="15" t="str">
        <f t="shared" si="118"/>
        <v>휘발유 71,800원</v>
      </c>
      <c r="P600" s="15">
        <f t="shared" si="119"/>
        <v>71800</v>
      </c>
      <c r="Q600" s="15"/>
      <c r="R600" s="16">
        <f t="shared" si="120"/>
        <v>0</v>
      </c>
      <c r="S600" s="15">
        <f t="shared" si="121"/>
        <v>0</v>
      </c>
      <c r="T600" s="15">
        <f t="shared" si="122"/>
        <v>71800</v>
      </c>
      <c r="U600" s="15">
        <f t="shared" si="123"/>
        <v>1795</v>
      </c>
      <c r="V600" s="15">
        <f t="shared" si="124"/>
        <v>1795</v>
      </c>
      <c r="W600" s="17">
        <f>IF($T600="",1000000000000000,$T600)</f>
        <v>71800</v>
      </c>
      <c r="XFB600" s="5"/>
      <c r="XFC600" s="3"/>
    </row>
    <row r="601" spans="1:23 16382:16383" s="5" customFormat="1" ht="28.65" customHeight="1">
      <c r="A601" s="14">
        <f t="shared" si="114"/>
        <v>579</v>
      </c>
      <c r="B601" s="14" t="s">
        <v>8</v>
      </c>
      <c r="C601" s="14" t="s">
        <v>751</v>
      </c>
      <c r="D601" s="14" t="s">
        <v>95</v>
      </c>
      <c r="E601" s="14" t="s">
        <v>26</v>
      </c>
      <c r="F601" s="14" t="s">
        <v>1291</v>
      </c>
      <c r="G601" s="15">
        <v>1795</v>
      </c>
      <c r="H601" s="15"/>
      <c r="I601" s="15"/>
      <c r="J601" s="15">
        <v>1795</v>
      </c>
      <c r="K601" s="15">
        <f t="shared" si="113"/>
        <v>0</v>
      </c>
      <c r="L601" s="15">
        <f t="shared" si="115"/>
        <v>1795</v>
      </c>
      <c r="M601" s="15" t="str">
        <f t="shared" si="116"/>
        <v/>
      </c>
      <c r="N601" s="15">
        <f t="shared" si="117"/>
        <v>1795</v>
      </c>
      <c r="O601" s="15" t="str">
        <f t="shared" si="118"/>
        <v>휘발유 71,800원</v>
      </c>
      <c r="P601" s="15">
        <f t="shared" si="119"/>
        <v>71800</v>
      </c>
      <c r="Q601" s="15"/>
      <c r="R601" s="16">
        <f t="shared" si="120"/>
        <v>0</v>
      </c>
      <c r="S601" s="15">
        <f t="shared" si="121"/>
        <v>0</v>
      </c>
      <c r="T601" s="15">
        <f t="shared" si="122"/>
        <v>71800</v>
      </c>
      <c r="U601" s="15">
        <f t="shared" si="123"/>
        <v>1795</v>
      </c>
      <c r="V601" s="15">
        <f t="shared" si="124"/>
        <v>1795</v>
      </c>
      <c r="W601" s="17">
        <f>IF($T601="",1000000000000000,$T601)</f>
        <v>71800</v>
      </c>
      <c r="XFC601" s="3"/>
    </row>
    <row r="602" spans="1:23 16382:16383" s="5" customFormat="1" ht="28.65" customHeight="1">
      <c r="A602" s="14">
        <f t="shared" si="114"/>
        <v>579</v>
      </c>
      <c r="B602" s="14" t="s">
        <v>8</v>
      </c>
      <c r="C602" s="14" t="s">
        <v>1278</v>
      </c>
      <c r="D602" s="18" t="s">
        <v>86</v>
      </c>
      <c r="E602" s="14" t="s">
        <v>26</v>
      </c>
      <c r="F602" s="14" t="s">
        <v>1279</v>
      </c>
      <c r="G602" s="15">
        <v>1795</v>
      </c>
      <c r="H602" s="15"/>
      <c r="I602" s="15"/>
      <c r="J602" s="15">
        <v>1795</v>
      </c>
      <c r="K602" s="15">
        <f t="shared" si="113"/>
        <v>0</v>
      </c>
      <c r="L602" s="15">
        <f t="shared" si="115"/>
        <v>1795</v>
      </c>
      <c r="M602" s="15" t="str">
        <f t="shared" si="116"/>
        <v/>
      </c>
      <c r="N602" s="15">
        <f t="shared" si="117"/>
        <v>1795</v>
      </c>
      <c r="O602" s="15" t="str">
        <f t="shared" si="118"/>
        <v>휘발유 71,800원</v>
      </c>
      <c r="P602" s="15">
        <f t="shared" si="119"/>
        <v>71800</v>
      </c>
      <c r="Q602" s="15"/>
      <c r="R602" s="16">
        <f t="shared" si="120"/>
        <v>0</v>
      </c>
      <c r="S602" s="15">
        <f t="shared" si="121"/>
        <v>0</v>
      </c>
      <c r="T602" s="15">
        <f t="shared" si="122"/>
        <v>71800</v>
      </c>
      <c r="U602" s="15">
        <f t="shared" si="123"/>
        <v>1795</v>
      </c>
      <c r="V602" s="15">
        <f t="shared" si="124"/>
        <v>1795</v>
      </c>
      <c r="W602" s="17">
        <f>IF($T602="",1000000000000000,$T602)</f>
        <v>71800</v>
      </c>
      <c r="XFC602" s="3"/>
    </row>
    <row r="603" spans="1:23 16382:16383" s="19" customFormat="1" ht="28.5" customHeight="1">
      <c r="A603" s="14">
        <f t="shared" si="114"/>
        <v>579</v>
      </c>
      <c r="B603" s="14" t="s">
        <v>14</v>
      </c>
      <c r="C603" s="14" t="s">
        <v>1280</v>
      </c>
      <c r="D603" s="18" t="s">
        <v>86</v>
      </c>
      <c r="E603" s="14" t="s">
        <v>26</v>
      </c>
      <c r="F603" s="14" t="s">
        <v>1281</v>
      </c>
      <c r="G603" s="15">
        <v>1795</v>
      </c>
      <c r="H603" s="15"/>
      <c r="I603" s="15"/>
      <c r="J603" s="15">
        <v>1795</v>
      </c>
      <c r="K603" s="15">
        <f t="shared" si="113"/>
        <v>0</v>
      </c>
      <c r="L603" s="15">
        <f t="shared" si="115"/>
        <v>1795</v>
      </c>
      <c r="M603" s="15" t="str">
        <f t="shared" si="116"/>
        <v/>
      </c>
      <c r="N603" s="15">
        <f t="shared" si="117"/>
        <v>1795</v>
      </c>
      <c r="O603" s="15" t="str">
        <f t="shared" si="118"/>
        <v>휘발유 71,800원</v>
      </c>
      <c r="P603" s="15">
        <f t="shared" si="119"/>
        <v>71800</v>
      </c>
      <c r="Q603" s="15"/>
      <c r="R603" s="16">
        <f t="shared" si="120"/>
        <v>0</v>
      </c>
      <c r="S603" s="15">
        <f t="shared" si="121"/>
        <v>0</v>
      </c>
      <c r="T603" s="15">
        <f t="shared" si="122"/>
        <v>71800</v>
      </c>
      <c r="U603" s="15">
        <f t="shared" si="123"/>
        <v>1795</v>
      </c>
      <c r="V603" s="15">
        <f t="shared" si="124"/>
        <v>1795</v>
      </c>
      <c r="W603" s="17">
        <f>IF($T603="",1000000000000000,$T603)</f>
        <v>71800</v>
      </c>
      <c r="XFB603" s="5"/>
      <c r="XFC603" s="3"/>
    </row>
    <row r="604" spans="1:23 16382:16383" s="5" customFormat="1" ht="28.65" customHeight="1">
      <c r="A604" s="14">
        <f t="shared" si="114"/>
        <v>579</v>
      </c>
      <c r="B604" s="14" t="s">
        <v>12</v>
      </c>
      <c r="C604" s="14" t="s">
        <v>1282</v>
      </c>
      <c r="D604" s="18" t="s">
        <v>95</v>
      </c>
      <c r="E604" s="14" t="s">
        <v>26</v>
      </c>
      <c r="F604" s="14" t="s">
        <v>1283</v>
      </c>
      <c r="G604" s="15">
        <v>1795</v>
      </c>
      <c r="H604" s="15"/>
      <c r="I604" s="15"/>
      <c r="J604" s="15">
        <v>1795</v>
      </c>
      <c r="K604" s="15">
        <f t="shared" si="113"/>
        <v>0</v>
      </c>
      <c r="L604" s="15">
        <f t="shared" si="115"/>
        <v>1795</v>
      </c>
      <c r="M604" s="15" t="str">
        <f t="shared" si="116"/>
        <v/>
      </c>
      <c r="N604" s="15">
        <f t="shared" si="117"/>
        <v>1795</v>
      </c>
      <c r="O604" s="15" t="str">
        <f t="shared" si="118"/>
        <v>휘발유 71,800원</v>
      </c>
      <c r="P604" s="15">
        <f t="shared" si="119"/>
        <v>71800</v>
      </c>
      <c r="Q604" s="15"/>
      <c r="R604" s="16">
        <f t="shared" si="120"/>
        <v>0</v>
      </c>
      <c r="S604" s="15">
        <f t="shared" si="121"/>
        <v>0</v>
      </c>
      <c r="T604" s="15">
        <f t="shared" si="122"/>
        <v>71800</v>
      </c>
      <c r="U604" s="15">
        <f t="shared" si="123"/>
        <v>1795</v>
      </c>
      <c r="V604" s="15">
        <f t="shared" si="124"/>
        <v>1795</v>
      </c>
      <c r="W604" s="17">
        <f>IF($T604="",1000000000000000,$T604)</f>
        <v>71800</v>
      </c>
      <c r="XFC604" s="3"/>
    </row>
    <row r="605" spans="1:23 16382:16383" s="5" customFormat="1" ht="28.65" customHeight="1">
      <c r="A605" s="14">
        <f t="shared" si="114"/>
        <v>579</v>
      </c>
      <c r="B605" s="14" t="s">
        <v>12</v>
      </c>
      <c r="C605" s="14" t="s">
        <v>364</v>
      </c>
      <c r="D605" s="18" t="s">
        <v>51</v>
      </c>
      <c r="E605" s="14" t="s">
        <v>26</v>
      </c>
      <c r="F605" s="14" t="s">
        <v>1284</v>
      </c>
      <c r="G605" s="15">
        <v>1795</v>
      </c>
      <c r="H605" s="15"/>
      <c r="I605" s="15"/>
      <c r="J605" s="15">
        <v>1795</v>
      </c>
      <c r="K605" s="15">
        <f t="shared" si="113"/>
        <v>0</v>
      </c>
      <c r="L605" s="15">
        <f t="shared" si="115"/>
        <v>1795</v>
      </c>
      <c r="M605" s="15" t="str">
        <f t="shared" si="116"/>
        <v/>
      </c>
      <c r="N605" s="15">
        <f t="shared" si="117"/>
        <v>1795</v>
      </c>
      <c r="O605" s="15" t="str">
        <f t="shared" si="118"/>
        <v>휘발유 71,800원</v>
      </c>
      <c r="P605" s="15">
        <f t="shared" si="119"/>
        <v>71800</v>
      </c>
      <c r="Q605" s="15"/>
      <c r="R605" s="16">
        <f t="shared" si="120"/>
        <v>0</v>
      </c>
      <c r="S605" s="15">
        <f t="shared" si="121"/>
        <v>0</v>
      </c>
      <c r="T605" s="15">
        <f t="shared" si="122"/>
        <v>71800</v>
      </c>
      <c r="U605" s="15">
        <f t="shared" si="123"/>
        <v>1795</v>
      </c>
      <c r="V605" s="15">
        <f t="shared" si="124"/>
        <v>1795</v>
      </c>
      <c r="W605" s="17">
        <f>IF($T605="",1000000000000000,$T605)</f>
        <v>71800</v>
      </c>
      <c r="XFC605" s="3"/>
    </row>
    <row r="606" spans="1:23 16382:16383" s="5" customFormat="1" ht="28.65" customHeight="1">
      <c r="A606" s="14">
        <f t="shared" si="114"/>
        <v>579</v>
      </c>
      <c r="B606" s="14" t="s">
        <v>10</v>
      </c>
      <c r="C606" s="14" t="s">
        <v>1285</v>
      </c>
      <c r="D606" s="14" t="s">
        <v>95</v>
      </c>
      <c r="E606" s="14" t="s">
        <v>26</v>
      </c>
      <c r="F606" s="14" t="s">
        <v>1286</v>
      </c>
      <c r="G606" s="15">
        <v>1795</v>
      </c>
      <c r="H606" s="15"/>
      <c r="I606" s="15"/>
      <c r="J606" s="15">
        <v>1795</v>
      </c>
      <c r="K606" s="15">
        <f t="shared" si="113"/>
        <v>0</v>
      </c>
      <c r="L606" s="15">
        <f t="shared" si="115"/>
        <v>1795</v>
      </c>
      <c r="M606" s="15" t="str">
        <f t="shared" si="116"/>
        <v/>
      </c>
      <c r="N606" s="15">
        <f t="shared" si="117"/>
        <v>1795</v>
      </c>
      <c r="O606" s="15" t="str">
        <f t="shared" si="118"/>
        <v>휘발유 71,800원</v>
      </c>
      <c r="P606" s="15">
        <f t="shared" si="119"/>
        <v>71800</v>
      </c>
      <c r="Q606" s="15"/>
      <c r="R606" s="16">
        <f t="shared" si="120"/>
        <v>0</v>
      </c>
      <c r="S606" s="15">
        <f t="shared" si="121"/>
        <v>0</v>
      </c>
      <c r="T606" s="15">
        <f t="shared" si="122"/>
        <v>71800</v>
      </c>
      <c r="U606" s="15">
        <f t="shared" si="123"/>
        <v>1795</v>
      </c>
      <c r="V606" s="15">
        <f t="shared" si="124"/>
        <v>1795</v>
      </c>
      <c r="W606" s="17">
        <f>IF($T606="",1000000000000000,$T606)</f>
        <v>71800</v>
      </c>
      <c r="XFC606" s="3"/>
    </row>
    <row r="607" spans="1:23 16382:16383" s="19" customFormat="1" ht="28.5" customHeight="1">
      <c r="A607" s="14">
        <f t="shared" si="114"/>
        <v>579</v>
      </c>
      <c r="B607" s="14" t="s">
        <v>10</v>
      </c>
      <c r="C607" s="14" t="s">
        <v>1516</v>
      </c>
      <c r="D607" s="18" t="s">
        <v>86</v>
      </c>
      <c r="E607" s="14" t="s">
        <v>26</v>
      </c>
      <c r="F607" s="14" t="s">
        <v>1517</v>
      </c>
      <c r="G607" s="15">
        <v>1795</v>
      </c>
      <c r="H607" s="15"/>
      <c r="I607" s="15"/>
      <c r="J607" s="15">
        <v>1795</v>
      </c>
      <c r="K607" s="15">
        <f t="shared" si="113"/>
        <v>0</v>
      </c>
      <c r="L607" s="15">
        <f t="shared" si="115"/>
        <v>1795</v>
      </c>
      <c r="M607" s="15" t="str">
        <f t="shared" si="116"/>
        <v/>
      </c>
      <c r="N607" s="15">
        <f t="shared" si="117"/>
        <v>1795</v>
      </c>
      <c r="O607" s="15" t="str">
        <f t="shared" si="118"/>
        <v>휘발유 71,800원</v>
      </c>
      <c r="P607" s="15">
        <f t="shared" si="119"/>
        <v>71800</v>
      </c>
      <c r="Q607" s="15"/>
      <c r="R607" s="16">
        <f t="shared" si="120"/>
        <v>0</v>
      </c>
      <c r="S607" s="15">
        <f t="shared" si="121"/>
        <v>0</v>
      </c>
      <c r="T607" s="15">
        <f t="shared" si="122"/>
        <v>71800</v>
      </c>
      <c r="U607" s="15">
        <f t="shared" si="123"/>
        <v>1795</v>
      </c>
      <c r="V607" s="15">
        <f t="shared" si="124"/>
        <v>1795</v>
      </c>
      <c r="W607" s="17">
        <f>IF($T607="",1000000000000000,$T607)</f>
        <v>71800</v>
      </c>
      <c r="XFB607" s="5"/>
      <c r="XFC607" s="3"/>
    </row>
    <row r="608" spans="1:23 16382:16383" s="19" customFormat="1" ht="28.5" customHeight="1">
      <c r="A608" s="14">
        <f t="shared" si="114"/>
        <v>579</v>
      </c>
      <c r="B608" s="14" t="s">
        <v>10</v>
      </c>
      <c r="C608" s="14" t="s">
        <v>1287</v>
      </c>
      <c r="D608" s="14" t="s">
        <v>95</v>
      </c>
      <c r="E608" s="14" t="s">
        <v>26</v>
      </c>
      <c r="F608" s="14" t="s">
        <v>1288</v>
      </c>
      <c r="G608" s="15">
        <v>1795</v>
      </c>
      <c r="H608" s="15"/>
      <c r="I608" s="15"/>
      <c r="J608" s="15">
        <v>1795</v>
      </c>
      <c r="K608" s="15">
        <f t="shared" si="113"/>
        <v>0</v>
      </c>
      <c r="L608" s="15">
        <f t="shared" si="115"/>
        <v>1795</v>
      </c>
      <c r="M608" s="15" t="str">
        <f t="shared" si="116"/>
        <v/>
      </c>
      <c r="N608" s="15">
        <f t="shared" si="117"/>
        <v>1795</v>
      </c>
      <c r="O608" s="15" t="str">
        <f t="shared" si="118"/>
        <v>휘발유 71,800원</v>
      </c>
      <c r="P608" s="15">
        <f t="shared" si="119"/>
        <v>71800</v>
      </c>
      <c r="Q608" s="15"/>
      <c r="R608" s="16">
        <f t="shared" si="120"/>
        <v>0</v>
      </c>
      <c r="S608" s="15">
        <f t="shared" si="121"/>
        <v>0</v>
      </c>
      <c r="T608" s="15">
        <f t="shared" si="122"/>
        <v>71800</v>
      </c>
      <c r="U608" s="15">
        <f t="shared" si="123"/>
        <v>1795</v>
      </c>
      <c r="V608" s="15">
        <f t="shared" si="124"/>
        <v>1795</v>
      </c>
      <c r="W608" s="17">
        <f>IF($T608="",1000000000000000,$T608)</f>
        <v>71800</v>
      </c>
      <c r="XFB608" s="5"/>
      <c r="XFC608" s="3"/>
    </row>
    <row r="609" spans="1:23 16382:16383" s="5" customFormat="1" ht="28.65" customHeight="1">
      <c r="A609" s="14">
        <f t="shared" si="114"/>
        <v>579</v>
      </c>
      <c r="B609" s="14" t="s">
        <v>10</v>
      </c>
      <c r="C609" s="14" t="s">
        <v>1289</v>
      </c>
      <c r="D609" s="18" t="s">
        <v>86</v>
      </c>
      <c r="E609" s="14" t="s">
        <v>26</v>
      </c>
      <c r="F609" s="14" t="s">
        <v>1290</v>
      </c>
      <c r="G609" s="15">
        <v>1795</v>
      </c>
      <c r="H609" s="15"/>
      <c r="I609" s="15"/>
      <c r="J609" s="15">
        <v>1795</v>
      </c>
      <c r="K609" s="15">
        <f t="shared" si="113"/>
        <v>0</v>
      </c>
      <c r="L609" s="15">
        <f t="shared" si="115"/>
        <v>1795</v>
      </c>
      <c r="M609" s="15" t="str">
        <f t="shared" si="116"/>
        <v/>
      </c>
      <c r="N609" s="15">
        <f t="shared" si="117"/>
        <v>1795</v>
      </c>
      <c r="O609" s="15" t="str">
        <f t="shared" si="118"/>
        <v>휘발유 71,800원</v>
      </c>
      <c r="P609" s="15">
        <f t="shared" si="119"/>
        <v>71800</v>
      </c>
      <c r="Q609" s="15"/>
      <c r="R609" s="16">
        <f t="shared" si="120"/>
        <v>0</v>
      </c>
      <c r="S609" s="15">
        <f t="shared" si="121"/>
        <v>0</v>
      </c>
      <c r="T609" s="15">
        <f t="shared" si="122"/>
        <v>71800</v>
      </c>
      <c r="U609" s="15">
        <f t="shared" si="123"/>
        <v>1795</v>
      </c>
      <c r="V609" s="15">
        <f t="shared" si="124"/>
        <v>1795</v>
      </c>
      <c r="W609" s="17">
        <f>IF($T609="",1000000000000000,$T609)</f>
        <v>71800</v>
      </c>
      <c r="XFC609" s="3"/>
    </row>
    <row r="610" spans="1:23 16382:16383" s="5" customFormat="1" ht="28.65" customHeight="1">
      <c r="A610" s="14">
        <f t="shared" si="114"/>
        <v>579</v>
      </c>
      <c r="B610" s="14" t="s">
        <v>16</v>
      </c>
      <c r="C610" s="14" t="s">
        <v>1456</v>
      </c>
      <c r="D610" s="14" t="s">
        <v>496</v>
      </c>
      <c r="E610" s="14" t="s">
        <v>26</v>
      </c>
      <c r="F610" s="14" t="s">
        <v>1457</v>
      </c>
      <c r="G610" s="15">
        <v>1795</v>
      </c>
      <c r="H610" s="15"/>
      <c r="I610" s="15"/>
      <c r="J610" s="15">
        <v>1820</v>
      </c>
      <c r="K610" s="15">
        <f t="shared" si="113"/>
        <v>0</v>
      </c>
      <c r="L610" s="15">
        <f t="shared" si="115"/>
        <v>1795</v>
      </c>
      <c r="M610" s="15" t="str">
        <f t="shared" si="116"/>
        <v/>
      </c>
      <c r="N610" s="15">
        <f t="shared" si="117"/>
        <v>1820</v>
      </c>
      <c r="O610" s="15" t="str">
        <f t="shared" si="118"/>
        <v>휘발유 71,800원</v>
      </c>
      <c r="P610" s="15">
        <f t="shared" si="119"/>
        <v>71800</v>
      </c>
      <c r="Q610" s="15"/>
      <c r="R610" s="16">
        <f t="shared" si="120"/>
        <v>0</v>
      </c>
      <c r="S610" s="15">
        <f t="shared" si="121"/>
        <v>0</v>
      </c>
      <c r="T610" s="15">
        <f t="shared" si="122"/>
        <v>71800</v>
      </c>
      <c r="U610" s="15">
        <f t="shared" si="123"/>
        <v>1795</v>
      </c>
      <c r="V610" s="15">
        <f t="shared" si="124"/>
        <v>1795</v>
      </c>
      <c r="W610" s="17">
        <f>IF($T610="",1000000000000000,$T610)</f>
        <v>71800</v>
      </c>
      <c r="XFC610" s="3"/>
    </row>
    <row r="611" spans="1:23 16382:16383" s="5" customFormat="1" ht="28.65" customHeight="1">
      <c r="A611" s="14">
        <f t="shared" si="114"/>
        <v>597</v>
      </c>
      <c r="B611" s="14" t="s">
        <v>12</v>
      </c>
      <c r="C611" s="14" t="s">
        <v>1292</v>
      </c>
      <c r="D611" s="18" t="s">
        <v>45</v>
      </c>
      <c r="E611" s="14" t="s">
        <v>63</v>
      </c>
      <c r="F611" s="14" t="s">
        <v>1293</v>
      </c>
      <c r="G611" s="15">
        <v>1995</v>
      </c>
      <c r="H611" s="15"/>
      <c r="I611" s="15"/>
      <c r="J611" s="15">
        <v>1895</v>
      </c>
      <c r="K611" s="15">
        <f t="shared" si="113"/>
        <v>0</v>
      </c>
      <c r="L611" s="15">
        <f t="shared" si="115"/>
        <v>1995</v>
      </c>
      <c r="M611" s="15" t="str">
        <f t="shared" si="116"/>
        <v/>
      </c>
      <c r="N611" s="15">
        <f t="shared" si="117"/>
        <v>1895</v>
      </c>
      <c r="O611" s="15" t="str">
        <f t="shared" si="118"/>
        <v>휘발유 79,800원</v>
      </c>
      <c r="P611" s="15">
        <f t="shared" si="119"/>
        <v>79800</v>
      </c>
      <c r="Q611" s="15" t="s">
        <v>47</v>
      </c>
      <c r="R611" s="16">
        <f t="shared" si="120"/>
        <v>0.1</v>
      </c>
      <c r="S611" s="15">
        <f t="shared" si="121"/>
        <v>7980</v>
      </c>
      <c r="T611" s="15">
        <f t="shared" si="122"/>
        <v>71820</v>
      </c>
      <c r="U611" s="15">
        <f t="shared" si="123"/>
        <v>1795.5</v>
      </c>
      <c r="V611" s="15">
        <f t="shared" si="124"/>
        <v>1995</v>
      </c>
      <c r="W611" s="17">
        <f>IF($T611="",1000000000000000,$T611)</f>
        <v>71820</v>
      </c>
      <c r="XFC611" s="3"/>
    </row>
    <row r="612" spans="1:23 16382:16383" s="19" customFormat="1" ht="28.5" customHeight="1">
      <c r="A612" s="14">
        <f t="shared" si="114"/>
        <v>597</v>
      </c>
      <c r="B612" s="14" t="s">
        <v>6</v>
      </c>
      <c r="C612" s="14" t="s">
        <v>1294</v>
      </c>
      <c r="D612" s="14" t="s">
        <v>95</v>
      </c>
      <c r="E612" s="14" t="s">
        <v>26</v>
      </c>
      <c r="F612" s="14" t="s">
        <v>1295</v>
      </c>
      <c r="G612" s="15">
        <v>1995</v>
      </c>
      <c r="H612" s="15"/>
      <c r="I612" s="15"/>
      <c r="J612" s="15">
        <v>2045</v>
      </c>
      <c r="K612" s="15">
        <f t="shared" si="113"/>
        <v>0</v>
      </c>
      <c r="L612" s="15">
        <f t="shared" si="115"/>
        <v>1995</v>
      </c>
      <c r="M612" s="15" t="str">
        <f t="shared" si="116"/>
        <v/>
      </c>
      <c r="N612" s="15">
        <f t="shared" si="117"/>
        <v>2045</v>
      </c>
      <c r="O612" s="15" t="str">
        <f t="shared" si="118"/>
        <v>휘발유 79,800원</v>
      </c>
      <c r="P612" s="15">
        <f t="shared" si="119"/>
        <v>79800</v>
      </c>
      <c r="Q612" s="15" t="s">
        <v>47</v>
      </c>
      <c r="R612" s="16">
        <f t="shared" si="120"/>
        <v>0.1</v>
      </c>
      <c r="S612" s="15">
        <f t="shared" si="121"/>
        <v>7980</v>
      </c>
      <c r="T612" s="15">
        <f t="shared" si="122"/>
        <v>71820</v>
      </c>
      <c r="U612" s="15">
        <f t="shared" si="123"/>
        <v>1795.5</v>
      </c>
      <c r="V612" s="15">
        <f t="shared" si="124"/>
        <v>1995</v>
      </c>
      <c r="W612" s="17">
        <f>IF($T612="",1000000000000000,$T612)</f>
        <v>71820</v>
      </c>
      <c r="XFB612" s="5"/>
      <c r="XFC612" s="3"/>
    </row>
    <row r="613" spans="1:23 16382:16383" s="5" customFormat="1" ht="28.65" customHeight="1">
      <c r="A613" s="14">
        <f t="shared" si="114"/>
        <v>599</v>
      </c>
      <c r="B613" s="14" t="s">
        <v>10</v>
      </c>
      <c r="C613" s="14" t="s">
        <v>1296</v>
      </c>
      <c r="D613" s="14" t="s">
        <v>45</v>
      </c>
      <c r="E613" s="14" t="s">
        <v>26</v>
      </c>
      <c r="F613" s="14" t="s">
        <v>1297</v>
      </c>
      <c r="G613" s="15">
        <v>1796</v>
      </c>
      <c r="H613" s="15"/>
      <c r="I613" s="15"/>
      <c r="J613" s="15">
        <v>1776</v>
      </c>
      <c r="K613" s="15">
        <f t="shared" si="113"/>
        <v>0</v>
      </c>
      <c r="L613" s="15">
        <f t="shared" si="115"/>
        <v>1796</v>
      </c>
      <c r="M613" s="15" t="str">
        <f t="shared" si="116"/>
        <v/>
      </c>
      <c r="N613" s="15">
        <f t="shared" si="117"/>
        <v>1776</v>
      </c>
      <c r="O613" s="15" t="str">
        <f t="shared" si="118"/>
        <v>휘발유 71,840원</v>
      </c>
      <c r="P613" s="15">
        <f t="shared" si="119"/>
        <v>71840</v>
      </c>
      <c r="Q613" s="15"/>
      <c r="R613" s="16">
        <f t="shared" si="120"/>
        <v>0</v>
      </c>
      <c r="S613" s="15">
        <f t="shared" si="121"/>
        <v>0</v>
      </c>
      <c r="T613" s="15">
        <f t="shared" si="122"/>
        <v>71840</v>
      </c>
      <c r="U613" s="15">
        <f t="shared" si="123"/>
        <v>1796</v>
      </c>
      <c r="V613" s="15">
        <f t="shared" si="124"/>
        <v>1796</v>
      </c>
      <c r="W613" s="17">
        <f>IF($T613="",1000000000000000,$T613)</f>
        <v>71840</v>
      </c>
      <c r="XFC613" s="3"/>
    </row>
    <row r="614" spans="1:23 16382:16383" s="19" customFormat="1" ht="28.5" customHeight="1">
      <c r="A614" s="14">
        <f t="shared" si="114"/>
        <v>600</v>
      </c>
      <c r="B614" s="14" t="s">
        <v>8</v>
      </c>
      <c r="C614" s="14" t="s">
        <v>1300</v>
      </c>
      <c r="D614" s="14" t="s">
        <v>496</v>
      </c>
      <c r="E614" s="14" t="s">
        <v>26</v>
      </c>
      <c r="F614" s="14" t="s">
        <v>1301</v>
      </c>
      <c r="G614" s="15">
        <v>1797</v>
      </c>
      <c r="H614" s="15"/>
      <c r="I614" s="15"/>
      <c r="J614" s="15">
        <v>1795</v>
      </c>
      <c r="K614" s="15">
        <f t="shared" si="113"/>
        <v>0</v>
      </c>
      <c r="L614" s="15">
        <f t="shared" si="115"/>
        <v>1797</v>
      </c>
      <c r="M614" s="15" t="str">
        <f t="shared" si="116"/>
        <v/>
      </c>
      <c r="N614" s="15">
        <f t="shared" si="117"/>
        <v>1795</v>
      </c>
      <c r="O614" s="15" t="str">
        <f t="shared" si="118"/>
        <v>휘발유 71,880원</v>
      </c>
      <c r="P614" s="15">
        <f t="shared" si="119"/>
        <v>71880</v>
      </c>
      <c r="Q614" s="15"/>
      <c r="R614" s="16">
        <f t="shared" si="120"/>
        <v>0</v>
      </c>
      <c r="S614" s="15">
        <f t="shared" si="121"/>
        <v>0</v>
      </c>
      <c r="T614" s="15">
        <f t="shared" si="122"/>
        <v>71880</v>
      </c>
      <c r="U614" s="15">
        <f t="shared" si="123"/>
        <v>1797</v>
      </c>
      <c r="V614" s="15">
        <f t="shared" si="124"/>
        <v>1797</v>
      </c>
      <c r="W614" s="17">
        <f>IF($T614="",1000000000000000,$T614)</f>
        <v>71880</v>
      </c>
      <c r="XFB614" s="5"/>
      <c r="XFC614" s="3"/>
    </row>
    <row r="615" spans="1:23 16382:16383" s="19" customFormat="1" ht="28.5" customHeight="1">
      <c r="A615" s="14">
        <f t="shared" si="114"/>
        <v>600</v>
      </c>
      <c r="B615" s="14" t="s">
        <v>18</v>
      </c>
      <c r="C615" s="14" t="s">
        <v>1302</v>
      </c>
      <c r="D615" s="14" t="s">
        <v>95</v>
      </c>
      <c r="E615" s="14" t="s">
        <v>63</v>
      </c>
      <c r="F615" s="14" t="s">
        <v>1303</v>
      </c>
      <c r="G615" s="15">
        <v>1797</v>
      </c>
      <c r="H615" s="15"/>
      <c r="I615" s="15"/>
      <c r="J615" s="15">
        <v>1797</v>
      </c>
      <c r="K615" s="15">
        <f t="shared" si="113"/>
        <v>0</v>
      </c>
      <c r="L615" s="15">
        <f t="shared" si="115"/>
        <v>1797</v>
      </c>
      <c r="M615" s="15" t="str">
        <f t="shared" si="116"/>
        <v/>
      </c>
      <c r="N615" s="15">
        <f t="shared" si="117"/>
        <v>1797</v>
      </c>
      <c r="O615" s="15" t="str">
        <f t="shared" si="118"/>
        <v>휘발유 71,880원</v>
      </c>
      <c r="P615" s="15">
        <f t="shared" si="119"/>
        <v>71880</v>
      </c>
      <c r="Q615" s="15"/>
      <c r="R615" s="16">
        <f t="shared" si="120"/>
        <v>0</v>
      </c>
      <c r="S615" s="15">
        <f t="shared" si="121"/>
        <v>0</v>
      </c>
      <c r="T615" s="15">
        <f t="shared" si="122"/>
        <v>71880</v>
      </c>
      <c r="U615" s="15">
        <f t="shared" si="123"/>
        <v>1797</v>
      </c>
      <c r="V615" s="15">
        <f t="shared" si="124"/>
        <v>1797</v>
      </c>
      <c r="W615" s="17">
        <f>IF($T615="",1000000000000000,$T615)</f>
        <v>71880</v>
      </c>
      <c r="XFB615" s="5"/>
      <c r="XFC615" s="3"/>
    </row>
    <row r="616" spans="1:23 16382:16383" s="19" customFormat="1" ht="28.5" customHeight="1">
      <c r="A616" s="14">
        <f t="shared" si="114"/>
        <v>600</v>
      </c>
      <c r="B616" s="14" t="s">
        <v>8</v>
      </c>
      <c r="C616" s="14" t="s">
        <v>1304</v>
      </c>
      <c r="D616" s="14" t="s">
        <v>45</v>
      </c>
      <c r="E616" s="14" t="s">
        <v>26</v>
      </c>
      <c r="F616" s="14" t="s">
        <v>1305</v>
      </c>
      <c r="G616" s="15">
        <v>1797</v>
      </c>
      <c r="H616" s="15"/>
      <c r="I616" s="15"/>
      <c r="J616" s="15">
        <v>1797</v>
      </c>
      <c r="K616" s="15">
        <f t="shared" si="113"/>
        <v>0</v>
      </c>
      <c r="L616" s="15">
        <f t="shared" si="115"/>
        <v>1797</v>
      </c>
      <c r="M616" s="15" t="str">
        <f t="shared" si="116"/>
        <v/>
      </c>
      <c r="N616" s="15">
        <f t="shared" si="117"/>
        <v>1797</v>
      </c>
      <c r="O616" s="15" t="str">
        <f t="shared" si="118"/>
        <v>휘발유 71,880원</v>
      </c>
      <c r="P616" s="15">
        <f t="shared" si="119"/>
        <v>71880</v>
      </c>
      <c r="Q616" s="15"/>
      <c r="R616" s="16">
        <f t="shared" si="120"/>
        <v>0</v>
      </c>
      <c r="S616" s="15">
        <f t="shared" si="121"/>
        <v>0</v>
      </c>
      <c r="T616" s="15">
        <f t="shared" si="122"/>
        <v>71880</v>
      </c>
      <c r="U616" s="15">
        <f t="shared" si="123"/>
        <v>1797</v>
      </c>
      <c r="V616" s="15">
        <f t="shared" si="124"/>
        <v>1797</v>
      </c>
      <c r="W616" s="17">
        <f>IF($T616="",1000000000000000,$T616)</f>
        <v>71880</v>
      </c>
      <c r="XFB616" s="5"/>
      <c r="XFC616" s="3"/>
    </row>
    <row r="617" spans="1:23 16382:16383" s="4" customFormat="1" ht="28.5" customHeight="1">
      <c r="A617" s="14">
        <f t="shared" si="114"/>
        <v>600</v>
      </c>
      <c r="B617" s="14" t="s">
        <v>14</v>
      </c>
      <c r="C617" s="14" t="s">
        <v>1306</v>
      </c>
      <c r="D617" s="18" t="s">
        <v>86</v>
      </c>
      <c r="E617" s="14" t="s">
        <v>26</v>
      </c>
      <c r="F617" s="14" t="s">
        <v>1307</v>
      </c>
      <c r="G617" s="15">
        <v>1797</v>
      </c>
      <c r="H617" s="15"/>
      <c r="I617" s="15"/>
      <c r="J617" s="15">
        <v>1798</v>
      </c>
      <c r="K617" s="15">
        <f t="shared" ref="K617:K648" si="125">IF(AND(IFERROR(SEARCH("현대오일뱅크",$C617),0)&gt;0,IFERROR(SEARCH("직영",$C617),0)&gt;0),$B$13,0)</f>
        <v>0</v>
      </c>
      <c r="L617" s="15">
        <f t="shared" si="115"/>
        <v>1797</v>
      </c>
      <c r="M617" s="15" t="str">
        <f t="shared" si="116"/>
        <v/>
      </c>
      <c r="N617" s="15">
        <f t="shared" si="117"/>
        <v>1798</v>
      </c>
      <c r="O617" s="15" t="str">
        <f t="shared" si="118"/>
        <v>휘발유 71,880원</v>
      </c>
      <c r="P617" s="15">
        <f t="shared" si="119"/>
        <v>71880</v>
      </c>
      <c r="Q617" s="15"/>
      <c r="R617" s="16">
        <f t="shared" si="120"/>
        <v>0</v>
      </c>
      <c r="S617" s="15">
        <f t="shared" si="121"/>
        <v>0</v>
      </c>
      <c r="T617" s="15">
        <f t="shared" si="122"/>
        <v>71880</v>
      </c>
      <c r="U617" s="15">
        <f t="shared" si="123"/>
        <v>1797</v>
      </c>
      <c r="V617" s="15">
        <f t="shared" si="124"/>
        <v>1797</v>
      </c>
      <c r="W617" s="17">
        <f>IF($T617="",1000000000000000,$T617)</f>
        <v>71880</v>
      </c>
      <c r="XFB617" s="5"/>
      <c r="XFC617" s="3"/>
    </row>
    <row r="618" spans="1:23 16382:16383" s="4" customFormat="1" ht="28.5" customHeight="1">
      <c r="A618" s="14">
        <f t="shared" si="114"/>
        <v>600</v>
      </c>
      <c r="B618" s="14" t="s">
        <v>14</v>
      </c>
      <c r="C618" s="14" t="s">
        <v>1308</v>
      </c>
      <c r="D618" s="14" t="s">
        <v>95</v>
      </c>
      <c r="E618" s="14" t="s">
        <v>26</v>
      </c>
      <c r="F618" s="14" t="s">
        <v>1309</v>
      </c>
      <c r="G618" s="15">
        <v>1797</v>
      </c>
      <c r="H618" s="15"/>
      <c r="I618" s="15"/>
      <c r="J618" s="15">
        <v>1822</v>
      </c>
      <c r="K618" s="15">
        <f t="shared" si="125"/>
        <v>0</v>
      </c>
      <c r="L618" s="15">
        <f t="shared" si="115"/>
        <v>1797</v>
      </c>
      <c r="M618" s="15" t="str">
        <f t="shared" si="116"/>
        <v/>
      </c>
      <c r="N618" s="15">
        <f t="shared" si="117"/>
        <v>1822</v>
      </c>
      <c r="O618" s="15" t="str">
        <f t="shared" si="118"/>
        <v>휘발유 71,880원</v>
      </c>
      <c r="P618" s="15">
        <f t="shared" si="119"/>
        <v>71880</v>
      </c>
      <c r="Q618" s="15"/>
      <c r="R618" s="16">
        <f t="shared" si="120"/>
        <v>0</v>
      </c>
      <c r="S618" s="15">
        <f t="shared" si="121"/>
        <v>0</v>
      </c>
      <c r="T618" s="15">
        <f t="shared" si="122"/>
        <v>71880</v>
      </c>
      <c r="U618" s="15">
        <f t="shared" si="123"/>
        <v>1797</v>
      </c>
      <c r="V618" s="15">
        <f t="shared" si="124"/>
        <v>1797</v>
      </c>
      <c r="W618" s="17">
        <f>IF($T618="",1000000000000000,$T618)</f>
        <v>71880</v>
      </c>
      <c r="XFB618" s="5"/>
      <c r="XFC618" s="3"/>
    </row>
    <row r="619" spans="1:23 16382:16383" s="4" customFormat="1" ht="28.5" customHeight="1">
      <c r="A619" s="14">
        <f t="shared" si="114"/>
        <v>605</v>
      </c>
      <c r="B619" s="14" t="s">
        <v>12</v>
      </c>
      <c r="C619" s="14" t="s">
        <v>223</v>
      </c>
      <c r="D619" s="18" t="s">
        <v>45</v>
      </c>
      <c r="E619" s="14" t="s">
        <v>26</v>
      </c>
      <c r="F619" s="14" t="s">
        <v>224</v>
      </c>
      <c r="G619" s="15">
        <v>1798</v>
      </c>
      <c r="H619" s="15">
        <v>1996</v>
      </c>
      <c r="I619" s="15"/>
      <c r="J619" s="15">
        <v>1798</v>
      </c>
      <c r="K619" s="15">
        <f t="shared" si="125"/>
        <v>0</v>
      </c>
      <c r="L619" s="15">
        <f t="shared" si="115"/>
        <v>1798</v>
      </c>
      <c r="M619" s="15">
        <f t="shared" si="116"/>
        <v>1996</v>
      </c>
      <c r="N619" s="15">
        <f t="shared" si="117"/>
        <v>1798</v>
      </c>
      <c r="O619" s="15" t="str">
        <f t="shared" si="118"/>
        <v>휘발유 71,920원</v>
      </c>
      <c r="P619" s="15">
        <f t="shared" si="119"/>
        <v>71920</v>
      </c>
      <c r="Q619" s="15"/>
      <c r="R619" s="16">
        <f t="shared" si="120"/>
        <v>0</v>
      </c>
      <c r="S619" s="15">
        <f t="shared" si="121"/>
        <v>0</v>
      </c>
      <c r="T619" s="15">
        <f t="shared" si="122"/>
        <v>71920</v>
      </c>
      <c r="U619" s="15">
        <f t="shared" si="123"/>
        <v>1798</v>
      </c>
      <c r="V619" s="15">
        <f t="shared" si="124"/>
        <v>1798</v>
      </c>
      <c r="W619" s="17">
        <f>IF($T619="",1000000000000000,$T619)</f>
        <v>71920</v>
      </c>
      <c r="XFB619" s="5"/>
      <c r="XFC619" s="3"/>
    </row>
    <row r="620" spans="1:23 16382:16383" s="5" customFormat="1" ht="28.65" customHeight="1">
      <c r="A620" s="14">
        <f t="shared" si="114"/>
        <v>605</v>
      </c>
      <c r="B620" s="14" t="s">
        <v>6</v>
      </c>
      <c r="C620" s="14" t="s">
        <v>259</v>
      </c>
      <c r="D620" s="18" t="s">
        <v>86</v>
      </c>
      <c r="E620" s="14" t="s">
        <v>26</v>
      </c>
      <c r="F620" s="14" t="s">
        <v>260</v>
      </c>
      <c r="G620" s="15">
        <v>1798</v>
      </c>
      <c r="H620" s="15">
        <v>2029</v>
      </c>
      <c r="I620" s="15"/>
      <c r="J620" s="15">
        <v>1779</v>
      </c>
      <c r="K620" s="15">
        <f t="shared" si="125"/>
        <v>0</v>
      </c>
      <c r="L620" s="15">
        <f t="shared" si="115"/>
        <v>1798</v>
      </c>
      <c r="M620" s="15">
        <f t="shared" si="116"/>
        <v>2029</v>
      </c>
      <c r="N620" s="15">
        <f t="shared" si="117"/>
        <v>1779</v>
      </c>
      <c r="O620" s="15" t="str">
        <f t="shared" si="118"/>
        <v>휘발유 71,920원</v>
      </c>
      <c r="P620" s="15">
        <f t="shared" si="119"/>
        <v>71920</v>
      </c>
      <c r="Q620" s="15"/>
      <c r="R620" s="16">
        <f t="shared" si="120"/>
        <v>0</v>
      </c>
      <c r="S620" s="15">
        <f t="shared" si="121"/>
        <v>0</v>
      </c>
      <c r="T620" s="15">
        <f t="shared" si="122"/>
        <v>71920</v>
      </c>
      <c r="U620" s="15">
        <f t="shared" si="123"/>
        <v>1798</v>
      </c>
      <c r="V620" s="15">
        <f t="shared" si="124"/>
        <v>1798</v>
      </c>
      <c r="W620" s="17">
        <f>IF($T620="",1000000000000000,$T620)</f>
        <v>71920</v>
      </c>
      <c r="XFC620" s="3"/>
    </row>
    <row r="621" spans="1:23 16382:16383" s="4" customFormat="1" ht="28.5" customHeight="1">
      <c r="A621" s="14">
        <f t="shared" si="114"/>
        <v>605</v>
      </c>
      <c r="B621" s="14" t="s">
        <v>12</v>
      </c>
      <c r="C621" s="14" t="s">
        <v>267</v>
      </c>
      <c r="D621" s="18" t="s">
        <v>86</v>
      </c>
      <c r="E621" s="14" t="s">
        <v>26</v>
      </c>
      <c r="F621" s="14" t="s">
        <v>268</v>
      </c>
      <c r="G621" s="15">
        <v>1798</v>
      </c>
      <c r="H621" s="15">
        <v>2039</v>
      </c>
      <c r="I621" s="15"/>
      <c r="J621" s="15">
        <v>1768</v>
      </c>
      <c r="K621" s="15">
        <f t="shared" si="125"/>
        <v>0</v>
      </c>
      <c r="L621" s="15">
        <f t="shared" si="115"/>
        <v>1798</v>
      </c>
      <c r="M621" s="15">
        <f t="shared" si="116"/>
        <v>2039</v>
      </c>
      <c r="N621" s="15">
        <f t="shared" si="117"/>
        <v>1768</v>
      </c>
      <c r="O621" s="15" t="str">
        <f t="shared" si="118"/>
        <v>휘발유 71,920원</v>
      </c>
      <c r="P621" s="15">
        <f t="shared" si="119"/>
        <v>71920</v>
      </c>
      <c r="Q621" s="15"/>
      <c r="R621" s="16">
        <f t="shared" si="120"/>
        <v>0</v>
      </c>
      <c r="S621" s="15">
        <f t="shared" si="121"/>
        <v>0</v>
      </c>
      <c r="T621" s="15">
        <f t="shared" si="122"/>
        <v>71920</v>
      </c>
      <c r="U621" s="15">
        <f t="shared" si="123"/>
        <v>1798</v>
      </c>
      <c r="V621" s="15">
        <f t="shared" si="124"/>
        <v>1798</v>
      </c>
      <c r="W621" s="17">
        <f>IF($T621="",1000000000000000,$T621)</f>
        <v>71920</v>
      </c>
      <c r="XFB621" s="5"/>
      <c r="XFC621" s="3"/>
    </row>
    <row r="622" spans="1:23 16382:16383" s="19" customFormat="1" ht="28.5" customHeight="1">
      <c r="A622" s="14">
        <f t="shared" si="114"/>
        <v>605</v>
      </c>
      <c r="B622" s="14" t="s">
        <v>12</v>
      </c>
      <c r="C622" s="14" t="s">
        <v>1310</v>
      </c>
      <c r="D622" s="18" t="s">
        <v>86</v>
      </c>
      <c r="E622" s="14" t="s">
        <v>26</v>
      </c>
      <c r="F622" s="14" t="s">
        <v>1311</v>
      </c>
      <c r="G622" s="15">
        <v>1798</v>
      </c>
      <c r="H622" s="15"/>
      <c r="I622" s="15"/>
      <c r="J622" s="15">
        <v>1748</v>
      </c>
      <c r="K622" s="15">
        <f t="shared" si="125"/>
        <v>0</v>
      </c>
      <c r="L622" s="15">
        <f t="shared" si="115"/>
        <v>1798</v>
      </c>
      <c r="M622" s="15" t="str">
        <f t="shared" si="116"/>
        <v/>
      </c>
      <c r="N622" s="15">
        <f t="shared" si="117"/>
        <v>1748</v>
      </c>
      <c r="O622" s="15" t="str">
        <f t="shared" si="118"/>
        <v>휘발유 71,920원</v>
      </c>
      <c r="P622" s="15">
        <f t="shared" si="119"/>
        <v>71920</v>
      </c>
      <c r="Q622" s="15"/>
      <c r="R622" s="16">
        <f t="shared" si="120"/>
        <v>0</v>
      </c>
      <c r="S622" s="15">
        <f t="shared" si="121"/>
        <v>0</v>
      </c>
      <c r="T622" s="15">
        <f t="shared" si="122"/>
        <v>71920</v>
      </c>
      <c r="U622" s="15">
        <f t="shared" si="123"/>
        <v>1798</v>
      </c>
      <c r="V622" s="15">
        <f t="shared" si="124"/>
        <v>1798</v>
      </c>
      <c r="W622" s="17">
        <f>IF($T622="",1000000000000000,$T622)</f>
        <v>71920</v>
      </c>
      <c r="XFB622" s="5"/>
      <c r="XFC622" s="3"/>
    </row>
    <row r="623" spans="1:23 16382:16383" s="19" customFormat="1" ht="28.5" customHeight="1">
      <c r="A623" s="14">
        <f t="shared" si="114"/>
        <v>605</v>
      </c>
      <c r="B623" s="14" t="s">
        <v>10</v>
      </c>
      <c r="C623" s="14" t="s">
        <v>1312</v>
      </c>
      <c r="D623" s="14" t="s">
        <v>51</v>
      </c>
      <c r="E623" s="14" t="s">
        <v>63</v>
      </c>
      <c r="F623" s="14" t="s">
        <v>1313</v>
      </c>
      <c r="G623" s="15">
        <v>1798</v>
      </c>
      <c r="H623" s="15"/>
      <c r="I623" s="15"/>
      <c r="J623" s="15">
        <v>1749</v>
      </c>
      <c r="K623" s="15">
        <f t="shared" si="125"/>
        <v>0</v>
      </c>
      <c r="L623" s="15">
        <f t="shared" si="115"/>
        <v>1798</v>
      </c>
      <c r="M623" s="15" t="str">
        <f t="shared" si="116"/>
        <v/>
      </c>
      <c r="N623" s="15">
        <f t="shared" si="117"/>
        <v>1749</v>
      </c>
      <c r="O623" s="15" t="str">
        <f t="shared" si="118"/>
        <v>휘발유 71,920원</v>
      </c>
      <c r="P623" s="15">
        <f t="shared" si="119"/>
        <v>71920</v>
      </c>
      <c r="Q623" s="15"/>
      <c r="R623" s="16">
        <f t="shared" si="120"/>
        <v>0</v>
      </c>
      <c r="S623" s="15">
        <f t="shared" si="121"/>
        <v>0</v>
      </c>
      <c r="T623" s="15">
        <f t="shared" si="122"/>
        <v>71920</v>
      </c>
      <c r="U623" s="15">
        <f t="shared" si="123"/>
        <v>1798</v>
      </c>
      <c r="V623" s="15">
        <f t="shared" si="124"/>
        <v>1798</v>
      </c>
      <c r="W623" s="17">
        <f>IF($T623="",1000000000000000,$T623)</f>
        <v>71920</v>
      </c>
      <c r="XFB623" s="5"/>
      <c r="XFC623" s="3"/>
    </row>
    <row r="624" spans="1:23 16382:16383" s="19" customFormat="1" ht="28.5" customHeight="1">
      <c r="A624" s="14">
        <f t="shared" si="114"/>
        <v>605</v>
      </c>
      <c r="B624" s="14" t="s">
        <v>10</v>
      </c>
      <c r="C624" s="14" t="s">
        <v>1314</v>
      </c>
      <c r="D624" s="18" t="s">
        <v>86</v>
      </c>
      <c r="E624" s="14" t="s">
        <v>26</v>
      </c>
      <c r="F624" s="14" t="s">
        <v>1315</v>
      </c>
      <c r="G624" s="15">
        <v>1798</v>
      </c>
      <c r="H624" s="15"/>
      <c r="I624" s="15"/>
      <c r="J624" s="15">
        <v>1758</v>
      </c>
      <c r="K624" s="15">
        <f t="shared" si="125"/>
        <v>0</v>
      </c>
      <c r="L624" s="15">
        <f t="shared" si="115"/>
        <v>1798</v>
      </c>
      <c r="M624" s="15" t="str">
        <f t="shared" si="116"/>
        <v/>
      </c>
      <c r="N624" s="15">
        <f t="shared" si="117"/>
        <v>1758</v>
      </c>
      <c r="O624" s="15" t="str">
        <f t="shared" si="118"/>
        <v>휘발유 71,920원</v>
      </c>
      <c r="P624" s="15">
        <f t="shared" si="119"/>
        <v>71920</v>
      </c>
      <c r="Q624" s="15"/>
      <c r="R624" s="16">
        <f t="shared" si="120"/>
        <v>0</v>
      </c>
      <c r="S624" s="15">
        <f t="shared" si="121"/>
        <v>0</v>
      </c>
      <c r="T624" s="15">
        <f t="shared" si="122"/>
        <v>71920</v>
      </c>
      <c r="U624" s="15">
        <f t="shared" si="123"/>
        <v>1798</v>
      </c>
      <c r="V624" s="15">
        <f t="shared" si="124"/>
        <v>1798</v>
      </c>
      <c r="W624" s="17">
        <f>IF($T624="",1000000000000000,$T624)</f>
        <v>71920</v>
      </c>
      <c r="XFB624" s="5"/>
      <c r="XFC624" s="3"/>
    </row>
    <row r="625" spans="1:23 16382:16383" s="19" customFormat="1" ht="28.5" customHeight="1">
      <c r="A625" s="14">
        <f t="shared" si="114"/>
        <v>605</v>
      </c>
      <c r="B625" s="14" t="s">
        <v>14</v>
      </c>
      <c r="C625" s="14" t="s">
        <v>1318</v>
      </c>
      <c r="D625" s="14" t="s">
        <v>95</v>
      </c>
      <c r="E625" s="14" t="s">
        <v>26</v>
      </c>
      <c r="F625" s="14" t="s">
        <v>1319</v>
      </c>
      <c r="G625" s="15">
        <v>1798</v>
      </c>
      <c r="H625" s="15"/>
      <c r="I625" s="15"/>
      <c r="J625" s="15">
        <v>1785</v>
      </c>
      <c r="K625" s="15">
        <f t="shared" si="125"/>
        <v>0</v>
      </c>
      <c r="L625" s="15">
        <f t="shared" si="115"/>
        <v>1798</v>
      </c>
      <c r="M625" s="15" t="str">
        <f t="shared" si="116"/>
        <v/>
      </c>
      <c r="N625" s="15">
        <f t="shared" si="117"/>
        <v>1785</v>
      </c>
      <c r="O625" s="15" t="str">
        <f t="shared" si="118"/>
        <v>휘발유 71,920원</v>
      </c>
      <c r="P625" s="15">
        <f t="shared" si="119"/>
        <v>71920</v>
      </c>
      <c r="Q625" s="15"/>
      <c r="R625" s="16">
        <f t="shared" si="120"/>
        <v>0</v>
      </c>
      <c r="S625" s="15">
        <f t="shared" si="121"/>
        <v>0</v>
      </c>
      <c r="T625" s="15">
        <f t="shared" si="122"/>
        <v>71920</v>
      </c>
      <c r="U625" s="15">
        <f t="shared" si="123"/>
        <v>1798</v>
      </c>
      <c r="V625" s="15">
        <f t="shared" si="124"/>
        <v>1798</v>
      </c>
      <c r="W625" s="17">
        <f>IF($T625="",1000000000000000,$T625)</f>
        <v>71920</v>
      </c>
      <c r="XFB625" s="5"/>
      <c r="XFC625" s="3"/>
    </row>
    <row r="626" spans="1:23 16382:16383" s="5" customFormat="1" ht="28.65" customHeight="1">
      <c r="A626" s="14">
        <f t="shared" si="114"/>
        <v>605</v>
      </c>
      <c r="B626" s="14" t="s">
        <v>12</v>
      </c>
      <c r="C626" s="14" t="s">
        <v>1322</v>
      </c>
      <c r="D626" s="18" t="s">
        <v>496</v>
      </c>
      <c r="E626" s="14" t="s">
        <v>26</v>
      </c>
      <c r="F626" s="14" t="s">
        <v>1323</v>
      </c>
      <c r="G626" s="15">
        <v>1798</v>
      </c>
      <c r="H626" s="15"/>
      <c r="I626" s="15"/>
      <c r="J626" s="15">
        <v>1788</v>
      </c>
      <c r="K626" s="15">
        <f t="shared" si="125"/>
        <v>0</v>
      </c>
      <c r="L626" s="15">
        <f t="shared" si="115"/>
        <v>1798</v>
      </c>
      <c r="M626" s="15" t="str">
        <f t="shared" si="116"/>
        <v/>
      </c>
      <c r="N626" s="15">
        <f t="shared" si="117"/>
        <v>1788</v>
      </c>
      <c r="O626" s="15" t="str">
        <f t="shared" si="118"/>
        <v>휘발유 71,920원</v>
      </c>
      <c r="P626" s="15">
        <f t="shared" si="119"/>
        <v>71920</v>
      </c>
      <c r="Q626" s="15"/>
      <c r="R626" s="16">
        <f t="shared" si="120"/>
        <v>0</v>
      </c>
      <c r="S626" s="15">
        <f t="shared" si="121"/>
        <v>0</v>
      </c>
      <c r="T626" s="15">
        <f t="shared" si="122"/>
        <v>71920</v>
      </c>
      <c r="U626" s="15">
        <f t="shared" si="123"/>
        <v>1798</v>
      </c>
      <c r="V626" s="15">
        <f t="shared" si="124"/>
        <v>1798</v>
      </c>
      <c r="W626" s="17">
        <f>IF($T626="",1000000000000000,$T626)</f>
        <v>71920</v>
      </c>
      <c r="XFC626" s="3"/>
    </row>
    <row r="627" spans="1:23 16382:16383" s="4" customFormat="1" ht="28.5" customHeight="1">
      <c r="A627" s="14">
        <f t="shared" si="114"/>
        <v>605</v>
      </c>
      <c r="B627" s="14" t="s">
        <v>12</v>
      </c>
      <c r="C627" s="14" t="s">
        <v>1324</v>
      </c>
      <c r="D627" s="18" t="s">
        <v>86</v>
      </c>
      <c r="E627" s="14" t="s">
        <v>63</v>
      </c>
      <c r="F627" s="14" t="s">
        <v>1325</v>
      </c>
      <c r="G627" s="15">
        <v>1798</v>
      </c>
      <c r="H627" s="15"/>
      <c r="I627" s="15"/>
      <c r="J627" s="15">
        <v>1788</v>
      </c>
      <c r="K627" s="15">
        <f t="shared" si="125"/>
        <v>0</v>
      </c>
      <c r="L627" s="15">
        <f t="shared" si="115"/>
        <v>1798</v>
      </c>
      <c r="M627" s="15" t="str">
        <f t="shared" si="116"/>
        <v/>
      </c>
      <c r="N627" s="15">
        <f t="shared" si="117"/>
        <v>1788</v>
      </c>
      <c r="O627" s="15" t="str">
        <f t="shared" si="118"/>
        <v>휘발유 71,920원</v>
      </c>
      <c r="P627" s="15">
        <f t="shared" si="119"/>
        <v>71920</v>
      </c>
      <c r="Q627" s="15"/>
      <c r="R627" s="16">
        <f t="shared" si="120"/>
        <v>0</v>
      </c>
      <c r="S627" s="15">
        <f t="shared" si="121"/>
        <v>0</v>
      </c>
      <c r="T627" s="15">
        <f t="shared" si="122"/>
        <v>71920</v>
      </c>
      <c r="U627" s="15">
        <f t="shared" si="123"/>
        <v>1798</v>
      </c>
      <c r="V627" s="15">
        <f t="shared" si="124"/>
        <v>1798</v>
      </c>
      <c r="W627" s="17">
        <f>IF($T627="",1000000000000000,$T627)</f>
        <v>71920</v>
      </c>
      <c r="XFB627" s="5"/>
      <c r="XFC627" s="3"/>
    </row>
    <row r="628" spans="1:23 16382:16383" s="5" customFormat="1" ht="28.65" customHeight="1">
      <c r="A628" s="14">
        <f t="shared" si="114"/>
        <v>605</v>
      </c>
      <c r="B628" s="14" t="s">
        <v>10</v>
      </c>
      <c r="C628" s="14" t="s">
        <v>1326</v>
      </c>
      <c r="D628" s="14" t="s">
        <v>95</v>
      </c>
      <c r="E628" s="14" t="s">
        <v>26</v>
      </c>
      <c r="F628" s="14" t="s">
        <v>1327</v>
      </c>
      <c r="G628" s="15">
        <v>1798</v>
      </c>
      <c r="H628" s="15"/>
      <c r="I628" s="15"/>
      <c r="J628" s="15">
        <v>1789</v>
      </c>
      <c r="K628" s="15">
        <f t="shared" si="125"/>
        <v>0</v>
      </c>
      <c r="L628" s="15">
        <f t="shared" si="115"/>
        <v>1798</v>
      </c>
      <c r="M628" s="15" t="str">
        <f t="shared" si="116"/>
        <v/>
      </c>
      <c r="N628" s="15">
        <f t="shared" si="117"/>
        <v>1789</v>
      </c>
      <c r="O628" s="15" t="str">
        <f t="shared" si="118"/>
        <v>휘발유 71,920원</v>
      </c>
      <c r="P628" s="15">
        <f t="shared" si="119"/>
        <v>71920</v>
      </c>
      <c r="Q628" s="15"/>
      <c r="R628" s="16">
        <f t="shared" si="120"/>
        <v>0</v>
      </c>
      <c r="S628" s="15">
        <f t="shared" si="121"/>
        <v>0</v>
      </c>
      <c r="T628" s="15">
        <f t="shared" si="122"/>
        <v>71920</v>
      </c>
      <c r="U628" s="15">
        <f t="shared" si="123"/>
        <v>1798</v>
      </c>
      <c r="V628" s="15">
        <f t="shared" si="124"/>
        <v>1798</v>
      </c>
      <c r="W628" s="17">
        <f>IF($T628="",1000000000000000,$T628)</f>
        <v>71920</v>
      </c>
      <c r="XFC628" s="3"/>
    </row>
    <row r="629" spans="1:23 16382:16383" s="5" customFormat="1" ht="28.65" customHeight="1">
      <c r="A629" s="14">
        <f t="shared" si="114"/>
        <v>605</v>
      </c>
      <c r="B629" s="14" t="s">
        <v>14</v>
      </c>
      <c r="C629" s="14" t="s">
        <v>1217</v>
      </c>
      <c r="D629" s="14" t="s">
        <v>45</v>
      </c>
      <c r="E629" s="14" t="s">
        <v>26</v>
      </c>
      <c r="F629" s="14" t="s">
        <v>1218</v>
      </c>
      <c r="G629" s="15">
        <v>1798</v>
      </c>
      <c r="H629" s="15"/>
      <c r="I629" s="15"/>
      <c r="J629" s="15">
        <v>1797</v>
      </c>
      <c r="K629" s="15">
        <f t="shared" si="125"/>
        <v>0</v>
      </c>
      <c r="L629" s="15">
        <f t="shared" si="115"/>
        <v>1798</v>
      </c>
      <c r="M629" s="15" t="str">
        <f t="shared" si="116"/>
        <v/>
      </c>
      <c r="N629" s="15">
        <f t="shared" si="117"/>
        <v>1797</v>
      </c>
      <c r="O629" s="15" t="str">
        <f t="shared" si="118"/>
        <v>휘발유 71,920원</v>
      </c>
      <c r="P629" s="15">
        <f t="shared" si="119"/>
        <v>71920</v>
      </c>
      <c r="Q629" s="15"/>
      <c r="R629" s="16">
        <f t="shared" si="120"/>
        <v>0</v>
      </c>
      <c r="S629" s="15">
        <f t="shared" si="121"/>
        <v>0</v>
      </c>
      <c r="T629" s="15">
        <f t="shared" si="122"/>
        <v>71920</v>
      </c>
      <c r="U629" s="15">
        <f t="shared" si="123"/>
        <v>1798</v>
      </c>
      <c r="V629" s="15">
        <f t="shared" si="124"/>
        <v>1798</v>
      </c>
      <c r="W629" s="17">
        <f>IF($T629="",1000000000000000,$T629)</f>
        <v>71920</v>
      </c>
      <c r="XFC629" s="3"/>
    </row>
    <row r="630" spans="1:23 16382:16383" s="5" customFormat="1" ht="28.65" customHeight="1">
      <c r="A630" s="14">
        <f t="shared" si="114"/>
        <v>605</v>
      </c>
      <c r="B630" s="14" t="s">
        <v>8</v>
      </c>
      <c r="C630" s="14" t="s">
        <v>1328</v>
      </c>
      <c r="D630" s="14" t="s">
        <v>45</v>
      </c>
      <c r="E630" s="14" t="s">
        <v>26</v>
      </c>
      <c r="F630" s="14" t="s">
        <v>1329</v>
      </c>
      <c r="G630" s="15">
        <v>1798</v>
      </c>
      <c r="H630" s="15"/>
      <c r="I630" s="15"/>
      <c r="J630" s="15">
        <v>1798</v>
      </c>
      <c r="K630" s="15">
        <f t="shared" si="125"/>
        <v>0</v>
      </c>
      <c r="L630" s="15">
        <f t="shared" si="115"/>
        <v>1798</v>
      </c>
      <c r="M630" s="15" t="str">
        <f t="shared" si="116"/>
        <v/>
      </c>
      <c r="N630" s="15">
        <f t="shared" si="117"/>
        <v>1798</v>
      </c>
      <c r="O630" s="15" t="str">
        <f t="shared" si="118"/>
        <v>휘발유 71,920원</v>
      </c>
      <c r="P630" s="15">
        <f t="shared" si="119"/>
        <v>71920</v>
      </c>
      <c r="Q630" s="15"/>
      <c r="R630" s="16">
        <f t="shared" si="120"/>
        <v>0</v>
      </c>
      <c r="S630" s="15">
        <f t="shared" si="121"/>
        <v>0</v>
      </c>
      <c r="T630" s="15">
        <f t="shared" si="122"/>
        <v>71920</v>
      </c>
      <c r="U630" s="15">
        <f t="shared" si="123"/>
        <v>1798</v>
      </c>
      <c r="V630" s="15">
        <f t="shared" si="124"/>
        <v>1798</v>
      </c>
      <c r="W630" s="17">
        <f>IF($T630="",1000000000000000,$T630)</f>
        <v>71920</v>
      </c>
      <c r="XFC630" s="3"/>
    </row>
    <row r="631" spans="1:23 16382:16383" s="19" customFormat="1" ht="28.5" customHeight="1">
      <c r="A631" s="14">
        <f t="shared" si="114"/>
        <v>605</v>
      </c>
      <c r="B631" s="14" t="s">
        <v>12</v>
      </c>
      <c r="C631" s="14" t="s">
        <v>1330</v>
      </c>
      <c r="D631" s="18" t="s">
        <v>51</v>
      </c>
      <c r="E631" s="14" t="s">
        <v>26</v>
      </c>
      <c r="F631" s="14" t="s">
        <v>1331</v>
      </c>
      <c r="G631" s="15">
        <v>1798</v>
      </c>
      <c r="H631" s="15"/>
      <c r="I631" s="15"/>
      <c r="J631" s="15">
        <v>1798</v>
      </c>
      <c r="K631" s="15">
        <f t="shared" si="125"/>
        <v>0</v>
      </c>
      <c r="L631" s="15">
        <f t="shared" si="115"/>
        <v>1798</v>
      </c>
      <c r="M631" s="15" t="str">
        <f t="shared" si="116"/>
        <v/>
      </c>
      <c r="N631" s="15">
        <f t="shared" si="117"/>
        <v>1798</v>
      </c>
      <c r="O631" s="15" t="str">
        <f t="shared" si="118"/>
        <v>휘발유 71,920원</v>
      </c>
      <c r="P631" s="15">
        <f t="shared" si="119"/>
        <v>71920</v>
      </c>
      <c r="Q631" s="15"/>
      <c r="R631" s="16">
        <f t="shared" si="120"/>
        <v>0</v>
      </c>
      <c r="S631" s="15">
        <f t="shared" si="121"/>
        <v>0</v>
      </c>
      <c r="T631" s="15">
        <f t="shared" si="122"/>
        <v>71920</v>
      </c>
      <c r="U631" s="15">
        <f t="shared" si="123"/>
        <v>1798</v>
      </c>
      <c r="V631" s="15">
        <f t="shared" si="124"/>
        <v>1798</v>
      </c>
      <c r="W631" s="17">
        <f>IF($T631="",1000000000000000,$T631)</f>
        <v>71920</v>
      </c>
      <c r="XFB631" s="5"/>
      <c r="XFC631" s="3"/>
    </row>
    <row r="632" spans="1:23 16382:16383" s="5" customFormat="1" ht="28.65" customHeight="1">
      <c r="A632" s="14">
        <f t="shared" si="114"/>
        <v>605</v>
      </c>
      <c r="B632" s="14" t="s">
        <v>12</v>
      </c>
      <c r="C632" s="14" t="s">
        <v>1332</v>
      </c>
      <c r="D632" s="18" t="s">
        <v>95</v>
      </c>
      <c r="E632" s="14" t="s">
        <v>26</v>
      </c>
      <c r="F632" s="14" t="s">
        <v>1333</v>
      </c>
      <c r="G632" s="15">
        <v>1798</v>
      </c>
      <c r="H632" s="15"/>
      <c r="I632" s="15"/>
      <c r="J632" s="15">
        <v>1798</v>
      </c>
      <c r="K632" s="15">
        <f t="shared" si="125"/>
        <v>0</v>
      </c>
      <c r="L632" s="15">
        <f t="shared" si="115"/>
        <v>1798</v>
      </c>
      <c r="M632" s="15" t="str">
        <f t="shared" si="116"/>
        <v/>
      </c>
      <c r="N632" s="15">
        <f t="shared" si="117"/>
        <v>1798</v>
      </c>
      <c r="O632" s="15" t="str">
        <f t="shared" si="118"/>
        <v>휘발유 71,920원</v>
      </c>
      <c r="P632" s="15">
        <f t="shared" si="119"/>
        <v>71920</v>
      </c>
      <c r="Q632" s="15"/>
      <c r="R632" s="16">
        <f t="shared" si="120"/>
        <v>0</v>
      </c>
      <c r="S632" s="15">
        <f t="shared" si="121"/>
        <v>0</v>
      </c>
      <c r="T632" s="15">
        <f t="shared" si="122"/>
        <v>71920</v>
      </c>
      <c r="U632" s="15">
        <f t="shared" si="123"/>
        <v>1798</v>
      </c>
      <c r="V632" s="15">
        <f t="shared" si="124"/>
        <v>1798</v>
      </c>
      <c r="W632" s="17">
        <f>IF($T632="",1000000000000000,$T632)</f>
        <v>71920</v>
      </c>
      <c r="XFC632" s="3"/>
    </row>
    <row r="633" spans="1:23 16382:16383" s="5" customFormat="1" ht="28.65" customHeight="1">
      <c r="A633" s="14">
        <f t="shared" si="114"/>
        <v>605</v>
      </c>
      <c r="B633" s="14" t="s">
        <v>10</v>
      </c>
      <c r="C633" s="14" t="s">
        <v>1334</v>
      </c>
      <c r="D633" s="14" t="s">
        <v>51</v>
      </c>
      <c r="E633" s="14" t="s">
        <v>26</v>
      </c>
      <c r="F633" s="14" t="s">
        <v>1335</v>
      </c>
      <c r="G633" s="15">
        <v>1798</v>
      </c>
      <c r="H633" s="15"/>
      <c r="I633" s="15"/>
      <c r="J633" s="15">
        <v>1798</v>
      </c>
      <c r="K633" s="15">
        <f t="shared" si="125"/>
        <v>0</v>
      </c>
      <c r="L633" s="15">
        <f t="shared" si="115"/>
        <v>1798</v>
      </c>
      <c r="M633" s="15" t="str">
        <f t="shared" si="116"/>
        <v/>
      </c>
      <c r="N633" s="15">
        <f t="shared" si="117"/>
        <v>1798</v>
      </c>
      <c r="O633" s="15" t="str">
        <f t="shared" si="118"/>
        <v>휘발유 71,920원</v>
      </c>
      <c r="P633" s="15">
        <f t="shared" si="119"/>
        <v>71920</v>
      </c>
      <c r="Q633" s="15"/>
      <c r="R633" s="16">
        <f t="shared" si="120"/>
        <v>0</v>
      </c>
      <c r="S633" s="15">
        <f t="shared" si="121"/>
        <v>0</v>
      </c>
      <c r="T633" s="15">
        <f t="shared" si="122"/>
        <v>71920</v>
      </c>
      <c r="U633" s="15">
        <f t="shared" si="123"/>
        <v>1798</v>
      </c>
      <c r="V633" s="15">
        <f t="shared" si="124"/>
        <v>1798</v>
      </c>
      <c r="W633" s="17">
        <f>IF($T633="",1000000000000000,$T633)</f>
        <v>71920</v>
      </c>
      <c r="XFC633" s="3"/>
    </row>
    <row r="634" spans="1:23 16382:16383" s="5" customFormat="1" ht="28.65" customHeight="1">
      <c r="A634" s="14">
        <f t="shared" si="114"/>
        <v>605</v>
      </c>
      <c r="B634" s="14" t="s">
        <v>10</v>
      </c>
      <c r="C634" s="14" t="s">
        <v>1336</v>
      </c>
      <c r="D634" s="14" t="s">
        <v>51</v>
      </c>
      <c r="E634" s="14" t="s">
        <v>26</v>
      </c>
      <c r="F634" s="14" t="s">
        <v>1337</v>
      </c>
      <c r="G634" s="15">
        <v>1798</v>
      </c>
      <c r="H634" s="15"/>
      <c r="I634" s="15"/>
      <c r="J634" s="15">
        <v>1798</v>
      </c>
      <c r="K634" s="15">
        <f t="shared" si="125"/>
        <v>0</v>
      </c>
      <c r="L634" s="15">
        <f t="shared" si="115"/>
        <v>1798</v>
      </c>
      <c r="M634" s="15" t="str">
        <f t="shared" si="116"/>
        <v/>
      </c>
      <c r="N634" s="15">
        <f t="shared" si="117"/>
        <v>1798</v>
      </c>
      <c r="O634" s="15" t="str">
        <f t="shared" si="118"/>
        <v>휘발유 71,920원</v>
      </c>
      <c r="P634" s="15">
        <f t="shared" si="119"/>
        <v>71920</v>
      </c>
      <c r="Q634" s="15"/>
      <c r="R634" s="16">
        <f t="shared" si="120"/>
        <v>0</v>
      </c>
      <c r="S634" s="15">
        <f t="shared" si="121"/>
        <v>0</v>
      </c>
      <c r="T634" s="15">
        <f t="shared" si="122"/>
        <v>71920</v>
      </c>
      <c r="U634" s="15">
        <f t="shared" si="123"/>
        <v>1798</v>
      </c>
      <c r="V634" s="15">
        <f t="shared" si="124"/>
        <v>1798</v>
      </c>
      <c r="W634" s="17">
        <f>IF($T634="",1000000000000000,$T634)</f>
        <v>71920</v>
      </c>
      <c r="XFC634" s="3"/>
    </row>
    <row r="635" spans="1:23 16382:16383" s="5" customFormat="1" ht="28.65" customHeight="1">
      <c r="A635" s="14">
        <f t="shared" si="114"/>
        <v>605</v>
      </c>
      <c r="B635" s="14" t="s">
        <v>10</v>
      </c>
      <c r="C635" s="14" t="s">
        <v>1338</v>
      </c>
      <c r="D635" s="14" t="s">
        <v>56</v>
      </c>
      <c r="E635" s="14" t="s">
        <v>26</v>
      </c>
      <c r="F635" s="14" t="s">
        <v>1339</v>
      </c>
      <c r="G635" s="15">
        <v>1798</v>
      </c>
      <c r="H635" s="15"/>
      <c r="I635" s="15"/>
      <c r="J635" s="15">
        <v>1798</v>
      </c>
      <c r="K635" s="15">
        <f t="shared" si="125"/>
        <v>0</v>
      </c>
      <c r="L635" s="15">
        <f t="shared" si="115"/>
        <v>1798</v>
      </c>
      <c r="M635" s="15" t="str">
        <f t="shared" si="116"/>
        <v/>
      </c>
      <c r="N635" s="15">
        <f t="shared" si="117"/>
        <v>1798</v>
      </c>
      <c r="O635" s="15" t="str">
        <f t="shared" si="118"/>
        <v>휘발유 71,920원</v>
      </c>
      <c r="P635" s="15">
        <f t="shared" si="119"/>
        <v>71920</v>
      </c>
      <c r="Q635" s="15"/>
      <c r="R635" s="16">
        <f t="shared" si="120"/>
        <v>0</v>
      </c>
      <c r="S635" s="15">
        <f t="shared" si="121"/>
        <v>0</v>
      </c>
      <c r="T635" s="15">
        <f t="shared" si="122"/>
        <v>71920</v>
      </c>
      <c r="U635" s="15">
        <f t="shared" si="123"/>
        <v>1798</v>
      </c>
      <c r="V635" s="15">
        <f t="shared" si="124"/>
        <v>1798</v>
      </c>
      <c r="W635" s="17">
        <f>IF($T635="",1000000000000000,$T635)</f>
        <v>71920</v>
      </c>
      <c r="XFC635" s="3"/>
    </row>
    <row r="636" spans="1:23 16382:16383" s="5" customFormat="1" ht="28.65" customHeight="1">
      <c r="A636" s="14">
        <f t="shared" si="114"/>
        <v>605</v>
      </c>
      <c r="B636" s="14" t="s">
        <v>10</v>
      </c>
      <c r="C636" s="14" t="s">
        <v>1340</v>
      </c>
      <c r="D636" s="14" t="s">
        <v>45</v>
      </c>
      <c r="E636" s="14" t="s">
        <v>26</v>
      </c>
      <c r="F636" s="14" t="s">
        <v>1341</v>
      </c>
      <c r="G636" s="15">
        <v>1798</v>
      </c>
      <c r="H636" s="15"/>
      <c r="I636" s="15"/>
      <c r="J636" s="15">
        <v>1798</v>
      </c>
      <c r="K636" s="15">
        <f t="shared" si="125"/>
        <v>0</v>
      </c>
      <c r="L636" s="15">
        <f t="shared" si="115"/>
        <v>1798</v>
      </c>
      <c r="M636" s="15" t="str">
        <f t="shared" si="116"/>
        <v/>
      </c>
      <c r="N636" s="15">
        <f t="shared" si="117"/>
        <v>1798</v>
      </c>
      <c r="O636" s="15" t="str">
        <f t="shared" si="118"/>
        <v>휘발유 71,920원</v>
      </c>
      <c r="P636" s="15">
        <f t="shared" si="119"/>
        <v>71920</v>
      </c>
      <c r="Q636" s="15"/>
      <c r="R636" s="16">
        <f t="shared" si="120"/>
        <v>0</v>
      </c>
      <c r="S636" s="15">
        <f t="shared" si="121"/>
        <v>0</v>
      </c>
      <c r="T636" s="15">
        <f t="shared" si="122"/>
        <v>71920</v>
      </c>
      <c r="U636" s="15">
        <f t="shared" si="123"/>
        <v>1798</v>
      </c>
      <c r="V636" s="15">
        <f t="shared" si="124"/>
        <v>1798</v>
      </c>
      <c r="W636" s="17">
        <f>IF($T636="",1000000000000000,$T636)</f>
        <v>71920</v>
      </c>
      <c r="XFC636" s="3"/>
    </row>
    <row r="637" spans="1:23 16382:16383" s="5" customFormat="1" ht="28.65" customHeight="1">
      <c r="A637" s="14">
        <f t="shared" si="114"/>
        <v>605</v>
      </c>
      <c r="B637" s="14" t="s">
        <v>18</v>
      </c>
      <c r="C637" s="14" t="s">
        <v>1342</v>
      </c>
      <c r="D637" s="14" t="s">
        <v>95</v>
      </c>
      <c r="E637" s="14" t="s">
        <v>63</v>
      </c>
      <c r="F637" s="14" t="s">
        <v>1343</v>
      </c>
      <c r="G637" s="15">
        <v>1798</v>
      </c>
      <c r="H637" s="15"/>
      <c r="I637" s="15"/>
      <c r="J637" s="15">
        <v>1799</v>
      </c>
      <c r="K637" s="15">
        <f t="shared" si="125"/>
        <v>0</v>
      </c>
      <c r="L637" s="15">
        <f t="shared" si="115"/>
        <v>1798</v>
      </c>
      <c r="M637" s="15" t="str">
        <f t="shared" si="116"/>
        <v/>
      </c>
      <c r="N637" s="15">
        <f t="shared" si="117"/>
        <v>1799</v>
      </c>
      <c r="O637" s="15" t="str">
        <f t="shared" si="118"/>
        <v>휘발유 71,920원</v>
      </c>
      <c r="P637" s="15">
        <f t="shared" si="119"/>
        <v>71920</v>
      </c>
      <c r="Q637" s="15"/>
      <c r="R637" s="16">
        <f t="shared" si="120"/>
        <v>0</v>
      </c>
      <c r="S637" s="15">
        <f t="shared" si="121"/>
        <v>0</v>
      </c>
      <c r="T637" s="15">
        <f t="shared" si="122"/>
        <v>71920</v>
      </c>
      <c r="U637" s="15">
        <f t="shared" si="123"/>
        <v>1798</v>
      </c>
      <c r="V637" s="15">
        <f t="shared" si="124"/>
        <v>1798</v>
      </c>
      <c r="W637" s="17">
        <f>IF($T637="",1000000000000000,$T637)</f>
        <v>71920</v>
      </c>
      <c r="XFC637" s="3"/>
    </row>
    <row r="638" spans="1:23 16382:16383" s="19" customFormat="1" ht="28.5" customHeight="1">
      <c r="A638" s="14">
        <f t="shared" si="114"/>
        <v>624</v>
      </c>
      <c r="B638" s="14" t="s">
        <v>10</v>
      </c>
      <c r="C638" s="14" t="s">
        <v>251</v>
      </c>
      <c r="D638" s="14" t="s">
        <v>45</v>
      </c>
      <c r="E638" s="14" t="s">
        <v>26</v>
      </c>
      <c r="F638" s="14" t="s">
        <v>252</v>
      </c>
      <c r="G638" s="15">
        <v>1799</v>
      </c>
      <c r="H638" s="15">
        <v>2023</v>
      </c>
      <c r="I638" s="15"/>
      <c r="J638" s="15">
        <v>1829</v>
      </c>
      <c r="K638" s="15">
        <f t="shared" si="125"/>
        <v>0</v>
      </c>
      <c r="L638" s="15">
        <f t="shared" si="115"/>
        <v>1799</v>
      </c>
      <c r="M638" s="15">
        <f t="shared" si="116"/>
        <v>2023</v>
      </c>
      <c r="N638" s="15">
        <f t="shared" si="117"/>
        <v>1829</v>
      </c>
      <c r="O638" s="15" t="str">
        <f t="shared" si="118"/>
        <v>휘발유 71,960원</v>
      </c>
      <c r="P638" s="15">
        <f t="shared" si="119"/>
        <v>71960</v>
      </c>
      <c r="Q638" s="15"/>
      <c r="R638" s="16">
        <f t="shared" si="120"/>
        <v>0</v>
      </c>
      <c r="S638" s="15">
        <f t="shared" si="121"/>
        <v>0</v>
      </c>
      <c r="T638" s="15">
        <f t="shared" si="122"/>
        <v>71960</v>
      </c>
      <c r="U638" s="15">
        <f t="shared" si="123"/>
        <v>1799</v>
      </c>
      <c r="V638" s="15">
        <f t="shared" si="124"/>
        <v>1799</v>
      </c>
      <c r="W638" s="17">
        <f>IF($T638="",1000000000000000,$T638)</f>
        <v>71960</v>
      </c>
      <c r="XFB638" s="5"/>
      <c r="XFC638" s="3"/>
    </row>
    <row r="639" spans="1:23 16382:16383" s="19" customFormat="1" ht="28.5" customHeight="1">
      <c r="A639" s="14">
        <f t="shared" si="114"/>
        <v>624</v>
      </c>
      <c r="B639" s="14" t="s">
        <v>10</v>
      </c>
      <c r="C639" s="14" t="s">
        <v>261</v>
      </c>
      <c r="D639" s="14" t="s">
        <v>95</v>
      </c>
      <c r="E639" s="14" t="s">
        <v>26</v>
      </c>
      <c r="F639" s="14" t="s">
        <v>262</v>
      </c>
      <c r="G639" s="15">
        <v>1799</v>
      </c>
      <c r="H639" s="15">
        <v>2029</v>
      </c>
      <c r="I639" s="15"/>
      <c r="J639" s="15">
        <v>1819</v>
      </c>
      <c r="K639" s="15">
        <f t="shared" si="125"/>
        <v>0</v>
      </c>
      <c r="L639" s="15">
        <f t="shared" si="115"/>
        <v>1799</v>
      </c>
      <c r="M639" s="15">
        <f t="shared" si="116"/>
        <v>2029</v>
      </c>
      <c r="N639" s="15">
        <f t="shared" si="117"/>
        <v>1819</v>
      </c>
      <c r="O639" s="15" t="str">
        <f t="shared" si="118"/>
        <v>휘발유 71,960원</v>
      </c>
      <c r="P639" s="15">
        <f t="shared" si="119"/>
        <v>71960</v>
      </c>
      <c r="Q639" s="15"/>
      <c r="R639" s="16">
        <f t="shared" si="120"/>
        <v>0</v>
      </c>
      <c r="S639" s="15">
        <f t="shared" si="121"/>
        <v>0</v>
      </c>
      <c r="T639" s="15">
        <f t="shared" si="122"/>
        <v>71960</v>
      </c>
      <c r="U639" s="15">
        <f t="shared" si="123"/>
        <v>1799</v>
      </c>
      <c r="V639" s="15">
        <f t="shared" si="124"/>
        <v>1799</v>
      </c>
      <c r="W639" s="17">
        <f>IF($T639="",1000000000000000,$T639)</f>
        <v>71960</v>
      </c>
      <c r="XFB639" s="5"/>
      <c r="XFC639" s="3"/>
    </row>
    <row r="640" spans="1:23 16382:16383" s="5" customFormat="1" ht="28.65" customHeight="1">
      <c r="A640" s="14">
        <f t="shared" si="114"/>
        <v>624</v>
      </c>
      <c r="B640" s="14" t="s">
        <v>10</v>
      </c>
      <c r="C640" s="14" t="s">
        <v>263</v>
      </c>
      <c r="D640" s="18" t="s">
        <v>86</v>
      </c>
      <c r="E640" s="14" t="s">
        <v>26</v>
      </c>
      <c r="F640" s="14" t="s">
        <v>264</v>
      </c>
      <c r="G640" s="15">
        <v>1799</v>
      </c>
      <c r="H640" s="15">
        <v>2029</v>
      </c>
      <c r="I640" s="15"/>
      <c r="J640" s="15">
        <v>1799</v>
      </c>
      <c r="K640" s="15">
        <f t="shared" si="125"/>
        <v>0</v>
      </c>
      <c r="L640" s="15">
        <f t="shared" si="115"/>
        <v>1799</v>
      </c>
      <c r="M640" s="15">
        <f t="shared" si="116"/>
        <v>2029</v>
      </c>
      <c r="N640" s="15">
        <f t="shared" si="117"/>
        <v>1799</v>
      </c>
      <c r="O640" s="15" t="str">
        <f t="shared" si="118"/>
        <v>휘발유 71,960원</v>
      </c>
      <c r="P640" s="15">
        <f t="shared" si="119"/>
        <v>71960</v>
      </c>
      <c r="Q640" s="15"/>
      <c r="R640" s="16">
        <f t="shared" si="120"/>
        <v>0</v>
      </c>
      <c r="S640" s="15">
        <f t="shared" si="121"/>
        <v>0</v>
      </c>
      <c r="T640" s="15">
        <f t="shared" si="122"/>
        <v>71960</v>
      </c>
      <c r="U640" s="15">
        <f t="shared" si="123"/>
        <v>1799</v>
      </c>
      <c r="V640" s="15">
        <f t="shared" si="124"/>
        <v>1799</v>
      </c>
      <c r="W640" s="17">
        <f>IF($T640="",1000000000000000,$T640)</f>
        <v>71960</v>
      </c>
      <c r="XFC640" s="3"/>
    </row>
    <row r="641" spans="1:23 16382:16383" s="5" customFormat="1" ht="28.65" customHeight="1">
      <c r="A641" s="14">
        <f t="shared" si="114"/>
        <v>624</v>
      </c>
      <c r="B641" s="14" t="s">
        <v>10</v>
      </c>
      <c r="C641" s="14" t="s">
        <v>273</v>
      </c>
      <c r="D641" s="14" t="s">
        <v>51</v>
      </c>
      <c r="E641" s="14" t="s">
        <v>63</v>
      </c>
      <c r="F641" s="14" t="s">
        <v>274</v>
      </c>
      <c r="G641" s="15">
        <v>1799</v>
      </c>
      <c r="H641" s="15">
        <v>2039</v>
      </c>
      <c r="I641" s="15"/>
      <c r="J641" s="15">
        <v>1799</v>
      </c>
      <c r="K641" s="15">
        <f t="shared" si="125"/>
        <v>0</v>
      </c>
      <c r="L641" s="15">
        <f t="shared" si="115"/>
        <v>1799</v>
      </c>
      <c r="M641" s="15">
        <f t="shared" si="116"/>
        <v>2039</v>
      </c>
      <c r="N641" s="15">
        <f t="shared" si="117"/>
        <v>1799</v>
      </c>
      <c r="O641" s="15" t="str">
        <f t="shared" si="118"/>
        <v>휘발유 71,960원</v>
      </c>
      <c r="P641" s="15">
        <f t="shared" si="119"/>
        <v>71960</v>
      </c>
      <c r="Q641" s="15"/>
      <c r="R641" s="16">
        <f t="shared" si="120"/>
        <v>0</v>
      </c>
      <c r="S641" s="15">
        <f t="shared" si="121"/>
        <v>0</v>
      </c>
      <c r="T641" s="15">
        <f t="shared" si="122"/>
        <v>71960</v>
      </c>
      <c r="U641" s="15">
        <f t="shared" si="123"/>
        <v>1799</v>
      </c>
      <c r="V641" s="15">
        <f t="shared" si="124"/>
        <v>1799</v>
      </c>
      <c r="W641" s="17">
        <f>IF($T641="",1000000000000000,$T641)</f>
        <v>71960</v>
      </c>
      <c r="XFC641" s="3"/>
    </row>
    <row r="642" spans="1:23 16382:16383" s="5" customFormat="1" ht="28.65" customHeight="1">
      <c r="A642" s="14">
        <f t="shared" si="114"/>
        <v>624</v>
      </c>
      <c r="B642" s="14" t="s">
        <v>10</v>
      </c>
      <c r="C642" s="14" t="s">
        <v>277</v>
      </c>
      <c r="D642" s="14" t="s">
        <v>95</v>
      </c>
      <c r="E642" s="14" t="s">
        <v>26</v>
      </c>
      <c r="F642" s="14" t="s">
        <v>278</v>
      </c>
      <c r="G642" s="15">
        <v>1799</v>
      </c>
      <c r="H642" s="15">
        <v>2039</v>
      </c>
      <c r="I642" s="15"/>
      <c r="J642" s="15">
        <v>1799</v>
      </c>
      <c r="K642" s="15">
        <f t="shared" si="125"/>
        <v>0</v>
      </c>
      <c r="L642" s="15">
        <f t="shared" si="115"/>
        <v>1799</v>
      </c>
      <c r="M642" s="15">
        <f t="shared" si="116"/>
        <v>2039</v>
      </c>
      <c r="N642" s="15">
        <f t="shared" si="117"/>
        <v>1799</v>
      </c>
      <c r="O642" s="15" t="str">
        <f t="shared" si="118"/>
        <v>휘발유 71,960원</v>
      </c>
      <c r="P642" s="15">
        <f t="shared" si="119"/>
        <v>71960</v>
      </c>
      <c r="Q642" s="15"/>
      <c r="R642" s="16">
        <f t="shared" si="120"/>
        <v>0</v>
      </c>
      <c r="S642" s="15">
        <f t="shared" si="121"/>
        <v>0</v>
      </c>
      <c r="T642" s="15">
        <f t="shared" si="122"/>
        <v>71960</v>
      </c>
      <c r="U642" s="15">
        <f t="shared" si="123"/>
        <v>1799</v>
      </c>
      <c r="V642" s="15">
        <f t="shared" si="124"/>
        <v>1799</v>
      </c>
      <c r="W642" s="17">
        <f>IF($T642="",1000000000000000,$T642)</f>
        <v>71960</v>
      </c>
      <c r="XFC642" s="3"/>
    </row>
    <row r="643" spans="1:23 16382:16383" s="19" customFormat="1" ht="28.5" customHeight="1">
      <c r="A643" s="14">
        <f t="shared" si="114"/>
        <v>624</v>
      </c>
      <c r="B643" s="14" t="s">
        <v>8</v>
      </c>
      <c r="C643" s="14" t="s">
        <v>281</v>
      </c>
      <c r="D643" s="14" t="s">
        <v>95</v>
      </c>
      <c r="E643" s="14" t="s">
        <v>26</v>
      </c>
      <c r="F643" s="14" t="s">
        <v>282</v>
      </c>
      <c r="G643" s="15">
        <v>1799</v>
      </c>
      <c r="H643" s="15">
        <v>2049</v>
      </c>
      <c r="I643" s="15"/>
      <c r="J643" s="15">
        <v>1799</v>
      </c>
      <c r="K643" s="15">
        <f t="shared" si="125"/>
        <v>0</v>
      </c>
      <c r="L643" s="15">
        <f t="shared" si="115"/>
        <v>1799</v>
      </c>
      <c r="M643" s="15">
        <f t="shared" si="116"/>
        <v>2049</v>
      </c>
      <c r="N643" s="15">
        <f t="shared" si="117"/>
        <v>1799</v>
      </c>
      <c r="O643" s="15" t="str">
        <f t="shared" si="118"/>
        <v>휘발유 71,960원</v>
      </c>
      <c r="P643" s="15">
        <f t="shared" si="119"/>
        <v>71960</v>
      </c>
      <c r="Q643" s="15"/>
      <c r="R643" s="16">
        <f t="shared" si="120"/>
        <v>0</v>
      </c>
      <c r="S643" s="15">
        <f t="shared" si="121"/>
        <v>0</v>
      </c>
      <c r="T643" s="15">
        <f t="shared" si="122"/>
        <v>71960</v>
      </c>
      <c r="U643" s="15">
        <f t="shared" si="123"/>
        <v>1799</v>
      </c>
      <c r="V643" s="15">
        <f t="shared" si="124"/>
        <v>1799</v>
      </c>
      <c r="W643" s="17">
        <f>IF($T643="",1000000000000000,$T643)</f>
        <v>71960</v>
      </c>
      <c r="XFB643" s="5"/>
      <c r="XFC643" s="3"/>
    </row>
    <row r="644" spans="1:23 16382:16383" s="5" customFormat="1" ht="28.65" customHeight="1">
      <c r="A644" s="14">
        <f t="shared" si="114"/>
        <v>624</v>
      </c>
      <c r="B644" s="14" t="s">
        <v>8</v>
      </c>
      <c r="C644" s="14" t="s">
        <v>283</v>
      </c>
      <c r="D644" s="14" t="s">
        <v>95</v>
      </c>
      <c r="E644" s="14" t="s">
        <v>26</v>
      </c>
      <c r="F644" s="14" t="s">
        <v>284</v>
      </c>
      <c r="G644" s="15">
        <v>1799</v>
      </c>
      <c r="H644" s="15">
        <v>2049</v>
      </c>
      <c r="I644" s="15"/>
      <c r="J644" s="15">
        <v>1799</v>
      </c>
      <c r="K644" s="15">
        <f t="shared" si="125"/>
        <v>0</v>
      </c>
      <c r="L644" s="15">
        <f t="shared" si="115"/>
        <v>1799</v>
      </c>
      <c r="M644" s="15">
        <f t="shared" si="116"/>
        <v>2049</v>
      </c>
      <c r="N644" s="15">
        <f t="shared" si="117"/>
        <v>1799</v>
      </c>
      <c r="O644" s="15" t="str">
        <f t="shared" si="118"/>
        <v>휘발유 71,960원</v>
      </c>
      <c r="P644" s="15">
        <f t="shared" si="119"/>
        <v>71960</v>
      </c>
      <c r="Q644" s="15"/>
      <c r="R644" s="16">
        <f t="shared" si="120"/>
        <v>0</v>
      </c>
      <c r="S644" s="15">
        <f t="shared" si="121"/>
        <v>0</v>
      </c>
      <c r="T644" s="15">
        <f t="shared" si="122"/>
        <v>71960</v>
      </c>
      <c r="U644" s="15">
        <f t="shared" si="123"/>
        <v>1799</v>
      </c>
      <c r="V644" s="15">
        <f t="shared" si="124"/>
        <v>1799</v>
      </c>
      <c r="W644" s="17">
        <f>IF($T644="",1000000000000000,$T644)</f>
        <v>71960</v>
      </c>
      <c r="XFC644" s="3"/>
    </row>
    <row r="645" spans="1:23 16382:16383" s="19" customFormat="1" ht="28.5" customHeight="1">
      <c r="A645" s="14">
        <f t="shared" si="114"/>
        <v>624</v>
      </c>
      <c r="B645" s="14" t="s">
        <v>8</v>
      </c>
      <c r="C645" s="14" t="s">
        <v>285</v>
      </c>
      <c r="D645" s="18" t="s">
        <v>86</v>
      </c>
      <c r="E645" s="14" t="s">
        <v>26</v>
      </c>
      <c r="F645" s="14" t="s">
        <v>286</v>
      </c>
      <c r="G645" s="15">
        <v>1799</v>
      </c>
      <c r="H645" s="15">
        <v>2049</v>
      </c>
      <c r="I645" s="15"/>
      <c r="J645" s="15">
        <v>1799</v>
      </c>
      <c r="K645" s="15">
        <f t="shared" si="125"/>
        <v>0</v>
      </c>
      <c r="L645" s="15">
        <f t="shared" si="115"/>
        <v>1799</v>
      </c>
      <c r="M645" s="15">
        <f t="shared" si="116"/>
        <v>2049</v>
      </c>
      <c r="N645" s="15">
        <f t="shared" si="117"/>
        <v>1799</v>
      </c>
      <c r="O645" s="15" t="str">
        <f t="shared" si="118"/>
        <v>휘발유 71,960원</v>
      </c>
      <c r="P645" s="15">
        <f t="shared" si="119"/>
        <v>71960</v>
      </c>
      <c r="Q645" s="15"/>
      <c r="R645" s="16">
        <f t="shared" si="120"/>
        <v>0</v>
      </c>
      <c r="S645" s="15">
        <f t="shared" si="121"/>
        <v>0</v>
      </c>
      <c r="T645" s="15">
        <f t="shared" si="122"/>
        <v>71960</v>
      </c>
      <c r="U645" s="15">
        <f t="shared" si="123"/>
        <v>1799</v>
      </c>
      <c r="V645" s="15">
        <f t="shared" si="124"/>
        <v>1799</v>
      </c>
      <c r="W645" s="17">
        <f>IF($T645="",1000000000000000,$T645)</f>
        <v>71960</v>
      </c>
      <c r="XFB645" s="5"/>
      <c r="XFC645" s="3"/>
    </row>
    <row r="646" spans="1:23 16382:16383" s="19" customFormat="1" ht="28.5" customHeight="1">
      <c r="A646" s="14">
        <f t="shared" si="114"/>
        <v>624</v>
      </c>
      <c r="B646" s="14" t="s">
        <v>8</v>
      </c>
      <c r="C646" s="14" t="s">
        <v>287</v>
      </c>
      <c r="D646" s="18" t="s">
        <v>86</v>
      </c>
      <c r="E646" s="14" t="s">
        <v>26</v>
      </c>
      <c r="F646" s="14" t="s">
        <v>288</v>
      </c>
      <c r="G646" s="15">
        <v>1799</v>
      </c>
      <c r="H646" s="15">
        <v>2049</v>
      </c>
      <c r="I646" s="15"/>
      <c r="J646" s="15">
        <v>1799</v>
      </c>
      <c r="K646" s="15">
        <f t="shared" si="125"/>
        <v>0</v>
      </c>
      <c r="L646" s="15">
        <f t="shared" si="115"/>
        <v>1799</v>
      </c>
      <c r="M646" s="15">
        <f t="shared" si="116"/>
        <v>2049</v>
      </c>
      <c r="N646" s="15">
        <f t="shared" si="117"/>
        <v>1799</v>
      </c>
      <c r="O646" s="15" t="str">
        <f t="shared" si="118"/>
        <v>휘발유 71,960원</v>
      </c>
      <c r="P646" s="15">
        <f t="shared" si="119"/>
        <v>71960</v>
      </c>
      <c r="Q646" s="15"/>
      <c r="R646" s="16">
        <f t="shared" si="120"/>
        <v>0</v>
      </c>
      <c r="S646" s="15">
        <f t="shared" si="121"/>
        <v>0</v>
      </c>
      <c r="T646" s="15">
        <f t="shared" si="122"/>
        <v>71960</v>
      </c>
      <c r="U646" s="15">
        <f t="shared" si="123"/>
        <v>1799</v>
      </c>
      <c r="V646" s="15">
        <f t="shared" si="124"/>
        <v>1799</v>
      </c>
      <c r="W646" s="17">
        <f>IF($T646="",1000000000000000,$T646)</f>
        <v>71960</v>
      </c>
      <c r="XFB646" s="5"/>
      <c r="XFC646" s="3"/>
    </row>
    <row r="647" spans="1:23 16382:16383" s="4" customFormat="1" ht="28.5" customHeight="1">
      <c r="A647" s="14">
        <f t="shared" si="114"/>
        <v>624</v>
      </c>
      <c r="B647" s="14" t="s">
        <v>10</v>
      </c>
      <c r="C647" s="14" t="s">
        <v>289</v>
      </c>
      <c r="D647" s="14" t="s">
        <v>45</v>
      </c>
      <c r="E647" s="14" t="s">
        <v>26</v>
      </c>
      <c r="F647" s="14" t="s">
        <v>290</v>
      </c>
      <c r="G647" s="15">
        <v>1799</v>
      </c>
      <c r="H647" s="15">
        <v>2050</v>
      </c>
      <c r="I647" s="15"/>
      <c r="J647" s="15">
        <v>1798</v>
      </c>
      <c r="K647" s="15">
        <f t="shared" si="125"/>
        <v>0</v>
      </c>
      <c r="L647" s="15">
        <f t="shared" si="115"/>
        <v>1799</v>
      </c>
      <c r="M647" s="15">
        <f t="shared" si="116"/>
        <v>2050</v>
      </c>
      <c r="N647" s="15">
        <f t="shared" si="117"/>
        <v>1798</v>
      </c>
      <c r="O647" s="15" t="str">
        <f t="shared" si="118"/>
        <v>휘발유 71,960원</v>
      </c>
      <c r="P647" s="15">
        <f t="shared" si="119"/>
        <v>71960</v>
      </c>
      <c r="Q647" s="15"/>
      <c r="R647" s="16">
        <f t="shared" si="120"/>
        <v>0</v>
      </c>
      <c r="S647" s="15">
        <f t="shared" si="121"/>
        <v>0</v>
      </c>
      <c r="T647" s="15">
        <f t="shared" si="122"/>
        <v>71960</v>
      </c>
      <c r="U647" s="15">
        <f t="shared" si="123"/>
        <v>1799</v>
      </c>
      <c r="V647" s="15">
        <f t="shared" si="124"/>
        <v>1799</v>
      </c>
      <c r="W647" s="17">
        <f>IF($T647="",1000000000000000,$T647)</f>
        <v>71960</v>
      </c>
      <c r="XFB647" s="5"/>
      <c r="XFC647" s="3"/>
    </row>
    <row r="648" spans="1:23 16382:16383" s="19" customFormat="1" ht="28.5" customHeight="1">
      <c r="A648" s="14">
        <f t="shared" si="114"/>
        <v>624</v>
      </c>
      <c r="B648" s="14" t="s">
        <v>10</v>
      </c>
      <c r="C648" s="14" t="s">
        <v>275</v>
      </c>
      <c r="D648" s="14" t="s">
        <v>95</v>
      </c>
      <c r="E648" s="14" t="s">
        <v>26</v>
      </c>
      <c r="F648" s="14" t="s">
        <v>276</v>
      </c>
      <c r="G648" s="15">
        <v>1799</v>
      </c>
      <c r="H648" s="15">
        <v>2059</v>
      </c>
      <c r="I648" s="15"/>
      <c r="J648" s="15">
        <v>1799</v>
      </c>
      <c r="K648" s="15">
        <f t="shared" si="125"/>
        <v>0</v>
      </c>
      <c r="L648" s="15">
        <f t="shared" si="115"/>
        <v>1799</v>
      </c>
      <c r="M648" s="15">
        <f t="shared" si="116"/>
        <v>2059</v>
      </c>
      <c r="N648" s="15">
        <f t="shared" si="117"/>
        <v>1799</v>
      </c>
      <c r="O648" s="15" t="str">
        <f t="shared" si="118"/>
        <v>휘발유 71,960원</v>
      </c>
      <c r="P648" s="15">
        <f t="shared" si="119"/>
        <v>71960</v>
      </c>
      <c r="Q648" s="15"/>
      <c r="R648" s="16">
        <f t="shared" si="120"/>
        <v>0</v>
      </c>
      <c r="S648" s="15">
        <f t="shared" si="121"/>
        <v>0</v>
      </c>
      <c r="T648" s="15">
        <f t="shared" si="122"/>
        <v>71960</v>
      </c>
      <c r="U648" s="15">
        <f t="shared" si="123"/>
        <v>1799</v>
      </c>
      <c r="V648" s="15">
        <f t="shared" si="124"/>
        <v>1799</v>
      </c>
      <c r="W648" s="17">
        <f>IF($T648="",1000000000000000,$T648)</f>
        <v>71960</v>
      </c>
      <c r="XFB648" s="5"/>
      <c r="XFC648" s="3"/>
    </row>
    <row r="649" spans="1:23 16382:16383" s="4" customFormat="1" ht="28.5" customHeight="1">
      <c r="A649" s="14">
        <f t="shared" si="114"/>
        <v>624</v>
      </c>
      <c r="B649" s="14" t="s">
        <v>10</v>
      </c>
      <c r="C649" s="14" t="s">
        <v>300</v>
      </c>
      <c r="D649" s="18" t="s">
        <v>86</v>
      </c>
      <c r="E649" s="14" t="s">
        <v>26</v>
      </c>
      <c r="F649" s="14" t="s">
        <v>301</v>
      </c>
      <c r="G649" s="15">
        <v>1799</v>
      </c>
      <c r="H649" s="15">
        <v>2069</v>
      </c>
      <c r="I649" s="15"/>
      <c r="J649" s="15">
        <v>1799</v>
      </c>
      <c r="K649" s="15">
        <f t="shared" ref="K649:K680" si="126">IF(AND(IFERROR(SEARCH("현대오일뱅크",$C649),0)&gt;0,IFERROR(SEARCH("직영",$C649),0)&gt;0),$B$13,0)</f>
        <v>0</v>
      </c>
      <c r="L649" s="15">
        <f t="shared" si="115"/>
        <v>1799</v>
      </c>
      <c r="M649" s="15">
        <f t="shared" si="116"/>
        <v>2069</v>
      </c>
      <c r="N649" s="15">
        <f t="shared" si="117"/>
        <v>1799</v>
      </c>
      <c r="O649" s="15" t="str">
        <f t="shared" si="118"/>
        <v>휘발유 71,960원</v>
      </c>
      <c r="P649" s="15">
        <f t="shared" si="119"/>
        <v>71960</v>
      </c>
      <c r="Q649" s="15"/>
      <c r="R649" s="16">
        <f t="shared" si="120"/>
        <v>0</v>
      </c>
      <c r="S649" s="15">
        <f t="shared" si="121"/>
        <v>0</v>
      </c>
      <c r="T649" s="15">
        <f t="shared" si="122"/>
        <v>71960</v>
      </c>
      <c r="U649" s="15">
        <f t="shared" si="123"/>
        <v>1799</v>
      </c>
      <c r="V649" s="15">
        <f t="shared" si="124"/>
        <v>1799</v>
      </c>
      <c r="W649" s="17">
        <f>IF($T649="",1000000000000000,$T649)</f>
        <v>71960</v>
      </c>
      <c r="XFB649" s="5"/>
      <c r="XFC649" s="3"/>
    </row>
    <row r="650" spans="1:23 16382:16383" s="4" customFormat="1" ht="28.5" customHeight="1">
      <c r="A650" s="14">
        <f t="shared" si="114"/>
        <v>624</v>
      </c>
      <c r="B650" s="14" t="s">
        <v>16</v>
      </c>
      <c r="C650" s="14" t="s">
        <v>316</v>
      </c>
      <c r="D650" s="14" t="s">
        <v>45</v>
      </c>
      <c r="E650" s="14" t="s">
        <v>26</v>
      </c>
      <c r="F650" s="14" t="s">
        <v>317</v>
      </c>
      <c r="G650" s="15">
        <v>1799</v>
      </c>
      <c r="H650" s="15">
        <v>2090</v>
      </c>
      <c r="I650" s="15"/>
      <c r="J650" s="15">
        <v>1799</v>
      </c>
      <c r="K650" s="15">
        <f t="shared" si="126"/>
        <v>0</v>
      </c>
      <c r="L650" s="15">
        <f t="shared" si="115"/>
        <v>1799</v>
      </c>
      <c r="M650" s="15">
        <f t="shared" si="116"/>
        <v>2090</v>
      </c>
      <c r="N650" s="15">
        <f t="shared" si="117"/>
        <v>1799</v>
      </c>
      <c r="O650" s="15" t="str">
        <f t="shared" si="118"/>
        <v>휘발유 71,960원</v>
      </c>
      <c r="P650" s="15">
        <f t="shared" si="119"/>
        <v>71960</v>
      </c>
      <c r="Q650" s="15"/>
      <c r="R650" s="16">
        <f t="shared" si="120"/>
        <v>0</v>
      </c>
      <c r="S650" s="15">
        <f t="shared" si="121"/>
        <v>0</v>
      </c>
      <c r="T650" s="15">
        <f t="shared" si="122"/>
        <v>71960</v>
      </c>
      <c r="U650" s="15">
        <f t="shared" si="123"/>
        <v>1799</v>
      </c>
      <c r="V650" s="15">
        <f t="shared" si="124"/>
        <v>1799</v>
      </c>
      <c r="W650" s="17">
        <f>IF($T650="",1000000000000000,$T650)</f>
        <v>71960</v>
      </c>
      <c r="XFB650" s="5"/>
      <c r="XFC650" s="3"/>
    </row>
    <row r="651" spans="1:23 16382:16383" s="5" customFormat="1" ht="28.65" customHeight="1">
      <c r="A651" s="14">
        <f t="shared" si="114"/>
        <v>624</v>
      </c>
      <c r="B651" s="14" t="s">
        <v>8</v>
      </c>
      <c r="C651" s="14" t="s">
        <v>324</v>
      </c>
      <c r="D651" s="14" t="s">
        <v>95</v>
      </c>
      <c r="E651" s="14" t="s">
        <v>26</v>
      </c>
      <c r="F651" s="14" t="s">
        <v>325</v>
      </c>
      <c r="G651" s="15">
        <v>1799</v>
      </c>
      <c r="H651" s="15">
        <v>2099</v>
      </c>
      <c r="I651" s="15"/>
      <c r="J651" s="15">
        <v>1809</v>
      </c>
      <c r="K651" s="15">
        <f t="shared" si="126"/>
        <v>0</v>
      </c>
      <c r="L651" s="15">
        <f t="shared" si="115"/>
        <v>1799</v>
      </c>
      <c r="M651" s="15">
        <f t="shared" si="116"/>
        <v>2099</v>
      </c>
      <c r="N651" s="15">
        <f t="shared" si="117"/>
        <v>1809</v>
      </c>
      <c r="O651" s="15" t="str">
        <f t="shared" si="118"/>
        <v>휘발유 71,960원</v>
      </c>
      <c r="P651" s="15">
        <f t="shared" si="119"/>
        <v>71960</v>
      </c>
      <c r="Q651" s="15"/>
      <c r="R651" s="16">
        <f t="shared" si="120"/>
        <v>0</v>
      </c>
      <c r="S651" s="15">
        <f t="shared" si="121"/>
        <v>0</v>
      </c>
      <c r="T651" s="15">
        <f t="shared" si="122"/>
        <v>71960</v>
      </c>
      <c r="U651" s="15">
        <f t="shared" si="123"/>
        <v>1799</v>
      </c>
      <c r="V651" s="15">
        <f t="shared" si="124"/>
        <v>1799</v>
      </c>
      <c r="W651" s="17">
        <f>IF($T651="",1000000000000000,$T651)</f>
        <v>71960</v>
      </c>
      <c r="XFC651" s="3"/>
    </row>
    <row r="652" spans="1:23 16382:16383" s="19" customFormat="1" ht="28.5" customHeight="1">
      <c r="A652" s="14">
        <f t="shared" si="114"/>
        <v>624</v>
      </c>
      <c r="B652" s="14" t="s">
        <v>14</v>
      </c>
      <c r="C652" s="14" t="s">
        <v>326</v>
      </c>
      <c r="D652" s="14" t="s">
        <v>95</v>
      </c>
      <c r="E652" s="14" t="s">
        <v>26</v>
      </c>
      <c r="F652" s="14" t="s">
        <v>327</v>
      </c>
      <c r="G652" s="15">
        <v>1799</v>
      </c>
      <c r="H652" s="15">
        <v>2099</v>
      </c>
      <c r="I652" s="15"/>
      <c r="J652" s="15">
        <v>1799</v>
      </c>
      <c r="K652" s="15">
        <f t="shared" si="126"/>
        <v>0</v>
      </c>
      <c r="L652" s="15">
        <f t="shared" si="115"/>
        <v>1799</v>
      </c>
      <c r="M652" s="15">
        <f t="shared" si="116"/>
        <v>2099</v>
      </c>
      <c r="N652" s="15">
        <f t="shared" si="117"/>
        <v>1799</v>
      </c>
      <c r="O652" s="15" t="str">
        <f t="shared" si="118"/>
        <v>휘발유 71,960원</v>
      </c>
      <c r="P652" s="15">
        <f t="shared" si="119"/>
        <v>71960</v>
      </c>
      <c r="Q652" s="15"/>
      <c r="R652" s="16">
        <f t="shared" si="120"/>
        <v>0</v>
      </c>
      <c r="S652" s="15">
        <f t="shared" si="121"/>
        <v>0</v>
      </c>
      <c r="T652" s="15">
        <f t="shared" si="122"/>
        <v>71960</v>
      </c>
      <c r="U652" s="15">
        <f t="shared" si="123"/>
        <v>1799</v>
      </c>
      <c r="V652" s="15">
        <f t="shared" si="124"/>
        <v>1799</v>
      </c>
      <c r="W652" s="17">
        <f>IF($T652="",1000000000000000,$T652)</f>
        <v>71960</v>
      </c>
      <c r="XFB652" s="5"/>
      <c r="XFC652" s="3"/>
    </row>
    <row r="653" spans="1:23 16382:16383" s="5" customFormat="1" ht="28.65" customHeight="1">
      <c r="A653" s="14">
        <f t="shared" si="114"/>
        <v>624</v>
      </c>
      <c r="B653" s="14" t="s">
        <v>10</v>
      </c>
      <c r="C653" s="14" t="s">
        <v>328</v>
      </c>
      <c r="D653" s="18" t="s">
        <v>86</v>
      </c>
      <c r="E653" s="14" t="s">
        <v>26</v>
      </c>
      <c r="F653" s="14" t="s">
        <v>329</v>
      </c>
      <c r="G653" s="15">
        <v>1799</v>
      </c>
      <c r="H653" s="15">
        <v>2099</v>
      </c>
      <c r="I653" s="15"/>
      <c r="J653" s="15">
        <v>1799</v>
      </c>
      <c r="K653" s="15">
        <f t="shared" si="126"/>
        <v>0</v>
      </c>
      <c r="L653" s="15">
        <f t="shared" si="115"/>
        <v>1799</v>
      </c>
      <c r="M653" s="15">
        <f t="shared" si="116"/>
        <v>2099</v>
      </c>
      <c r="N653" s="15">
        <f t="shared" si="117"/>
        <v>1799</v>
      </c>
      <c r="O653" s="15" t="str">
        <f t="shared" si="118"/>
        <v>휘발유 71,960원</v>
      </c>
      <c r="P653" s="15">
        <f t="shared" si="119"/>
        <v>71960</v>
      </c>
      <c r="Q653" s="15"/>
      <c r="R653" s="16">
        <f t="shared" si="120"/>
        <v>0</v>
      </c>
      <c r="S653" s="15">
        <f t="shared" si="121"/>
        <v>0</v>
      </c>
      <c r="T653" s="15">
        <f t="shared" si="122"/>
        <v>71960</v>
      </c>
      <c r="U653" s="15">
        <f t="shared" si="123"/>
        <v>1799</v>
      </c>
      <c r="V653" s="15">
        <f t="shared" si="124"/>
        <v>1799</v>
      </c>
      <c r="W653" s="17">
        <f>IF($T653="",1000000000000000,$T653)</f>
        <v>71960</v>
      </c>
      <c r="XFC653" s="3"/>
    </row>
    <row r="654" spans="1:23 16382:16383" s="19" customFormat="1" ht="28.5" customHeight="1">
      <c r="A654" s="14">
        <f t="shared" si="114"/>
        <v>624</v>
      </c>
      <c r="B654" s="14" t="s">
        <v>18</v>
      </c>
      <c r="C654" s="14" t="s">
        <v>354</v>
      </c>
      <c r="D654" s="14" t="s">
        <v>95</v>
      </c>
      <c r="E654" s="14" t="s">
        <v>26</v>
      </c>
      <c r="F654" s="14" t="s">
        <v>355</v>
      </c>
      <c r="G654" s="15">
        <v>1799</v>
      </c>
      <c r="H654" s="15">
        <v>2149</v>
      </c>
      <c r="I654" s="15"/>
      <c r="J654" s="15">
        <v>1799</v>
      </c>
      <c r="K654" s="15">
        <f t="shared" si="126"/>
        <v>0</v>
      </c>
      <c r="L654" s="15">
        <f t="shared" si="115"/>
        <v>1799</v>
      </c>
      <c r="M654" s="15">
        <f t="shared" si="116"/>
        <v>2149</v>
      </c>
      <c r="N654" s="15">
        <f t="shared" si="117"/>
        <v>1799</v>
      </c>
      <c r="O654" s="15" t="str">
        <f t="shared" si="118"/>
        <v>휘발유 71,960원</v>
      </c>
      <c r="P654" s="15">
        <f t="shared" si="119"/>
        <v>71960</v>
      </c>
      <c r="Q654" s="15"/>
      <c r="R654" s="16">
        <f t="shared" si="120"/>
        <v>0</v>
      </c>
      <c r="S654" s="15">
        <f t="shared" si="121"/>
        <v>0</v>
      </c>
      <c r="T654" s="15">
        <f t="shared" si="122"/>
        <v>71960</v>
      </c>
      <c r="U654" s="15">
        <f t="shared" si="123"/>
        <v>1799</v>
      </c>
      <c r="V654" s="15">
        <f t="shared" si="124"/>
        <v>1799</v>
      </c>
      <c r="W654" s="17">
        <f>IF($T654="",1000000000000000,$T654)</f>
        <v>71960</v>
      </c>
      <c r="XFB654" s="5"/>
      <c r="XFC654" s="3"/>
    </row>
    <row r="655" spans="1:23 16382:16383" s="19" customFormat="1" ht="28.5" customHeight="1">
      <c r="A655" s="14">
        <f t="shared" ref="A655:A718" si="127">IF($T655="","",1+COUNTIF($W$15:$W$890,"&lt;"&amp;W655))</f>
        <v>624</v>
      </c>
      <c r="B655" s="14" t="s">
        <v>14</v>
      </c>
      <c r="C655" s="14" t="s">
        <v>360</v>
      </c>
      <c r="D655" s="14" t="s">
        <v>95</v>
      </c>
      <c r="E655" s="14" t="s">
        <v>26</v>
      </c>
      <c r="F655" s="14" t="s">
        <v>361</v>
      </c>
      <c r="G655" s="15">
        <v>1799</v>
      </c>
      <c r="H655" s="15">
        <v>2200</v>
      </c>
      <c r="I655" s="15"/>
      <c r="J655" s="15">
        <v>1779</v>
      </c>
      <c r="K655" s="15">
        <f t="shared" si="126"/>
        <v>0</v>
      </c>
      <c r="L655" s="15">
        <f t="shared" ref="L655:L718" si="128">IF($G655="","",$G655+$K655)</f>
        <v>1799</v>
      </c>
      <c r="M655" s="15">
        <f t="shared" ref="M655:M718" si="129">IF($H655="","",$H655+$K655)</f>
        <v>2200</v>
      </c>
      <c r="N655" s="15">
        <f t="shared" ref="N655:N718" si="130">IF($J655="","",$J655+$K655)</f>
        <v>1779</v>
      </c>
      <c r="O655" s="15" t="str">
        <f t="shared" ref="O655:O718" si="131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>휘발유 71,960원</v>
      </c>
      <c r="P655" s="15">
        <f t="shared" ref="P655:P718" si="132">IF($B$10=0,"",IFERROR(IF($B$4&gt;0,IF($L655="",1/0,$L655*$B$4),0)+IF($B$5&gt;0,IF($M655="",1/0,$M655*$B$5),0)+IF($B$6&gt;0,IF($N655="",1/0,$N655*$B$6),0),""))</f>
        <v>71960</v>
      </c>
      <c r="Q655" s="15"/>
      <c r="R655" s="16">
        <f t="shared" ref="R655:R718" si="133">IF($P655="","",IF($Q655="Y",IFERROR(VLOOKUP($B655,$C$4:$D$13,2,FALSE()),0),0))</f>
        <v>0</v>
      </c>
      <c r="S655" s="15">
        <f t="shared" ref="S655:S718" si="134">IF($P655="","",ROUNDDOWN($P655*$R655,0))</f>
        <v>0</v>
      </c>
      <c r="T655" s="15">
        <f t="shared" ref="T655:T718" si="135">IF($P655="","",$P655-$S655)</f>
        <v>71960</v>
      </c>
      <c r="U655" s="15">
        <f t="shared" ref="U655:U718" si="136">IF($T655="","",IF($B$10=0,"",$T655/$B$10))</f>
        <v>1799</v>
      </c>
      <c r="V655" s="15">
        <f t="shared" si="124"/>
        <v>1799</v>
      </c>
      <c r="W655" s="17">
        <f>IF($T655="",1000000000000000,$T655)</f>
        <v>71960</v>
      </c>
      <c r="XFB655" s="5"/>
      <c r="XFC655" s="3"/>
    </row>
    <row r="656" spans="1:23 16382:16383" s="4" customFormat="1" ht="28.5" customHeight="1">
      <c r="A656" s="14">
        <f t="shared" si="127"/>
        <v>624</v>
      </c>
      <c r="B656" s="14" t="s">
        <v>10</v>
      </c>
      <c r="C656" s="14" t="s">
        <v>1344</v>
      </c>
      <c r="D656" s="14" t="s">
        <v>389</v>
      </c>
      <c r="E656" s="14" t="s">
        <v>26</v>
      </c>
      <c r="F656" s="14" t="s">
        <v>1345</v>
      </c>
      <c r="G656" s="15">
        <v>1799</v>
      </c>
      <c r="H656" s="15"/>
      <c r="I656" s="15"/>
      <c r="J656" s="15">
        <v>1743</v>
      </c>
      <c r="K656" s="15">
        <f t="shared" si="126"/>
        <v>0</v>
      </c>
      <c r="L656" s="15">
        <f t="shared" si="128"/>
        <v>1799</v>
      </c>
      <c r="M656" s="15" t="str">
        <f t="shared" si="129"/>
        <v/>
      </c>
      <c r="N656" s="15">
        <f t="shared" si="130"/>
        <v>1743</v>
      </c>
      <c r="O656" s="15" t="str">
        <f t="shared" si="131"/>
        <v>휘발유 71,960원</v>
      </c>
      <c r="P656" s="15">
        <f t="shared" si="132"/>
        <v>71960</v>
      </c>
      <c r="Q656" s="15"/>
      <c r="R656" s="16">
        <f t="shared" si="133"/>
        <v>0</v>
      </c>
      <c r="S656" s="15">
        <f t="shared" si="134"/>
        <v>0</v>
      </c>
      <c r="T656" s="15">
        <f t="shared" si="135"/>
        <v>71960</v>
      </c>
      <c r="U656" s="15">
        <f t="shared" si="136"/>
        <v>1799</v>
      </c>
      <c r="V656" s="15">
        <f t="shared" si="124"/>
        <v>1799</v>
      </c>
      <c r="W656" s="17">
        <f>IF($T656="",1000000000000000,$T656)</f>
        <v>71960</v>
      </c>
      <c r="XFB656" s="5"/>
      <c r="XFC656" s="3"/>
    </row>
    <row r="657" spans="1:23 16382:16383" s="4" customFormat="1" ht="28.5" customHeight="1">
      <c r="A657" s="14">
        <f t="shared" si="127"/>
        <v>624</v>
      </c>
      <c r="B657" s="14" t="s">
        <v>6</v>
      </c>
      <c r="C657" s="14" t="s">
        <v>1080</v>
      </c>
      <c r="D657" s="14" t="s">
        <v>45</v>
      </c>
      <c r="E657" s="14" t="s">
        <v>26</v>
      </c>
      <c r="F657" s="14" t="s">
        <v>1081</v>
      </c>
      <c r="G657" s="15">
        <v>1799</v>
      </c>
      <c r="H657" s="15"/>
      <c r="I657" s="15"/>
      <c r="J657" s="15">
        <v>1779</v>
      </c>
      <c r="K657" s="15">
        <f t="shared" si="126"/>
        <v>0</v>
      </c>
      <c r="L657" s="15">
        <f t="shared" si="128"/>
        <v>1799</v>
      </c>
      <c r="M657" s="15" t="str">
        <f t="shared" si="129"/>
        <v/>
      </c>
      <c r="N657" s="15">
        <f t="shared" si="130"/>
        <v>1779</v>
      </c>
      <c r="O657" s="15" t="str">
        <f t="shared" si="131"/>
        <v>휘발유 71,960원</v>
      </c>
      <c r="P657" s="15">
        <f t="shared" si="132"/>
        <v>71960</v>
      </c>
      <c r="Q657" s="15"/>
      <c r="R657" s="16">
        <f t="shared" si="133"/>
        <v>0</v>
      </c>
      <c r="S657" s="15">
        <f t="shared" si="134"/>
        <v>0</v>
      </c>
      <c r="T657" s="15">
        <f t="shared" si="135"/>
        <v>71960</v>
      </c>
      <c r="U657" s="15">
        <f t="shared" si="136"/>
        <v>1799</v>
      </c>
      <c r="V657" s="15">
        <f t="shared" si="124"/>
        <v>1799</v>
      </c>
      <c r="W657" s="17">
        <f>IF($T657="",1000000000000000,$T657)</f>
        <v>71960</v>
      </c>
      <c r="XFB657" s="5"/>
      <c r="XFC657" s="3"/>
    </row>
    <row r="658" spans="1:23 16382:16383" s="4" customFormat="1" ht="28.5" customHeight="1">
      <c r="A658" s="14">
        <f t="shared" si="127"/>
        <v>624</v>
      </c>
      <c r="B658" s="14" t="s">
        <v>14</v>
      </c>
      <c r="C658" s="14" t="s">
        <v>1354</v>
      </c>
      <c r="D658" s="14" t="s">
        <v>95</v>
      </c>
      <c r="E658" s="14" t="s">
        <v>63</v>
      </c>
      <c r="F658" s="14" t="s">
        <v>1355</v>
      </c>
      <c r="G658" s="15">
        <v>1799</v>
      </c>
      <c r="H658" s="15"/>
      <c r="I658" s="15"/>
      <c r="J658" s="15">
        <v>1783</v>
      </c>
      <c r="K658" s="15">
        <f t="shared" si="126"/>
        <v>0</v>
      </c>
      <c r="L658" s="15">
        <f t="shared" si="128"/>
        <v>1799</v>
      </c>
      <c r="M658" s="15" t="str">
        <f t="shared" si="129"/>
        <v/>
      </c>
      <c r="N658" s="15">
        <f t="shared" si="130"/>
        <v>1783</v>
      </c>
      <c r="O658" s="15" t="str">
        <f t="shared" si="131"/>
        <v>휘발유 71,960원</v>
      </c>
      <c r="P658" s="15">
        <f t="shared" si="132"/>
        <v>71960</v>
      </c>
      <c r="Q658" s="15"/>
      <c r="R658" s="16">
        <f t="shared" si="133"/>
        <v>0</v>
      </c>
      <c r="S658" s="15">
        <f t="shared" si="134"/>
        <v>0</v>
      </c>
      <c r="T658" s="15">
        <f t="shared" si="135"/>
        <v>71960</v>
      </c>
      <c r="U658" s="15">
        <f t="shared" si="136"/>
        <v>1799</v>
      </c>
      <c r="V658" s="15">
        <f t="shared" si="124"/>
        <v>1799</v>
      </c>
      <c r="W658" s="17">
        <f>IF($T658="",1000000000000000,$T658)</f>
        <v>71960</v>
      </c>
      <c r="XFB658" s="5"/>
      <c r="XFC658" s="3"/>
    </row>
    <row r="659" spans="1:23 16382:16383" s="5" customFormat="1" ht="28.65" customHeight="1">
      <c r="A659" s="14">
        <f t="shared" si="127"/>
        <v>624</v>
      </c>
      <c r="B659" s="14" t="s">
        <v>10</v>
      </c>
      <c r="C659" s="14" t="s">
        <v>1352</v>
      </c>
      <c r="D659" s="14" t="s">
        <v>45</v>
      </c>
      <c r="E659" s="14" t="s">
        <v>26</v>
      </c>
      <c r="F659" s="14" t="s">
        <v>1353</v>
      </c>
      <c r="G659" s="15">
        <v>1799</v>
      </c>
      <c r="H659" s="15"/>
      <c r="I659" s="15"/>
      <c r="J659" s="15">
        <v>1789</v>
      </c>
      <c r="K659" s="15">
        <f t="shared" si="126"/>
        <v>0</v>
      </c>
      <c r="L659" s="15">
        <f t="shared" si="128"/>
        <v>1799</v>
      </c>
      <c r="M659" s="15" t="str">
        <f t="shared" si="129"/>
        <v/>
      </c>
      <c r="N659" s="15">
        <f t="shared" si="130"/>
        <v>1789</v>
      </c>
      <c r="O659" s="15" t="str">
        <f t="shared" si="131"/>
        <v>휘발유 71,960원</v>
      </c>
      <c r="P659" s="15">
        <f t="shared" si="132"/>
        <v>71960</v>
      </c>
      <c r="Q659" s="15"/>
      <c r="R659" s="16">
        <f t="shared" si="133"/>
        <v>0</v>
      </c>
      <c r="S659" s="15">
        <f t="shared" si="134"/>
        <v>0</v>
      </c>
      <c r="T659" s="15">
        <f t="shared" si="135"/>
        <v>71960</v>
      </c>
      <c r="U659" s="15">
        <f t="shared" si="136"/>
        <v>1799</v>
      </c>
      <c r="V659" s="15">
        <f t="shared" si="124"/>
        <v>1799</v>
      </c>
      <c r="W659" s="17">
        <f>IF($T659="",1000000000000000,$T659)</f>
        <v>71960</v>
      </c>
      <c r="XFC659" s="3"/>
    </row>
    <row r="660" spans="1:23 16382:16383" s="19" customFormat="1" ht="28.5" customHeight="1">
      <c r="A660" s="14">
        <f t="shared" si="127"/>
        <v>624</v>
      </c>
      <c r="B660" s="14" t="s">
        <v>10</v>
      </c>
      <c r="C660" s="14" t="s">
        <v>1350</v>
      </c>
      <c r="D660" s="14" t="s">
        <v>45</v>
      </c>
      <c r="E660" s="14" t="s">
        <v>26</v>
      </c>
      <c r="F660" s="14" t="s">
        <v>1351</v>
      </c>
      <c r="G660" s="15">
        <v>1799</v>
      </c>
      <c r="H660" s="15"/>
      <c r="I660" s="15"/>
      <c r="J660" s="15">
        <v>1789</v>
      </c>
      <c r="K660" s="15">
        <f t="shared" si="126"/>
        <v>0</v>
      </c>
      <c r="L660" s="15">
        <f t="shared" si="128"/>
        <v>1799</v>
      </c>
      <c r="M660" s="15" t="str">
        <f t="shared" si="129"/>
        <v/>
      </c>
      <c r="N660" s="15">
        <f t="shared" si="130"/>
        <v>1789</v>
      </c>
      <c r="O660" s="15" t="str">
        <f t="shared" si="131"/>
        <v>휘발유 71,960원</v>
      </c>
      <c r="P660" s="15">
        <f t="shared" si="132"/>
        <v>71960</v>
      </c>
      <c r="Q660" s="15"/>
      <c r="R660" s="16">
        <f t="shared" si="133"/>
        <v>0</v>
      </c>
      <c r="S660" s="15">
        <f t="shared" si="134"/>
        <v>0</v>
      </c>
      <c r="T660" s="15">
        <f t="shared" si="135"/>
        <v>71960</v>
      </c>
      <c r="U660" s="15">
        <f t="shared" si="136"/>
        <v>1799</v>
      </c>
      <c r="V660" s="15">
        <f t="shared" si="124"/>
        <v>1799</v>
      </c>
      <c r="W660" s="17">
        <f>IF($T660="",1000000000000000,$T660)</f>
        <v>71960</v>
      </c>
      <c r="XFB660" s="5"/>
      <c r="XFC660" s="3"/>
    </row>
    <row r="661" spans="1:23 16382:16383" s="19" customFormat="1" ht="28.5" customHeight="1">
      <c r="A661" s="14">
        <f t="shared" si="127"/>
        <v>624</v>
      </c>
      <c r="B661" s="14" t="s">
        <v>10</v>
      </c>
      <c r="C661" s="14" t="s">
        <v>1348</v>
      </c>
      <c r="D661" s="14" t="s">
        <v>45</v>
      </c>
      <c r="E661" s="14" t="s">
        <v>26</v>
      </c>
      <c r="F661" s="14" t="s">
        <v>1349</v>
      </c>
      <c r="G661" s="15">
        <v>1799</v>
      </c>
      <c r="H661" s="15"/>
      <c r="I661" s="15"/>
      <c r="J661" s="15">
        <v>1789</v>
      </c>
      <c r="K661" s="15">
        <f t="shared" si="126"/>
        <v>0</v>
      </c>
      <c r="L661" s="15">
        <f t="shared" si="128"/>
        <v>1799</v>
      </c>
      <c r="M661" s="15" t="str">
        <f t="shared" si="129"/>
        <v/>
      </c>
      <c r="N661" s="15">
        <f t="shared" si="130"/>
        <v>1789</v>
      </c>
      <c r="O661" s="15" t="str">
        <f t="shared" si="131"/>
        <v>휘발유 71,960원</v>
      </c>
      <c r="P661" s="15">
        <f t="shared" si="132"/>
        <v>71960</v>
      </c>
      <c r="Q661" s="15"/>
      <c r="R661" s="16">
        <f t="shared" si="133"/>
        <v>0</v>
      </c>
      <c r="S661" s="15">
        <f t="shared" si="134"/>
        <v>0</v>
      </c>
      <c r="T661" s="15">
        <f t="shared" si="135"/>
        <v>71960</v>
      </c>
      <c r="U661" s="15">
        <f t="shared" si="136"/>
        <v>1799</v>
      </c>
      <c r="V661" s="15">
        <f t="shared" si="124"/>
        <v>1799</v>
      </c>
      <c r="W661" s="17">
        <f>IF($T661="",1000000000000000,$T661)</f>
        <v>71960</v>
      </c>
      <c r="XFB661" s="5"/>
      <c r="XFC661" s="3"/>
    </row>
    <row r="662" spans="1:23 16382:16383" s="5" customFormat="1" ht="28.65" customHeight="1">
      <c r="A662" s="14">
        <f t="shared" si="127"/>
        <v>624</v>
      </c>
      <c r="B662" s="14" t="s">
        <v>10</v>
      </c>
      <c r="C662" s="14" t="s">
        <v>1346</v>
      </c>
      <c r="D662" s="14" t="s">
        <v>45</v>
      </c>
      <c r="E662" s="14" t="s">
        <v>26</v>
      </c>
      <c r="F662" s="14" t="s">
        <v>1347</v>
      </c>
      <c r="G662" s="15">
        <v>1799</v>
      </c>
      <c r="H662" s="15"/>
      <c r="I662" s="15"/>
      <c r="J662" s="15">
        <v>1789</v>
      </c>
      <c r="K662" s="15">
        <f t="shared" si="126"/>
        <v>0</v>
      </c>
      <c r="L662" s="15">
        <f t="shared" si="128"/>
        <v>1799</v>
      </c>
      <c r="M662" s="15" t="str">
        <f t="shared" si="129"/>
        <v/>
      </c>
      <c r="N662" s="15">
        <f t="shared" si="130"/>
        <v>1789</v>
      </c>
      <c r="O662" s="15" t="str">
        <f t="shared" si="131"/>
        <v>휘발유 71,960원</v>
      </c>
      <c r="P662" s="15">
        <f t="shared" si="132"/>
        <v>71960</v>
      </c>
      <c r="Q662" s="15"/>
      <c r="R662" s="16">
        <f t="shared" si="133"/>
        <v>0</v>
      </c>
      <c r="S662" s="15">
        <f t="shared" si="134"/>
        <v>0</v>
      </c>
      <c r="T662" s="15">
        <f t="shared" si="135"/>
        <v>71960</v>
      </c>
      <c r="U662" s="15">
        <f t="shared" si="136"/>
        <v>1799</v>
      </c>
      <c r="V662" s="15">
        <f t="shared" si="124"/>
        <v>1799</v>
      </c>
      <c r="W662" s="17">
        <f>IF($T662="",1000000000000000,$T662)</f>
        <v>71960</v>
      </c>
      <c r="XFC662" s="3"/>
    </row>
    <row r="663" spans="1:23 16382:16383" s="19" customFormat="1" ht="28.5" customHeight="1">
      <c r="A663" s="14">
        <f t="shared" si="127"/>
        <v>624</v>
      </c>
      <c r="B663" s="14" t="s">
        <v>10</v>
      </c>
      <c r="C663" s="14" t="s">
        <v>1228</v>
      </c>
      <c r="D663" s="14" t="s">
        <v>95</v>
      </c>
      <c r="E663" s="14" t="s">
        <v>26</v>
      </c>
      <c r="F663" s="14" t="s">
        <v>1229</v>
      </c>
      <c r="G663" s="15">
        <v>1799</v>
      </c>
      <c r="H663" s="15"/>
      <c r="I663" s="15"/>
      <c r="J663" s="15">
        <v>1789</v>
      </c>
      <c r="K663" s="15">
        <f t="shared" si="126"/>
        <v>0</v>
      </c>
      <c r="L663" s="15">
        <f t="shared" si="128"/>
        <v>1799</v>
      </c>
      <c r="M663" s="15" t="str">
        <f t="shared" si="129"/>
        <v/>
      </c>
      <c r="N663" s="15">
        <f t="shared" si="130"/>
        <v>1789</v>
      </c>
      <c r="O663" s="15" t="str">
        <f t="shared" si="131"/>
        <v>휘발유 71,960원</v>
      </c>
      <c r="P663" s="15">
        <f t="shared" si="132"/>
        <v>71960</v>
      </c>
      <c r="Q663" s="15"/>
      <c r="R663" s="16">
        <f t="shared" si="133"/>
        <v>0</v>
      </c>
      <c r="S663" s="15">
        <f t="shared" si="134"/>
        <v>0</v>
      </c>
      <c r="T663" s="15">
        <f t="shared" si="135"/>
        <v>71960</v>
      </c>
      <c r="U663" s="15">
        <f t="shared" si="136"/>
        <v>1799</v>
      </c>
      <c r="V663" s="15">
        <f t="shared" ref="V663:V726" si="137">IF($P663="","",IF($B$10=0,"",$P663/$B$10))</f>
        <v>1799</v>
      </c>
      <c r="W663" s="17">
        <f>IF($T663="",1000000000000000,$T663)</f>
        <v>71960</v>
      </c>
      <c r="XFB663" s="5"/>
      <c r="XFC663" s="3"/>
    </row>
    <row r="664" spans="1:23 16382:16383" s="19" customFormat="1" ht="28.5" customHeight="1">
      <c r="A664" s="14">
        <f t="shared" si="127"/>
        <v>624</v>
      </c>
      <c r="B664" s="14" t="s">
        <v>18</v>
      </c>
      <c r="C664" s="14" t="s">
        <v>1356</v>
      </c>
      <c r="D664" s="14" t="s">
        <v>95</v>
      </c>
      <c r="E664" s="14" t="s">
        <v>63</v>
      </c>
      <c r="F664" s="14" t="s">
        <v>1357</v>
      </c>
      <c r="G664" s="15">
        <v>1799</v>
      </c>
      <c r="H664" s="15"/>
      <c r="I664" s="15"/>
      <c r="J664" s="15">
        <v>1795</v>
      </c>
      <c r="K664" s="15">
        <f t="shared" si="126"/>
        <v>0</v>
      </c>
      <c r="L664" s="15">
        <f t="shared" si="128"/>
        <v>1799</v>
      </c>
      <c r="M664" s="15" t="str">
        <f t="shared" si="129"/>
        <v/>
      </c>
      <c r="N664" s="15">
        <f t="shared" si="130"/>
        <v>1795</v>
      </c>
      <c r="O664" s="15" t="str">
        <f t="shared" si="131"/>
        <v>휘발유 71,960원</v>
      </c>
      <c r="P664" s="15">
        <f t="shared" si="132"/>
        <v>71960</v>
      </c>
      <c r="Q664" s="15"/>
      <c r="R664" s="16">
        <f t="shared" si="133"/>
        <v>0</v>
      </c>
      <c r="S664" s="15">
        <f t="shared" si="134"/>
        <v>0</v>
      </c>
      <c r="T664" s="15">
        <f t="shared" si="135"/>
        <v>71960</v>
      </c>
      <c r="U664" s="15">
        <f t="shared" si="136"/>
        <v>1799</v>
      </c>
      <c r="V664" s="15">
        <f t="shared" si="137"/>
        <v>1799</v>
      </c>
      <c r="W664" s="17">
        <f>IF($T664="",1000000000000000,$T664)</f>
        <v>71960</v>
      </c>
      <c r="XFB664" s="5"/>
      <c r="XFC664" s="3"/>
    </row>
    <row r="665" spans="1:23 16382:16383" s="19" customFormat="1" ht="28.5" customHeight="1">
      <c r="A665" s="14">
        <f t="shared" si="127"/>
        <v>624</v>
      </c>
      <c r="B665" s="14" t="s">
        <v>12</v>
      </c>
      <c r="C665" s="14" t="s">
        <v>1358</v>
      </c>
      <c r="D665" s="18" t="s">
        <v>95</v>
      </c>
      <c r="E665" s="14" t="s">
        <v>26</v>
      </c>
      <c r="F665" s="14" t="s">
        <v>1359</v>
      </c>
      <c r="G665" s="15">
        <v>1799</v>
      </c>
      <c r="H665" s="15"/>
      <c r="I665" s="15"/>
      <c r="J665" s="15">
        <v>1795</v>
      </c>
      <c r="K665" s="15">
        <f t="shared" si="126"/>
        <v>0</v>
      </c>
      <c r="L665" s="15">
        <f t="shared" si="128"/>
        <v>1799</v>
      </c>
      <c r="M665" s="15" t="str">
        <f t="shared" si="129"/>
        <v/>
      </c>
      <c r="N665" s="15">
        <f t="shared" si="130"/>
        <v>1795</v>
      </c>
      <c r="O665" s="15" t="str">
        <f t="shared" si="131"/>
        <v>휘발유 71,960원</v>
      </c>
      <c r="P665" s="15">
        <f t="shared" si="132"/>
        <v>71960</v>
      </c>
      <c r="Q665" s="15"/>
      <c r="R665" s="16">
        <f t="shared" si="133"/>
        <v>0</v>
      </c>
      <c r="S665" s="15">
        <f t="shared" si="134"/>
        <v>0</v>
      </c>
      <c r="T665" s="15">
        <f t="shared" si="135"/>
        <v>71960</v>
      </c>
      <c r="U665" s="15">
        <f t="shared" si="136"/>
        <v>1799</v>
      </c>
      <c r="V665" s="15">
        <f t="shared" si="137"/>
        <v>1799</v>
      </c>
      <c r="W665" s="17">
        <f>IF($T665="",1000000000000000,$T665)</f>
        <v>71960</v>
      </c>
      <c r="XFB665" s="5"/>
      <c r="XFC665" s="3"/>
    </row>
    <row r="666" spans="1:23 16382:16383" s="5" customFormat="1" ht="28.65" customHeight="1">
      <c r="A666" s="14">
        <f t="shared" si="127"/>
        <v>624</v>
      </c>
      <c r="B666" s="14" t="s">
        <v>14</v>
      </c>
      <c r="C666" s="14" t="s">
        <v>1360</v>
      </c>
      <c r="D666" s="18" t="s">
        <v>86</v>
      </c>
      <c r="E666" s="14" t="s">
        <v>26</v>
      </c>
      <c r="F666" s="14" t="s">
        <v>1361</v>
      </c>
      <c r="G666" s="15">
        <v>1799</v>
      </c>
      <c r="H666" s="15"/>
      <c r="I666" s="15"/>
      <c r="J666" s="15">
        <v>1797</v>
      </c>
      <c r="K666" s="15">
        <f t="shared" si="126"/>
        <v>0</v>
      </c>
      <c r="L666" s="15">
        <f t="shared" si="128"/>
        <v>1799</v>
      </c>
      <c r="M666" s="15" t="str">
        <f t="shared" si="129"/>
        <v/>
      </c>
      <c r="N666" s="15">
        <f t="shared" si="130"/>
        <v>1797</v>
      </c>
      <c r="O666" s="15" t="str">
        <f t="shared" si="131"/>
        <v>휘발유 71,960원</v>
      </c>
      <c r="P666" s="15">
        <f t="shared" si="132"/>
        <v>71960</v>
      </c>
      <c r="Q666" s="15"/>
      <c r="R666" s="16">
        <f t="shared" si="133"/>
        <v>0</v>
      </c>
      <c r="S666" s="15">
        <f t="shared" si="134"/>
        <v>0</v>
      </c>
      <c r="T666" s="15">
        <f t="shared" si="135"/>
        <v>71960</v>
      </c>
      <c r="U666" s="15">
        <f t="shared" si="136"/>
        <v>1799</v>
      </c>
      <c r="V666" s="15">
        <f t="shared" si="137"/>
        <v>1799</v>
      </c>
      <c r="W666" s="17">
        <f>IF($T666="",1000000000000000,$T666)</f>
        <v>71960</v>
      </c>
      <c r="XFC666" s="3"/>
    </row>
    <row r="667" spans="1:23 16382:16383" s="19" customFormat="1" ht="28.5" customHeight="1">
      <c r="A667" s="14">
        <f t="shared" si="127"/>
        <v>624</v>
      </c>
      <c r="B667" s="14" t="s">
        <v>10</v>
      </c>
      <c r="C667" s="14" t="s">
        <v>1140</v>
      </c>
      <c r="D667" s="18" t="s">
        <v>86</v>
      </c>
      <c r="E667" s="14" t="s">
        <v>26</v>
      </c>
      <c r="F667" s="14" t="s">
        <v>1141</v>
      </c>
      <c r="G667" s="15">
        <v>1799</v>
      </c>
      <c r="H667" s="15"/>
      <c r="I667" s="15"/>
      <c r="J667" s="15">
        <v>1798</v>
      </c>
      <c r="K667" s="15">
        <f t="shared" si="126"/>
        <v>0</v>
      </c>
      <c r="L667" s="15">
        <f t="shared" si="128"/>
        <v>1799</v>
      </c>
      <c r="M667" s="15" t="str">
        <f t="shared" si="129"/>
        <v/>
      </c>
      <c r="N667" s="15">
        <f t="shared" si="130"/>
        <v>1798</v>
      </c>
      <c r="O667" s="15" t="str">
        <f t="shared" si="131"/>
        <v>휘발유 71,960원</v>
      </c>
      <c r="P667" s="15">
        <f t="shared" si="132"/>
        <v>71960</v>
      </c>
      <c r="Q667" s="15"/>
      <c r="R667" s="16">
        <f t="shared" si="133"/>
        <v>0</v>
      </c>
      <c r="S667" s="15">
        <f t="shared" si="134"/>
        <v>0</v>
      </c>
      <c r="T667" s="15">
        <f t="shared" si="135"/>
        <v>71960</v>
      </c>
      <c r="U667" s="15">
        <f t="shared" si="136"/>
        <v>1799</v>
      </c>
      <c r="V667" s="15">
        <f t="shared" si="137"/>
        <v>1799</v>
      </c>
      <c r="W667" s="17">
        <f>IF($T667="",1000000000000000,$T667)</f>
        <v>71960</v>
      </c>
      <c r="XFB667" s="5"/>
      <c r="XFC667" s="3"/>
    </row>
    <row r="668" spans="1:23 16382:16383" s="19" customFormat="1" ht="28.5" customHeight="1">
      <c r="A668" s="14">
        <f t="shared" si="127"/>
        <v>624</v>
      </c>
      <c r="B668" s="14" t="s">
        <v>10</v>
      </c>
      <c r="C668" s="14" t="s">
        <v>1362</v>
      </c>
      <c r="D668" s="14" t="s">
        <v>56</v>
      </c>
      <c r="E668" s="14" t="s">
        <v>63</v>
      </c>
      <c r="F668" s="14" t="s">
        <v>1363</v>
      </c>
      <c r="G668" s="15">
        <v>1799</v>
      </c>
      <c r="H668" s="15"/>
      <c r="I668" s="15"/>
      <c r="J668" s="15">
        <v>1798</v>
      </c>
      <c r="K668" s="15">
        <f t="shared" si="126"/>
        <v>0</v>
      </c>
      <c r="L668" s="15">
        <f t="shared" si="128"/>
        <v>1799</v>
      </c>
      <c r="M668" s="15" t="str">
        <f t="shared" si="129"/>
        <v/>
      </c>
      <c r="N668" s="15">
        <f t="shared" si="130"/>
        <v>1798</v>
      </c>
      <c r="O668" s="15" t="str">
        <f t="shared" si="131"/>
        <v>휘발유 71,960원</v>
      </c>
      <c r="P668" s="15">
        <f t="shared" si="132"/>
        <v>71960</v>
      </c>
      <c r="Q668" s="15"/>
      <c r="R668" s="16">
        <f t="shared" si="133"/>
        <v>0</v>
      </c>
      <c r="S668" s="15">
        <f t="shared" si="134"/>
        <v>0</v>
      </c>
      <c r="T668" s="15">
        <f t="shared" si="135"/>
        <v>71960</v>
      </c>
      <c r="U668" s="15">
        <f t="shared" si="136"/>
        <v>1799</v>
      </c>
      <c r="V668" s="15">
        <f t="shared" si="137"/>
        <v>1799</v>
      </c>
      <c r="W668" s="17">
        <f>IF($T668="",1000000000000000,$T668)</f>
        <v>71960</v>
      </c>
      <c r="XFB668" s="5"/>
      <c r="XFC668" s="3"/>
    </row>
    <row r="669" spans="1:23 16382:16383" s="19" customFormat="1" ht="28.5" customHeight="1">
      <c r="A669" s="14">
        <f t="shared" si="127"/>
        <v>624</v>
      </c>
      <c r="B669" s="14" t="s">
        <v>10</v>
      </c>
      <c r="C669" s="14" t="s">
        <v>1364</v>
      </c>
      <c r="D669" s="14" t="s">
        <v>51</v>
      </c>
      <c r="E669" s="14" t="s">
        <v>26</v>
      </c>
      <c r="F669" s="14" t="s">
        <v>1365</v>
      </c>
      <c r="G669" s="15">
        <v>1799</v>
      </c>
      <c r="H669" s="15"/>
      <c r="I669" s="15"/>
      <c r="J669" s="15">
        <v>1798</v>
      </c>
      <c r="K669" s="15">
        <f t="shared" si="126"/>
        <v>0</v>
      </c>
      <c r="L669" s="15">
        <f t="shared" si="128"/>
        <v>1799</v>
      </c>
      <c r="M669" s="15" t="str">
        <f t="shared" si="129"/>
        <v/>
      </c>
      <c r="N669" s="15">
        <f t="shared" si="130"/>
        <v>1798</v>
      </c>
      <c r="O669" s="15" t="str">
        <f t="shared" si="131"/>
        <v>휘발유 71,960원</v>
      </c>
      <c r="P669" s="15">
        <f t="shared" si="132"/>
        <v>71960</v>
      </c>
      <c r="Q669" s="15"/>
      <c r="R669" s="16">
        <f t="shared" si="133"/>
        <v>0</v>
      </c>
      <c r="S669" s="15">
        <f t="shared" si="134"/>
        <v>0</v>
      </c>
      <c r="T669" s="15">
        <f t="shared" si="135"/>
        <v>71960</v>
      </c>
      <c r="U669" s="15">
        <f t="shared" si="136"/>
        <v>1799</v>
      </c>
      <c r="V669" s="15">
        <f t="shared" si="137"/>
        <v>1799</v>
      </c>
      <c r="W669" s="17">
        <f>IF($T669="",1000000000000000,$T669)</f>
        <v>71960</v>
      </c>
      <c r="XFB669" s="5"/>
      <c r="XFC669" s="3"/>
    </row>
    <row r="670" spans="1:23 16382:16383" s="19" customFormat="1" ht="28.5" customHeight="1">
      <c r="A670" s="14">
        <f t="shared" si="127"/>
        <v>624</v>
      </c>
      <c r="B670" s="14" t="s">
        <v>18</v>
      </c>
      <c r="C670" s="14" t="s">
        <v>1366</v>
      </c>
      <c r="D670" s="18" t="s">
        <v>86</v>
      </c>
      <c r="E670" s="14" t="s">
        <v>63</v>
      </c>
      <c r="F670" s="14" t="s">
        <v>1367</v>
      </c>
      <c r="G670" s="15">
        <v>1799</v>
      </c>
      <c r="H670" s="15"/>
      <c r="I670" s="15"/>
      <c r="J670" s="15">
        <v>1799</v>
      </c>
      <c r="K670" s="15">
        <f t="shared" si="126"/>
        <v>0</v>
      </c>
      <c r="L670" s="15">
        <f t="shared" si="128"/>
        <v>1799</v>
      </c>
      <c r="M670" s="15" t="str">
        <f t="shared" si="129"/>
        <v/>
      </c>
      <c r="N670" s="15">
        <f t="shared" si="130"/>
        <v>1799</v>
      </c>
      <c r="O670" s="15" t="str">
        <f t="shared" si="131"/>
        <v>휘발유 71,960원</v>
      </c>
      <c r="P670" s="15">
        <f t="shared" si="132"/>
        <v>71960</v>
      </c>
      <c r="Q670" s="15"/>
      <c r="R670" s="16">
        <f t="shared" si="133"/>
        <v>0</v>
      </c>
      <c r="S670" s="15">
        <f t="shared" si="134"/>
        <v>0</v>
      </c>
      <c r="T670" s="15">
        <f t="shared" si="135"/>
        <v>71960</v>
      </c>
      <c r="U670" s="15">
        <f t="shared" si="136"/>
        <v>1799</v>
      </c>
      <c r="V670" s="15">
        <f t="shared" si="137"/>
        <v>1799</v>
      </c>
      <c r="W670" s="17">
        <f>IF($T670="",1000000000000000,$T670)</f>
        <v>71960</v>
      </c>
      <c r="XFB670" s="5"/>
      <c r="XFC670" s="3"/>
    </row>
    <row r="671" spans="1:23 16382:16383" s="19" customFormat="1" ht="28.5" customHeight="1">
      <c r="A671" s="14">
        <f t="shared" si="127"/>
        <v>624</v>
      </c>
      <c r="B671" s="14" t="s">
        <v>18</v>
      </c>
      <c r="C671" s="14" t="s">
        <v>1368</v>
      </c>
      <c r="D671" s="14" t="s">
        <v>496</v>
      </c>
      <c r="E671" s="14" t="s">
        <v>63</v>
      </c>
      <c r="F671" s="14" t="s">
        <v>1369</v>
      </c>
      <c r="G671" s="15">
        <v>1799</v>
      </c>
      <c r="H671" s="15"/>
      <c r="I671" s="15"/>
      <c r="J671" s="15">
        <v>1799</v>
      </c>
      <c r="K671" s="15">
        <f t="shared" si="126"/>
        <v>0</v>
      </c>
      <c r="L671" s="15">
        <f t="shared" si="128"/>
        <v>1799</v>
      </c>
      <c r="M671" s="15" t="str">
        <f t="shared" si="129"/>
        <v/>
      </c>
      <c r="N671" s="15">
        <f t="shared" si="130"/>
        <v>1799</v>
      </c>
      <c r="O671" s="15" t="str">
        <f t="shared" si="131"/>
        <v>휘발유 71,960원</v>
      </c>
      <c r="P671" s="15">
        <f t="shared" si="132"/>
        <v>71960</v>
      </c>
      <c r="Q671" s="15"/>
      <c r="R671" s="16">
        <f t="shared" si="133"/>
        <v>0</v>
      </c>
      <c r="S671" s="15">
        <f t="shared" si="134"/>
        <v>0</v>
      </c>
      <c r="T671" s="15">
        <f t="shared" si="135"/>
        <v>71960</v>
      </c>
      <c r="U671" s="15">
        <f t="shared" si="136"/>
        <v>1799</v>
      </c>
      <c r="V671" s="15">
        <f t="shared" si="137"/>
        <v>1799</v>
      </c>
      <c r="W671" s="17">
        <f>IF($T671="",1000000000000000,$T671)</f>
        <v>71960</v>
      </c>
      <c r="XFB671" s="5"/>
      <c r="XFC671" s="3"/>
    </row>
    <row r="672" spans="1:23 16382:16383" s="19" customFormat="1" ht="28.5" customHeight="1">
      <c r="A672" s="14">
        <f t="shared" si="127"/>
        <v>624</v>
      </c>
      <c r="B672" s="14" t="s">
        <v>6</v>
      </c>
      <c r="C672" s="14" t="s">
        <v>1370</v>
      </c>
      <c r="D672" s="14" t="s">
        <v>95</v>
      </c>
      <c r="E672" s="14" t="s">
        <v>26</v>
      </c>
      <c r="F672" s="14" t="s">
        <v>1371</v>
      </c>
      <c r="G672" s="15">
        <v>1799</v>
      </c>
      <c r="H672" s="15"/>
      <c r="I672" s="15"/>
      <c r="J672" s="15">
        <v>1799</v>
      </c>
      <c r="K672" s="15">
        <f t="shared" si="126"/>
        <v>0</v>
      </c>
      <c r="L672" s="15">
        <f t="shared" si="128"/>
        <v>1799</v>
      </c>
      <c r="M672" s="15" t="str">
        <f t="shared" si="129"/>
        <v/>
      </c>
      <c r="N672" s="15">
        <f t="shared" si="130"/>
        <v>1799</v>
      </c>
      <c r="O672" s="15" t="str">
        <f t="shared" si="131"/>
        <v>휘발유 71,960원</v>
      </c>
      <c r="P672" s="15">
        <f t="shared" si="132"/>
        <v>71960</v>
      </c>
      <c r="Q672" s="15"/>
      <c r="R672" s="16">
        <f t="shared" si="133"/>
        <v>0</v>
      </c>
      <c r="S672" s="15">
        <f t="shared" si="134"/>
        <v>0</v>
      </c>
      <c r="T672" s="15">
        <f t="shared" si="135"/>
        <v>71960</v>
      </c>
      <c r="U672" s="15">
        <f t="shared" si="136"/>
        <v>1799</v>
      </c>
      <c r="V672" s="15">
        <f t="shared" si="137"/>
        <v>1799</v>
      </c>
      <c r="W672" s="17">
        <f>IF($T672="",1000000000000000,$T672)</f>
        <v>71960</v>
      </c>
      <c r="XFB672" s="5"/>
      <c r="XFC672" s="3"/>
    </row>
    <row r="673" spans="1:23 16382:16383" s="19" customFormat="1" ht="28.5" customHeight="1">
      <c r="A673" s="14">
        <f t="shared" si="127"/>
        <v>624</v>
      </c>
      <c r="B673" s="14" t="s">
        <v>16</v>
      </c>
      <c r="C673" s="14" t="s">
        <v>1372</v>
      </c>
      <c r="D673" s="18" t="s">
        <v>86</v>
      </c>
      <c r="E673" s="14" t="s">
        <v>63</v>
      </c>
      <c r="F673" s="14" t="s">
        <v>1373</v>
      </c>
      <c r="G673" s="15">
        <v>1799</v>
      </c>
      <c r="H673" s="15"/>
      <c r="I673" s="15"/>
      <c r="J673" s="15">
        <v>1799</v>
      </c>
      <c r="K673" s="15">
        <f t="shared" si="126"/>
        <v>0</v>
      </c>
      <c r="L673" s="15">
        <f t="shared" si="128"/>
        <v>1799</v>
      </c>
      <c r="M673" s="15" t="str">
        <f t="shared" si="129"/>
        <v/>
      </c>
      <c r="N673" s="15">
        <f t="shared" si="130"/>
        <v>1799</v>
      </c>
      <c r="O673" s="15" t="str">
        <f t="shared" si="131"/>
        <v>휘발유 71,960원</v>
      </c>
      <c r="P673" s="15">
        <f t="shared" si="132"/>
        <v>71960</v>
      </c>
      <c r="Q673" s="15"/>
      <c r="R673" s="16">
        <f t="shared" si="133"/>
        <v>0</v>
      </c>
      <c r="S673" s="15">
        <f t="shared" si="134"/>
        <v>0</v>
      </c>
      <c r="T673" s="15">
        <f t="shared" si="135"/>
        <v>71960</v>
      </c>
      <c r="U673" s="15">
        <f t="shared" si="136"/>
        <v>1799</v>
      </c>
      <c r="V673" s="15">
        <f t="shared" si="137"/>
        <v>1799</v>
      </c>
      <c r="W673" s="17">
        <f>IF($T673="",1000000000000000,$T673)</f>
        <v>71960</v>
      </c>
      <c r="XFB673" s="5"/>
      <c r="XFC673" s="3"/>
    </row>
    <row r="674" spans="1:23 16382:16383" s="19" customFormat="1" ht="28.5" customHeight="1">
      <c r="A674" s="14">
        <f t="shared" si="127"/>
        <v>624</v>
      </c>
      <c r="B674" s="14" t="s">
        <v>16</v>
      </c>
      <c r="C674" s="14" t="s">
        <v>1374</v>
      </c>
      <c r="D674" s="18" t="s">
        <v>86</v>
      </c>
      <c r="E674" s="14" t="s">
        <v>63</v>
      </c>
      <c r="F674" s="14" t="s">
        <v>1375</v>
      </c>
      <c r="G674" s="15">
        <v>1799</v>
      </c>
      <c r="H674" s="15"/>
      <c r="I674" s="15"/>
      <c r="J674" s="15">
        <v>1799</v>
      </c>
      <c r="K674" s="15">
        <f t="shared" si="126"/>
        <v>0</v>
      </c>
      <c r="L674" s="15">
        <f t="shared" si="128"/>
        <v>1799</v>
      </c>
      <c r="M674" s="15" t="str">
        <f t="shared" si="129"/>
        <v/>
      </c>
      <c r="N674" s="15">
        <f t="shared" si="130"/>
        <v>1799</v>
      </c>
      <c r="O674" s="15" t="str">
        <f t="shared" si="131"/>
        <v>휘발유 71,960원</v>
      </c>
      <c r="P674" s="15">
        <f t="shared" si="132"/>
        <v>71960</v>
      </c>
      <c r="Q674" s="15"/>
      <c r="R674" s="16">
        <f t="shared" si="133"/>
        <v>0</v>
      </c>
      <c r="S674" s="15">
        <f t="shared" si="134"/>
        <v>0</v>
      </c>
      <c r="T674" s="15">
        <f t="shared" si="135"/>
        <v>71960</v>
      </c>
      <c r="U674" s="15">
        <f t="shared" si="136"/>
        <v>1799</v>
      </c>
      <c r="V674" s="15">
        <f t="shared" si="137"/>
        <v>1799</v>
      </c>
      <c r="W674" s="17">
        <f>IF($T674="",1000000000000000,$T674)</f>
        <v>71960</v>
      </c>
      <c r="XFB674" s="5"/>
      <c r="XFC674" s="3"/>
    </row>
    <row r="675" spans="1:23 16382:16383" s="5" customFormat="1" ht="28.65" customHeight="1">
      <c r="A675" s="14">
        <f t="shared" si="127"/>
        <v>624</v>
      </c>
      <c r="B675" s="14" t="s">
        <v>8</v>
      </c>
      <c r="C675" s="14" t="s">
        <v>1376</v>
      </c>
      <c r="D675" s="18" t="s">
        <v>86</v>
      </c>
      <c r="E675" s="14" t="s">
        <v>26</v>
      </c>
      <c r="F675" s="14" t="s">
        <v>1377</v>
      </c>
      <c r="G675" s="15">
        <v>1799</v>
      </c>
      <c r="H675" s="15"/>
      <c r="I675" s="15"/>
      <c r="J675" s="15">
        <v>1799</v>
      </c>
      <c r="K675" s="15">
        <f t="shared" si="126"/>
        <v>0</v>
      </c>
      <c r="L675" s="15">
        <f t="shared" si="128"/>
        <v>1799</v>
      </c>
      <c r="M675" s="15" t="str">
        <f t="shared" si="129"/>
        <v/>
      </c>
      <c r="N675" s="15">
        <f t="shared" si="130"/>
        <v>1799</v>
      </c>
      <c r="O675" s="15" t="str">
        <f t="shared" si="131"/>
        <v>휘발유 71,960원</v>
      </c>
      <c r="P675" s="15">
        <f t="shared" si="132"/>
        <v>71960</v>
      </c>
      <c r="Q675" s="15"/>
      <c r="R675" s="16">
        <f t="shared" si="133"/>
        <v>0</v>
      </c>
      <c r="S675" s="15">
        <f t="shared" si="134"/>
        <v>0</v>
      </c>
      <c r="T675" s="15">
        <f t="shared" si="135"/>
        <v>71960</v>
      </c>
      <c r="U675" s="15">
        <f t="shared" si="136"/>
        <v>1799</v>
      </c>
      <c r="V675" s="15">
        <f t="shared" si="137"/>
        <v>1799</v>
      </c>
      <c r="W675" s="17">
        <f>IF($T675="",1000000000000000,$T675)</f>
        <v>71960</v>
      </c>
      <c r="XFC675" s="3"/>
    </row>
    <row r="676" spans="1:23 16382:16383" s="19" customFormat="1" ht="28.5" customHeight="1">
      <c r="A676" s="14">
        <f t="shared" si="127"/>
        <v>624</v>
      </c>
      <c r="B676" s="14" t="s">
        <v>8</v>
      </c>
      <c r="C676" s="14" t="s">
        <v>1378</v>
      </c>
      <c r="D676" s="14" t="s">
        <v>56</v>
      </c>
      <c r="E676" s="14" t="s">
        <v>26</v>
      </c>
      <c r="F676" s="14" t="s">
        <v>1379</v>
      </c>
      <c r="G676" s="15">
        <v>1799</v>
      </c>
      <c r="H676" s="15"/>
      <c r="I676" s="15"/>
      <c r="J676" s="15">
        <v>1799</v>
      </c>
      <c r="K676" s="15">
        <f t="shared" si="126"/>
        <v>0</v>
      </c>
      <c r="L676" s="15">
        <f t="shared" si="128"/>
        <v>1799</v>
      </c>
      <c r="M676" s="15" t="str">
        <f t="shared" si="129"/>
        <v/>
      </c>
      <c r="N676" s="15">
        <f t="shared" si="130"/>
        <v>1799</v>
      </c>
      <c r="O676" s="15" t="str">
        <f t="shared" si="131"/>
        <v>휘발유 71,960원</v>
      </c>
      <c r="P676" s="15">
        <f t="shared" si="132"/>
        <v>71960</v>
      </c>
      <c r="Q676" s="15"/>
      <c r="R676" s="16">
        <f t="shared" si="133"/>
        <v>0</v>
      </c>
      <c r="S676" s="15">
        <f t="shared" si="134"/>
        <v>0</v>
      </c>
      <c r="T676" s="15">
        <f t="shared" si="135"/>
        <v>71960</v>
      </c>
      <c r="U676" s="15">
        <f t="shared" si="136"/>
        <v>1799</v>
      </c>
      <c r="V676" s="15">
        <f t="shared" si="137"/>
        <v>1799</v>
      </c>
      <c r="W676" s="17">
        <f>IF($T676="",1000000000000000,$T676)</f>
        <v>71960</v>
      </c>
      <c r="XFB676" s="5"/>
      <c r="XFC676" s="3"/>
    </row>
    <row r="677" spans="1:23 16382:16383" s="19" customFormat="1" ht="28.5" customHeight="1">
      <c r="A677" s="14">
        <f t="shared" si="127"/>
        <v>624</v>
      </c>
      <c r="B677" s="14" t="s">
        <v>8</v>
      </c>
      <c r="C677" s="14" t="s">
        <v>1380</v>
      </c>
      <c r="D677" s="14" t="s">
        <v>496</v>
      </c>
      <c r="E677" s="14" t="s">
        <v>63</v>
      </c>
      <c r="F677" s="14" t="s">
        <v>1381</v>
      </c>
      <c r="G677" s="15">
        <v>1799</v>
      </c>
      <c r="H677" s="15"/>
      <c r="I677" s="15"/>
      <c r="J677" s="15">
        <v>1799</v>
      </c>
      <c r="K677" s="15">
        <f t="shared" si="126"/>
        <v>0</v>
      </c>
      <c r="L677" s="15">
        <f t="shared" si="128"/>
        <v>1799</v>
      </c>
      <c r="M677" s="15" t="str">
        <f t="shared" si="129"/>
        <v/>
      </c>
      <c r="N677" s="15">
        <f t="shared" si="130"/>
        <v>1799</v>
      </c>
      <c r="O677" s="15" t="str">
        <f t="shared" si="131"/>
        <v>휘발유 71,960원</v>
      </c>
      <c r="P677" s="15">
        <f t="shared" si="132"/>
        <v>71960</v>
      </c>
      <c r="Q677" s="15"/>
      <c r="R677" s="16">
        <f t="shared" si="133"/>
        <v>0</v>
      </c>
      <c r="S677" s="15">
        <f t="shared" si="134"/>
        <v>0</v>
      </c>
      <c r="T677" s="15">
        <f t="shared" si="135"/>
        <v>71960</v>
      </c>
      <c r="U677" s="15">
        <f t="shared" si="136"/>
        <v>1799</v>
      </c>
      <c r="V677" s="15">
        <f t="shared" si="137"/>
        <v>1799</v>
      </c>
      <c r="W677" s="17">
        <f>IF($T677="",1000000000000000,$T677)</f>
        <v>71960</v>
      </c>
      <c r="XFB677" s="5"/>
      <c r="XFC677" s="3"/>
    </row>
    <row r="678" spans="1:23 16382:16383" s="19" customFormat="1" ht="28.5" customHeight="1">
      <c r="A678" s="14">
        <f t="shared" si="127"/>
        <v>624</v>
      </c>
      <c r="B678" s="14" t="s">
        <v>8</v>
      </c>
      <c r="C678" s="14" t="s">
        <v>1382</v>
      </c>
      <c r="D678" s="18" t="s">
        <v>86</v>
      </c>
      <c r="E678" s="14" t="s">
        <v>26</v>
      </c>
      <c r="F678" s="14" t="s">
        <v>1383</v>
      </c>
      <c r="G678" s="15">
        <v>1799</v>
      </c>
      <c r="H678" s="15"/>
      <c r="I678" s="15"/>
      <c r="J678" s="15">
        <v>1799</v>
      </c>
      <c r="K678" s="15">
        <f t="shared" si="126"/>
        <v>0</v>
      </c>
      <c r="L678" s="15">
        <f t="shared" si="128"/>
        <v>1799</v>
      </c>
      <c r="M678" s="15" t="str">
        <f t="shared" si="129"/>
        <v/>
      </c>
      <c r="N678" s="15">
        <f t="shared" si="130"/>
        <v>1799</v>
      </c>
      <c r="O678" s="15" t="str">
        <f t="shared" si="131"/>
        <v>휘발유 71,960원</v>
      </c>
      <c r="P678" s="15">
        <f t="shared" si="132"/>
        <v>71960</v>
      </c>
      <c r="Q678" s="15"/>
      <c r="R678" s="16">
        <f t="shared" si="133"/>
        <v>0</v>
      </c>
      <c r="S678" s="15">
        <f t="shared" si="134"/>
        <v>0</v>
      </c>
      <c r="T678" s="15">
        <f t="shared" si="135"/>
        <v>71960</v>
      </c>
      <c r="U678" s="15">
        <f t="shared" si="136"/>
        <v>1799</v>
      </c>
      <c r="V678" s="15">
        <f t="shared" si="137"/>
        <v>1799</v>
      </c>
      <c r="W678" s="17">
        <f>IF($T678="",1000000000000000,$T678)</f>
        <v>71960</v>
      </c>
      <c r="XFB678" s="5"/>
      <c r="XFC678" s="3"/>
    </row>
    <row r="679" spans="1:23 16382:16383" s="5" customFormat="1" ht="28.65" customHeight="1">
      <c r="A679" s="14">
        <f t="shared" si="127"/>
        <v>624</v>
      </c>
      <c r="B679" s="14" t="s">
        <v>8</v>
      </c>
      <c r="C679" s="14" t="s">
        <v>1384</v>
      </c>
      <c r="D679" s="14" t="s">
        <v>95</v>
      </c>
      <c r="E679" s="14" t="s">
        <v>26</v>
      </c>
      <c r="F679" s="14" t="s">
        <v>1385</v>
      </c>
      <c r="G679" s="15">
        <v>1799</v>
      </c>
      <c r="H679" s="15"/>
      <c r="I679" s="15"/>
      <c r="J679" s="15">
        <v>1799</v>
      </c>
      <c r="K679" s="15">
        <f t="shared" si="126"/>
        <v>0</v>
      </c>
      <c r="L679" s="15">
        <f t="shared" si="128"/>
        <v>1799</v>
      </c>
      <c r="M679" s="15" t="str">
        <f t="shared" si="129"/>
        <v/>
      </c>
      <c r="N679" s="15">
        <f t="shared" si="130"/>
        <v>1799</v>
      </c>
      <c r="O679" s="15" t="str">
        <f t="shared" si="131"/>
        <v>휘발유 71,960원</v>
      </c>
      <c r="P679" s="15">
        <f t="shared" si="132"/>
        <v>71960</v>
      </c>
      <c r="Q679" s="15"/>
      <c r="R679" s="16">
        <f t="shared" si="133"/>
        <v>0</v>
      </c>
      <c r="S679" s="15">
        <f t="shared" si="134"/>
        <v>0</v>
      </c>
      <c r="T679" s="15">
        <f t="shared" si="135"/>
        <v>71960</v>
      </c>
      <c r="U679" s="15">
        <f t="shared" si="136"/>
        <v>1799</v>
      </c>
      <c r="V679" s="15">
        <f t="shared" si="137"/>
        <v>1799</v>
      </c>
      <c r="W679" s="17">
        <f>IF($T679="",1000000000000000,$T679)</f>
        <v>71960</v>
      </c>
      <c r="XFC679" s="3"/>
    </row>
    <row r="680" spans="1:23 16382:16383" s="5" customFormat="1" ht="28.65" customHeight="1">
      <c r="A680" s="14">
        <f t="shared" si="127"/>
        <v>624</v>
      </c>
      <c r="B680" s="14" t="s">
        <v>8</v>
      </c>
      <c r="C680" s="14" t="s">
        <v>1388</v>
      </c>
      <c r="D680" s="14" t="s">
        <v>95</v>
      </c>
      <c r="E680" s="14" t="s">
        <v>26</v>
      </c>
      <c r="F680" s="14" t="s">
        <v>1389</v>
      </c>
      <c r="G680" s="15">
        <v>1799</v>
      </c>
      <c r="H680" s="15"/>
      <c r="I680" s="15"/>
      <c r="J680" s="15">
        <v>1799</v>
      </c>
      <c r="K680" s="15">
        <f t="shared" si="126"/>
        <v>0</v>
      </c>
      <c r="L680" s="15">
        <f t="shared" si="128"/>
        <v>1799</v>
      </c>
      <c r="M680" s="15" t="str">
        <f t="shared" si="129"/>
        <v/>
      </c>
      <c r="N680" s="15">
        <f t="shared" si="130"/>
        <v>1799</v>
      </c>
      <c r="O680" s="15" t="str">
        <f t="shared" si="131"/>
        <v>휘발유 71,960원</v>
      </c>
      <c r="P680" s="15">
        <f t="shared" si="132"/>
        <v>71960</v>
      </c>
      <c r="Q680" s="15"/>
      <c r="R680" s="16">
        <f t="shared" si="133"/>
        <v>0</v>
      </c>
      <c r="S680" s="15">
        <f t="shared" si="134"/>
        <v>0</v>
      </c>
      <c r="T680" s="15">
        <f t="shared" si="135"/>
        <v>71960</v>
      </c>
      <c r="U680" s="15">
        <f t="shared" si="136"/>
        <v>1799</v>
      </c>
      <c r="V680" s="15">
        <f t="shared" si="137"/>
        <v>1799</v>
      </c>
      <c r="W680" s="17">
        <f>IF($T680="",1000000000000000,$T680)</f>
        <v>71960</v>
      </c>
      <c r="XFC680" s="3"/>
    </row>
    <row r="681" spans="1:23 16382:16383" s="5" customFormat="1" ht="28.65" customHeight="1">
      <c r="A681" s="14">
        <f t="shared" si="127"/>
        <v>624</v>
      </c>
      <c r="B681" s="14" t="s">
        <v>8</v>
      </c>
      <c r="C681" s="14" t="s">
        <v>1390</v>
      </c>
      <c r="D681" s="14" t="s">
        <v>56</v>
      </c>
      <c r="E681" s="14" t="s">
        <v>26</v>
      </c>
      <c r="F681" s="14" t="s">
        <v>1391</v>
      </c>
      <c r="G681" s="15">
        <v>1799</v>
      </c>
      <c r="H681" s="15"/>
      <c r="I681" s="15"/>
      <c r="J681" s="15">
        <v>1799</v>
      </c>
      <c r="K681" s="15">
        <f t="shared" ref="K681:K712" si="138">IF(AND(IFERROR(SEARCH("현대오일뱅크",$C681),0)&gt;0,IFERROR(SEARCH("직영",$C681),0)&gt;0),$B$13,0)</f>
        <v>0</v>
      </c>
      <c r="L681" s="15">
        <f t="shared" si="128"/>
        <v>1799</v>
      </c>
      <c r="M681" s="15" t="str">
        <f t="shared" si="129"/>
        <v/>
      </c>
      <c r="N681" s="15">
        <f t="shared" si="130"/>
        <v>1799</v>
      </c>
      <c r="O681" s="15" t="str">
        <f t="shared" si="131"/>
        <v>휘발유 71,960원</v>
      </c>
      <c r="P681" s="15">
        <f t="shared" si="132"/>
        <v>71960</v>
      </c>
      <c r="Q681" s="15"/>
      <c r="R681" s="16">
        <f t="shared" si="133"/>
        <v>0</v>
      </c>
      <c r="S681" s="15">
        <f t="shared" si="134"/>
        <v>0</v>
      </c>
      <c r="T681" s="15">
        <f t="shared" si="135"/>
        <v>71960</v>
      </c>
      <c r="U681" s="15">
        <f t="shared" si="136"/>
        <v>1799</v>
      </c>
      <c r="V681" s="15">
        <f t="shared" si="137"/>
        <v>1799</v>
      </c>
      <c r="W681" s="17">
        <f>IF($T681="",1000000000000000,$T681)</f>
        <v>71960</v>
      </c>
      <c r="XFC681" s="3"/>
    </row>
    <row r="682" spans="1:23 16382:16383" s="19" customFormat="1" ht="28.5" customHeight="1">
      <c r="A682" s="14">
        <f t="shared" si="127"/>
        <v>624</v>
      </c>
      <c r="B682" s="14" t="s">
        <v>14</v>
      </c>
      <c r="C682" s="14" t="s">
        <v>1392</v>
      </c>
      <c r="D682" s="14" t="s">
        <v>95</v>
      </c>
      <c r="E682" s="14" t="s">
        <v>26</v>
      </c>
      <c r="F682" s="14" t="s">
        <v>1393</v>
      </c>
      <c r="G682" s="15">
        <v>1799</v>
      </c>
      <c r="H682" s="15"/>
      <c r="I682" s="15"/>
      <c r="J682" s="15">
        <v>1799</v>
      </c>
      <c r="K682" s="15">
        <f t="shared" si="138"/>
        <v>0</v>
      </c>
      <c r="L682" s="15">
        <f t="shared" si="128"/>
        <v>1799</v>
      </c>
      <c r="M682" s="15" t="str">
        <f t="shared" si="129"/>
        <v/>
      </c>
      <c r="N682" s="15">
        <f t="shared" si="130"/>
        <v>1799</v>
      </c>
      <c r="O682" s="15" t="str">
        <f t="shared" si="131"/>
        <v>휘발유 71,960원</v>
      </c>
      <c r="P682" s="15">
        <f t="shared" si="132"/>
        <v>71960</v>
      </c>
      <c r="Q682" s="15"/>
      <c r="R682" s="16">
        <f t="shared" si="133"/>
        <v>0</v>
      </c>
      <c r="S682" s="15">
        <f t="shared" si="134"/>
        <v>0</v>
      </c>
      <c r="T682" s="15">
        <f t="shared" si="135"/>
        <v>71960</v>
      </c>
      <c r="U682" s="15">
        <f t="shared" si="136"/>
        <v>1799</v>
      </c>
      <c r="V682" s="15">
        <f t="shared" si="137"/>
        <v>1799</v>
      </c>
      <c r="W682" s="17">
        <f>IF($T682="",1000000000000000,$T682)</f>
        <v>71960</v>
      </c>
      <c r="XFB682" s="5"/>
      <c r="XFC682" s="3"/>
    </row>
    <row r="683" spans="1:23 16382:16383" s="19" customFormat="1" ht="28.5" customHeight="1">
      <c r="A683" s="14">
        <f t="shared" si="127"/>
        <v>624</v>
      </c>
      <c r="B683" s="14" t="s">
        <v>14</v>
      </c>
      <c r="C683" s="14" t="s">
        <v>1394</v>
      </c>
      <c r="D683" s="14" t="s">
        <v>95</v>
      </c>
      <c r="E683" s="14" t="s">
        <v>26</v>
      </c>
      <c r="F683" s="14" t="s">
        <v>1395</v>
      </c>
      <c r="G683" s="15">
        <v>1799</v>
      </c>
      <c r="H683" s="15"/>
      <c r="I683" s="15"/>
      <c r="J683" s="15">
        <v>1799</v>
      </c>
      <c r="K683" s="15">
        <f t="shared" si="138"/>
        <v>0</v>
      </c>
      <c r="L683" s="15">
        <f t="shared" si="128"/>
        <v>1799</v>
      </c>
      <c r="M683" s="15" t="str">
        <f t="shared" si="129"/>
        <v/>
      </c>
      <c r="N683" s="15">
        <f t="shared" si="130"/>
        <v>1799</v>
      </c>
      <c r="O683" s="15" t="str">
        <f t="shared" si="131"/>
        <v>휘발유 71,960원</v>
      </c>
      <c r="P683" s="15">
        <f t="shared" si="132"/>
        <v>71960</v>
      </c>
      <c r="Q683" s="15"/>
      <c r="R683" s="16">
        <f t="shared" si="133"/>
        <v>0</v>
      </c>
      <c r="S683" s="15">
        <f t="shared" si="134"/>
        <v>0</v>
      </c>
      <c r="T683" s="15">
        <f t="shared" si="135"/>
        <v>71960</v>
      </c>
      <c r="U683" s="15">
        <f t="shared" si="136"/>
        <v>1799</v>
      </c>
      <c r="V683" s="15">
        <f t="shared" si="137"/>
        <v>1799</v>
      </c>
      <c r="W683" s="17">
        <f>IF($T683="",1000000000000000,$T683)</f>
        <v>71960</v>
      </c>
      <c r="XFB683" s="5"/>
      <c r="XFC683" s="3"/>
    </row>
    <row r="684" spans="1:23 16382:16383" s="19" customFormat="1" ht="28.5" customHeight="1">
      <c r="A684" s="14">
        <f t="shared" si="127"/>
        <v>624</v>
      </c>
      <c r="B684" s="14" t="s">
        <v>14</v>
      </c>
      <c r="C684" s="14" t="s">
        <v>1396</v>
      </c>
      <c r="D684" s="14" t="s">
        <v>95</v>
      </c>
      <c r="E684" s="14" t="s">
        <v>26</v>
      </c>
      <c r="F684" s="14" t="s">
        <v>1397</v>
      </c>
      <c r="G684" s="15">
        <v>1799</v>
      </c>
      <c r="H684" s="15"/>
      <c r="I684" s="15"/>
      <c r="J684" s="15">
        <v>1799</v>
      </c>
      <c r="K684" s="15">
        <f t="shared" si="138"/>
        <v>0</v>
      </c>
      <c r="L684" s="15">
        <f t="shared" si="128"/>
        <v>1799</v>
      </c>
      <c r="M684" s="15" t="str">
        <f t="shared" si="129"/>
        <v/>
      </c>
      <c r="N684" s="15">
        <f t="shared" si="130"/>
        <v>1799</v>
      </c>
      <c r="O684" s="15" t="str">
        <f t="shared" si="131"/>
        <v>휘발유 71,960원</v>
      </c>
      <c r="P684" s="15">
        <f t="shared" si="132"/>
        <v>71960</v>
      </c>
      <c r="Q684" s="15"/>
      <c r="R684" s="16">
        <f t="shared" si="133"/>
        <v>0</v>
      </c>
      <c r="S684" s="15">
        <f t="shared" si="134"/>
        <v>0</v>
      </c>
      <c r="T684" s="15">
        <f t="shared" si="135"/>
        <v>71960</v>
      </c>
      <c r="U684" s="15">
        <f t="shared" si="136"/>
        <v>1799</v>
      </c>
      <c r="V684" s="15">
        <f t="shared" si="137"/>
        <v>1799</v>
      </c>
      <c r="W684" s="17">
        <f>IF($T684="",1000000000000000,$T684)</f>
        <v>71960</v>
      </c>
      <c r="XFB684" s="5"/>
      <c r="XFC684" s="3"/>
    </row>
    <row r="685" spans="1:23 16382:16383" s="19" customFormat="1" ht="28.5" customHeight="1">
      <c r="A685" s="14">
        <f t="shared" si="127"/>
        <v>624</v>
      </c>
      <c r="B685" s="14" t="s">
        <v>14</v>
      </c>
      <c r="C685" s="14" t="s">
        <v>1398</v>
      </c>
      <c r="D685" s="14" t="s">
        <v>45</v>
      </c>
      <c r="E685" s="14" t="s">
        <v>26</v>
      </c>
      <c r="F685" s="14" t="s">
        <v>1399</v>
      </c>
      <c r="G685" s="15">
        <v>1799</v>
      </c>
      <c r="H685" s="15"/>
      <c r="I685" s="15"/>
      <c r="J685" s="15">
        <v>1799</v>
      </c>
      <c r="K685" s="15">
        <f t="shared" si="138"/>
        <v>0</v>
      </c>
      <c r="L685" s="15">
        <f t="shared" si="128"/>
        <v>1799</v>
      </c>
      <c r="M685" s="15" t="str">
        <f t="shared" si="129"/>
        <v/>
      </c>
      <c r="N685" s="15">
        <f t="shared" si="130"/>
        <v>1799</v>
      </c>
      <c r="O685" s="15" t="str">
        <f t="shared" si="131"/>
        <v>휘발유 71,960원</v>
      </c>
      <c r="P685" s="15">
        <f t="shared" si="132"/>
        <v>71960</v>
      </c>
      <c r="Q685" s="15"/>
      <c r="R685" s="16">
        <f t="shared" si="133"/>
        <v>0</v>
      </c>
      <c r="S685" s="15">
        <f t="shared" si="134"/>
        <v>0</v>
      </c>
      <c r="T685" s="15">
        <f t="shared" si="135"/>
        <v>71960</v>
      </c>
      <c r="U685" s="15">
        <f t="shared" si="136"/>
        <v>1799</v>
      </c>
      <c r="V685" s="15">
        <f t="shared" si="137"/>
        <v>1799</v>
      </c>
      <c r="W685" s="17">
        <f>IF($T685="",1000000000000000,$T685)</f>
        <v>71960</v>
      </c>
      <c r="XFB685" s="5"/>
      <c r="XFC685" s="3"/>
    </row>
    <row r="686" spans="1:23 16382:16383" s="19" customFormat="1" ht="28.5" customHeight="1">
      <c r="A686" s="14">
        <f t="shared" si="127"/>
        <v>624</v>
      </c>
      <c r="B686" s="14" t="s">
        <v>14</v>
      </c>
      <c r="C686" s="14" t="s">
        <v>1400</v>
      </c>
      <c r="D686" s="14" t="s">
        <v>496</v>
      </c>
      <c r="E686" s="14" t="s">
        <v>26</v>
      </c>
      <c r="F686" s="14" t="s">
        <v>1401</v>
      </c>
      <c r="G686" s="15">
        <v>1799</v>
      </c>
      <c r="H686" s="15"/>
      <c r="I686" s="15"/>
      <c r="J686" s="15">
        <v>1799</v>
      </c>
      <c r="K686" s="15">
        <f t="shared" si="138"/>
        <v>0</v>
      </c>
      <c r="L686" s="15">
        <f t="shared" si="128"/>
        <v>1799</v>
      </c>
      <c r="M686" s="15" t="str">
        <f t="shared" si="129"/>
        <v/>
      </c>
      <c r="N686" s="15">
        <f t="shared" si="130"/>
        <v>1799</v>
      </c>
      <c r="O686" s="15" t="str">
        <f t="shared" si="131"/>
        <v>휘발유 71,960원</v>
      </c>
      <c r="P686" s="15">
        <f t="shared" si="132"/>
        <v>71960</v>
      </c>
      <c r="Q686" s="15"/>
      <c r="R686" s="16">
        <f t="shared" si="133"/>
        <v>0</v>
      </c>
      <c r="S686" s="15">
        <f t="shared" si="134"/>
        <v>0</v>
      </c>
      <c r="T686" s="15">
        <f t="shared" si="135"/>
        <v>71960</v>
      </c>
      <c r="U686" s="15">
        <f t="shared" si="136"/>
        <v>1799</v>
      </c>
      <c r="V686" s="15">
        <f t="shared" si="137"/>
        <v>1799</v>
      </c>
      <c r="W686" s="17">
        <f>IF($T686="",1000000000000000,$T686)</f>
        <v>71960</v>
      </c>
      <c r="XFB686" s="5"/>
      <c r="XFC686" s="3"/>
    </row>
    <row r="687" spans="1:23 16382:16383" s="19" customFormat="1" ht="28.5" customHeight="1">
      <c r="A687" s="14">
        <f t="shared" si="127"/>
        <v>624</v>
      </c>
      <c r="B687" s="14" t="s">
        <v>12</v>
      </c>
      <c r="C687" s="14" t="s">
        <v>1402</v>
      </c>
      <c r="D687" s="18" t="s">
        <v>45</v>
      </c>
      <c r="E687" s="14" t="s">
        <v>26</v>
      </c>
      <c r="F687" s="14" t="s">
        <v>1403</v>
      </c>
      <c r="G687" s="15">
        <v>1799</v>
      </c>
      <c r="H687" s="15"/>
      <c r="I687" s="15"/>
      <c r="J687" s="15">
        <v>1799</v>
      </c>
      <c r="K687" s="15">
        <f t="shared" si="138"/>
        <v>0</v>
      </c>
      <c r="L687" s="15">
        <f t="shared" si="128"/>
        <v>1799</v>
      </c>
      <c r="M687" s="15" t="str">
        <f t="shared" si="129"/>
        <v/>
      </c>
      <c r="N687" s="15">
        <f t="shared" si="130"/>
        <v>1799</v>
      </c>
      <c r="O687" s="15" t="str">
        <f t="shared" si="131"/>
        <v>휘발유 71,960원</v>
      </c>
      <c r="P687" s="15">
        <f t="shared" si="132"/>
        <v>71960</v>
      </c>
      <c r="Q687" s="15"/>
      <c r="R687" s="16">
        <f t="shared" si="133"/>
        <v>0</v>
      </c>
      <c r="S687" s="15">
        <f t="shared" si="134"/>
        <v>0</v>
      </c>
      <c r="T687" s="15">
        <f t="shared" si="135"/>
        <v>71960</v>
      </c>
      <c r="U687" s="15">
        <f t="shared" si="136"/>
        <v>1799</v>
      </c>
      <c r="V687" s="15">
        <f t="shared" si="137"/>
        <v>1799</v>
      </c>
      <c r="W687" s="17">
        <f>IF($T687="",1000000000000000,$T687)</f>
        <v>71960</v>
      </c>
      <c r="XFB687" s="5"/>
      <c r="XFC687" s="3"/>
    </row>
    <row r="688" spans="1:23 16382:16383" s="5" customFormat="1" ht="28.65" customHeight="1">
      <c r="A688" s="14">
        <f t="shared" si="127"/>
        <v>624</v>
      </c>
      <c r="B688" s="14" t="s">
        <v>10</v>
      </c>
      <c r="C688" s="14" t="s">
        <v>1404</v>
      </c>
      <c r="D688" s="14" t="s">
        <v>56</v>
      </c>
      <c r="E688" s="14" t="s">
        <v>26</v>
      </c>
      <c r="F688" s="14" t="s">
        <v>1405</v>
      </c>
      <c r="G688" s="15">
        <v>1799</v>
      </c>
      <c r="H688" s="15"/>
      <c r="I688" s="15"/>
      <c r="J688" s="15">
        <v>1799</v>
      </c>
      <c r="K688" s="15">
        <f t="shared" si="138"/>
        <v>0</v>
      </c>
      <c r="L688" s="15">
        <f t="shared" si="128"/>
        <v>1799</v>
      </c>
      <c r="M688" s="15" t="str">
        <f t="shared" si="129"/>
        <v/>
      </c>
      <c r="N688" s="15">
        <f t="shared" si="130"/>
        <v>1799</v>
      </c>
      <c r="O688" s="15" t="str">
        <f t="shared" si="131"/>
        <v>휘발유 71,960원</v>
      </c>
      <c r="P688" s="15">
        <f t="shared" si="132"/>
        <v>71960</v>
      </c>
      <c r="Q688" s="15"/>
      <c r="R688" s="16">
        <f t="shared" si="133"/>
        <v>0</v>
      </c>
      <c r="S688" s="15">
        <f t="shared" si="134"/>
        <v>0</v>
      </c>
      <c r="T688" s="15">
        <f t="shared" si="135"/>
        <v>71960</v>
      </c>
      <c r="U688" s="15">
        <f t="shared" si="136"/>
        <v>1799</v>
      </c>
      <c r="V688" s="15">
        <f t="shared" si="137"/>
        <v>1799</v>
      </c>
      <c r="W688" s="17">
        <f>IF($T688="",1000000000000000,$T688)</f>
        <v>71960</v>
      </c>
      <c r="XFC688" s="3"/>
    </row>
    <row r="689" spans="1:23 16382:16383" s="4" customFormat="1" ht="28.5" customHeight="1">
      <c r="A689" s="14">
        <f t="shared" si="127"/>
        <v>624</v>
      </c>
      <c r="B689" s="14" t="s">
        <v>10</v>
      </c>
      <c r="C689" s="14" t="s">
        <v>1406</v>
      </c>
      <c r="D689" s="14" t="s">
        <v>45</v>
      </c>
      <c r="E689" s="14" t="s">
        <v>26</v>
      </c>
      <c r="F689" s="14" t="s">
        <v>1407</v>
      </c>
      <c r="G689" s="15">
        <v>1799</v>
      </c>
      <c r="H689" s="15"/>
      <c r="I689" s="15"/>
      <c r="J689" s="15">
        <v>1799</v>
      </c>
      <c r="K689" s="15">
        <f t="shared" si="138"/>
        <v>0</v>
      </c>
      <c r="L689" s="15">
        <f t="shared" si="128"/>
        <v>1799</v>
      </c>
      <c r="M689" s="15" t="str">
        <f t="shared" si="129"/>
        <v/>
      </c>
      <c r="N689" s="15">
        <f t="shared" si="130"/>
        <v>1799</v>
      </c>
      <c r="O689" s="15" t="str">
        <f t="shared" si="131"/>
        <v>휘발유 71,960원</v>
      </c>
      <c r="P689" s="15">
        <f t="shared" si="132"/>
        <v>71960</v>
      </c>
      <c r="Q689" s="15"/>
      <c r="R689" s="16">
        <f t="shared" si="133"/>
        <v>0</v>
      </c>
      <c r="S689" s="15">
        <f t="shared" si="134"/>
        <v>0</v>
      </c>
      <c r="T689" s="15">
        <f t="shared" si="135"/>
        <v>71960</v>
      </c>
      <c r="U689" s="15">
        <f t="shared" si="136"/>
        <v>1799</v>
      </c>
      <c r="V689" s="15">
        <f t="shared" si="137"/>
        <v>1799</v>
      </c>
      <c r="W689" s="17">
        <f>IF($T689="",1000000000000000,$T689)</f>
        <v>71960</v>
      </c>
      <c r="XFB689" s="5"/>
      <c r="XFC689" s="3"/>
    </row>
    <row r="690" spans="1:23 16382:16383" s="4" customFormat="1" ht="28.5" customHeight="1">
      <c r="A690" s="14">
        <f t="shared" si="127"/>
        <v>624</v>
      </c>
      <c r="B690" s="14" t="s">
        <v>10</v>
      </c>
      <c r="C690" s="14" t="s">
        <v>1408</v>
      </c>
      <c r="D690" s="18" t="s">
        <v>86</v>
      </c>
      <c r="E690" s="14" t="s">
        <v>26</v>
      </c>
      <c r="F690" s="14" t="s">
        <v>1409</v>
      </c>
      <c r="G690" s="15">
        <v>1799</v>
      </c>
      <c r="H690" s="15"/>
      <c r="I690" s="15"/>
      <c r="J690" s="15">
        <v>1799</v>
      </c>
      <c r="K690" s="15">
        <f t="shared" si="138"/>
        <v>0</v>
      </c>
      <c r="L690" s="15">
        <f t="shared" si="128"/>
        <v>1799</v>
      </c>
      <c r="M690" s="15" t="str">
        <f t="shared" si="129"/>
        <v/>
      </c>
      <c r="N690" s="15">
        <f t="shared" si="130"/>
        <v>1799</v>
      </c>
      <c r="O690" s="15" t="str">
        <f t="shared" si="131"/>
        <v>휘발유 71,960원</v>
      </c>
      <c r="P690" s="15">
        <f t="shared" si="132"/>
        <v>71960</v>
      </c>
      <c r="Q690" s="15"/>
      <c r="R690" s="16">
        <f t="shared" si="133"/>
        <v>0</v>
      </c>
      <c r="S690" s="15">
        <f t="shared" si="134"/>
        <v>0</v>
      </c>
      <c r="T690" s="15">
        <f t="shared" si="135"/>
        <v>71960</v>
      </c>
      <c r="U690" s="15">
        <f t="shared" si="136"/>
        <v>1799</v>
      </c>
      <c r="V690" s="15">
        <f t="shared" si="137"/>
        <v>1799</v>
      </c>
      <c r="W690" s="17">
        <f>IF($T690="",1000000000000000,$T690)</f>
        <v>71960</v>
      </c>
      <c r="XFB690" s="5"/>
      <c r="XFC690" s="3"/>
    </row>
    <row r="691" spans="1:23 16382:16383" s="19" customFormat="1" ht="28.5" customHeight="1">
      <c r="A691" s="14">
        <f t="shared" si="127"/>
        <v>624</v>
      </c>
      <c r="B691" s="14" t="s">
        <v>10</v>
      </c>
      <c r="C691" s="14" t="s">
        <v>1169</v>
      </c>
      <c r="D691" s="14" t="s">
        <v>45</v>
      </c>
      <c r="E691" s="14" t="s">
        <v>26</v>
      </c>
      <c r="F691" s="14" t="s">
        <v>1170</v>
      </c>
      <c r="G691" s="15">
        <v>1799</v>
      </c>
      <c r="H691" s="15"/>
      <c r="I691" s="15"/>
      <c r="J691" s="15">
        <v>1799</v>
      </c>
      <c r="K691" s="15">
        <f t="shared" si="138"/>
        <v>0</v>
      </c>
      <c r="L691" s="15">
        <f t="shared" si="128"/>
        <v>1799</v>
      </c>
      <c r="M691" s="15" t="str">
        <f t="shared" si="129"/>
        <v/>
      </c>
      <c r="N691" s="15">
        <f t="shared" si="130"/>
        <v>1799</v>
      </c>
      <c r="O691" s="15" t="str">
        <f t="shared" si="131"/>
        <v>휘발유 71,960원</v>
      </c>
      <c r="P691" s="15">
        <f t="shared" si="132"/>
        <v>71960</v>
      </c>
      <c r="Q691" s="15"/>
      <c r="R691" s="16">
        <f t="shared" si="133"/>
        <v>0</v>
      </c>
      <c r="S691" s="15">
        <f t="shared" si="134"/>
        <v>0</v>
      </c>
      <c r="T691" s="15">
        <f t="shared" si="135"/>
        <v>71960</v>
      </c>
      <c r="U691" s="15">
        <f t="shared" si="136"/>
        <v>1799</v>
      </c>
      <c r="V691" s="15">
        <f t="shared" si="137"/>
        <v>1799</v>
      </c>
      <c r="W691" s="17">
        <f>IF($T691="",1000000000000000,$T691)</f>
        <v>71960</v>
      </c>
      <c r="XFB691" s="5"/>
      <c r="XFC691" s="3"/>
    </row>
    <row r="692" spans="1:23 16382:16383" s="19" customFormat="1" ht="28.5" customHeight="1">
      <c r="A692" s="14">
        <f t="shared" si="127"/>
        <v>624</v>
      </c>
      <c r="B692" s="14" t="s">
        <v>10</v>
      </c>
      <c r="C692" s="14" t="s">
        <v>1410</v>
      </c>
      <c r="D692" s="14" t="s">
        <v>45</v>
      </c>
      <c r="E692" s="14" t="s">
        <v>26</v>
      </c>
      <c r="F692" s="14" t="s">
        <v>1411</v>
      </c>
      <c r="G692" s="15">
        <v>1799</v>
      </c>
      <c r="H692" s="15"/>
      <c r="I692" s="15"/>
      <c r="J692" s="15">
        <v>1799</v>
      </c>
      <c r="K692" s="15">
        <f t="shared" si="138"/>
        <v>0</v>
      </c>
      <c r="L692" s="15">
        <f t="shared" si="128"/>
        <v>1799</v>
      </c>
      <c r="M692" s="15" t="str">
        <f t="shared" si="129"/>
        <v/>
      </c>
      <c r="N692" s="15">
        <f t="shared" si="130"/>
        <v>1799</v>
      </c>
      <c r="O692" s="15" t="str">
        <f t="shared" si="131"/>
        <v>휘발유 71,960원</v>
      </c>
      <c r="P692" s="15">
        <f t="shared" si="132"/>
        <v>71960</v>
      </c>
      <c r="Q692" s="15"/>
      <c r="R692" s="16">
        <f t="shared" si="133"/>
        <v>0</v>
      </c>
      <c r="S692" s="15">
        <f t="shared" si="134"/>
        <v>0</v>
      </c>
      <c r="T692" s="15">
        <f t="shared" si="135"/>
        <v>71960</v>
      </c>
      <c r="U692" s="15">
        <f t="shared" si="136"/>
        <v>1799</v>
      </c>
      <c r="V692" s="15">
        <f t="shared" si="137"/>
        <v>1799</v>
      </c>
      <c r="W692" s="17">
        <f>IF($T692="",1000000000000000,$T692)</f>
        <v>71960</v>
      </c>
      <c r="XFB692" s="5"/>
      <c r="XFC692" s="3"/>
    </row>
    <row r="693" spans="1:23 16382:16383" s="19" customFormat="1" ht="28.5" customHeight="1">
      <c r="A693" s="14">
        <f t="shared" si="127"/>
        <v>624</v>
      </c>
      <c r="B693" s="14" t="s">
        <v>10</v>
      </c>
      <c r="C693" s="14" t="s">
        <v>1412</v>
      </c>
      <c r="D693" s="14" t="s">
        <v>45</v>
      </c>
      <c r="E693" s="14" t="s">
        <v>26</v>
      </c>
      <c r="F693" s="14" t="s">
        <v>1413</v>
      </c>
      <c r="G693" s="15">
        <v>1799</v>
      </c>
      <c r="H693" s="15"/>
      <c r="I693" s="15"/>
      <c r="J693" s="15">
        <v>1799</v>
      </c>
      <c r="K693" s="15">
        <f t="shared" si="138"/>
        <v>0</v>
      </c>
      <c r="L693" s="15">
        <f t="shared" si="128"/>
        <v>1799</v>
      </c>
      <c r="M693" s="15" t="str">
        <f t="shared" si="129"/>
        <v/>
      </c>
      <c r="N693" s="15">
        <f t="shared" si="130"/>
        <v>1799</v>
      </c>
      <c r="O693" s="15" t="str">
        <f t="shared" si="131"/>
        <v>휘발유 71,960원</v>
      </c>
      <c r="P693" s="15">
        <f t="shared" si="132"/>
        <v>71960</v>
      </c>
      <c r="Q693" s="15"/>
      <c r="R693" s="16">
        <f t="shared" si="133"/>
        <v>0</v>
      </c>
      <c r="S693" s="15">
        <f t="shared" si="134"/>
        <v>0</v>
      </c>
      <c r="T693" s="15">
        <f t="shared" si="135"/>
        <v>71960</v>
      </c>
      <c r="U693" s="15">
        <f t="shared" si="136"/>
        <v>1799</v>
      </c>
      <c r="V693" s="15">
        <f t="shared" si="137"/>
        <v>1799</v>
      </c>
      <c r="W693" s="17">
        <f>IF($T693="",1000000000000000,$T693)</f>
        <v>71960</v>
      </c>
      <c r="XFB693" s="5"/>
      <c r="XFC693" s="3"/>
    </row>
    <row r="694" spans="1:23 16382:16383" s="19" customFormat="1" ht="28.5" customHeight="1">
      <c r="A694" s="14">
        <f t="shared" si="127"/>
        <v>624</v>
      </c>
      <c r="B694" s="14" t="s">
        <v>10</v>
      </c>
      <c r="C694" s="14" t="s">
        <v>1414</v>
      </c>
      <c r="D694" s="14" t="s">
        <v>56</v>
      </c>
      <c r="E694" s="14" t="s">
        <v>26</v>
      </c>
      <c r="F694" s="14" t="s">
        <v>1415</v>
      </c>
      <c r="G694" s="15">
        <v>1799</v>
      </c>
      <c r="H694" s="15"/>
      <c r="I694" s="15"/>
      <c r="J694" s="15">
        <v>1799</v>
      </c>
      <c r="K694" s="15">
        <f t="shared" si="138"/>
        <v>0</v>
      </c>
      <c r="L694" s="15">
        <f t="shared" si="128"/>
        <v>1799</v>
      </c>
      <c r="M694" s="15" t="str">
        <f t="shared" si="129"/>
        <v/>
      </c>
      <c r="N694" s="15">
        <f t="shared" si="130"/>
        <v>1799</v>
      </c>
      <c r="O694" s="15" t="str">
        <f t="shared" si="131"/>
        <v>휘발유 71,960원</v>
      </c>
      <c r="P694" s="15">
        <f t="shared" si="132"/>
        <v>71960</v>
      </c>
      <c r="Q694" s="15"/>
      <c r="R694" s="16">
        <f t="shared" si="133"/>
        <v>0</v>
      </c>
      <c r="S694" s="15">
        <f t="shared" si="134"/>
        <v>0</v>
      </c>
      <c r="T694" s="15">
        <f t="shared" si="135"/>
        <v>71960</v>
      </c>
      <c r="U694" s="15">
        <f t="shared" si="136"/>
        <v>1799</v>
      </c>
      <c r="V694" s="15">
        <f t="shared" si="137"/>
        <v>1799</v>
      </c>
      <c r="W694" s="17">
        <f>IF($T694="",1000000000000000,$T694)</f>
        <v>71960</v>
      </c>
      <c r="XFB694" s="5"/>
      <c r="XFC694" s="3"/>
    </row>
    <row r="695" spans="1:23 16382:16383" s="5" customFormat="1" ht="28.65" customHeight="1">
      <c r="A695" s="14">
        <f t="shared" si="127"/>
        <v>624</v>
      </c>
      <c r="B695" s="14" t="s">
        <v>10</v>
      </c>
      <c r="C695" s="14" t="s">
        <v>1416</v>
      </c>
      <c r="D695" s="14" t="s">
        <v>95</v>
      </c>
      <c r="E695" s="14" t="s">
        <v>26</v>
      </c>
      <c r="F695" s="14" t="s">
        <v>1417</v>
      </c>
      <c r="G695" s="15">
        <v>1799</v>
      </c>
      <c r="H695" s="15"/>
      <c r="I695" s="15"/>
      <c r="J695" s="15">
        <v>1799</v>
      </c>
      <c r="K695" s="15">
        <f t="shared" si="138"/>
        <v>0</v>
      </c>
      <c r="L695" s="15">
        <f t="shared" si="128"/>
        <v>1799</v>
      </c>
      <c r="M695" s="15" t="str">
        <f t="shared" si="129"/>
        <v/>
      </c>
      <c r="N695" s="15">
        <f t="shared" si="130"/>
        <v>1799</v>
      </c>
      <c r="O695" s="15" t="str">
        <f t="shared" si="131"/>
        <v>휘발유 71,960원</v>
      </c>
      <c r="P695" s="15">
        <f t="shared" si="132"/>
        <v>71960</v>
      </c>
      <c r="Q695" s="15"/>
      <c r="R695" s="16">
        <f t="shared" si="133"/>
        <v>0</v>
      </c>
      <c r="S695" s="15">
        <f t="shared" si="134"/>
        <v>0</v>
      </c>
      <c r="T695" s="15">
        <f t="shared" si="135"/>
        <v>71960</v>
      </c>
      <c r="U695" s="15">
        <f t="shared" si="136"/>
        <v>1799</v>
      </c>
      <c r="V695" s="15">
        <f t="shared" si="137"/>
        <v>1799</v>
      </c>
      <c r="W695" s="17">
        <f>IF($T695="",1000000000000000,$T695)</f>
        <v>71960</v>
      </c>
      <c r="XFC695" s="3"/>
    </row>
    <row r="696" spans="1:23 16382:16383" s="5" customFormat="1" ht="28.65" customHeight="1">
      <c r="A696" s="14">
        <f t="shared" si="127"/>
        <v>624</v>
      </c>
      <c r="B696" s="14" t="s">
        <v>10</v>
      </c>
      <c r="C696" s="14" t="s">
        <v>1418</v>
      </c>
      <c r="D696" s="14" t="s">
        <v>56</v>
      </c>
      <c r="E696" s="14" t="s">
        <v>63</v>
      </c>
      <c r="F696" s="14" t="s">
        <v>1419</v>
      </c>
      <c r="G696" s="15">
        <v>1799</v>
      </c>
      <c r="H696" s="15"/>
      <c r="I696" s="15"/>
      <c r="J696" s="15">
        <v>1799</v>
      </c>
      <c r="K696" s="15">
        <f t="shared" si="138"/>
        <v>0</v>
      </c>
      <c r="L696" s="15">
        <f t="shared" si="128"/>
        <v>1799</v>
      </c>
      <c r="M696" s="15" t="str">
        <f t="shared" si="129"/>
        <v/>
      </c>
      <c r="N696" s="15">
        <f t="shared" si="130"/>
        <v>1799</v>
      </c>
      <c r="O696" s="15" t="str">
        <f t="shared" si="131"/>
        <v>휘발유 71,960원</v>
      </c>
      <c r="P696" s="15">
        <f t="shared" si="132"/>
        <v>71960</v>
      </c>
      <c r="Q696" s="15"/>
      <c r="R696" s="16">
        <f t="shared" si="133"/>
        <v>0</v>
      </c>
      <c r="S696" s="15">
        <f t="shared" si="134"/>
        <v>0</v>
      </c>
      <c r="T696" s="15">
        <f t="shared" si="135"/>
        <v>71960</v>
      </c>
      <c r="U696" s="15">
        <f t="shared" si="136"/>
        <v>1799</v>
      </c>
      <c r="V696" s="15">
        <f t="shared" si="137"/>
        <v>1799</v>
      </c>
      <c r="W696" s="17">
        <f>IF($T696="",1000000000000000,$T696)</f>
        <v>71960</v>
      </c>
      <c r="XFC696" s="3"/>
    </row>
    <row r="697" spans="1:23 16382:16383" s="19" customFormat="1" ht="28.5" customHeight="1">
      <c r="A697" s="14">
        <f t="shared" si="127"/>
        <v>624</v>
      </c>
      <c r="B697" s="14" t="s">
        <v>10</v>
      </c>
      <c r="C697" s="14" t="s">
        <v>1420</v>
      </c>
      <c r="D697" s="14" t="s">
        <v>45</v>
      </c>
      <c r="E697" s="14" t="s">
        <v>26</v>
      </c>
      <c r="F697" s="14" t="s">
        <v>1421</v>
      </c>
      <c r="G697" s="15">
        <v>1799</v>
      </c>
      <c r="H697" s="15"/>
      <c r="I697" s="15"/>
      <c r="J697" s="15">
        <v>1799</v>
      </c>
      <c r="K697" s="15">
        <f t="shared" si="138"/>
        <v>0</v>
      </c>
      <c r="L697" s="15">
        <f t="shared" si="128"/>
        <v>1799</v>
      </c>
      <c r="M697" s="15" t="str">
        <f t="shared" si="129"/>
        <v/>
      </c>
      <c r="N697" s="15">
        <f t="shared" si="130"/>
        <v>1799</v>
      </c>
      <c r="O697" s="15" t="str">
        <f t="shared" si="131"/>
        <v>휘발유 71,960원</v>
      </c>
      <c r="P697" s="15">
        <f t="shared" si="132"/>
        <v>71960</v>
      </c>
      <c r="Q697" s="15"/>
      <c r="R697" s="16">
        <f t="shared" si="133"/>
        <v>0</v>
      </c>
      <c r="S697" s="15">
        <f t="shared" si="134"/>
        <v>0</v>
      </c>
      <c r="T697" s="15">
        <f t="shared" si="135"/>
        <v>71960</v>
      </c>
      <c r="U697" s="15">
        <f t="shared" si="136"/>
        <v>1799</v>
      </c>
      <c r="V697" s="15">
        <f t="shared" si="137"/>
        <v>1799</v>
      </c>
      <c r="W697" s="17">
        <f>IF($T697="",1000000000000000,$T697)</f>
        <v>71960</v>
      </c>
      <c r="XFB697" s="5"/>
      <c r="XFC697" s="3"/>
    </row>
    <row r="698" spans="1:23 16382:16383" s="19" customFormat="1" ht="28.5" customHeight="1">
      <c r="A698" s="14">
        <f t="shared" si="127"/>
        <v>624</v>
      </c>
      <c r="B698" s="14" t="s">
        <v>10</v>
      </c>
      <c r="C698" s="14" t="s">
        <v>1422</v>
      </c>
      <c r="D698" s="14" t="s">
        <v>45</v>
      </c>
      <c r="E698" s="14" t="s">
        <v>26</v>
      </c>
      <c r="F698" s="14" t="s">
        <v>1423</v>
      </c>
      <c r="G698" s="15">
        <v>1799</v>
      </c>
      <c r="H698" s="15"/>
      <c r="I698" s="15"/>
      <c r="J698" s="15">
        <v>1799</v>
      </c>
      <c r="K698" s="15">
        <f t="shared" si="138"/>
        <v>0</v>
      </c>
      <c r="L698" s="15">
        <f t="shared" si="128"/>
        <v>1799</v>
      </c>
      <c r="M698" s="15" t="str">
        <f t="shared" si="129"/>
        <v/>
      </c>
      <c r="N698" s="15">
        <f t="shared" si="130"/>
        <v>1799</v>
      </c>
      <c r="O698" s="15" t="str">
        <f t="shared" si="131"/>
        <v>휘발유 71,960원</v>
      </c>
      <c r="P698" s="15">
        <f t="shared" si="132"/>
        <v>71960</v>
      </c>
      <c r="Q698" s="15"/>
      <c r="R698" s="16">
        <f t="shared" si="133"/>
        <v>0</v>
      </c>
      <c r="S698" s="15">
        <f t="shared" si="134"/>
        <v>0</v>
      </c>
      <c r="T698" s="15">
        <f t="shared" si="135"/>
        <v>71960</v>
      </c>
      <c r="U698" s="15">
        <f t="shared" si="136"/>
        <v>1799</v>
      </c>
      <c r="V698" s="15">
        <f t="shared" si="137"/>
        <v>1799</v>
      </c>
      <c r="W698" s="17">
        <f>IF($T698="",1000000000000000,$T698)</f>
        <v>71960</v>
      </c>
      <c r="XFB698" s="5"/>
      <c r="XFC698" s="3"/>
    </row>
    <row r="699" spans="1:23 16382:16383" s="19" customFormat="1" ht="28.5" customHeight="1">
      <c r="A699" s="14">
        <f t="shared" si="127"/>
        <v>624</v>
      </c>
      <c r="B699" s="14" t="s">
        <v>10</v>
      </c>
      <c r="C699" s="14" t="s">
        <v>1424</v>
      </c>
      <c r="D699" s="14" t="s">
        <v>45</v>
      </c>
      <c r="E699" s="14" t="s">
        <v>26</v>
      </c>
      <c r="F699" s="14" t="s">
        <v>1425</v>
      </c>
      <c r="G699" s="15">
        <v>1799</v>
      </c>
      <c r="H699" s="15"/>
      <c r="I699" s="15"/>
      <c r="J699" s="15">
        <v>1799</v>
      </c>
      <c r="K699" s="15">
        <f t="shared" si="138"/>
        <v>0</v>
      </c>
      <c r="L699" s="15">
        <f t="shared" si="128"/>
        <v>1799</v>
      </c>
      <c r="M699" s="15" t="str">
        <f t="shared" si="129"/>
        <v/>
      </c>
      <c r="N699" s="15">
        <f t="shared" si="130"/>
        <v>1799</v>
      </c>
      <c r="O699" s="15" t="str">
        <f t="shared" si="131"/>
        <v>휘발유 71,960원</v>
      </c>
      <c r="P699" s="15">
        <f t="shared" si="132"/>
        <v>71960</v>
      </c>
      <c r="Q699" s="15"/>
      <c r="R699" s="16">
        <f t="shared" si="133"/>
        <v>0</v>
      </c>
      <c r="S699" s="15">
        <f t="shared" si="134"/>
        <v>0</v>
      </c>
      <c r="T699" s="15">
        <f t="shared" si="135"/>
        <v>71960</v>
      </c>
      <c r="U699" s="15">
        <f t="shared" si="136"/>
        <v>1799</v>
      </c>
      <c r="V699" s="15">
        <f t="shared" si="137"/>
        <v>1799</v>
      </c>
      <c r="W699" s="17">
        <f>IF($T699="",1000000000000000,$T699)</f>
        <v>71960</v>
      </c>
      <c r="XFB699" s="5"/>
      <c r="XFC699" s="3"/>
    </row>
    <row r="700" spans="1:23 16382:16383" s="19" customFormat="1" ht="28.5" customHeight="1">
      <c r="A700" s="14">
        <f t="shared" si="127"/>
        <v>624</v>
      </c>
      <c r="B700" s="14" t="s">
        <v>10</v>
      </c>
      <c r="C700" s="14" t="s">
        <v>1426</v>
      </c>
      <c r="D700" s="14" t="s">
        <v>56</v>
      </c>
      <c r="E700" s="14" t="s">
        <v>26</v>
      </c>
      <c r="F700" s="14" t="s">
        <v>1427</v>
      </c>
      <c r="G700" s="15">
        <v>1799</v>
      </c>
      <c r="H700" s="15"/>
      <c r="I700" s="15"/>
      <c r="J700" s="15">
        <v>1799</v>
      </c>
      <c r="K700" s="15">
        <f t="shared" si="138"/>
        <v>0</v>
      </c>
      <c r="L700" s="15">
        <f t="shared" si="128"/>
        <v>1799</v>
      </c>
      <c r="M700" s="15" t="str">
        <f t="shared" si="129"/>
        <v/>
      </c>
      <c r="N700" s="15">
        <f t="shared" si="130"/>
        <v>1799</v>
      </c>
      <c r="O700" s="15" t="str">
        <f t="shared" si="131"/>
        <v>휘발유 71,960원</v>
      </c>
      <c r="P700" s="15">
        <f t="shared" si="132"/>
        <v>71960</v>
      </c>
      <c r="Q700" s="15"/>
      <c r="R700" s="16">
        <f t="shared" si="133"/>
        <v>0</v>
      </c>
      <c r="S700" s="15">
        <f t="shared" si="134"/>
        <v>0</v>
      </c>
      <c r="T700" s="15">
        <f t="shared" si="135"/>
        <v>71960</v>
      </c>
      <c r="U700" s="15">
        <f t="shared" si="136"/>
        <v>1799</v>
      </c>
      <c r="V700" s="15">
        <f t="shared" si="137"/>
        <v>1799</v>
      </c>
      <c r="W700" s="17">
        <f>IF($T700="",1000000000000000,$T700)</f>
        <v>71960</v>
      </c>
      <c r="XFB700" s="5"/>
      <c r="XFC700" s="3"/>
    </row>
    <row r="701" spans="1:23 16382:16383" s="5" customFormat="1" ht="28.65" customHeight="1">
      <c r="A701" s="14">
        <f t="shared" si="127"/>
        <v>624</v>
      </c>
      <c r="B701" s="14" t="s">
        <v>10</v>
      </c>
      <c r="C701" s="14" t="s">
        <v>1428</v>
      </c>
      <c r="D701" s="14" t="s">
        <v>95</v>
      </c>
      <c r="E701" s="14" t="s">
        <v>26</v>
      </c>
      <c r="F701" s="14" t="s">
        <v>1429</v>
      </c>
      <c r="G701" s="15">
        <v>1799</v>
      </c>
      <c r="H701" s="15"/>
      <c r="I701" s="15"/>
      <c r="J701" s="15">
        <v>1799</v>
      </c>
      <c r="K701" s="15">
        <f t="shared" si="138"/>
        <v>0</v>
      </c>
      <c r="L701" s="15">
        <f t="shared" si="128"/>
        <v>1799</v>
      </c>
      <c r="M701" s="15" t="str">
        <f t="shared" si="129"/>
        <v/>
      </c>
      <c r="N701" s="15">
        <f t="shared" si="130"/>
        <v>1799</v>
      </c>
      <c r="O701" s="15" t="str">
        <f t="shared" si="131"/>
        <v>휘발유 71,960원</v>
      </c>
      <c r="P701" s="15">
        <f t="shared" si="132"/>
        <v>71960</v>
      </c>
      <c r="Q701" s="15"/>
      <c r="R701" s="16">
        <f t="shared" si="133"/>
        <v>0</v>
      </c>
      <c r="S701" s="15">
        <f t="shared" si="134"/>
        <v>0</v>
      </c>
      <c r="T701" s="15">
        <f t="shared" si="135"/>
        <v>71960</v>
      </c>
      <c r="U701" s="15">
        <f t="shared" si="136"/>
        <v>1799</v>
      </c>
      <c r="V701" s="15">
        <f t="shared" si="137"/>
        <v>1799</v>
      </c>
      <c r="W701" s="17">
        <f>IF($T701="",1000000000000000,$T701)</f>
        <v>71960</v>
      </c>
      <c r="XFC701" s="3"/>
    </row>
    <row r="702" spans="1:23 16382:16383" s="19" customFormat="1" ht="28.5" customHeight="1">
      <c r="A702" s="14">
        <f t="shared" si="127"/>
        <v>624</v>
      </c>
      <c r="B702" s="14" t="s">
        <v>10</v>
      </c>
      <c r="C702" s="14" t="s">
        <v>1432</v>
      </c>
      <c r="D702" s="18" t="s">
        <v>86</v>
      </c>
      <c r="E702" s="14" t="s">
        <v>26</v>
      </c>
      <c r="F702" s="14" t="s">
        <v>1433</v>
      </c>
      <c r="G702" s="15">
        <v>1799</v>
      </c>
      <c r="H702" s="15"/>
      <c r="I702" s="15"/>
      <c r="J702" s="15">
        <v>1799</v>
      </c>
      <c r="K702" s="15">
        <f t="shared" si="138"/>
        <v>0</v>
      </c>
      <c r="L702" s="15">
        <f t="shared" si="128"/>
        <v>1799</v>
      </c>
      <c r="M702" s="15" t="str">
        <f t="shared" si="129"/>
        <v/>
      </c>
      <c r="N702" s="15">
        <f t="shared" si="130"/>
        <v>1799</v>
      </c>
      <c r="O702" s="15" t="str">
        <f t="shared" si="131"/>
        <v>휘발유 71,960원</v>
      </c>
      <c r="P702" s="15">
        <f t="shared" si="132"/>
        <v>71960</v>
      </c>
      <c r="Q702" s="15"/>
      <c r="R702" s="16">
        <f t="shared" si="133"/>
        <v>0</v>
      </c>
      <c r="S702" s="15">
        <f t="shared" si="134"/>
        <v>0</v>
      </c>
      <c r="T702" s="15">
        <f t="shared" si="135"/>
        <v>71960</v>
      </c>
      <c r="U702" s="15">
        <f t="shared" si="136"/>
        <v>1799</v>
      </c>
      <c r="V702" s="15">
        <f t="shared" si="137"/>
        <v>1799</v>
      </c>
      <c r="W702" s="17">
        <f>IF($T702="",1000000000000000,$T702)</f>
        <v>71960</v>
      </c>
      <c r="XFB702" s="5"/>
      <c r="XFC702" s="3"/>
    </row>
    <row r="703" spans="1:23 16382:16383" s="5" customFormat="1" ht="28.65" customHeight="1">
      <c r="A703" s="14">
        <f t="shared" si="127"/>
        <v>624</v>
      </c>
      <c r="B703" s="14" t="s">
        <v>10</v>
      </c>
      <c r="C703" s="14" t="s">
        <v>419</v>
      </c>
      <c r="D703" s="14" t="s">
        <v>56</v>
      </c>
      <c r="E703" s="14" t="s">
        <v>26</v>
      </c>
      <c r="F703" s="14" t="s">
        <v>1434</v>
      </c>
      <c r="G703" s="15">
        <v>1799</v>
      </c>
      <c r="H703" s="15"/>
      <c r="I703" s="15"/>
      <c r="J703" s="15">
        <v>1799</v>
      </c>
      <c r="K703" s="15">
        <f t="shared" si="138"/>
        <v>0</v>
      </c>
      <c r="L703" s="15">
        <f t="shared" si="128"/>
        <v>1799</v>
      </c>
      <c r="M703" s="15" t="str">
        <f t="shared" si="129"/>
        <v/>
      </c>
      <c r="N703" s="15">
        <f t="shared" si="130"/>
        <v>1799</v>
      </c>
      <c r="O703" s="15" t="str">
        <f t="shared" si="131"/>
        <v>휘발유 71,960원</v>
      </c>
      <c r="P703" s="15">
        <f t="shared" si="132"/>
        <v>71960</v>
      </c>
      <c r="Q703" s="15"/>
      <c r="R703" s="16">
        <f t="shared" si="133"/>
        <v>0</v>
      </c>
      <c r="S703" s="15">
        <f t="shared" si="134"/>
        <v>0</v>
      </c>
      <c r="T703" s="15">
        <f t="shared" si="135"/>
        <v>71960</v>
      </c>
      <c r="U703" s="15">
        <f t="shared" si="136"/>
        <v>1799</v>
      </c>
      <c r="V703" s="15">
        <f t="shared" si="137"/>
        <v>1799</v>
      </c>
      <c r="W703" s="17">
        <f>IF($T703="",1000000000000000,$T703)</f>
        <v>71960</v>
      </c>
      <c r="XFC703" s="3"/>
    </row>
    <row r="704" spans="1:23 16382:16383" s="19" customFormat="1" ht="28.5" customHeight="1">
      <c r="A704" s="14">
        <f t="shared" si="127"/>
        <v>624</v>
      </c>
      <c r="B704" s="14" t="s">
        <v>10</v>
      </c>
      <c r="C704" s="14" t="s">
        <v>1476</v>
      </c>
      <c r="D704" s="14" t="s">
        <v>496</v>
      </c>
      <c r="E704" s="14" t="s">
        <v>26</v>
      </c>
      <c r="F704" s="14" t="s">
        <v>1477</v>
      </c>
      <c r="G704" s="15">
        <v>1799</v>
      </c>
      <c r="H704" s="15"/>
      <c r="I704" s="15"/>
      <c r="J704" s="15">
        <v>1799</v>
      </c>
      <c r="K704" s="15">
        <f t="shared" si="138"/>
        <v>0</v>
      </c>
      <c r="L704" s="15">
        <f t="shared" si="128"/>
        <v>1799</v>
      </c>
      <c r="M704" s="15" t="str">
        <f t="shared" si="129"/>
        <v/>
      </c>
      <c r="N704" s="15">
        <f t="shared" si="130"/>
        <v>1799</v>
      </c>
      <c r="O704" s="15" t="str">
        <f t="shared" si="131"/>
        <v>휘발유 71,960원</v>
      </c>
      <c r="P704" s="15">
        <f t="shared" si="132"/>
        <v>71960</v>
      </c>
      <c r="Q704" s="15"/>
      <c r="R704" s="16">
        <f t="shared" si="133"/>
        <v>0</v>
      </c>
      <c r="S704" s="15">
        <f t="shared" si="134"/>
        <v>0</v>
      </c>
      <c r="T704" s="15">
        <f t="shared" si="135"/>
        <v>71960</v>
      </c>
      <c r="U704" s="15">
        <f t="shared" si="136"/>
        <v>1799</v>
      </c>
      <c r="V704" s="15">
        <f t="shared" si="137"/>
        <v>1799</v>
      </c>
      <c r="W704" s="17">
        <f>IF($T704="",1000000000000000,$T704)</f>
        <v>71960</v>
      </c>
      <c r="XFB704" s="5"/>
      <c r="XFC704" s="3"/>
    </row>
    <row r="705" spans="1:23 16382:16383" s="19" customFormat="1" ht="28.5" customHeight="1">
      <c r="A705" s="14">
        <f t="shared" si="127"/>
        <v>624</v>
      </c>
      <c r="B705" s="14" t="s">
        <v>10</v>
      </c>
      <c r="C705" s="14" t="s">
        <v>1215</v>
      </c>
      <c r="D705" s="14" t="s">
        <v>56</v>
      </c>
      <c r="E705" s="14" t="s">
        <v>26</v>
      </c>
      <c r="F705" s="14" t="s">
        <v>1216</v>
      </c>
      <c r="G705" s="15">
        <v>1799</v>
      </c>
      <c r="H705" s="15"/>
      <c r="I705" s="15"/>
      <c r="J705" s="15">
        <v>1799</v>
      </c>
      <c r="K705" s="15">
        <f t="shared" si="138"/>
        <v>0</v>
      </c>
      <c r="L705" s="15">
        <f t="shared" si="128"/>
        <v>1799</v>
      </c>
      <c r="M705" s="15" t="str">
        <f t="shared" si="129"/>
        <v/>
      </c>
      <c r="N705" s="15">
        <f t="shared" si="130"/>
        <v>1799</v>
      </c>
      <c r="O705" s="15" t="str">
        <f t="shared" si="131"/>
        <v>휘발유 71,960원</v>
      </c>
      <c r="P705" s="15">
        <f t="shared" si="132"/>
        <v>71960</v>
      </c>
      <c r="Q705" s="15"/>
      <c r="R705" s="16">
        <f t="shared" si="133"/>
        <v>0</v>
      </c>
      <c r="S705" s="15">
        <f t="shared" si="134"/>
        <v>0</v>
      </c>
      <c r="T705" s="15">
        <f t="shared" si="135"/>
        <v>71960</v>
      </c>
      <c r="U705" s="15">
        <f t="shared" si="136"/>
        <v>1799</v>
      </c>
      <c r="V705" s="15">
        <f t="shared" si="137"/>
        <v>1799</v>
      </c>
      <c r="W705" s="17">
        <f>IF($T705="",1000000000000000,$T705)</f>
        <v>71960</v>
      </c>
      <c r="XFB705" s="5"/>
      <c r="XFC705" s="3"/>
    </row>
    <row r="706" spans="1:23 16382:16383" s="5" customFormat="1" ht="28.65" customHeight="1">
      <c r="A706" s="14">
        <f t="shared" si="127"/>
        <v>624</v>
      </c>
      <c r="B706" s="14" t="s">
        <v>10</v>
      </c>
      <c r="C706" s="14" t="s">
        <v>1435</v>
      </c>
      <c r="D706" s="18" t="s">
        <v>86</v>
      </c>
      <c r="E706" s="14" t="s">
        <v>26</v>
      </c>
      <c r="F706" s="14" t="s">
        <v>1436</v>
      </c>
      <c r="G706" s="15">
        <v>1799</v>
      </c>
      <c r="H706" s="15"/>
      <c r="I706" s="15"/>
      <c r="J706" s="15">
        <v>1799</v>
      </c>
      <c r="K706" s="15">
        <f t="shared" si="138"/>
        <v>0</v>
      </c>
      <c r="L706" s="15">
        <f t="shared" si="128"/>
        <v>1799</v>
      </c>
      <c r="M706" s="15" t="str">
        <f t="shared" si="129"/>
        <v/>
      </c>
      <c r="N706" s="15">
        <f t="shared" si="130"/>
        <v>1799</v>
      </c>
      <c r="O706" s="15" t="str">
        <f t="shared" si="131"/>
        <v>휘발유 71,960원</v>
      </c>
      <c r="P706" s="15">
        <f t="shared" si="132"/>
        <v>71960</v>
      </c>
      <c r="Q706" s="15"/>
      <c r="R706" s="16">
        <f t="shared" si="133"/>
        <v>0</v>
      </c>
      <c r="S706" s="15">
        <f t="shared" si="134"/>
        <v>0</v>
      </c>
      <c r="T706" s="15">
        <f t="shared" si="135"/>
        <v>71960</v>
      </c>
      <c r="U706" s="15">
        <f t="shared" si="136"/>
        <v>1799</v>
      </c>
      <c r="V706" s="15">
        <f t="shared" si="137"/>
        <v>1799</v>
      </c>
      <c r="W706" s="17">
        <f>IF($T706="",1000000000000000,$T706)</f>
        <v>71960</v>
      </c>
      <c r="XFC706" s="3"/>
    </row>
    <row r="707" spans="1:23 16382:16383" s="19" customFormat="1" ht="28.5" customHeight="1">
      <c r="A707" s="14">
        <f t="shared" si="127"/>
        <v>624</v>
      </c>
      <c r="B707" s="14" t="s">
        <v>10</v>
      </c>
      <c r="C707" s="14" t="s">
        <v>1437</v>
      </c>
      <c r="D707" s="14" t="s">
        <v>496</v>
      </c>
      <c r="E707" s="14" t="s">
        <v>26</v>
      </c>
      <c r="F707" s="14" t="s">
        <v>1438</v>
      </c>
      <c r="G707" s="15">
        <v>1799</v>
      </c>
      <c r="H707" s="15"/>
      <c r="I707" s="15"/>
      <c r="J707" s="15">
        <v>1799</v>
      </c>
      <c r="K707" s="15">
        <f t="shared" si="138"/>
        <v>0</v>
      </c>
      <c r="L707" s="15">
        <f t="shared" si="128"/>
        <v>1799</v>
      </c>
      <c r="M707" s="15" t="str">
        <f t="shared" si="129"/>
        <v/>
      </c>
      <c r="N707" s="15">
        <f t="shared" si="130"/>
        <v>1799</v>
      </c>
      <c r="O707" s="15" t="str">
        <f t="shared" si="131"/>
        <v>휘발유 71,960원</v>
      </c>
      <c r="P707" s="15">
        <f t="shared" si="132"/>
        <v>71960</v>
      </c>
      <c r="Q707" s="15"/>
      <c r="R707" s="16">
        <f t="shared" si="133"/>
        <v>0</v>
      </c>
      <c r="S707" s="15">
        <f t="shared" si="134"/>
        <v>0</v>
      </c>
      <c r="T707" s="15">
        <f t="shared" si="135"/>
        <v>71960</v>
      </c>
      <c r="U707" s="15">
        <f t="shared" si="136"/>
        <v>1799</v>
      </c>
      <c r="V707" s="15">
        <f t="shared" si="137"/>
        <v>1799</v>
      </c>
      <c r="W707" s="17">
        <f>IF($T707="",1000000000000000,$T707)</f>
        <v>71960</v>
      </c>
      <c r="XFB707" s="5"/>
      <c r="XFC707" s="3"/>
    </row>
    <row r="708" spans="1:23 16382:16383" s="19" customFormat="1" ht="28.5" customHeight="1">
      <c r="A708" s="14">
        <f t="shared" si="127"/>
        <v>624</v>
      </c>
      <c r="B708" s="14" t="s">
        <v>10</v>
      </c>
      <c r="C708" s="14" t="s">
        <v>1439</v>
      </c>
      <c r="D708" s="14" t="s">
        <v>496</v>
      </c>
      <c r="E708" s="14" t="s">
        <v>63</v>
      </c>
      <c r="F708" s="14" t="s">
        <v>1440</v>
      </c>
      <c r="G708" s="15">
        <v>1799</v>
      </c>
      <c r="H708" s="15"/>
      <c r="I708" s="15"/>
      <c r="J708" s="15">
        <v>1799</v>
      </c>
      <c r="K708" s="15">
        <f t="shared" si="138"/>
        <v>0</v>
      </c>
      <c r="L708" s="15">
        <f t="shared" si="128"/>
        <v>1799</v>
      </c>
      <c r="M708" s="15" t="str">
        <f t="shared" si="129"/>
        <v/>
      </c>
      <c r="N708" s="15">
        <f t="shared" si="130"/>
        <v>1799</v>
      </c>
      <c r="O708" s="15" t="str">
        <f t="shared" si="131"/>
        <v>휘발유 71,960원</v>
      </c>
      <c r="P708" s="15">
        <f t="shared" si="132"/>
        <v>71960</v>
      </c>
      <c r="Q708" s="15"/>
      <c r="R708" s="16">
        <f t="shared" si="133"/>
        <v>0</v>
      </c>
      <c r="S708" s="15">
        <f t="shared" si="134"/>
        <v>0</v>
      </c>
      <c r="T708" s="15">
        <f t="shared" si="135"/>
        <v>71960</v>
      </c>
      <c r="U708" s="15">
        <f t="shared" si="136"/>
        <v>1799</v>
      </c>
      <c r="V708" s="15">
        <f t="shared" si="137"/>
        <v>1799</v>
      </c>
      <c r="W708" s="17">
        <f>IF($T708="",1000000000000000,$T708)</f>
        <v>71960</v>
      </c>
      <c r="XFB708" s="5"/>
      <c r="XFC708" s="3"/>
    </row>
    <row r="709" spans="1:23 16382:16383" s="19" customFormat="1" ht="28.5" customHeight="1">
      <c r="A709" s="14">
        <f t="shared" si="127"/>
        <v>624</v>
      </c>
      <c r="B709" s="14" t="s">
        <v>10</v>
      </c>
      <c r="C709" s="14" t="s">
        <v>1441</v>
      </c>
      <c r="D709" s="18" t="s">
        <v>86</v>
      </c>
      <c r="E709" s="14" t="s">
        <v>26</v>
      </c>
      <c r="F709" s="14" t="s">
        <v>1442</v>
      </c>
      <c r="G709" s="15">
        <v>1799</v>
      </c>
      <c r="H709" s="15"/>
      <c r="I709" s="15"/>
      <c r="J709" s="15">
        <v>1799</v>
      </c>
      <c r="K709" s="15">
        <f t="shared" si="138"/>
        <v>0</v>
      </c>
      <c r="L709" s="15">
        <f t="shared" si="128"/>
        <v>1799</v>
      </c>
      <c r="M709" s="15" t="str">
        <f t="shared" si="129"/>
        <v/>
      </c>
      <c r="N709" s="15">
        <f t="shared" si="130"/>
        <v>1799</v>
      </c>
      <c r="O709" s="15" t="str">
        <f t="shared" si="131"/>
        <v>휘발유 71,960원</v>
      </c>
      <c r="P709" s="15">
        <f t="shared" si="132"/>
        <v>71960</v>
      </c>
      <c r="Q709" s="15"/>
      <c r="R709" s="16">
        <f t="shared" si="133"/>
        <v>0</v>
      </c>
      <c r="S709" s="15">
        <f t="shared" si="134"/>
        <v>0</v>
      </c>
      <c r="T709" s="15">
        <f t="shared" si="135"/>
        <v>71960</v>
      </c>
      <c r="U709" s="15">
        <f t="shared" si="136"/>
        <v>1799</v>
      </c>
      <c r="V709" s="15">
        <f t="shared" si="137"/>
        <v>1799</v>
      </c>
      <c r="W709" s="17">
        <f>IF($T709="",1000000000000000,$T709)</f>
        <v>71960</v>
      </c>
      <c r="XFB709" s="5"/>
      <c r="XFC709" s="3"/>
    </row>
    <row r="710" spans="1:23 16382:16383" s="19" customFormat="1" ht="28.5" customHeight="1">
      <c r="A710" s="14">
        <f t="shared" si="127"/>
        <v>624</v>
      </c>
      <c r="B710" s="14" t="s">
        <v>10</v>
      </c>
      <c r="C710" s="14" t="s">
        <v>1443</v>
      </c>
      <c r="D710" s="18" t="s">
        <v>86</v>
      </c>
      <c r="E710" s="14" t="s">
        <v>26</v>
      </c>
      <c r="F710" s="14" t="s">
        <v>1444</v>
      </c>
      <c r="G710" s="15">
        <v>1799</v>
      </c>
      <c r="H710" s="15"/>
      <c r="I710" s="15"/>
      <c r="J710" s="15">
        <v>1799</v>
      </c>
      <c r="K710" s="15">
        <f t="shared" si="138"/>
        <v>0</v>
      </c>
      <c r="L710" s="15">
        <f t="shared" si="128"/>
        <v>1799</v>
      </c>
      <c r="M710" s="15" t="str">
        <f t="shared" si="129"/>
        <v/>
      </c>
      <c r="N710" s="15">
        <f t="shared" si="130"/>
        <v>1799</v>
      </c>
      <c r="O710" s="15" t="str">
        <f t="shared" si="131"/>
        <v>휘발유 71,960원</v>
      </c>
      <c r="P710" s="15">
        <f t="shared" si="132"/>
        <v>71960</v>
      </c>
      <c r="Q710" s="15"/>
      <c r="R710" s="16">
        <f t="shared" si="133"/>
        <v>0</v>
      </c>
      <c r="S710" s="15">
        <f t="shared" si="134"/>
        <v>0</v>
      </c>
      <c r="T710" s="15">
        <f t="shared" si="135"/>
        <v>71960</v>
      </c>
      <c r="U710" s="15">
        <f t="shared" si="136"/>
        <v>1799</v>
      </c>
      <c r="V710" s="15">
        <f t="shared" si="137"/>
        <v>1799</v>
      </c>
      <c r="W710" s="17">
        <f>IF($T710="",1000000000000000,$T710)</f>
        <v>71960</v>
      </c>
      <c r="XFB710" s="5"/>
      <c r="XFC710" s="3"/>
    </row>
    <row r="711" spans="1:23 16382:16383" s="19" customFormat="1" ht="28.5" customHeight="1">
      <c r="A711" s="14">
        <f t="shared" si="127"/>
        <v>624</v>
      </c>
      <c r="B711" s="14" t="s">
        <v>10</v>
      </c>
      <c r="C711" s="14" t="s">
        <v>1445</v>
      </c>
      <c r="D711" s="14" t="s">
        <v>45</v>
      </c>
      <c r="E711" s="14" t="s">
        <v>63</v>
      </c>
      <c r="F711" s="14" t="s">
        <v>1446</v>
      </c>
      <c r="G711" s="15">
        <v>1799</v>
      </c>
      <c r="H711" s="15"/>
      <c r="I711" s="15"/>
      <c r="J711" s="15">
        <v>1799</v>
      </c>
      <c r="K711" s="15">
        <f t="shared" si="138"/>
        <v>0</v>
      </c>
      <c r="L711" s="15">
        <f t="shared" si="128"/>
        <v>1799</v>
      </c>
      <c r="M711" s="15" t="str">
        <f t="shared" si="129"/>
        <v/>
      </c>
      <c r="N711" s="15">
        <f t="shared" si="130"/>
        <v>1799</v>
      </c>
      <c r="O711" s="15" t="str">
        <f t="shared" si="131"/>
        <v>휘발유 71,960원</v>
      </c>
      <c r="P711" s="15">
        <f t="shared" si="132"/>
        <v>71960</v>
      </c>
      <c r="Q711" s="15"/>
      <c r="R711" s="16">
        <f t="shared" si="133"/>
        <v>0</v>
      </c>
      <c r="S711" s="15">
        <f t="shared" si="134"/>
        <v>0</v>
      </c>
      <c r="T711" s="15">
        <f t="shared" si="135"/>
        <v>71960</v>
      </c>
      <c r="U711" s="15">
        <f t="shared" si="136"/>
        <v>1799</v>
      </c>
      <c r="V711" s="15">
        <f t="shared" si="137"/>
        <v>1799</v>
      </c>
      <c r="W711" s="17">
        <f>IF($T711="",1000000000000000,$T711)</f>
        <v>71960</v>
      </c>
      <c r="XFB711" s="5"/>
      <c r="XFC711" s="3"/>
    </row>
    <row r="712" spans="1:23 16382:16383" s="19" customFormat="1" ht="28.5" customHeight="1">
      <c r="A712" s="14">
        <f t="shared" si="127"/>
        <v>624</v>
      </c>
      <c r="B712" s="14" t="s">
        <v>14</v>
      </c>
      <c r="C712" s="14" t="s">
        <v>1634</v>
      </c>
      <c r="D712" s="14" t="s">
        <v>95</v>
      </c>
      <c r="E712" s="14" t="s">
        <v>26</v>
      </c>
      <c r="F712" s="14" t="s">
        <v>1635</v>
      </c>
      <c r="G712" s="15">
        <v>1799</v>
      </c>
      <c r="H712" s="15"/>
      <c r="I712" s="15"/>
      <c r="J712" s="15">
        <v>1849</v>
      </c>
      <c r="K712" s="15">
        <f t="shared" si="138"/>
        <v>0</v>
      </c>
      <c r="L712" s="15">
        <f t="shared" si="128"/>
        <v>1799</v>
      </c>
      <c r="M712" s="15" t="str">
        <f t="shared" si="129"/>
        <v/>
      </c>
      <c r="N712" s="15">
        <f t="shared" si="130"/>
        <v>1849</v>
      </c>
      <c r="O712" s="15" t="str">
        <f t="shared" si="131"/>
        <v>휘발유 71,960원</v>
      </c>
      <c r="P712" s="15">
        <f t="shared" si="132"/>
        <v>71960</v>
      </c>
      <c r="Q712" s="15"/>
      <c r="R712" s="16">
        <f t="shared" si="133"/>
        <v>0</v>
      </c>
      <c r="S712" s="15">
        <f t="shared" si="134"/>
        <v>0</v>
      </c>
      <c r="T712" s="15">
        <f t="shared" si="135"/>
        <v>71960</v>
      </c>
      <c r="U712" s="15">
        <f t="shared" si="136"/>
        <v>1799</v>
      </c>
      <c r="V712" s="15">
        <f t="shared" si="137"/>
        <v>1799</v>
      </c>
      <c r="W712" s="17">
        <f>IF($T712="",1000000000000000,$T712)</f>
        <v>71960</v>
      </c>
      <c r="XFB712" s="5"/>
      <c r="XFC712" s="3"/>
    </row>
    <row r="713" spans="1:23 16382:16383" s="19" customFormat="1" ht="28.5" customHeight="1">
      <c r="A713" s="14">
        <f t="shared" si="127"/>
        <v>624</v>
      </c>
      <c r="B713" s="14" t="s">
        <v>16</v>
      </c>
      <c r="C713" s="14" t="s">
        <v>1447</v>
      </c>
      <c r="D713" s="14" t="s">
        <v>51</v>
      </c>
      <c r="E713" s="14" t="s">
        <v>26</v>
      </c>
      <c r="F713" s="14" t="s">
        <v>1448</v>
      </c>
      <c r="G713" s="15">
        <v>1799</v>
      </c>
      <c r="H713" s="15"/>
      <c r="I713" s="15"/>
      <c r="J713" s="15">
        <v>1859</v>
      </c>
      <c r="K713" s="15">
        <f t="shared" ref="K713:K739" si="139">IF(AND(IFERROR(SEARCH("현대오일뱅크",$C713),0)&gt;0,IFERROR(SEARCH("직영",$C713),0)&gt;0),$B$13,0)</f>
        <v>0</v>
      </c>
      <c r="L713" s="15">
        <f t="shared" si="128"/>
        <v>1799</v>
      </c>
      <c r="M713" s="15" t="str">
        <f t="shared" si="129"/>
        <v/>
      </c>
      <c r="N713" s="15">
        <f t="shared" si="130"/>
        <v>1859</v>
      </c>
      <c r="O713" s="15" t="str">
        <f t="shared" si="131"/>
        <v>휘발유 71,960원</v>
      </c>
      <c r="P713" s="15">
        <f t="shared" si="132"/>
        <v>71960</v>
      </c>
      <c r="Q713" s="15"/>
      <c r="R713" s="16">
        <f t="shared" si="133"/>
        <v>0</v>
      </c>
      <c r="S713" s="15">
        <f t="shared" si="134"/>
        <v>0</v>
      </c>
      <c r="T713" s="15">
        <f t="shared" si="135"/>
        <v>71960</v>
      </c>
      <c r="U713" s="15">
        <f t="shared" si="136"/>
        <v>1799</v>
      </c>
      <c r="V713" s="15">
        <f t="shared" si="137"/>
        <v>1799</v>
      </c>
      <c r="W713" s="17">
        <f>IF($T713="",1000000000000000,$T713)</f>
        <v>71960</v>
      </c>
      <c r="XFB713" s="5"/>
      <c r="XFC713" s="3"/>
    </row>
    <row r="714" spans="1:23 16382:16383" s="19" customFormat="1" ht="28.5" customHeight="1">
      <c r="A714" s="14">
        <f t="shared" si="127"/>
        <v>624</v>
      </c>
      <c r="B714" s="14" t="s">
        <v>10</v>
      </c>
      <c r="C714" s="14" t="s">
        <v>1449</v>
      </c>
      <c r="D714" s="14" t="s">
        <v>95</v>
      </c>
      <c r="E714" s="14" t="s">
        <v>63</v>
      </c>
      <c r="F714" s="14" t="s">
        <v>1450</v>
      </c>
      <c r="G714" s="15">
        <v>1799</v>
      </c>
      <c r="H714" s="15"/>
      <c r="I714" s="15"/>
      <c r="J714" s="15">
        <v>1859</v>
      </c>
      <c r="K714" s="15">
        <f t="shared" si="139"/>
        <v>0</v>
      </c>
      <c r="L714" s="15">
        <f t="shared" si="128"/>
        <v>1799</v>
      </c>
      <c r="M714" s="15" t="str">
        <f t="shared" si="129"/>
        <v/>
      </c>
      <c r="N714" s="15">
        <f t="shared" si="130"/>
        <v>1859</v>
      </c>
      <c r="O714" s="15" t="str">
        <f t="shared" si="131"/>
        <v>휘발유 71,960원</v>
      </c>
      <c r="P714" s="15">
        <f t="shared" si="132"/>
        <v>71960</v>
      </c>
      <c r="Q714" s="15"/>
      <c r="R714" s="16">
        <f t="shared" si="133"/>
        <v>0</v>
      </c>
      <c r="S714" s="15">
        <f t="shared" si="134"/>
        <v>0</v>
      </c>
      <c r="T714" s="15">
        <f t="shared" si="135"/>
        <v>71960</v>
      </c>
      <c r="U714" s="15">
        <f t="shared" si="136"/>
        <v>1799</v>
      </c>
      <c r="V714" s="15">
        <f t="shared" si="137"/>
        <v>1799</v>
      </c>
      <c r="W714" s="17">
        <f>IF($T714="",1000000000000000,$T714)</f>
        <v>71960</v>
      </c>
      <c r="XFB714" s="5"/>
      <c r="XFC714" s="3"/>
    </row>
    <row r="715" spans="1:23 16382:16383" s="19" customFormat="1" ht="28.5" customHeight="1">
      <c r="A715" s="14">
        <f t="shared" si="127"/>
        <v>701</v>
      </c>
      <c r="B715" s="14" t="s">
        <v>10</v>
      </c>
      <c r="C715" s="14" t="s">
        <v>591</v>
      </c>
      <c r="D715" s="18" t="s">
        <v>86</v>
      </c>
      <c r="E715" s="14" t="s">
        <v>63</v>
      </c>
      <c r="F715" s="14" t="s">
        <v>1451</v>
      </c>
      <c r="G715" s="15">
        <v>1999</v>
      </c>
      <c r="H715" s="15"/>
      <c r="I715" s="15"/>
      <c r="J715" s="15">
        <v>1979</v>
      </c>
      <c r="K715" s="15">
        <f t="shared" si="139"/>
        <v>0</v>
      </c>
      <c r="L715" s="15">
        <f t="shared" si="128"/>
        <v>1999</v>
      </c>
      <c r="M715" s="15" t="str">
        <f t="shared" si="129"/>
        <v/>
      </c>
      <c r="N715" s="15">
        <f t="shared" si="130"/>
        <v>1979</v>
      </c>
      <c r="O715" s="15" t="str">
        <f t="shared" si="131"/>
        <v>휘발유 79,960원</v>
      </c>
      <c r="P715" s="15">
        <f t="shared" si="132"/>
        <v>79960</v>
      </c>
      <c r="Q715" s="15" t="s">
        <v>47</v>
      </c>
      <c r="R715" s="16">
        <f t="shared" si="133"/>
        <v>0.1</v>
      </c>
      <c r="S715" s="15">
        <f t="shared" si="134"/>
        <v>7996</v>
      </c>
      <c r="T715" s="15">
        <f t="shared" si="135"/>
        <v>71964</v>
      </c>
      <c r="U715" s="15">
        <f t="shared" si="136"/>
        <v>1799.1</v>
      </c>
      <c r="V715" s="15">
        <f t="shared" si="137"/>
        <v>1999</v>
      </c>
      <c r="W715" s="17">
        <f>IF($T715="",1000000000000000,$T715)</f>
        <v>71964</v>
      </c>
      <c r="XFB715" s="5"/>
      <c r="XFC715" s="3"/>
    </row>
    <row r="716" spans="1:23 16382:16383" s="19" customFormat="1" ht="28.5" customHeight="1">
      <c r="A716" s="14">
        <f t="shared" si="127"/>
        <v>702</v>
      </c>
      <c r="B716" s="14" t="s">
        <v>18</v>
      </c>
      <c r="C716" s="14" t="s">
        <v>1452</v>
      </c>
      <c r="D716" s="14" t="s">
        <v>496</v>
      </c>
      <c r="E716" s="14" t="s">
        <v>63</v>
      </c>
      <c r="F716" s="14" t="s">
        <v>1453</v>
      </c>
      <c r="G716" s="15">
        <v>1800</v>
      </c>
      <c r="H716" s="15"/>
      <c r="I716" s="15"/>
      <c r="J716" s="15">
        <v>1800</v>
      </c>
      <c r="K716" s="15">
        <f t="shared" si="139"/>
        <v>0</v>
      </c>
      <c r="L716" s="15">
        <f t="shared" si="128"/>
        <v>1800</v>
      </c>
      <c r="M716" s="15" t="str">
        <f t="shared" si="129"/>
        <v/>
      </c>
      <c r="N716" s="15">
        <f t="shared" si="130"/>
        <v>1800</v>
      </c>
      <c r="O716" s="15" t="str">
        <f t="shared" si="131"/>
        <v>휘발유 72,000원</v>
      </c>
      <c r="P716" s="15">
        <f t="shared" si="132"/>
        <v>72000</v>
      </c>
      <c r="Q716" s="15"/>
      <c r="R716" s="16">
        <f t="shared" si="133"/>
        <v>0</v>
      </c>
      <c r="S716" s="15">
        <f t="shared" si="134"/>
        <v>0</v>
      </c>
      <c r="T716" s="15">
        <f t="shared" si="135"/>
        <v>72000</v>
      </c>
      <c r="U716" s="15">
        <f t="shared" si="136"/>
        <v>1800</v>
      </c>
      <c r="V716" s="15">
        <f t="shared" si="137"/>
        <v>1800</v>
      </c>
      <c r="W716" s="17">
        <f>IF($T716="",1000000000000000,$T716)</f>
        <v>72000</v>
      </c>
      <c r="XFB716" s="5"/>
      <c r="XFC716" s="3"/>
    </row>
    <row r="717" spans="1:23 16382:16383" s="19" customFormat="1" ht="28.5" customHeight="1">
      <c r="A717" s="14">
        <f t="shared" si="127"/>
        <v>702</v>
      </c>
      <c r="B717" s="14" t="s">
        <v>10</v>
      </c>
      <c r="C717" s="14" t="s">
        <v>1454</v>
      </c>
      <c r="D717" s="18" t="s">
        <v>86</v>
      </c>
      <c r="E717" s="14" t="s">
        <v>63</v>
      </c>
      <c r="F717" s="14" t="s">
        <v>1455</v>
      </c>
      <c r="G717" s="15">
        <v>1800</v>
      </c>
      <c r="H717" s="15"/>
      <c r="I717" s="15"/>
      <c r="J717" s="15">
        <v>1800</v>
      </c>
      <c r="K717" s="15">
        <f t="shared" si="139"/>
        <v>0</v>
      </c>
      <c r="L717" s="15">
        <f t="shared" si="128"/>
        <v>1800</v>
      </c>
      <c r="M717" s="15" t="str">
        <f t="shared" si="129"/>
        <v/>
      </c>
      <c r="N717" s="15">
        <f t="shared" si="130"/>
        <v>1800</v>
      </c>
      <c r="O717" s="15" t="str">
        <f t="shared" si="131"/>
        <v>휘발유 72,000원</v>
      </c>
      <c r="P717" s="15">
        <f t="shared" si="132"/>
        <v>72000</v>
      </c>
      <c r="Q717" s="15"/>
      <c r="R717" s="16">
        <f t="shared" si="133"/>
        <v>0</v>
      </c>
      <c r="S717" s="15">
        <f t="shared" si="134"/>
        <v>0</v>
      </c>
      <c r="T717" s="15">
        <f t="shared" si="135"/>
        <v>72000</v>
      </c>
      <c r="U717" s="15">
        <f t="shared" si="136"/>
        <v>1800</v>
      </c>
      <c r="V717" s="15">
        <f t="shared" si="137"/>
        <v>1800</v>
      </c>
      <c r="W717" s="17">
        <f>IF($T717="",1000000000000000,$T717)</f>
        <v>72000</v>
      </c>
      <c r="XFB717" s="5"/>
      <c r="XFC717" s="3"/>
    </row>
    <row r="718" spans="1:23 16382:16383" s="19" customFormat="1" ht="28.5" customHeight="1">
      <c r="A718" s="14">
        <f t="shared" si="127"/>
        <v>702</v>
      </c>
      <c r="B718" s="14" t="s">
        <v>16</v>
      </c>
      <c r="C718" s="14" t="s">
        <v>1713</v>
      </c>
      <c r="D718" s="14" t="s">
        <v>496</v>
      </c>
      <c r="E718" s="14" t="s">
        <v>26</v>
      </c>
      <c r="F718" s="14" t="s">
        <v>1714</v>
      </c>
      <c r="G718" s="15">
        <v>1800</v>
      </c>
      <c r="H718" s="15"/>
      <c r="I718" s="15"/>
      <c r="J718" s="15">
        <v>1810</v>
      </c>
      <c r="K718" s="15">
        <f t="shared" si="139"/>
        <v>0</v>
      </c>
      <c r="L718" s="15">
        <f t="shared" si="128"/>
        <v>1800</v>
      </c>
      <c r="M718" s="15" t="str">
        <f t="shared" si="129"/>
        <v/>
      </c>
      <c r="N718" s="15">
        <f t="shared" si="130"/>
        <v>1810</v>
      </c>
      <c r="O718" s="15" t="str">
        <f t="shared" si="131"/>
        <v>휘발유 72,000원</v>
      </c>
      <c r="P718" s="15">
        <f t="shared" si="132"/>
        <v>72000</v>
      </c>
      <c r="Q718" s="15"/>
      <c r="R718" s="16">
        <f t="shared" si="133"/>
        <v>0</v>
      </c>
      <c r="S718" s="15">
        <f t="shared" si="134"/>
        <v>0</v>
      </c>
      <c r="T718" s="15">
        <f t="shared" si="135"/>
        <v>72000</v>
      </c>
      <c r="U718" s="15">
        <f t="shared" si="136"/>
        <v>1800</v>
      </c>
      <c r="V718" s="15">
        <f t="shared" si="137"/>
        <v>1800</v>
      </c>
      <c r="W718" s="17">
        <f>IF($T718="",1000000000000000,$T718)</f>
        <v>72000</v>
      </c>
      <c r="XFB718" s="5"/>
      <c r="XFC718" s="3"/>
    </row>
    <row r="719" spans="1:23 16382:16383" s="4" customFormat="1" ht="28.5" customHeight="1">
      <c r="A719" s="14">
        <f t="shared" ref="A719:A782" si="140">IF($T719="","",1+COUNTIF($W$15:$W$890,"&lt;"&amp;W719))</f>
        <v>702</v>
      </c>
      <c r="B719" s="14" t="s">
        <v>8</v>
      </c>
      <c r="C719" s="14" t="s">
        <v>1458</v>
      </c>
      <c r="D719" s="14" t="s">
        <v>496</v>
      </c>
      <c r="E719" s="14" t="s">
        <v>63</v>
      </c>
      <c r="F719" s="14" t="s">
        <v>1459</v>
      </c>
      <c r="G719" s="15">
        <v>1800</v>
      </c>
      <c r="H719" s="15"/>
      <c r="I719" s="15"/>
      <c r="J719" s="15">
        <v>1890</v>
      </c>
      <c r="K719" s="15">
        <f t="shared" si="139"/>
        <v>0</v>
      </c>
      <c r="L719" s="15">
        <f t="shared" ref="L719:L782" si="141">IF($G719="","",$G719+$K719)</f>
        <v>1800</v>
      </c>
      <c r="M719" s="15" t="str">
        <f t="shared" ref="M719:M782" si="142">IF($H719="","",$H719+$K719)</f>
        <v/>
      </c>
      <c r="N719" s="15">
        <f t="shared" ref="N719:N782" si="143">IF($J719="","",$J719+$K719)</f>
        <v>1890</v>
      </c>
      <c r="O719" s="15" t="str">
        <f t="shared" ref="O719:O782" si="144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>휘발유 72,000원</v>
      </c>
      <c r="P719" s="15">
        <f t="shared" ref="P719:P782" si="145">IF($B$10=0,"",IFERROR(IF($B$4&gt;0,IF($L719="",1/0,$L719*$B$4),0)+IF($B$5&gt;0,IF($M719="",1/0,$M719*$B$5),0)+IF($B$6&gt;0,IF($N719="",1/0,$N719*$B$6),0),""))</f>
        <v>72000</v>
      </c>
      <c r="Q719" s="15"/>
      <c r="R719" s="16">
        <f t="shared" ref="R719:R782" si="146">IF($P719="","",IF($Q719="Y",IFERROR(VLOOKUP($B719,$C$4:$D$13,2,FALSE()),0),0))</f>
        <v>0</v>
      </c>
      <c r="S719" s="15">
        <f t="shared" ref="S719:S782" si="147">IF($P719="","",ROUNDDOWN($P719*$R719,0))</f>
        <v>0</v>
      </c>
      <c r="T719" s="15">
        <f t="shared" ref="T719:T782" si="148">IF($P719="","",$P719-$S719)</f>
        <v>72000</v>
      </c>
      <c r="U719" s="15">
        <f t="shared" ref="U719:U782" si="149">IF($T719="","",IF($B$10=0,"",$T719/$B$10))</f>
        <v>1800</v>
      </c>
      <c r="V719" s="15">
        <f t="shared" si="137"/>
        <v>1800</v>
      </c>
      <c r="W719" s="17">
        <f>IF($T719="",1000000000000000,$T719)</f>
        <v>72000</v>
      </c>
      <c r="XFB719" s="5"/>
      <c r="XFC719" s="3"/>
    </row>
    <row r="720" spans="1:23 16382:16383" s="19" customFormat="1" ht="28.5" customHeight="1">
      <c r="A720" s="14">
        <f t="shared" si="140"/>
        <v>706</v>
      </c>
      <c r="B720" s="14" t="s">
        <v>12</v>
      </c>
      <c r="C720" s="14" t="s">
        <v>320</v>
      </c>
      <c r="D720" s="18" t="s">
        <v>51</v>
      </c>
      <c r="E720" s="14" t="s">
        <v>26</v>
      </c>
      <c r="F720" s="14" t="s">
        <v>321</v>
      </c>
      <c r="G720" s="15">
        <v>1805</v>
      </c>
      <c r="H720" s="15">
        <v>2088</v>
      </c>
      <c r="I720" s="15"/>
      <c r="J720" s="15">
        <v>1770</v>
      </c>
      <c r="K720" s="15">
        <f t="shared" si="139"/>
        <v>0</v>
      </c>
      <c r="L720" s="15">
        <f t="shared" si="141"/>
        <v>1805</v>
      </c>
      <c r="M720" s="15">
        <f t="shared" si="142"/>
        <v>2088</v>
      </c>
      <c r="N720" s="15">
        <f t="shared" si="143"/>
        <v>1770</v>
      </c>
      <c r="O720" s="15" t="str">
        <f t="shared" si="144"/>
        <v>휘발유 72,200원</v>
      </c>
      <c r="P720" s="15">
        <f t="shared" si="145"/>
        <v>72200</v>
      </c>
      <c r="Q720" s="15"/>
      <c r="R720" s="16">
        <f t="shared" si="146"/>
        <v>0</v>
      </c>
      <c r="S720" s="15">
        <f t="shared" si="147"/>
        <v>0</v>
      </c>
      <c r="T720" s="15">
        <f t="shared" si="148"/>
        <v>72200</v>
      </c>
      <c r="U720" s="15">
        <f t="shared" si="149"/>
        <v>1805</v>
      </c>
      <c r="V720" s="15">
        <f t="shared" si="137"/>
        <v>1805</v>
      </c>
      <c r="W720" s="17">
        <f>IF($T720="",1000000000000000,$T720)</f>
        <v>72200</v>
      </c>
      <c r="XFB720" s="5"/>
      <c r="XFC720" s="3"/>
    </row>
    <row r="721" spans="1:23 16382:16383" s="19" customFormat="1" ht="28.5" customHeight="1">
      <c r="A721" s="14">
        <f t="shared" si="140"/>
        <v>706</v>
      </c>
      <c r="B721" s="14" t="s">
        <v>10</v>
      </c>
      <c r="C721" s="14" t="s">
        <v>1222</v>
      </c>
      <c r="D721" s="14" t="s">
        <v>45</v>
      </c>
      <c r="E721" s="14" t="s">
        <v>26</v>
      </c>
      <c r="F721" s="14" t="s">
        <v>1223</v>
      </c>
      <c r="G721" s="15">
        <v>1805</v>
      </c>
      <c r="H721" s="15"/>
      <c r="I721" s="15"/>
      <c r="J721" s="15">
        <v>1795</v>
      </c>
      <c r="K721" s="15">
        <f t="shared" si="139"/>
        <v>0</v>
      </c>
      <c r="L721" s="15">
        <f t="shared" si="141"/>
        <v>1805</v>
      </c>
      <c r="M721" s="15" t="str">
        <f t="shared" si="142"/>
        <v/>
      </c>
      <c r="N721" s="15">
        <f t="shared" si="143"/>
        <v>1795</v>
      </c>
      <c r="O721" s="15" t="str">
        <f t="shared" si="144"/>
        <v>휘발유 72,200원</v>
      </c>
      <c r="P721" s="15">
        <f t="shared" si="145"/>
        <v>72200</v>
      </c>
      <c r="Q721" s="15"/>
      <c r="R721" s="16">
        <f t="shared" si="146"/>
        <v>0</v>
      </c>
      <c r="S721" s="15">
        <f t="shared" si="147"/>
        <v>0</v>
      </c>
      <c r="T721" s="15">
        <f t="shared" si="148"/>
        <v>72200</v>
      </c>
      <c r="U721" s="15">
        <f t="shared" si="149"/>
        <v>1805</v>
      </c>
      <c r="V721" s="15">
        <f t="shared" si="137"/>
        <v>1805</v>
      </c>
      <c r="W721" s="17">
        <f>IF($T721="",1000000000000000,$T721)</f>
        <v>72200</v>
      </c>
      <c r="XFB721" s="5"/>
      <c r="XFC721" s="3"/>
    </row>
    <row r="722" spans="1:23 16382:16383" s="19" customFormat="1" ht="28.5" customHeight="1">
      <c r="A722" s="14">
        <f t="shared" si="140"/>
        <v>706</v>
      </c>
      <c r="B722" s="14" t="s">
        <v>16</v>
      </c>
      <c r="C722" s="14" t="s">
        <v>1242</v>
      </c>
      <c r="D722" s="14" t="s">
        <v>389</v>
      </c>
      <c r="E722" s="14" t="s">
        <v>26</v>
      </c>
      <c r="F722" s="14" t="s">
        <v>1243</v>
      </c>
      <c r="G722" s="15">
        <v>1805</v>
      </c>
      <c r="H722" s="15"/>
      <c r="I722" s="15"/>
      <c r="J722" s="15">
        <v>1800</v>
      </c>
      <c r="K722" s="15">
        <f t="shared" si="139"/>
        <v>0</v>
      </c>
      <c r="L722" s="15">
        <f t="shared" si="141"/>
        <v>1805</v>
      </c>
      <c r="M722" s="15" t="str">
        <f t="shared" si="142"/>
        <v/>
      </c>
      <c r="N722" s="15">
        <f t="shared" si="143"/>
        <v>1800</v>
      </c>
      <c r="O722" s="15" t="str">
        <f t="shared" si="144"/>
        <v>휘발유 72,200원</v>
      </c>
      <c r="P722" s="15">
        <f t="shared" si="145"/>
        <v>72200</v>
      </c>
      <c r="Q722" s="15"/>
      <c r="R722" s="16">
        <f t="shared" si="146"/>
        <v>0</v>
      </c>
      <c r="S722" s="15">
        <f t="shared" si="147"/>
        <v>0</v>
      </c>
      <c r="T722" s="15">
        <f t="shared" si="148"/>
        <v>72200</v>
      </c>
      <c r="U722" s="15">
        <f t="shared" si="149"/>
        <v>1805</v>
      </c>
      <c r="V722" s="15">
        <f t="shared" si="137"/>
        <v>1805</v>
      </c>
      <c r="W722" s="17">
        <f>IF($T722="",1000000000000000,$T722)</f>
        <v>72200</v>
      </c>
      <c r="XFB722" s="5"/>
      <c r="XFC722" s="3"/>
    </row>
    <row r="723" spans="1:23 16382:16383" s="19" customFormat="1" ht="28.5" customHeight="1">
      <c r="A723" s="14">
        <f t="shared" si="140"/>
        <v>709</v>
      </c>
      <c r="B723" s="14" t="s">
        <v>10</v>
      </c>
      <c r="C723" s="14" t="s">
        <v>1492</v>
      </c>
      <c r="D723" s="14" t="s">
        <v>95</v>
      </c>
      <c r="E723" s="14" t="s">
        <v>26</v>
      </c>
      <c r="F723" s="14" t="s">
        <v>1493</v>
      </c>
      <c r="G723" s="15">
        <v>1808</v>
      </c>
      <c r="H723" s="15"/>
      <c r="I723" s="15"/>
      <c r="J723" s="15">
        <v>1798</v>
      </c>
      <c r="K723" s="15">
        <f t="shared" si="139"/>
        <v>0</v>
      </c>
      <c r="L723" s="15">
        <f t="shared" si="141"/>
        <v>1808</v>
      </c>
      <c r="M723" s="15" t="str">
        <f t="shared" si="142"/>
        <v/>
      </c>
      <c r="N723" s="15">
        <f t="shared" si="143"/>
        <v>1798</v>
      </c>
      <c r="O723" s="15" t="str">
        <f t="shared" si="144"/>
        <v>휘발유 72,320원</v>
      </c>
      <c r="P723" s="15">
        <f t="shared" si="145"/>
        <v>72320</v>
      </c>
      <c r="Q723" s="15"/>
      <c r="R723" s="16">
        <f t="shared" si="146"/>
        <v>0</v>
      </c>
      <c r="S723" s="15">
        <f t="shared" si="147"/>
        <v>0</v>
      </c>
      <c r="T723" s="15">
        <f t="shared" si="148"/>
        <v>72320</v>
      </c>
      <c r="U723" s="15">
        <f t="shared" si="149"/>
        <v>1808</v>
      </c>
      <c r="V723" s="15">
        <f t="shared" si="137"/>
        <v>1808</v>
      </c>
      <c r="W723" s="17">
        <f>IF($T723="",1000000000000000,$T723)</f>
        <v>72320</v>
      </c>
      <c r="XFB723" s="5"/>
      <c r="XFC723" s="3"/>
    </row>
    <row r="724" spans="1:23 16382:16383" s="19" customFormat="1" ht="28.5" customHeight="1">
      <c r="A724" s="14">
        <f t="shared" si="140"/>
        <v>710</v>
      </c>
      <c r="B724" s="14" t="s">
        <v>18</v>
      </c>
      <c r="C724" s="14" t="s">
        <v>1464</v>
      </c>
      <c r="D724" s="14" t="s">
        <v>45</v>
      </c>
      <c r="E724" s="14" t="s">
        <v>63</v>
      </c>
      <c r="F724" s="14" t="s">
        <v>1465</v>
      </c>
      <c r="G724" s="15">
        <v>1809</v>
      </c>
      <c r="H724" s="15"/>
      <c r="I724" s="15"/>
      <c r="J724" s="15">
        <v>1779</v>
      </c>
      <c r="K724" s="15">
        <f t="shared" si="139"/>
        <v>0</v>
      </c>
      <c r="L724" s="15">
        <f t="shared" si="141"/>
        <v>1809</v>
      </c>
      <c r="M724" s="15" t="str">
        <f t="shared" si="142"/>
        <v/>
      </c>
      <c r="N724" s="15">
        <f t="shared" si="143"/>
        <v>1779</v>
      </c>
      <c r="O724" s="15" t="str">
        <f t="shared" si="144"/>
        <v>휘발유 72,360원</v>
      </c>
      <c r="P724" s="15">
        <f t="shared" si="145"/>
        <v>72360</v>
      </c>
      <c r="Q724" s="15"/>
      <c r="R724" s="16">
        <f t="shared" si="146"/>
        <v>0</v>
      </c>
      <c r="S724" s="15">
        <f t="shared" si="147"/>
        <v>0</v>
      </c>
      <c r="T724" s="15">
        <f t="shared" si="148"/>
        <v>72360</v>
      </c>
      <c r="U724" s="15">
        <f t="shared" si="149"/>
        <v>1809</v>
      </c>
      <c r="V724" s="15">
        <f t="shared" si="137"/>
        <v>1809</v>
      </c>
      <c r="W724" s="17">
        <f>IF($T724="",1000000000000000,$T724)</f>
        <v>72360</v>
      </c>
      <c r="XFB724" s="5"/>
      <c r="XFC724" s="3"/>
    </row>
    <row r="725" spans="1:23 16382:16383" s="19" customFormat="1" ht="28.5" customHeight="1">
      <c r="A725" s="14">
        <f t="shared" si="140"/>
        <v>710</v>
      </c>
      <c r="B725" s="14" t="s">
        <v>10</v>
      </c>
      <c r="C725" s="14" t="s">
        <v>1466</v>
      </c>
      <c r="D725" s="14" t="s">
        <v>95</v>
      </c>
      <c r="E725" s="14" t="s">
        <v>26</v>
      </c>
      <c r="F725" s="14" t="s">
        <v>1467</v>
      </c>
      <c r="G725" s="15">
        <v>1809</v>
      </c>
      <c r="H725" s="15"/>
      <c r="I725" s="15"/>
      <c r="J725" s="15">
        <v>1799</v>
      </c>
      <c r="K725" s="15">
        <f t="shared" si="139"/>
        <v>0</v>
      </c>
      <c r="L725" s="15">
        <f t="shared" si="141"/>
        <v>1809</v>
      </c>
      <c r="M725" s="15" t="str">
        <f t="shared" si="142"/>
        <v/>
      </c>
      <c r="N725" s="15">
        <f t="shared" si="143"/>
        <v>1799</v>
      </c>
      <c r="O725" s="15" t="str">
        <f t="shared" si="144"/>
        <v>휘발유 72,360원</v>
      </c>
      <c r="P725" s="15">
        <f t="shared" si="145"/>
        <v>72360</v>
      </c>
      <c r="Q725" s="15"/>
      <c r="R725" s="16">
        <f t="shared" si="146"/>
        <v>0</v>
      </c>
      <c r="S725" s="15">
        <f t="shared" si="147"/>
        <v>0</v>
      </c>
      <c r="T725" s="15">
        <f t="shared" si="148"/>
        <v>72360</v>
      </c>
      <c r="U725" s="15">
        <f t="shared" si="149"/>
        <v>1809</v>
      </c>
      <c r="V725" s="15">
        <f t="shared" si="137"/>
        <v>1809</v>
      </c>
      <c r="W725" s="17">
        <f>IF($T725="",1000000000000000,$T725)</f>
        <v>72360</v>
      </c>
      <c r="XFB725" s="5"/>
      <c r="XFC725" s="3"/>
    </row>
    <row r="726" spans="1:23 16382:16383" s="19" customFormat="1" ht="28.5" customHeight="1">
      <c r="A726" s="14">
        <f t="shared" si="140"/>
        <v>712</v>
      </c>
      <c r="B726" s="14" t="s">
        <v>16</v>
      </c>
      <c r="C726" s="14" t="s">
        <v>304</v>
      </c>
      <c r="D726" s="14" t="s">
        <v>56</v>
      </c>
      <c r="E726" s="14" t="s">
        <v>26</v>
      </c>
      <c r="F726" s="14" t="s">
        <v>305</v>
      </c>
      <c r="G726" s="15">
        <v>1810</v>
      </c>
      <c r="H726" s="15">
        <v>2060</v>
      </c>
      <c r="I726" s="15"/>
      <c r="J726" s="15">
        <v>1820</v>
      </c>
      <c r="K726" s="15">
        <f t="shared" si="139"/>
        <v>0</v>
      </c>
      <c r="L726" s="15">
        <f t="shared" si="141"/>
        <v>1810</v>
      </c>
      <c r="M726" s="15">
        <f t="shared" si="142"/>
        <v>2060</v>
      </c>
      <c r="N726" s="15">
        <f t="shared" si="143"/>
        <v>1820</v>
      </c>
      <c r="O726" s="15" t="str">
        <f t="shared" si="144"/>
        <v>휘발유 72,400원</v>
      </c>
      <c r="P726" s="15">
        <f t="shared" si="145"/>
        <v>72400</v>
      </c>
      <c r="Q726" s="15"/>
      <c r="R726" s="16">
        <f t="shared" si="146"/>
        <v>0</v>
      </c>
      <c r="S726" s="15">
        <f t="shared" si="147"/>
        <v>0</v>
      </c>
      <c r="T726" s="15">
        <f t="shared" si="148"/>
        <v>72400</v>
      </c>
      <c r="U726" s="15">
        <f t="shared" si="149"/>
        <v>1810</v>
      </c>
      <c r="V726" s="15">
        <f t="shared" si="137"/>
        <v>1810</v>
      </c>
      <c r="W726" s="17">
        <f>IF($T726="",1000000000000000,$T726)</f>
        <v>72400</v>
      </c>
      <c r="XFB726" s="5"/>
      <c r="XFC726" s="3"/>
    </row>
    <row r="727" spans="1:23 16382:16383" s="19" customFormat="1" ht="28.5" customHeight="1">
      <c r="A727" s="14">
        <f t="shared" si="140"/>
        <v>712</v>
      </c>
      <c r="B727" s="14" t="s">
        <v>18</v>
      </c>
      <c r="C727" s="14" t="s">
        <v>1470</v>
      </c>
      <c r="D727" s="14" t="s">
        <v>45</v>
      </c>
      <c r="E727" s="14" t="s">
        <v>63</v>
      </c>
      <c r="F727" s="14" t="s">
        <v>1471</v>
      </c>
      <c r="G727" s="15">
        <v>1810</v>
      </c>
      <c r="H727" s="15"/>
      <c r="I727" s="15"/>
      <c r="J727" s="15">
        <v>1800</v>
      </c>
      <c r="K727" s="15">
        <f t="shared" si="139"/>
        <v>0</v>
      </c>
      <c r="L727" s="15">
        <f t="shared" si="141"/>
        <v>1810</v>
      </c>
      <c r="M727" s="15" t="str">
        <f t="shared" si="142"/>
        <v/>
      </c>
      <c r="N727" s="15">
        <f t="shared" si="143"/>
        <v>1800</v>
      </c>
      <c r="O727" s="15" t="str">
        <f t="shared" si="144"/>
        <v>휘발유 72,400원</v>
      </c>
      <c r="P727" s="15">
        <f t="shared" si="145"/>
        <v>72400</v>
      </c>
      <c r="Q727" s="15"/>
      <c r="R727" s="16">
        <f t="shared" si="146"/>
        <v>0</v>
      </c>
      <c r="S727" s="15">
        <f t="shared" si="147"/>
        <v>0</v>
      </c>
      <c r="T727" s="15">
        <f t="shared" si="148"/>
        <v>72400</v>
      </c>
      <c r="U727" s="15">
        <f t="shared" si="149"/>
        <v>1810</v>
      </c>
      <c r="V727" s="15">
        <f t="shared" ref="V727:V790" si="150">IF($P727="","",IF($B$10=0,"",$P727/$B$10))</f>
        <v>1810</v>
      </c>
      <c r="W727" s="17">
        <f>IF($T727="",1000000000000000,$T727)</f>
        <v>72400</v>
      </c>
      <c r="XFB727" s="5"/>
      <c r="XFC727" s="3"/>
    </row>
    <row r="728" spans="1:23 16382:16383" s="5" customFormat="1" ht="28.65" customHeight="1">
      <c r="A728" s="14">
        <f t="shared" si="140"/>
        <v>712</v>
      </c>
      <c r="B728" s="14" t="s">
        <v>18</v>
      </c>
      <c r="C728" s="14" t="s">
        <v>1472</v>
      </c>
      <c r="D728" s="14" t="s">
        <v>45</v>
      </c>
      <c r="E728" s="14" t="s">
        <v>63</v>
      </c>
      <c r="F728" s="14" t="s">
        <v>1473</v>
      </c>
      <c r="G728" s="15">
        <v>1810</v>
      </c>
      <c r="H728" s="15"/>
      <c r="I728" s="15"/>
      <c r="J728" s="15">
        <v>1805</v>
      </c>
      <c r="K728" s="15">
        <f t="shared" si="139"/>
        <v>0</v>
      </c>
      <c r="L728" s="15">
        <f t="shared" si="141"/>
        <v>1810</v>
      </c>
      <c r="M728" s="15" t="str">
        <f t="shared" si="142"/>
        <v/>
      </c>
      <c r="N728" s="15">
        <f t="shared" si="143"/>
        <v>1805</v>
      </c>
      <c r="O728" s="15" t="str">
        <f t="shared" si="144"/>
        <v>휘발유 72,400원</v>
      </c>
      <c r="P728" s="15">
        <f t="shared" si="145"/>
        <v>72400</v>
      </c>
      <c r="Q728" s="15"/>
      <c r="R728" s="16">
        <f t="shared" si="146"/>
        <v>0</v>
      </c>
      <c r="S728" s="15">
        <f t="shared" si="147"/>
        <v>0</v>
      </c>
      <c r="T728" s="15">
        <f t="shared" si="148"/>
        <v>72400</v>
      </c>
      <c r="U728" s="15">
        <f t="shared" si="149"/>
        <v>1810</v>
      </c>
      <c r="V728" s="15">
        <f t="shared" si="150"/>
        <v>1810</v>
      </c>
      <c r="W728" s="17">
        <f>IF($T728="",1000000000000000,$T728)</f>
        <v>72400</v>
      </c>
      <c r="XFC728" s="3"/>
    </row>
    <row r="729" spans="1:23 16382:16383" s="5" customFormat="1" ht="28.65" customHeight="1">
      <c r="A729" s="14">
        <f t="shared" si="140"/>
        <v>712</v>
      </c>
      <c r="B729" s="14" t="s">
        <v>18</v>
      </c>
      <c r="C729" s="14" t="s">
        <v>1474</v>
      </c>
      <c r="D729" s="14" t="s">
        <v>496</v>
      </c>
      <c r="E729" s="14" t="s">
        <v>63</v>
      </c>
      <c r="F729" s="14" t="s">
        <v>1475</v>
      </c>
      <c r="G729" s="15">
        <v>1810</v>
      </c>
      <c r="H729" s="15"/>
      <c r="I729" s="15"/>
      <c r="J729" s="15">
        <v>1805</v>
      </c>
      <c r="K729" s="15">
        <f t="shared" si="139"/>
        <v>0</v>
      </c>
      <c r="L729" s="15">
        <f t="shared" si="141"/>
        <v>1810</v>
      </c>
      <c r="M729" s="15" t="str">
        <f t="shared" si="142"/>
        <v/>
      </c>
      <c r="N729" s="15">
        <f t="shared" si="143"/>
        <v>1805</v>
      </c>
      <c r="O729" s="15" t="str">
        <f t="shared" si="144"/>
        <v>휘발유 72,400원</v>
      </c>
      <c r="P729" s="15">
        <f t="shared" si="145"/>
        <v>72400</v>
      </c>
      <c r="Q729" s="15"/>
      <c r="R729" s="16">
        <f t="shared" si="146"/>
        <v>0</v>
      </c>
      <c r="S729" s="15">
        <f t="shared" si="147"/>
        <v>0</v>
      </c>
      <c r="T729" s="15">
        <f t="shared" si="148"/>
        <v>72400</v>
      </c>
      <c r="U729" s="15">
        <f t="shared" si="149"/>
        <v>1810</v>
      </c>
      <c r="V729" s="15">
        <f t="shared" si="150"/>
        <v>1810</v>
      </c>
      <c r="W729" s="17">
        <f>IF($T729="",1000000000000000,$T729)</f>
        <v>72400</v>
      </c>
      <c r="XFC729" s="3"/>
    </row>
    <row r="730" spans="1:23 16382:16383" s="19" customFormat="1" ht="28.5" customHeight="1">
      <c r="A730" s="14">
        <f t="shared" si="140"/>
        <v>712</v>
      </c>
      <c r="B730" s="14" t="s">
        <v>16</v>
      </c>
      <c r="C730" s="14" t="s">
        <v>1478</v>
      </c>
      <c r="D730" s="14" t="s">
        <v>496</v>
      </c>
      <c r="E730" s="14" t="s">
        <v>63</v>
      </c>
      <c r="F730" s="14" t="s">
        <v>1479</v>
      </c>
      <c r="G730" s="15">
        <v>1810</v>
      </c>
      <c r="H730" s="15"/>
      <c r="I730" s="15"/>
      <c r="J730" s="15">
        <v>1810</v>
      </c>
      <c r="K730" s="15">
        <f t="shared" si="139"/>
        <v>0</v>
      </c>
      <c r="L730" s="15">
        <f t="shared" si="141"/>
        <v>1810</v>
      </c>
      <c r="M730" s="15" t="str">
        <f t="shared" si="142"/>
        <v/>
      </c>
      <c r="N730" s="15">
        <f t="shared" si="143"/>
        <v>1810</v>
      </c>
      <c r="O730" s="15" t="str">
        <f t="shared" si="144"/>
        <v>휘발유 72,400원</v>
      </c>
      <c r="P730" s="15">
        <f t="shared" si="145"/>
        <v>72400</v>
      </c>
      <c r="Q730" s="15"/>
      <c r="R730" s="16">
        <f t="shared" si="146"/>
        <v>0</v>
      </c>
      <c r="S730" s="15">
        <f t="shared" si="147"/>
        <v>0</v>
      </c>
      <c r="T730" s="15">
        <f t="shared" si="148"/>
        <v>72400</v>
      </c>
      <c r="U730" s="15">
        <f t="shared" si="149"/>
        <v>1810</v>
      </c>
      <c r="V730" s="15">
        <f t="shared" si="150"/>
        <v>1810</v>
      </c>
      <c r="W730" s="17">
        <f>IF($T730="",1000000000000000,$T730)</f>
        <v>72400</v>
      </c>
      <c r="XFB730" s="5"/>
      <c r="XFC730" s="3"/>
    </row>
    <row r="731" spans="1:23 16382:16383" s="4" customFormat="1" ht="28.5" customHeight="1">
      <c r="A731" s="14">
        <f t="shared" si="140"/>
        <v>712</v>
      </c>
      <c r="B731" s="14" t="s">
        <v>16</v>
      </c>
      <c r="C731" s="14" t="s">
        <v>1480</v>
      </c>
      <c r="D731" s="14" t="s">
        <v>496</v>
      </c>
      <c r="E731" s="14" t="s">
        <v>63</v>
      </c>
      <c r="F731" s="14" t="s">
        <v>1481</v>
      </c>
      <c r="G731" s="15">
        <v>1810</v>
      </c>
      <c r="H731" s="15"/>
      <c r="I731" s="15"/>
      <c r="J731" s="15">
        <v>1810</v>
      </c>
      <c r="K731" s="15">
        <f t="shared" si="139"/>
        <v>0</v>
      </c>
      <c r="L731" s="15">
        <f t="shared" si="141"/>
        <v>1810</v>
      </c>
      <c r="M731" s="15" t="str">
        <f t="shared" si="142"/>
        <v/>
      </c>
      <c r="N731" s="15">
        <f t="shared" si="143"/>
        <v>1810</v>
      </c>
      <c r="O731" s="15" t="str">
        <f t="shared" si="144"/>
        <v>휘발유 72,400원</v>
      </c>
      <c r="P731" s="15">
        <f t="shared" si="145"/>
        <v>72400</v>
      </c>
      <c r="Q731" s="15"/>
      <c r="R731" s="16">
        <f t="shared" si="146"/>
        <v>0</v>
      </c>
      <c r="S731" s="15">
        <f t="shared" si="147"/>
        <v>0</v>
      </c>
      <c r="T731" s="15">
        <f t="shared" si="148"/>
        <v>72400</v>
      </c>
      <c r="U731" s="15">
        <f t="shared" si="149"/>
        <v>1810</v>
      </c>
      <c r="V731" s="15">
        <f t="shared" si="150"/>
        <v>1810</v>
      </c>
      <c r="W731" s="17">
        <f>IF($T731="",1000000000000000,$T731)</f>
        <v>72400</v>
      </c>
      <c r="XFB731" s="5"/>
      <c r="XFC731" s="3"/>
    </row>
    <row r="732" spans="1:23 16382:16383" s="5" customFormat="1" ht="28.65" customHeight="1">
      <c r="A732" s="14">
        <f t="shared" si="140"/>
        <v>718</v>
      </c>
      <c r="B732" s="14" t="s">
        <v>18</v>
      </c>
      <c r="C732" s="14" t="s">
        <v>1074</v>
      </c>
      <c r="D732" s="14" t="s">
        <v>45</v>
      </c>
      <c r="E732" s="14" t="s">
        <v>26</v>
      </c>
      <c r="F732" s="14" t="s">
        <v>1075</v>
      </c>
      <c r="G732" s="15">
        <v>1814</v>
      </c>
      <c r="H732" s="15"/>
      <c r="I732" s="15"/>
      <c r="J732" s="15">
        <v>1814</v>
      </c>
      <c r="K732" s="15">
        <f t="shared" si="139"/>
        <v>0</v>
      </c>
      <c r="L732" s="15">
        <f t="shared" si="141"/>
        <v>1814</v>
      </c>
      <c r="M732" s="15" t="str">
        <f t="shared" si="142"/>
        <v/>
      </c>
      <c r="N732" s="15">
        <f t="shared" si="143"/>
        <v>1814</v>
      </c>
      <c r="O732" s="15" t="str">
        <f t="shared" si="144"/>
        <v>휘발유 72,560원</v>
      </c>
      <c r="P732" s="15">
        <f t="shared" si="145"/>
        <v>72560</v>
      </c>
      <c r="Q732" s="15"/>
      <c r="R732" s="16">
        <f t="shared" si="146"/>
        <v>0</v>
      </c>
      <c r="S732" s="15">
        <f t="shared" si="147"/>
        <v>0</v>
      </c>
      <c r="T732" s="15">
        <f t="shared" si="148"/>
        <v>72560</v>
      </c>
      <c r="U732" s="15">
        <f t="shared" si="149"/>
        <v>1814</v>
      </c>
      <c r="V732" s="15">
        <f t="shared" si="150"/>
        <v>1814</v>
      </c>
      <c r="W732" s="17">
        <f>IF($T732="",1000000000000000,$T732)</f>
        <v>72560</v>
      </c>
      <c r="XFC732" s="3"/>
    </row>
    <row r="733" spans="1:23 16382:16383" s="19" customFormat="1" ht="28.5" customHeight="1">
      <c r="A733" s="14">
        <f t="shared" si="140"/>
        <v>719</v>
      </c>
      <c r="B733" s="14" t="s">
        <v>18</v>
      </c>
      <c r="C733" s="14" t="s">
        <v>1482</v>
      </c>
      <c r="D733" s="14" t="s">
        <v>45</v>
      </c>
      <c r="E733" s="14" t="s">
        <v>63</v>
      </c>
      <c r="F733" s="14" t="s">
        <v>1483</v>
      </c>
      <c r="G733" s="15">
        <v>1815</v>
      </c>
      <c r="H733" s="15"/>
      <c r="I733" s="15"/>
      <c r="J733" s="15">
        <v>1795</v>
      </c>
      <c r="K733" s="15">
        <f t="shared" si="139"/>
        <v>0</v>
      </c>
      <c r="L733" s="15">
        <f t="shared" si="141"/>
        <v>1815</v>
      </c>
      <c r="M733" s="15" t="str">
        <f t="shared" si="142"/>
        <v/>
      </c>
      <c r="N733" s="15">
        <f t="shared" si="143"/>
        <v>1795</v>
      </c>
      <c r="O733" s="15" t="str">
        <f t="shared" si="144"/>
        <v>휘발유 72,600원</v>
      </c>
      <c r="P733" s="15">
        <f t="shared" si="145"/>
        <v>72600</v>
      </c>
      <c r="Q733" s="15"/>
      <c r="R733" s="16">
        <f t="shared" si="146"/>
        <v>0</v>
      </c>
      <c r="S733" s="15">
        <f t="shared" si="147"/>
        <v>0</v>
      </c>
      <c r="T733" s="15">
        <f t="shared" si="148"/>
        <v>72600</v>
      </c>
      <c r="U733" s="15">
        <f t="shared" si="149"/>
        <v>1815</v>
      </c>
      <c r="V733" s="15">
        <f t="shared" si="150"/>
        <v>1815</v>
      </c>
      <c r="W733" s="17">
        <f>IF($T733="",1000000000000000,$T733)</f>
        <v>72600</v>
      </c>
      <c r="XFB733" s="5"/>
      <c r="XFC733" s="3"/>
    </row>
    <row r="734" spans="1:23 16382:16383" s="4" customFormat="1" ht="28.5" customHeight="1">
      <c r="A734" s="14">
        <f t="shared" si="140"/>
        <v>719</v>
      </c>
      <c r="B734" s="14" t="s">
        <v>14</v>
      </c>
      <c r="C734" s="14" t="s">
        <v>435</v>
      </c>
      <c r="D734" s="14" t="s">
        <v>51</v>
      </c>
      <c r="E734" s="14" t="s">
        <v>63</v>
      </c>
      <c r="F734" s="14" t="s">
        <v>1561</v>
      </c>
      <c r="G734" s="15">
        <v>1815</v>
      </c>
      <c r="H734" s="15"/>
      <c r="I734" s="15"/>
      <c r="J734" s="15">
        <v>1795</v>
      </c>
      <c r="K734" s="15">
        <f t="shared" si="139"/>
        <v>0</v>
      </c>
      <c r="L734" s="15">
        <f t="shared" si="141"/>
        <v>1815</v>
      </c>
      <c r="M734" s="15" t="str">
        <f t="shared" si="142"/>
        <v/>
      </c>
      <c r="N734" s="15">
        <f t="shared" si="143"/>
        <v>1795</v>
      </c>
      <c r="O734" s="15" t="str">
        <f t="shared" si="144"/>
        <v>휘발유 72,600원</v>
      </c>
      <c r="P734" s="15">
        <f t="shared" si="145"/>
        <v>72600</v>
      </c>
      <c r="Q734" s="15"/>
      <c r="R734" s="16">
        <f t="shared" si="146"/>
        <v>0</v>
      </c>
      <c r="S734" s="15">
        <f t="shared" si="147"/>
        <v>0</v>
      </c>
      <c r="T734" s="15">
        <f t="shared" si="148"/>
        <v>72600</v>
      </c>
      <c r="U734" s="15">
        <f t="shared" si="149"/>
        <v>1815</v>
      </c>
      <c r="V734" s="15">
        <f t="shared" si="150"/>
        <v>1815</v>
      </c>
      <c r="W734" s="17">
        <f>IF($T734="",1000000000000000,$T734)</f>
        <v>72600</v>
      </c>
      <c r="XFB734" s="5"/>
      <c r="XFC734" s="3"/>
    </row>
    <row r="735" spans="1:23 16382:16383" s="19" customFormat="1" ht="28.5" customHeight="1">
      <c r="A735" s="14">
        <f t="shared" si="140"/>
        <v>719</v>
      </c>
      <c r="B735" s="14" t="s">
        <v>18</v>
      </c>
      <c r="C735" s="14" t="s">
        <v>1484</v>
      </c>
      <c r="D735" s="14" t="s">
        <v>45</v>
      </c>
      <c r="E735" s="14" t="s">
        <v>26</v>
      </c>
      <c r="F735" s="14" t="s">
        <v>1485</v>
      </c>
      <c r="G735" s="15">
        <v>1815</v>
      </c>
      <c r="H735" s="15"/>
      <c r="I735" s="15"/>
      <c r="J735" s="15">
        <v>1815</v>
      </c>
      <c r="K735" s="15">
        <f t="shared" si="139"/>
        <v>0</v>
      </c>
      <c r="L735" s="15">
        <f t="shared" si="141"/>
        <v>1815</v>
      </c>
      <c r="M735" s="15" t="str">
        <f t="shared" si="142"/>
        <v/>
      </c>
      <c r="N735" s="15">
        <f t="shared" si="143"/>
        <v>1815</v>
      </c>
      <c r="O735" s="15" t="str">
        <f t="shared" si="144"/>
        <v>휘발유 72,600원</v>
      </c>
      <c r="P735" s="15">
        <f t="shared" si="145"/>
        <v>72600</v>
      </c>
      <c r="Q735" s="15"/>
      <c r="R735" s="16">
        <f t="shared" si="146"/>
        <v>0</v>
      </c>
      <c r="S735" s="15">
        <f t="shared" si="147"/>
        <v>0</v>
      </c>
      <c r="T735" s="15">
        <f t="shared" si="148"/>
        <v>72600</v>
      </c>
      <c r="U735" s="15">
        <f t="shared" si="149"/>
        <v>1815</v>
      </c>
      <c r="V735" s="15">
        <f t="shared" si="150"/>
        <v>1815</v>
      </c>
      <c r="W735" s="17">
        <f>IF($T735="",1000000000000000,$T735)</f>
        <v>72600</v>
      </c>
      <c r="XFB735" s="5"/>
      <c r="XFC735" s="3"/>
    </row>
    <row r="736" spans="1:23 16382:16383" s="19" customFormat="1" ht="28.5" customHeight="1">
      <c r="A736" s="14">
        <f t="shared" si="140"/>
        <v>719</v>
      </c>
      <c r="B736" s="14" t="s">
        <v>12</v>
      </c>
      <c r="C736" s="14" t="s">
        <v>1486</v>
      </c>
      <c r="D736" s="18" t="s">
        <v>95</v>
      </c>
      <c r="E736" s="14" t="s">
        <v>63</v>
      </c>
      <c r="F736" s="14" t="s">
        <v>1487</v>
      </c>
      <c r="G736" s="15">
        <v>1815</v>
      </c>
      <c r="H736" s="15"/>
      <c r="I736" s="15"/>
      <c r="J736" s="15">
        <v>1815</v>
      </c>
      <c r="K736" s="15">
        <f t="shared" si="139"/>
        <v>0</v>
      </c>
      <c r="L736" s="15">
        <f t="shared" si="141"/>
        <v>1815</v>
      </c>
      <c r="M736" s="15" t="str">
        <f t="shared" si="142"/>
        <v/>
      </c>
      <c r="N736" s="15">
        <f t="shared" si="143"/>
        <v>1815</v>
      </c>
      <c r="O736" s="15" t="str">
        <f t="shared" si="144"/>
        <v>휘발유 72,600원</v>
      </c>
      <c r="P736" s="15">
        <f t="shared" si="145"/>
        <v>72600</v>
      </c>
      <c r="Q736" s="15"/>
      <c r="R736" s="16">
        <f t="shared" si="146"/>
        <v>0</v>
      </c>
      <c r="S736" s="15">
        <f t="shared" si="147"/>
        <v>0</v>
      </c>
      <c r="T736" s="15">
        <f t="shared" si="148"/>
        <v>72600</v>
      </c>
      <c r="U736" s="15">
        <f t="shared" si="149"/>
        <v>1815</v>
      </c>
      <c r="V736" s="15">
        <f t="shared" si="150"/>
        <v>1815</v>
      </c>
      <c r="W736" s="17">
        <f>IF($T736="",1000000000000000,$T736)</f>
        <v>72600</v>
      </c>
      <c r="XFB736" s="5"/>
      <c r="XFC736" s="3"/>
    </row>
    <row r="737" spans="1:23 16382:16383" s="19" customFormat="1" ht="28.5" customHeight="1">
      <c r="A737" s="14">
        <f t="shared" si="140"/>
        <v>719</v>
      </c>
      <c r="B737" s="14" t="s">
        <v>10</v>
      </c>
      <c r="C737" s="14" t="s">
        <v>1488</v>
      </c>
      <c r="D737" s="14" t="s">
        <v>51</v>
      </c>
      <c r="E737" s="14" t="s">
        <v>63</v>
      </c>
      <c r="F737" s="14" t="s">
        <v>1489</v>
      </c>
      <c r="G737" s="15">
        <v>1815</v>
      </c>
      <c r="H737" s="15"/>
      <c r="I737" s="15"/>
      <c r="J737" s="15">
        <v>1815</v>
      </c>
      <c r="K737" s="15">
        <f t="shared" si="139"/>
        <v>0</v>
      </c>
      <c r="L737" s="15">
        <f t="shared" si="141"/>
        <v>1815</v>
      </c>
      <c r="M737" s="15" t="str">
        <f t="shared" si="142"/>
        <v/>
      </c>
      <c r="N737" s="15">
        <f t="shared" si="143"/>
        <v>1815</v>
      </c>
      <c r="O737" s="15" t="str">
        <f t="shared" si="144"/>
        <v>휘발유 72,600원</v>
      </c>
      <c r="P737" s="15">
        <f t="shared" si="145"/>
        <v>72600</v>
      </c>
      <c r="Q737" s="15"/>
      <c r="R737" s="16">
        <f t="shared" si="146"/>
        <v>0</v>
      </c>
      <c r="S737" s="15">
        <f t="shared" si="147"/>
        <v>0</v>
      </c>
      <c r="T737" s="15">
        <f t="shared" si="148"/>
        <v>72600</v>
      </c>
      <c r="U737" s="15">
        <f t="shared" si="149"/>
        <v>1815</v>
      </c>
      <c r="V737" s="15">
        <f t="shared" si="150"/>
        <v>1815</v>
      </c>
      <c r="W737" s="17">
        <f>IF($T737="",1000000000000000,$T737)</f>
        <v>72600</v>
      </c>
      <c r="XFB737" s="5"/>
      <c r="XFC737" s="3"/>
    </row>
    <row r="738" spans="1:23 16382:16383" s="19" customFormat="1" ht="28.5" customHeight="1">
      <c r="A738" s="14">
        <f t="shared" si="140"/>
        <v>724</v>
      </c>
      <c r="B738" s="14" t="s">
        <v>12</v>
      </c>
      <c r="C738" s="14" t="s">
        <v>1462</v>
      </c>
      <c r="D738" s="18" t="s">
        <v>95</v>
      </c>
      <c r="E738" s="14" t="s">
        <v>26</v>
      </c>
      <c r="F738" s="14" t="s">
        <v>1463</v>
      </c>
      <c r="G738" s="15">
        <v>1817</v>
      </c>
      <c r="H738" s="15"/>
      <c r="I738" s="15"/>
      <c r="J738" s="15">
        <v>1782</v>
      </c>
      <c r="K738" s="15">
        <f t="shared" si="139"/>
        <v>0</v>
      </c>
      <c r="L738" s="15">
        <f t="shared" si="141"/>
        <v>1817</v>
      </c>
      <c r="M738" s="15" t="str">
        <f t="shared" si="142"/>
        <v/>
      </c>
      <c r="N738" s="15">
        <f t="shared" si="143"/>
        <v>1782</v>
      </c>
      <c r="O738" s="15" t="str">
        <f t="shared" si="144"/>
        <v>휘발유 72,680원</v>
      </c>
      <c r="P738" s="15">
        <f t="shared" si="145"/>
        <v>72680</v>
      </c>
      <c r="Q738" s="15"/>
      <c r="R738" s="16">
        <f t="shared" si="146"/>
        <v>0</v>
      </c>
      <c r="S738" s="15">
        <f t="shared" si="147"/>
        <v>0</v>
      </c>
      <c r="T738" s="15">
        <f t="shared" si="148"/>
        <v>72680</v>
      </c>
      <c r="U738" s="15">
        <f t="shared" si="149"/>
        <v>1817</v>
      </c>
      <c r="V738" s="15">
        <f t="shared" si="150"/>
        <v>1817</v>
      </c>
      <c r="W738" s="17">
        <f>IF($T738="",1000000000000000,$T738)</f>
        <v>72680</v>
      </c>
      <c r="XFB738" s="5"/>
      <c r="XFC738" s="3"/>
    </row>
    <row r="739" spans="1:23 16382:16383" s="19" customFormat="1" ht="28.5" customHeight="1">
      <c r="A739" s="14">
        <f t="shared" si="140"/>
        <v>725</v>
      </c>
      <c r="B739" s="14" t="s">
        <v>14</v>
      </c>
      <c r="C739" s="14" t="s">
        <v>1490</v>
      </c>
      <c r="D739" s="14" t="s">
        <v>51</v>
      </c>
      <c r="E739" s="14" t="s">
        <v>26</v>
      </c>
      <c r="F739" s="14" t="s">
        <v>1491</v>
      </c>
      <c r="G739" s="15">
        <v>1818</v>
      </c>
      <c r="H739" s="15"/>
      <c r="I739" s="15"/>
      <c r="J739" s="15">
        <v>1790</v>
      </c>
      <c r="K739" s="15">
        <f t="shared" si="139"/>
        <v>0</v>
      </c>
      <c r="L739" s="15">
        <f t="shared" si="141"/>
        <v>1818</v>
      </c>
      <c r="M739" s="15" t="str">
        <f t="shared" si="142"/>
        <v/>
      </c>
      <c r="N739" s="15">
        <f t="shared" si="143"/>
        <v>1790</v>
      </c>
      <c r="O739" s="15" t="str">
        <f t="shared" si="144"/>
        <v>휘발유 72,720원</v>
      </c>
      <c r="P739" s="15">
        <f t="shared" si="145"/>
        <v>72720</v>
      </c>
      <c r="Q739" s="15"/>
      <c r="R739" s="16">
        <f t="shared" si="146"/>
        <v>0</v>
      </c>
      <c r="S739" s="15">
        <f t="shared" si="147"/>
        <v>0</v>
      </c>
      <c r="T739" s="15">
        <f t="shared" si="148"/>
        <v>72720</v>
      </c>
      <c r="U739" s="15">
        <f t="shared" si="149"/>
        <v>1818</v>
      </c>
      <c r="V739" s="15">
        <f t="shared" si="150"/>
        <v>1818</v>
      </c>
      <c r="W739" s="17">
        <f>IF($T739="",1000000000000000,$T739)</f>
        <v>72720</v>
      </c>
      <c r="XFB739" s="5"/>
      <c r="XFC739" s="3"/>
    </row>
    <row r="740" spans="1:23 16382:16383" s="19" customFormat="1" ht="28.5" customHeight="1">
      <c r="A740" s="14">
        <f t="shared" si="140"/>
        <v>726</v>
      </c>
      <c r="B740" s="14" t="s">
        <v>12</v>
      </c>
      <c r="C740" s="14" t="s">
        <v>1468</v>
      </c>
      <c r="D740" s="18" t="s">
        <v>45</v>
      </c>
      <c r="E740" s="14" t="s">
        <v>63</v>
      </c>
      <c r="F740" s="14" t="s">
        <v>1469</v>
      </c>
      <c r="G740" s="15">
        <v>1819</v>
      </c>
      <c r="H740" s="15"/>
      <c r="I740" s="15"/>
      <c r="J740" s="15">
        <v>1848</v>
      </c>
      <c r="K740" s="15">
        <v>0</v>
      </c>
      <c r="L740" s="15">
        <f t="shared" si="141"/>
        <v>1819</v>
      </c>
      <c r="M740" s="15" t="str">
        <f t="shared" si="142"/>
        <v/>
      </c>
      <c r="N740" s="15">
        <f t="shared" si="143"/>
        <v>1848</v>
      </c>
      <c r="O740" s="15" t="str">
        <f t="shared" si="144"/>
        <v>휘발유 72,760원</v>
      </c>
      <c r="P740" s="15">
        <f t="shared" si="145"/>
        <v>72760</v>
      </c>
      <c r="Q740" s="15"/>
      <c r="R740" s="16">
        <f t="shared" si="146"/>
        <v>0</v>
      </c>
      <c r="S740" s="15">
        <f t="shared" si="147"/>
        <v>0</v>
      </c>
      <c r="T740" s="15">
        <f t="shared" si="148"/>
        <v>72760</v>
      </c>
      <c r="U740" s="15">
        <f t="shared" si="149"/>
        <v>1819</v>
      </c>
      <c r="V740" s="15">
        <f t="shared" si="150"/>
        <v>1819</v>
      </c>
      <c r="W740" s="17">
        <f>IF($T740="",1000000000000000,$T740)</f>
        <v>72760</v>
      </c>
      <c r="XFB740" s="5"/>
      <c r="XFC740" s="3"/>
    </row>
    <row r="741" spans="1:23 16382:16383" s="4" customFormat="1" ht="28.5" customHeight="1">
      <c r="A741" s="14">
        <f t="shared" si="140"/>
        <v>726</v>
      </c>
      <c r="B741" s="14" t="s">
        <v>12</v>
      </c>
      <c r="C741" s="14" t="s">
        <v>1494</v>
      </c>
      <c r="D741" s="18" t="s">
        <v>45</v>
      </c>
      <c r="E741" s="14" t="s">
        <v>26</v>
      </c>
      <c r="F741" s="14" t="s">
        <v>1495</v>
      </c>
      <c r="G741" s="15">
        <v>1819</v>
      </c>
      <c r="H741" s="15"/>
      <c r="I741" s="15"/>
      <c r="J741" s="15">
        <v>1779</v>
      </c>
      <c r="K741" s="15">
        <f t="shared" ref="K741:K772" si="151">IF(AND(IFERROR(SEARCH("현대오일뱅크",$C741),0)&gt;0,IFERROR(SEARCH("직영",$C741),0)&gt;0),$B$13,0)</f>
        <v>0</v>
      </c>
      <c r="L741" s="15">
        <f t="shared" si="141"/>
        <v>1819</v>
      </c>
      <c r="M741" s="15" t="str">
        <f t="shared" si="142"/>
        <v/>
      </c>
      <c r="N741" s="15">
        <f t="shared" si="143"/>
        <v>1779</v>
      </c>
      <c r="O741" s="15" t="str">
        <f t="shared" si="144"/>
        <v>휘발유 72,760원</v>
      </c>
      <c r="P741" s="15">
        <f t="shared" si="145"/>
        <v>72760</v>
      </c>
      <c r="Q741" s="15"/>
      <c r="R741" s="16">
        <f t="shared" si="146"/>
        <v>0</v>
      </c>
      <c r="S741" s="15">
        <f t="shared" si="147"/>
        <v>0</v>
      </c>
      <c r="T741" s="15">
        <f t="shared" si="148"/>
        <v>72760</v>
      </c>
      <c r="U741" s="15">
        <f t="shared" si="149"/>
        <v>1819</v>
      </c>
      <c r="V741" s="15">
        <f t="shared" si="150"/>
        <v>1819</v>
      </c>
      <c r="W741" s="17">
        <f>IF($T741="",1000000000000000,$T741)</f>
        <v>72760</v>
      </c>
      <c r="XFB741" s="5"/>
      <c r="XFC741" s="3"/>
    </row>
    <row r="742" spans="1:23 16382:16383" s="19" customFormat="1" ht="28.5" customHeight="1">
      <c r="A742" s="14">
        <f t="shared" si="140"/>
        <v>726</v>
      </c>
      <c r="B742" s="14" t="s">
        <v>10</v>
      </c>
      <c r="C742" s="14" t="s">
        <v>1496</v>
      </c>
      <c r="D742" s="14" t="s">
        <v>95</v>
      </c>
      <c r="E742" s="14" t="s">
        <v>63</v>
      </c>
      <c r="F742" s="14" t="s">
        <v>1497</v>
      </c>
      <c r="G742" s="15">
        <v>1819</v>
      </c>
      <c r="H742" s="15"/>
      <c r="I742" s="15"/>
      <c r="J742" s="15">
        <v>1779</v>
      </c>
      <c r="K742" s="15">
        <f t="shared" si="151"/>
        <v>0</v>
      </c>
      <c r="L742" s="15">
        <f t="shared" si="141"/>
        <v>1819</v>
      </c>
      <c r="M742" s="15" t="str">
        <f t="shared" si="142"/>
        <v/>
      </c>
      <c r="N742" s="15">
        <f t="shared" si="143"/>
        <v>1779</v>
      </c>
      <c r="O742" s="15" t="str">
        <f t="shared" si="144"/>
        <v>휘발유 72,760원</v>
      </c>
      <c r="P742" s="15">
        <f t="shared" si="145"/>
        <v>72760</v>
      </c>
      <c r="Q742" s="15"/>
      <c r="R742" s="16">
        <f t="shared" si="146"/>
        <v>0</v>
      </c>
      <c r="S742" s="15">
        <f t="shared" si="147"/>
        <v>0</v>
      </c>
      <c r="T742" s="15">
        <f t="shared" si="148"/>
        <v>72760</v>
      </c>
      <c r="U742" s="15">
        <f t="shared" si="149"/>
        <v>1819</v>
      </c>
      <c r="V742" s="15">
        <f t="shared" si="150"/>
        <v>1819</v>
      </c>
      <c r="W742" s="17">
        <f>IF($T742="",1000000000000000,$T742)</f>
        <v>72760</v>
      </c>
      <c r="XFB742" s="5"/>
      <c r="XFC742" s="3"/>
    </row>
    <row r="743" spans="1:23 16382:16383" s="19" customFormat="1" ht="28.5" customHeight="1">
      <c r="A743" s="14">
        <f t="shared" si="140"/>
        <v>726</v>
      </c>
      <c r="B743" s="14" t="s">
        <v>10</v>
      </c>
      <c r="C743" s="14" t="s">
        <v>1430</v>
      </c>
      <c r="D743" s="14" t="s">
        <v>45</v>
      </c>
      <c r="E743" s="14" t="s">
        <v>26</v>
      </c>
      <c r="F743" s="14" t="s">
        <v>1431</v>
      </c>
      <c r="G743" s="15">
        <v>1819</v>
      </c>
      <c r="H743" s="15"/>
      <c r="I743" s="15"/>
      <c r="J743" s="15">
        <v>1799</v>
      </c>
      <c r="K743" s="15">
        <f t="shared" si="151"/>
        <v>0</v>
      </c>
      <c r="L743" s="15">
        <f t="shared" si="141"/>
        <v>1819</v>
      </c>
      <c r="M743" s="15" t="str">
        <f t="shared" si="142"/>
        <v/>
      </c>
      <c r="N743" s="15">
        <f t="shared" si="143"/>
        <v>1799</v>
      </c>
      <c r="O743" s="15" t="str">
        <f t="shared" si="144"/>
        <v>휘발유 72,760원</v>
      </c>
      <c r="P743" s="15">
        <f t="shared" si="145"/>
        <v>72760</v>
      </c>
      <c r="Q743" s="15"/>
      <c r="R743" s="16">
        <f t="shared" si="146"/>
        <v>0</v>
      </c>
      <c r="S743" s="15">
        <f t="shared" si="147"/>
        <v>0</v>
      </c>
      <c r="T743" s="15">
        <f t="shared" si="148"/>
        <v>72760</v>
      </c>
      <c r="U743" s="15">
        <f t="shared" si="149"/>
        <v>1819</v>
      </c>
      <c r="V743" s="15">
        <f t="shared" si="150"/>
        <v>1819</v>
      </c>
      <c r="W743" s="17">
        <f>IF($T743="",1000000000000000,$T743)</f>
        <v>72760</v>
      </c>
      <c r="XFB743" s="5"/>
      <c r="XFC743" s="3"/>
    </row>
    <row r="744" spans="1:23 16382:16383" s="19" customFormat="1" ht="28.5" customHeight="1">
      <c r="A744" s="14">
        <f t="shared" si="140"/>
        <v>726</v>
      </c>
      <c r="B744" s="14" t="s">
        <v>14</v>
      </c>
      <c r="C744" s="14" t="s">
        <v>1500</v>
      </c>
      <c r="D744" s="14" t="s">
        <v>51</v>
      </c>
      <c r="E744" s="14" t="s">
        <v>26</v>
      </c>
      <c r="F744" s="14" t="s">
        <v>1501</v>
      </c>
      <c r="G744" s="15">
        <v>1819</v>
      </c>
      <c r="H744" s="15"/>
      <c r="I744" s="15"/>
      <c r="J744" s="15">
        <v>1819</v>
      </c>
      <c r="K744" s="15">
        <f t="shared" si="151"/>
        <v>0</v>
      </c>
      <c r="L744" s="15">
        <f t="shared" si="141"/>
        <v>1819</v>
      </c>
      <c r="M744" s="15" t="str">
        <f t="shared" si="142"/>
        <v/>
      </c>
      <c r="N744" s="15">
        <f t="shared" si="143"/>
        <v>1819</v>
      </c>
      <c r="O744" s="15" t="str">
        <f t="shared" si="144"/>
        <v>휘발유 72,760원</v>
      </c>
      <c r="P744" s="15">
        <f t="shared" si="145"/>
        <v>72760</v>
      </c>
      <c r="Q744" s="15"/>
      <c r="R744" s="16">
        <f t="shared" si="146"/>
        <v>0</v>
      </c>
      <c r="S744" s="15">
        <f t="shared" si="147"/>
        <v>0</v>
      </c>
      <c r="T744" s="15">
        <f t="shared" si="148"/>
        <v>72760</v>
      </c>
      <c r="U744" s="15">
        <f t="shared" si="149"/>
        <v>1819</v>
      </c>
      <c r="V744" s="15">
        <f t="shared" si="150"/>
        <v>1819</v>
      </c>
      <c r="W744" s="17">
        <f>IF($T744="",1000000000000000,$T744)</f>
        <v>72760</v>
      </c>
      <c r="XFB744" s="5"/>
      <c r="XFC744" s="3"/>
    </row>
    <row r="745" spans="1:23 16382:16383" s="4" customFormat="1" ht="28.5" customHeight="1">
      <c r="A745" s="14">
        <f t="shared" si="140"/>
        <v>726</v>
      </c>
      <c r="B745" s="14" t="s">
        <v>14</v>
      </c>
      <c r="C745" s="14" t="s">
        <v>1502</v>
      </c>
      <c r="D745" s="14" t="s">
        <v>51</v>
      </c>
      <c r="E745" s="14" t="s">
        <v>26</v>
      </c>
      <c r="F745" s="14" t="s">
        <v>1503</v>
      </c>
      <c r="G745" s="15">
        <v>1819</v>
      </c>
      <c r="H745" s="15"/>
      <c r="I745" s="15"/>
      <c r="J745" s="15">
        <v>1839</v>
      </c>
      <c r="K745" s="15">
        <f t="shared" si="151"/>
        <v>0</v>
      </c>
      <c r="L745" s="15">
        <f t="shared" si="141"/>
        <v>1819</v>
      </c>
      <c r="M745" s="15" t="str">
        <f t="shared" si="142"/>
        <v/>
      </c>
      <c r="N745" s="15">
        <f t="shared" si="143"/>
        <v>1839</v>
      </c>
      <c r="O745" s="15" t="str">
        <f t="shared" si="144"/>
        <v>휘발유 72,760원</v>
      </c>
      <c r="P745" s="15">
        <f t="shared" si="145"/>
        <v>72760</v>
      </c>
      <c r="Q745" s="15"/>
      <c r="R745" s="16">
        <f t="shared" si="146"/>
        <v>0</v>
      </c>
      <c r="S745" s="15">
        <f t="shared" si="147"/>
        <v>0</v>
      </c>
      <c r="T745" s="15">
        <f t="shared" si="148"/>
        <v>72760</v>
      </c>
      <c r="U745" s="15">
        <f t="shared" si="149"/>
        <v>1819</v>
      </c>
      <c r="V745" s="15">
        <f t="shared" si="150"/>
        <v>1819</v>
      </c>
      <c r="W745" s="17">
        <f>IF($T745="",1000000000000000,$T745)</f>
        <v>72760</v>
      </c>
      <c r="XFB745" s="5"/>
      <c r="XFC745" s="3"/>
    </row>
    <row r="746" spans="1:23 16382:16383" s="4" customFormat="1" ht="28.5" customHeight="1">
      <c r="A746" s="14">
        <f t="shared" si="140"/>
        <v>732</v>
      </c>
      <c r="B746" s="14" t="s">
        <v>16</v>
      </c>
      <c r="C746" s="14" t="s">
        <v>306</v>
      </c>
      <c r="D746" s="14" t="s">
        <v>51</v>
      </c>
      <c r="E746" s="14" t="s">
        <v>26</v>
      </c>
      <c r="F746" s="14" t="s">
        <v>307</v>
      </c>
      <c r="G746" s="15">
        <v>1820</v>
      </c>
      <c r="H746" s="15">
        <v>2050</v>
      </c>
      <c r="I746" s="15"/>
      <c r="J746" s="15">
        <v>1820</v>
      </c>
      <c r="K746" s="15">
        <f t="shared" si="151"/>
        <v>0</v>
      </c>
      <c r="L746" s="15">
        <f t="shared" si="141"/>
        <v>1820</v>
      </c>
      <c r="M746" s="15">
        <f t="shared" si="142"/>
        <v>2050</v>
      </c>
      <c r="N746" s="15">
        <f t="shared" si="143"/>
        <v>1820</v>
      </c>
      <c r="O746" s="15" t="str">
        <f t="shared" si="144"/>
        <v>휘발유 72,800원</v>
      </c>
      <c r="P746" s="15">
        <f t="shared" si="145"/>
        <v>72800</v>
      </c>
      <c r="Q746" s="15"/>
      <c r="R746" s="16">
        <f t="shared" si="146"/>
        <v>0</v>
      </c>
      <c r="S746" s="15">
        <f t="shared" si="147"/>
        <v>0</v>
      </c>
      <c r="T746" s="15">
        <f t="shared" si="148"/>
        <v>72800</v>
      </c>
      <c r="U746" s="15">
        <f t="shared" si="149"/>
        <v>1820</v>
      </c>
      <c r="V746" s="15">
        <f t="shared" si="150"/>
        <v>1820</v>
      </c>
      <c r="W746" s="17">
        <f>IF($T746="",1000000000000000,$T746)</f>
        <v>72800</v>
      </c>
      <c r="XFB746" s="5"/>
      <c r="XFC746" s="3"/>
    </row>
    <row r="747" spans="1:23 16382:16383" s="5" customFormat="1" ht="28.65" customHeight="1">
      <c r="A747" s="14">
        <f t="shared" si="140"/>
        <v>732</v>
      </c>
      <c r="B747" s="14" t="s">
        <v>16</v>
      </c>
      <c r="C747" s="14" t="s">
        <v>312</v>
      </c>
      <c r="D747" s="14" t="s">
        <v>51</v>
      </c>
      <c r="E747" s="14" t="s">
        <v>26</v>
      </c>
      <c r="F747" s="14" t="s">
        <v>313</v>
      </c>
      <c r="G747" s="15">
        <v>1820</v>
      </c>
      <c r="H747" s="15">
        <v>2060</v>
      </c>
      <c r="I747" s="15"/>
      <c r="J747" s="15">
        <v>1820</v>
      </c>
      <c r="K747" s="15">
        <f t="shared" si="151"/>
        <v>0</v>
      </c>
      <c r="L747" s="15">
        <f t="shared" si="141"/>
        <v>1820</v>
      </c>
      <c r="M747" s="15">
        <f t="shared" si="142"/>
        <v>2060</v>
      </c>
      <c r="N747" s="15">
        <f t="shared" si="143"/>
        <v>1820</v>
      </c>
      <c r="O747" s="15" t="str">
        <f t="shared" si="144"/>
        <v>휘발유 72,800원</v>
      </c>
      <c r="P747" s="15">
        <f t="shared" si="145"/>
        <v>72800</v>
      </c>
      <c r="Q747" s="15"/>
      <c r="R747" s="16">
        <f t="shared" si="146"/>
        <v>0</v>
      </c>
      <c r="S747" s="15">
        <f t="shared" si="147"/>
        <v>0</v>
      </c>
      <c r="T747" s="15">
        <f t="shared" si="148"/>
        <v>72800</v>
      </c>
      <c r="U747" s="15">
        <f t="shared" si="149"/>
        <v>1820</v>
      </c>
      <c r="V747" s="15">
        <f t="shared" si="150"/>
        <v>1820</v>
      </c>
      <c r="W747" s="17">
        <f>IF($T747="",1000000000000000,$T747)</f>
        <v>72800</v>
      </c>
      <c r="XFC747" s="3"/>
    </row>
    <row r="748" spans="1:23 16382:16383" s="5" customFormat="1" ht="28.65" customHeight="1">
      <c r="A748" s="14">
        <f t="shared" si="140"/>
        <v>732</v>
      </c>
      <c r="B748" s="14" t="s">
        <v>16</v>
      </c>
      <c r="C748" s="14" t="s">
        <v>1504</v>
      </c>
      <c r="D748" s="14" t="s">
        <v>45</v>
      </c>
      <c r="E748" s="14" t="s">
        <v>26</v>
      </c>
      <c r="F748" s="14" t="s">
        <v>1505</v>
      </c>
      <c r="G748" s="15">
        <v>1820</v>
      </c>
      <c r="H748" s="15"/>
      <c r="I748" s="15"/>
      <c r="J748" s="15">
        <v>1820</v>
      </c>
      <c r="K748" s="15">
        <f t="shared" si="151"/>
        <v>0</v>
      </c>
      <c r="L748" s="15">
        <f t="shared" si="141"/>
        <v>1820</v>
      </c>
      <c r="M748" s="15" t="str">
        <f t="shared" si="142"/>
        <v/>
      </c>
      <c r="N748" s="15">
        <f t="shared" si="143"/>
        <v>1820</v>
      </c>
      <c r="O748" s="15" t="str">
        <f t="shared" si="144"/>
        <v>휘발유 72,800원</v>
      </c>
      <c r="P748" s="15">
        <f t="shared" si="145"/>
        <v>72800</v>
      </c>
      <c r="Q748" s="15"/>
      <c r="R748" s="16">
        <f t="shared" si="146"/>
        <v>0</v>
      </c>
      <c r="S748" s="15">
        <f t="shared" si="147"/>
        <v>0</v>
      </c>
      <c r="T748" s="15">
        <f t="shared" si="148"/>
        <v>72800</v>
      </c>
      <c r="U748" s="15">
        <f t="shared" si="149"/>
        <v>1820</v>
      </c>
      <c r="V748" s="15">
        <f t="shared" si="150"/>
        <v>1820</v>
      </c>
      <c r="W748" s="17">
        <f>IF($T748="",1000000000000000,$T748)</f>
        <v>72800</v>
      </c>
      <c r="XFC748" s="3"/>
    </row>
    <row r="749" spans="1:23 16382:16383" s="5" customFormat="1" ht="28.65" customHeight="1">
      <c r="A749" s="14">
        <f t="shared" si="140"/>
        <v>732</v>
      </c>
      <c r="B749" s="14" t="s">
        <v>16</v>
      </c>
      <c r="C749" s="14" t="s">
        <v>1506</v>
      </c>
      <c r="D749" s="18" t="s">
        <v>86</v>
      </c>
      <c r="E749" s="14" t="s">
        <v>26</v>
      </c>
      <c r="F749" s="14" t="s">
        <v>1507</v>
      </c>
      <c r="G749" s="15">
        <v>1820</v>
      </c>
      <c r="H749" s="15"/>
      <c r="I749" s="15"/>
      <c r="J749" s="15">
        <v>1820</v>
      </c>
      <c r="K749" s="15">
        <f t="shared" si="151"/>
        <v>0</v>
      </c>
      <c r="L749" s="15">
        <f t="shared" si="141"/>
        <v>1820</v>
      </c>
      <c r="M749" s="15" t="str">
        <f t="shared" si="142"/>
        <v/>
      </c>
      <c r="N749" s="15">
        <f t="shared" si="143"/>
        <v>1820</v>
      </c>
      <c r="O749" s="15" t="str">
        <f t="shared" si="144"/>
        <v>휘발유 72,800원</v>
      </c>
      <c r="P749" s="15">
        <f t="shared" si="145"/>
        <v>72800</v>
      </c>
      <c r="Q749" s="15"/>
      <c r="R749" s="16">
        <f t="shared" si="146"/>
        <v>0</v>
      </c>
      <c r="S749" s="15">
        <f t="shared" si="147"/>
        <v>0</v>
      </c>
      <c r="T749" s="15">
        <f t="shared" si="148"/>
        <v>72800</v>
      </c>
      <c r="U749" s="15">
        <f t="shared" si="149"/>
        <v>1820</v>
      </c>
      <c r="V749" s="15">
        <f t="shared" si="150"/>
        <v>1820</v>
      </c>
      <c r="W749" s="17">
        <f>IF($T749="",1000000000000000,$T749)</f>
        <v>72800</v>
      </c>
      <c r="XFC749" s="3"/>
    </row>
    <row r="750" spans="1:23 16382:16383" s="19" customFormat="1" ht="28.5" customHeight="1">
      <c r="A750" s="14">
        <f t="shared" si="140"/>
        <v>732</v>
      </c>
      <c r="B750" s="14" t="s">
        <v>16</v>
      </c>
      <c r="C750" s="14" t="s">
        <v>1508</v>
      </c>
      <c r="D750" s="18" t="s">
        <v>86</v>
      </c>
      <c r="E750" s="14" t="s">
        <v>26</v>
      </c>
      <c r="F750" s="14" t="s">
        <v>1509</v>
      </c>
      <c r="G750" s="15">
        <v>1820</v>
      </c>
      <c r="H750" s="15"/>
      <c r="I750" s="15"/>
      <c r="J750" s="15">
        <v>1830</v>
      </c>
      <c r="K750" s="15">
        <f t="shared" si="151"/>
        <v>0</v>
      </c>
      <c r="L750" s="15">
        <f t="shared" si="141"/>
        <v>1820</v>
      </c>
      <c r="M750" s="15" t="str">
        <f t="shared" si="142"/>
        <v/>
      </c>
      <c r="N750" s="15">
        <f t="shared" si="143"/>
        <v>1830</v>
      </c>
      <c r="O750" s="15" t="str">
        <f t="shared" si="144"/>
        <v>휘발유 72,800원</v>
      </c>
      <c r="P750" s="15">
        <f t="shared" si="145"/>
        <v>72800</v>
      </c>
      <c r="Q750" s="15"/>
      <c r="R750" s="16">
        <f t="shared" si="146"/>
        <v>0</v>
      </c>
      <c r="S750" s="15">
        <f t="shared" si="147"/>
        <v>0</v>
      </c>
      <c r="T750" s="15">
        <f t="shared" si="148"/>
        <v>72800</v>
      </c>
      <c r="U750" s="15">
        <f t="shared" si="149"/>
        <v>1820</v>
      </c>
      <c r="V750" s="15">
        <f t="shared" si="150"/>
        <v>1820</v>
      </c>
      <c r="W750" s="17">
        <f>IF($T750="",1000000000000000,$T750)</f>
        <v>72800</v>
      </c>
      <c r="XFB750" s="5"/>
      <c r="XFC750" s="3"/>
    </row>
    <row r="751" spans="1:23 16382:16383" s="5" customFormat="1" ht="28.65" customHeight="1">
      <c r="A751" s="14">
        <f t="shared" si="140"/>
        <v>732</v>
      </c>
      <c r="B751" s="14" t="s">
        <v>16</v>
      </c>
      <c r="C751" s="14" t="s">
        <v>1733</v>
      </c>
      <c r="D751" s="14" t="s">
        <v>496</v>
      </c>
      <c r="E751" s="14" t="s">
        <v>63</v>
      </c>
      <c r="F751" s="14" t="s">
        <v>1734</v>
      </c>
      <c r="G751" s="15">
        <v>1820</v>
      </c>
      <c r="H751" s="15"/>
      <c r="I751" s="15"/>
      <c r="J751" s="15">
        <v>1830</v>
      </c>
      <c r="K751" s="15">
        <f t="shared" si="151"/>
        <v>0</v>
      </c>
      <c r="L751" s="15">
        <f t="shared" si="141"/>
        <v>1820</v>
      </c>
      <c r="M751" s="15" t="str">
        <f t="shared" si="142"/>
        <v/>
      </c>
      <c r="N751" s="15">
        <f t="shared" si="143"/>
        <v>1830</v>
      </c>
      <c r="O751" s="15" t="str">
        <f t="shared" si="144"/>
        <v>휘발유 72,800원</v>
      </c>
      <c r="P751" s="15">
        <f t="shared" si="145"/>
        <v>72800</v>
      </c>
      <c r="Q751" s="15"/>
      <c r="R751" s="16">
        <f t="shared" si="146"/>
        <v>0</v>
      </c>
      <c r="S751" s="15">
        <f t="shared" si="147"/>
        <v>0</v>
      </c>
      <c r="T751" s="15">
        <f t="shared" si="148"/>
        <v>72800</v>
      </c>
      <c r="U751" s="15">
        <f t="shared" si="149"/>
        <v>1820</v>
      </c>
      <c r="V751" s="15">
        <f t="shared" si="150"/>
        <v>1820</v>
      </c>
      <c r="W751" s="17">
        <f>IF($T751="",1000000000000000,$T751)</f>
        <v>72800</v>
      </c>
      <c r="XFC751" s="3"/>
    </row>
    <row r="752" spans="1:23 16382:16383" s="19" customFormat="1" ht="28.5" customHeight="1">
      <c r="A752" s="14">
        <f t="shared" si="140"/>
        <v>738</v>
      </c>
      <c r="B752" s="14" t="s">
        <v>10</v>
      </c>
      <c r="C752" s="14" t="s">
        <v>330</v>
      </c>
      <c r="D752" s="18" t="s">
        <v>86</v>
      </c>
      <c r="E752" s="14" t="s">
        <v>26</v>
      </c>
      <c r="F752" s="14" t="s">
        <v>331</v>
      </c>
      <c r="G752" s="15">
        <v>1824</v>
      </c>
      <c r="H752" s="15">
        <v>2099</v>
      </c>
      <c r="I752" s="15"/>
      <c r="J752" s="15">
        <v>1813</v>
      </c>
      <c r="K752" s="15">
        <f t="shared" si="151"/>
        <v>0</v>
      </c>
      <c r="L752" s="15">
        <f t="shared" si="141"/>
        <v>1824</v>
      </c>
      <c r="M752" s="15">
        <f t="shared" si="142"/>
        <v>2099</v>
      </c>
      <c r="N752" s="15">
        <f t="shared" si="143"/>
        <v>1813</v>
      </c>
      <c r="O752" s="15" t="str">
        <f t="shared" si="144"/>
        <v>휘발유 72,960원</v>
      </c>
      <c r="P752" s="15">
        <f t="shared" si="145"/>
        <v>72960</v>
      </c>
      <c r="Q752" s="15"/>
      <c r="R752" s="16">
        <f t="shared" si="146"/>
        <v>0</v>
      </c>
      <c r="S752" s="15">
        <f t="shared" si="147"/>
        <v>0</v>
      </c>
      <c r="T752" s="15">
        <f t="shared" si="148"/>
        <v>72960</v>
      </c>
      <c r="U752" s="15">
        <f t="shared" si="149"/>
        <v>1824</v>
      </c>
      <c r="V752" s="15">
        <f t="shared" si="150"/>
        <v>1824</v>
      </c>
      <c r="W752" s="17">
        <f>IF($T752="",1000000000000000,$T752)</f>
        <v>72960</v>
      </c>
      <c r="XFB752" s="5"/>
      <c r="XFC752" s="3"/>
    </row>
    <row r="753" spans="1:23 16382:16383" s="19" customFormat="1" ht="28.5" customHeight="1">
      <c r="A753" s="14">
        <f t="shared" si="140"/>
        <v>738</v>
      </c>
      <c r="B753" s="14" t="s">
        <v>14</v>
      </c>
      <c r="C753" s="14" t="s">
        <v>1510</v>
      </c>
      <c r="D753" s="14" t="s">
        <v>45</v>
      </c>
      <c r="E753" s="14" t="s">
        <v>26</v>
      </c>
      <c r="F753" s="14" t="s">
        <v>1511</v>
      </c>
      <c r="G753" s="15">
        <v>1824</v>
      </c>
      <c r="H753" s="15"/>
      <c r="I753" s="15"/>
      <c r="J753" s="15">
        <v>1789</v>
      </c>
      <c r="K753" s="15">
        <f t="shared" si="151"/>
        <v>0</v>
      </c>
      <c r="L753" s="15">
        <f t="shared" si="141"/>
        <v>1824</v>
      </c>
      <c r="M753" s="15" t="str">
        <f t="shared" si="142"/>
        <v/>
      </c>
      <c r="N753" s="15">
        <f t="shared" si="143"/>
        <v>1789</v>
      </c>
      <c r="O753" s="15" t="str">
        <f t="shared" si="144"/>
        <v>휘발유 72,960원</v>
      </c>
      <c r="P753" s="15">
        <f t="shared" si="145"/>
        <v>72960</v>
      </c>
      <c r="Q753" s="15"/>
      <c r="R753" s="16">
        <f t="shared" si="146"/>
        <v>0</v>
      </c>
      <c r="S753" s="15">
        <f t="shared" si="147"/>
        <v>0</v>
      </c>
      <c r="T753" s="15">
        <f t="shared" si="148"/>
        <v>72960</v>
      </c>
      <c r="U753" s="15">
        <f t="shared" si="149"/>
        <v>1824</v>
      </c>
      <c r="V753" s="15">
        <f t="shared" si="150"/>
        <v>1824</v>
      </c>
      <c r="W753" s="17">
        <f>IF($T753="",1000000000000000,$T753)</f>
        <v>72960</v>
      </c>
      <c r="XFB753" s="5"/>
      <c r="XFC753" s="3"/>
    </row>
    <row r="754" spans="1:23 16382:16383" s="5" customFormat="1" ht="28.65" customHeight="1">
      <c r="A754" s="14">
        <f t="shared" si="140"/>
        <v>738</v>
      </c>
      <c r="B754" s="14" t="s">
        <v>14</v>
      </c>
      <c r="C754" s="14" t="s">
        <v>1512</v>
      </c>
      <c r="D754" s="14" t="s">
        <v>45</v>
      </c>
      <c r="E754" s="14" t="s">
        <v>26</v>
      </c>
      <c r="F754" s="14" t="s">
        <v>1513</v>
      </c>
      <c r="G754" s="15">
        <v>1824</v>
      </c>
      <c r="H754" s="15"/>
      <c r="I754" s="15"/>
      <c r="J754" s="15">
        <v>1790</v>
      </c>
      <c r="K754" s="15">
        <f t="shared" si="151"/>
        <v>0</v>
      </c>
      <c r="L754" s="15">
        <f t="shared" si="141"/>
        <v>1824</v>
      </c>
      <c r="M754" s="15" t="str">
        <f t="shared" si="142"/>
        <v/>
      </c>
      <c r="N754" s="15">
        <f t="shared" si="143"/>
        <v>1790</v>
      </c>
      <c r="O754" s="15" t="str">
        <f t="shared" si="144"/>
        <v>휘발유 72,960원</v>
      </c>
      <c r="P754" s="15">
        <f t="shared" si="145"/>
        <v>72960</v>
      </c>
      <c r="Q754" s="15"/>
      <c r="R754" s="16">
        <f t="shared" si="146"/>
        <v>0</v>
      </c>
      <c r="S754" s="15">
        <f t="shared" si="147"/>
        <v>0</v>
      </c>
      <c r="T754" s="15">
        <f t="shared" si="148"/>
        <v>72960</v>
      </c>
      <c r="U754" s="15">
        <f t="shared" si="149"/>
        <v>1824</v>
      </c>
      <c r="V754" s="15">
        <f t="shared" si="150"/>
        <v>1824</v>
      </c>
      <c r="W754" s="17">
        <f>IF($T754="",1000000000000000,$T754)</f>
        <v>72960</v>
      </c>
      <c r="XFC754" s="3"/>
    </row>
    <row r="755" spans="1:23 16382:16383" s="5" customFormat="1" ht="28.65" customHeight="1">
      <c r="A755" s="14">
        <f t="shared" si="140"/>
        <v>738</v>
      </c>
      <c r="B755" s="14" t="s">
        <v>12</v>
      </c>
      <c r="C755" s="14" t="s">
        <v>1514</v>
      </c>
      <c r="D755" s="18" t="s">
        <v>45</v>
      </c>
      <c r="E755" s="14" t="s">
        <v>26</v>
      </c>
      <c r="F755" s="14" t="s">
        <v>1515</v>
      </c>
      <c r="G755" s="15">
        <v>1824</v>
      </c>
      <c r="H755" s="15"/>
      <c r="I755" s="15"/>
      <c r="J755" s="15">
        <v>1814</v>
      </c>
      <c r="K755" s="15">
        <f t="shared" si="151"/>
        <v>0</v>
      </c>
      <c r="L755" s="15">
        <f t="shared" si="141"/>
        <v>1824</v>
      </c>
      <c r="M755" s="15" t="str">
        <f t="shared" si="142"/>
        <v/>
      </c>
      <c r="N755" s="15">
        <f t="shared" si="143"/>
        <v>1814</v>
      </c>
      <c r="O755" s="15" t="str">
        <f t="shared" si="144"/>
        <v>휘발유 72,960원</v>
      </c>
      <c r="P755" s="15">
        <f t="shared" si="145"/>
        <v>72960</v>
      </c>
      <c r="Q755" s="15"/>
      <c r="R755" s="16">
        <f t="shared" si="146"/>
        <v>0</v>
      </c>
      <c r="S755" s="15">
        <f t="shared" si="147"/>
        <v>0</v>
      </c>
      <c r="T755" s="15">
        <f t="shared" si="148"/>
        <v>72960</v>
      </c>
      <c r="U755" s="15">
        <f t="shared" si="149"/>
        <v>1824</v>
      </c>
      <c r="V755" s="15">
        <f t="shared" si="150"/>
        <v>1824</v>
      </c>
      <c r="W755" s="17">
        <f>IF($T755="",1000000000000000,$T755)</f>
        <v>72960</v>
      </c>
      <c r="XFC755" s="3"/>
    </row>
    <row r="756" spans="1:23 16382:16383" s="5" customFormat="1" ht="28.65" customHeight="1">
      <c r="A756" s="14">
        <f t="shared" si="140"/>
        <v>742</v>
      </c>
      <c r="B756" s="14" t="s">
        <v>10</v>
      </c>
      <c r="C756" s="14" t="s">
        <v>332</v>
      </c>
      <c r="D756" s="18" t="s">
        <v>86</v>
      </c>
      <c r="E756" s="14" t="s">
        <v>26</v>
      </c>
      <c r="F756" s="14" t="s">
        <v>333</v>
      </c>
      <c r="G756" s="15">
        <v>1825</v>
      </c>
      <c r="H756" s="15">
        <v>2069</v>
      </c>
      <c r="I756" s="15"/>
      <c r="J756" s="15">
        <v>1819</v>
      </c>
      <c r="K756" s="15">
        <f t="shared" si="151"/>
        <v>0</v>
      </c>
      <c r="L756" s="15">
        <f t="shared" si="141"/>
        <v>1825</v>
      </c>
      <c r="M756" s="15">
        <f t="shared" si="142"/>
        <v>2069</v>
      </c>
      <c r="N756" s="15">
        <f t="shared" si="143"/>
        <v>1819</v>
      </c>
      <c r="O756" s="15" t="str">
        <f t="shared" si="144"/>
        <v>휘발유 73,000원</v>
      </c>
      <c r="P756" s="15">
        <f t="shared" si="145"/>
        <v>73000</v>
      </c>
      <c r="Q756" s="15"/>
      <c r="R756" s="16">
        <f t="shared" si="146"/>
        <v>0</v>
      </c>
      <c r="S756" s="15">
        <f t="shared" si="147"/>
        <v>0</v>
      </c>
      <c r="T756" s="15">
        <f t="shared" si="148"/>
        <v>73000</v>
      </c>
      <c r="U756" s="15">
        <f t="shared" si="149"/>
        <v>1825</v>
      </c>
      <c r="V756" s="15">
        <f t="shared" si="150"/>
        <v>1825</v>
      </c>
      <c r="W756" s="17">
        <f>IF($T756="",1000000000000000,$T756)</f>
        <v>73000</v>
      </c>
      <c r="XFC756" s="3"/>
    </row>
    <row r="757" spans="1:23 16382:16383" s="5" customFormat="1" ht="28.65" customHeight="1">
      <c r="A757" s="14">
        <f t="shared" si="140"/>
        <v>742</v>
      </c>
      <c r="B757" s="14" t="s">
        <v>12</v>
      </c>
      <c r="C757" s="14" t="s">
        <v>255</v>
      </c>
      <c r="D757" s="18" t="s">
        <v>51</v>
      </c>
      <c r="E757" s="14" t="s">
        <v>26</v>
      </c>
      <c r="F757" s="14" t="s">
        <v>256</v>
      </c>
      <c r="G757" s="15">
        <v>1825</v>
      </c>
      <c r="H757" s="15">
        <v>2155</v>
      </c>
      <c r="I757" s="15"/>
      <c r="J757" s="15">
        <v>1815</v>
      </c>
      <c r="K757" s="15">
        <f t="shared" si="151"/>
        <v>0</v>
      </c>
      <c r="L757" s="15">
        <f t="shared" si="141"/>
        <v>1825</v>
      </c>
      <c r="M757" s="15">
        <f t="shared" si="142"/>
        <v>2155</v>
      </c>
      <c r="N757" s="15">
        <f t="shared" si="143"/>
        <v>1815</v>
      </c>
      <c r="O757" s="15" t="str">
        <f t="shared" si="144"/>
        <v>휘발유 73,000원</v>
      </c>
      <c r="P757" s="15">
        <f t="shared" si="145"/>
        <v>73000</v>
      </c>
      <c r="Q757" s="15"/>
      <c r="R757" s="16">
        <f t="shared" si="146"/>
        <v>0</v>
      </c>
      <c r="S757" s="15">
        <f t="shared" si="147"/>
        <v>0</v>
      </c>
      <c r="T757" s="15">
        <f t="shared" si="148"/>
        <v>73000</v>
      </c>
      <c r="U757" s="15">
        <f t="shared" si="149"/>
        <v>1825</v>
      </c>
      <c r="V757" s="15">
        <f t="shared" si="150"/>
        <v>1825</v>
      </c>
      <c r="W757" s="17">
        <f>IF($T757="",1000000000000000,$T757)</f>
        <v>73000</v>
      </c>
      <c r="XFC757" s="3"/>
    </row>
    <row r="758" spans="1:23 16382:16383" s="5" customFormat="1" ht="28.65" customHeight="1">
      <c r="A758" s="14">
        <f t="shared" si="140"/>
        <v>742</v>
      </c>
      <c r="B758" s="14" t="s">
        <v>12</v>
      </c>
      <c r="C758" s="14" t="s">
        <v>1518</v>
      </c>
      <c r="D758" s="18" t="s">
        <v>95</v>
      </c>
      <c r="E758" s="14" t="s">
        <v>26</v>
      </c>
      <c r="F758" s="14" t="s">
        <v>1519</v>
      </c>
      <c r="G758" s="15">
        <v>1825</v>
      </c>
      <c r="H758" s="15"/>
      <c r="I758" s="15"/>
      <c r="J758" s="15">
        <v>1815</v>
      </c>
      <c r="K758" s="15">
        <f t="shared" si="151"/>
        <v>0</v>
      </c>
      <c r="L758" s="15">
        <f t="shared" si="141"/>
        <v>1825</v>
      </c>
      <c r="M758" s="15" t="str">
        <f t="shared" si="142"/>
        <v/>
      </c>
      <c r="N758" s="15">
        <f t="shared" si="143"/>
        <v>1815</v>
      </c>
      <c r="O758" s="15" t="str">
        <f t="shared" si="144"/>
        <v>휘발유 73,000원</v>
      </c>
      <c r="P758" s="15">
        <f t="shared" si="145"/>
        <v>73000</v>
      </c>
      <c r="Q758" s="15"/>
      <c r="R758" s="16">
        <f t="shared" si="146"/>
        <v>0</v>
      </c>
      <c r="S758" s="15">
        <f t="shared" si="147"/>
        <v>0</v>
      </c>
      <c r="T758" s="15">
        <f t="shared" si="148"/>
        <v>73000</v>
      </c>
      <c r="U758" s="15">
        <f t="shared" si="149"/>
        <v>1825</v>
      </c>
      <c r="V758" s="15">
        <f t="shared" si="150"/>
        <v>1825</v>
      </c>
      <c r="W758" s="17">
        <f>IF($T758="",1000000000000000,$T758)</f>
        <v>73000</v>
      </c>
      <c r="XFC758" s="3"/>
    </row>
    <row r="759" spans="1:23 16382:16383" s="5" customFormat="1" ht="28.65" customHeight="1">
      <c r="A759" s="14">
        <f t="shared" si="140"/>
        <v>742</v>
      </c>
      <c r="B759" s="14" t="s">
        <v>12</v>
      </c>
      <c r="C759" s="14" t="s">
        <v>1520</v>
      </c>
      <c r="D759" s="18" t="s">
        <v>45</v>
      </c>
      <c r="E759" s="14" t="s">
        <v>26</v>
      </c>
      <c r="F759" s="14" t="s">
        <v>1521</v>
      </c>
      <c r="G759" s="15">
        <v>1825</v>
      </c>
      <c r="H759" s="15"/>
      <c r="I759" s="15"/>
      <c r="J759" s="15">
        <v>1815</v>
      </c>
      <c r="K759" s="15">
        <f t="shared" si="151"/>
        <v>0</v>
      </c>
      <c r="L759" s="15">
        <f t="shared" si="141"/>
        <v>1825</v>
      </c>
      <c r="M759" s="15" t="str">
        <f t="shared" si="142"/>
        <v/>
      </c>
      <c r="N759" s="15">
        <f t="shared" si="143"/>
        <v>1815</v>
      </c>
      <c r="O759" s="15" t="str">
        <f t="shared" si="144"/>
        <v>휘발유 73,000원</v>
      </c>
      <c r="P759" s="15">
        <f t="shared" si="145"/>
        <v>73000</v>
      </c>
      <c r="Q759" s="15"/>
      <c r="R759" s="16">
        <f t="shared" si="146"/>
        <v>0</v>
      </c>
      <c r="S759" s="15">
        <f t="shared" si="147"/>
        <v>0</v>
      </c>
      <c r="T759" s="15">
        <f t="shared" si="148"/>
        <v>73000</v>
      </c>
      <c r="U759" s="15">
        <f t="shared" si="149"/>
        <v>1825</v>
      </c>
      <c r="V759" s="15">
        <f t="shared" si="150"/>
        <v>1825</v>
      </c>
      <c r="W759" s="17">
        <f>IF($T759="",1000000000000000,$T759)</f>
        <v>73000</v>
      </c>
      <c r="XFC759" s="3"/>
    </row>
    <row r="760" spans="1:23 16382:16383" s="19" customFormat="1" ht="28.5" customHeight="1">
      <c r="A760" s="14">
        <f t="shared" si="140"/>
        <v>742</v>
      </c>
      <c r="B760" s="14" t="s">
        <v>10</v>
      </c>
      <c r="C760" s="14" t="s">
        <v>1522</v>
      </c>
      <c r="D760" s="14" t="s">
        <v>95</v>
      </c>
      <c r="E760" s="14" t="s">
        <v>26</v>
      </c>
      <c r="F760" s="14" t="s">
        <v>1523</v>
      </c>
      <c r="G760" s="15">
        <v>1825</v>
      </c>
      <c r="H760" s="15"/>
      <c r="I760" s="15"/>
      <c r="J760" s="15">
        <v>1865</v>
      </c>
      <c r="K760" s="15">
        <f t="shared" si="151"/>
        <v>0</v>
      </c>
      <c r="L760" s="15">
        <f t="shared" si="141"/>
        <v>1825</v>
      </c>
      <c r="M760" s="15" t="str">
        <f t="shared" si="142"/>
        <v/>
      </c>
      <c r="N760" s="15">
        <f t="shared" si="143"/>
        <v>1865</v>
      </c>
      <c r="O760" s="15" t="str">
        <f t="shared" si="144"/>
        <v>휘발유 73,000원</v>
      </c>
      <c r="P760" s="15">
        <f t="shared" si="145"/>
        <v>73000</v>
      </c>
      <c r="Q760" s="15"/>
      <c r="R760" s="16">
        <f t="shared" si="146"/>
        <v>0</v>
      </c>
      <c r="S760" s="15">
        <f t="shared" si="147"/>
        <v>0</v>
      </c>
      <c r="T760" s="15">
        <f t="shared" si="148"/>
        <v>73000</v>
      </c>
      <c r="U760" s="15">
        <f t="shared" si="149"/>
        <v>1825</v>
      </c>
      <c r="V760" s="15">
        <f t="shared" si="150"/>
        <v>1825</v>
      </c>
      <c r="W760" s="17">
        <f>IF($T760="",1000000000000000,$T760)</f>
        <v>73000</v>
      </c>
      <c r="XFB760" s="5"/>
      <c r="XFC760" s="3"/>
    </row>
    <row r="761" spans="1:23 16382:16383" s="19" customFormat="1" ht="28.5" customHeight="1">
      <c r="A761" s="14">
        <f t="shared" si="140"/>
        <v>747</v>
      </c>
      <c r="B761" s="14" t="s">
        <v>18</v>
      </c>
      <c r="C761" s="14" t="s">
        <v>1524</v>
      </c>
      <c r="D761" s="14" t="s">
        <v>95</v>
      </c>
      <c r="E761" s="14" t="s">
        <v>26</v>
      </c>
      <c r="F761" s="14" t="s">
        <v>1525</v>
      </c>
      <c r="G761" s="15">
        <v>1826</v>
      </c>
      <c r="H761" s="15"/>
      <c r="I761" s="15"/>
      <c r="J761" s="15">
        <v>1826</v>
      </c>
      <c r="K761" s="15">
        <f t="shared" si="151"/>
        <v>0</v>
      </c>
      <c r="L761" s="15">
        <f t="shared" si="141"/>
        <v>1826</v>
      </c>
      <c r="M761" s="15" t="str">
        <f t="shared" si="142"/>
        <v/>
      </c>
      <c r="N761" s="15">
        <f t="shared" si="143"/>
        <v>1826</v>
      </c>
      <c r="O761" s="15" t="str">
        <f t="shared" si="144"/>
        <v>휘발유 73,040원</v>
      </c>
      <c r="P761" s="15">
        <f t="shared" si="145"/>
        <v>73040</v>
      </c>
      <c r="Q761" s="15"/>
      <c r="R761" s="16">
        <f t="shared" si="146"/>
        <v>0</v>
      </c>
      <c r="S761" s="15">
        <f t="shared" si="147"/>
        <v>0</v>
      </c>
      <c r="T761" s="15">
        <f t="shared" si="148"/>
        <v>73040</v>
      </c>
      <c r="U761" s="15">
        <f t="shared" si="149"/>
        <v>1826</v>
      </c>
      <c r="V761" s="15">
        <f t="shared" si="150"/>
        <v>1826</v>
      </c>
      <c r="W761" s="17">
        <f>IF($T761="",1000000000000000,$T761)</f>
        <v>73040</v>
      </c>
      <c r="XFB761" s="5"/>
      <c r="XFC761" s="3"/>
    </row>
    <row r="762" spans="1:23 16382:16383" s="19" customFormat="1" ht="28.5" customHeight="1">
      <c r="A762" s="14">
        <f t="shared" si="140"/>
        <v>748</v>
      </c>
      <c r="B762" s="14" t="s">
        <v>10</v>
      </c>
      <c r="C762" s="14" t="s">
        <v>1526</v>
      </c>
      <c r="D762" s="18" t="s">
        <v>86</v>
      </c>
      <c r="E762" s="14" t="s">
        <v>26</v>
      </c>
      <c r="F762" s="14" t="s">
        <v>1527</v>
      </c>
      <c r="G762" s="15">
        <v>1827</v>
      </c>
      <c r="H762" s="15"/>
      <c r="I762" s="15"/>
      <c r="J762" s="15">
        <v>1817</v>
      </c>
      <c r="K762" s="15">
        <f t="shared" si="151"/>
        <v>0</v>
      </c>
      <c r="L762" s="15">
        <f t="shared" si="141"/>
        <v>1827</v>
      </c>
      <c r="M762" s="15" t="str">
        <f t="shared" si="142"/>
        <v/>
      </c>
      <c r="N762" s="15">
        <f t="shared" si="143"/>
        <v>1817</v>
      </c>
      <c r="O762" s="15" t="str">
        <f t="shared" si="144"/>
        <v>휘발유 73,080원</v>
      </c>
      <c r="P762" s="15">
        <f t="shared" si="145"/>
        <v>73080</v>
      </c>
      <c r="Q762" s="15"/>
      <c r="R762" s="16">
        <f t="shared" si="146"/>
        <v>0</v>
      </c>
      <c r="S762" s="15">
        <f t="shared" si="147"/>
        <v>0</v>
      </c>
      <c r="T762" s="15">
        <f t="shared" si="148"/>
        <v>73080</v>
      </c>
      <c r="U762" s="15">
        <f t="shared" si="149"/>
        <v>1827</v>
      </c>
      <c r="V762" s="15">
        <f t="shared" si="150"/>
        <v>1827</v>
      </c>
      <c r="W762" s="17">
        <f>IF($T762="",1000000000000000,$T762)</f>
        <v>73080</v>
      </c>
      <c r="XFB762" s="5"/>
      <c r="XFC762" s="3"/>
    </row>
    <row r="763" spans="1:23 16382:16383" s="4" customFormat="1" ht="28.5" customHeight="1">
      <c r="A763" s="14">
        <f t="shared" si="140"/>
        <v>748</v>
      </c>
      <c r="B763" s="14" t="s">
        <v>12</v>
      </c>
      <c r="C763" s="14" t="s">
        <v>1528</v>
      </c>
      <c r="D763" s="18" t="s">
        <v>45</v>
      </c>
      <c r="E763" s="14" t="s">
        <v>26</v>
      </c>
      <c r="F763" s="14" t="s">
        <v>1529</v>
      </c>
      <c r="G763" s="15">
        <v>1827</v>
      </c>
      <c r="H763" s="15"/>
      <c r="I763" s="15"/>
      <c r="J763" s="15">
        <v>1827</v>
      </c>
      <c r="K763" s="15">
        <f t="shared" si="151"/>
        <v>0</v>
      </c>
      <c r="L763" s="15">
        <f t="shared" si="141"/>
        <v>1827</v>
      </c>
      <c r="M763" s="15" t="str">
        <f t="shared" si="142"/>
        <v/>
      </c>
      <c r="N763" s="15">
        <f t="shared" si="143"/>
        <v>1827</v>
      </c>
      <c r="O763" s="15" t="str">
        <f t="shared" si="144"/>
        <v>휘발유 73,080원</v>
      </c>
      <c r="P763" s="15">
        <f t="shared" si="145"/>
        <v>73080</v>
      </c>
      <c r="Q763" s="15"/>
      <c r="R763" s="16">
        <f t="shared" si="146"/>
        <v>0</v>
      </c>
      <c r="S763" s="15">
        <f t="shared" si="147"/>
        <v>0</v>
      </c>
      <c r="T763" s="15">
        <f t="shared" si="148"/>
        <v>73080</v>
      </c>
      <c r="U763" s="15">
        <f t="shared" si="149"/>
        <v>1827</v>
      </c>
      <c r="V763" s="15">
        <f t="shared" si="150"/>
        <v>1827</v>
      </c>
      <c r="W763" s="17">
        <f>IF($T763="",1000000000000000,$T763)</f>
        <v>73080</v>
      </c>
      <c r="XFB763" s="5"/>
      <c r="XFC763" s="3"/>
    </row>
    <row r="764" spans="1:23 16382:16383" s="5" customFormat="1" ht="28.65" customHeight="1">
      <c r="A764" s="14">
        <f t="shared" si="140"/>
        <v>750</v>
      </c>
      <c r="B764" s="14" t="s">
        <v>12</v>
      </c>
      <c r="C764" s="14" t="s">
        <v>1530</v>
      </c>
      <c r="D764" s="18" t="s">
        <v>51</v>
      </c>
      <c r="E764" s="14" t="s">
        <v>26</v>
      </c>
      <c r="F764" s="14" t="s">
        <v>1531</v>
      </c>
      <c r="G764" s="15">
        <v>1828</v>
      </c>
      <c r="H764" s="15"/>
      <c r="I764" s="15"/>
      <c r="J764" s="15">
        <v>1818</v>
      </c>
      <c r="K764" s="15">
        <f t="shared" si="151"/>
        <v>0</v>
      </c>
      <c r="L764" s="15">
        <f t="shared" si="141"/>
        <v>1828</v>
      </c>
      <c r="M764" s="15" t="str">
        <f t="shared" si="142"/>
        <v/>
      </c>
      <c r="N764" s="15">
        <f t="shared" si="143"/>
        <v>1818</v>
      </c>
      <c r="O764" s="15" t="str">
        <f t="shared" si="144"/>
        <v>휘발유 73,120원</v>
      </c>
      <c r="P764" s="15">
        <f t="shared" si="145"/>
        <v>73120</v>
      </c>
      <c r="Q764" s="15"/>
      <c r="R764" s="16">
        <f t="shared" si="146"/>
        <v>0</v>
      </c>
      <c r="S764" s="15">
        <f t="shared" si="147"/>
        <v>0</v>
      </c>
      <c r="T764" s="15">
        <f t="shared" si="148"/>
        <v>73120</v>
      </c>
      <c r="U764" s="15">
        <f t="shared" si="149"/>
        <v>1828</v>
      </c>
      <c r="V764" s="15">
        <f t="shared" si="150"/>
        <v>1828</v>
      </c>
      <c r="W764" s="17">
        <f>IF($T764="",1000000000000000,$T764)</f>
        <v>73120</v>
      </c>
      <c r="XFC764" s="3"/>
    </row>
    <row r="765" spans="1:23 16382:16383" s="19" customFormat="1" ht="28.5" customHeight="1">
      <c r="A765" s="14">
        <f t="shared" si="140"/>
        <v>750</v>
      </c>
      <c r="B765" s="14" t="s">
        <v>10</v>
      </c>
      <c r="C765" s="14" t="s">
        <v>1532</v>
      </c>
      <c r="D765" s="14" t="s">
        <v>51</v>
      </c>
      <c r="E765" s="14" t="s">
        <v>26</v>
      </c>
      <c r="F765" s="14" t="s">
        <v>1533</v>
      </c>
      <c r="G765" s="15">
        <v>1828</v>
      </c>
      <c r="H765" s="15"/>
      <c r="I765" s="15"/>
      <c r="J765" s="15">
        <v>1818</v>
      </c>
      <c r="K765" s="15">
        <f t="shared" si="151"/>
        <v>0</v>
      </c>
      <c r="L765" s="15">
        <f t="shared" si="141"/>
        <v>1828</v>
      </c>
      <c r="M765" s="15" t="str">
        <f t="shared" si="142"/>
        <v/>
      </c>
      <c r="N765" s="15">
        <f t="shared" si="143"/>
        <v>1818</v>
      </c>
      <c r="O765" s="15" t="str">
        <f t="shared" si="144"/>
        <v>휘발유 73,120원</v>
      </c>
      <c r="P765" s="15">
        <f t="shared" si="145"/>
        <v>73120</v>
      </c>
      <c r="Q765" s="15"/>
      <c r="R765" s="16">
        <f t="shared" si="146"/>
        <v>0</v>
      </c>
      <c r="S765" s="15">
        <f t="shared" si="147"/>
        <v>0</v>
      </c>
      <c r="T765" s="15">
        <f t="shared" si="148"/>
        <v>73120</v>
      </c>
      <c r="U765" s="15">
        <f t="shared" si="149"/>
        <v>1828</v>
      </c>
      <c r="V765" s="15">
        <f t="shared" si="150"/>
        <v>1828</v>
      </c>
      <c r="W765" s="17">
        <f>IF($T765="",1000000000000000,$T765)</f>
        <v>73120</v>
      </c>
      <c r="XFB765" s="5"/>
      <c r="XFC765" s="3"/>
    </row>
    <row r="766" spans="1:23 16382:16383" s="5" customFormat="1" ht="28.65" customHeight="1">
      <c r="A766" s="14">
        <f t="shared" si="140"/>
        <v>750</v>
      </c>
      <c r="B766" s="14" t="s">
        <v>10</v>
      </c>
      <c r="C766" s="14" t="s">
        <v>328</v>
      </c>
      <c r="D766" s="14" t="s">
        <v>45</v>
      </c>
      <c r="E766" s="14" t="s">
        <v>63</v>
      </c>
      <c r="F766" s="14" t="s">
        <v>1534</v>
      </c>
      <c r="G766" s="15">
        <v>1828</v>
      </c>
      <c r="H766" s="15"/>
      <c r="I766" s="15"/>
      <c r="J766" s="15">
        <v>1818</v>
      </c>
      <c r="K766" s="15">
        <f t="shared" si="151"/>
        <v>0</v>
      </c>
      <c r="L766" s="15">
        <f t="shared" si="141"/>
        <v>1828</v>
      </c>
      <c r="M766" s="15" t="str">
        <f t="shared" si="142"/>
        <v/>
      </c>
      <c r="N766" s="15">
        <f t="shared" si="143"/>
        <v>1818</v>
      </c>
      <c r="O766" s="15" t="str">
        <f t="shared" si="144"/>
        <v>휘발유 73,120원</v>
      </c>
      <c r="P766" s="15">
        <f t="shared" si="145"/>
        <v>73120</v>
      </c>
      <c r="Q766" s="15"/>
      <c r="R766" s="16">
        <f t="shared" si="146"/>
        <v>0</v>
      </c>
      <c r="S766" s="15">
        <f t="shared" si="147"/>
        <v>0</v>
      </c>
      <c r="T766" s="15">
        <f t="shared" si="148"/>
        <v>73120</v>
      </c>
      <c r="U766" s="15">
        <f t="shared" si="149"/>
        <v>1828</v>
      </c>
      <c r="V766" s="15">
        <f t="shared" si="150"/>
        <v>1828</v>
      </c>
      <c r="W766" s="17">
        <f>IF($T766="",1000000000000000,$T766)</f>
        <v>73120</v>
      </c>
      <c r="XFC766" s="3"/>
    </row>
    <row r="767" spans="1:23 16382:16383" s="5" customFormat="1" ht="28.65" customHeight="1">
      <c r="A767" s="14">
        <f t="shared" si="140"/>
        <v>750</v>
      </c>
      <c r="B767" s="14" t="s">
        <v>16</v>
      </c>
      <c r="C767" s="14" t="s">
        <v>1652</v>
      </c>
      <c r="D767" s="14" t="s">
        <v>45</v>
      </c>
      <c r="E767" s="14" t="s">
        <v>26</v>
      </c>
      <c r="F767" s="14" t="s">
        <v>1653</v>
      </c>
      <c r="G767" s="15">
        <v>1828</v>
      </c>
      <c r="H767" s="15"/>
      <c r="I767" s="15"/>
      <c r="J767" s="15">
        <v>1828</v>
      </c>
      <c r="K767" s="15">
        <f t="shared" si="151"/>
        <v>0</v>
      </c>
      <c r="L767" s="15">
        <f t="shared" si="141"/>
        <v>1828</v>
      </c>
      <c r="M767" s="15" t="str">
        <f t="shared" si="142"/>
        <v/>
      </c>
      <c r="N767" s="15">
        <f t="shared" si="143"/>
        <v>1828</v>
      </c>
      <c r="O767" s="15" t="str">
        <f t="shared" si="144"/>
        <v>휘발유 73,120원</v>
      </c>
      <c r="P767" s="15">
        <f t="shared" si="145"/>
        <v>73120</v>
      </c>
      <c r="Q767" s="15"/>
      <c r="R767" s="16">
        <f t="shared" si="146"/>
        <v>0</v>
      </c>
      <c r="S767" s="15">
        <f t="shared" si="147"/>
        <v>0</v>
      </c>
      <c r="T767" s="15">
        <f t="shared" si="148"/>
        <v>73120</v>
      </c>
      <c r="U767" s="15">
        <f t="shared" si="149"/>
        <v>1828</v>
      </c>
      <c r="V767" s="15">
        <f t="shared" si="150"/>
        <v>1828</v>
      </c>
      <c r="W767" s="17">
        <f>IF($T767="",1000000000000000,$T767)</f>
        <v>73120</v>
      </c>
      <c r="XFC767" s="3"/>
    </row>
    <row r="768" spans="1:23 16382:16383" s="5" customFormat="1" ht="28.65" customHeight="1">
      <c r="A768" s="14">
        <f t="shared" si="140"/>
        <v>754</v>
      </c>
      <c r="B768" s="14" t="s">
        <v>12</v>
      </c>
      <c r="C768" s="14" t="s">
        <v>1535</v>
      </c>
      <c r="D768" s="18" t="s">
        <v>86</v>
      </c>
      <c r="E768" s="14" t="s">
        <v>26</v>
      </c>
      <c r="F768" s="14" t="s">
        <v>1536</v>
      </c>
      <c r="G768" s="15">
        <v>1829</v>
      </c>
      <c r="H768" s="15"/>
      <c r="I768" s="15"/>
      <c r="J768" s="15">
        <v>1809</v>
      </c>
      <c r="K768" s="15">
        <f t="shared" si="151"/>
        <v>0</v>
      </c>
      <c r="L768" s="15">
        <f t="shared" si="141"/>
        <v>1829</v>
      </c>
      <c r="M768" s="15" t="str">
        <f t="shared" si="142"/>
        <v/>
      </c>
      <c r="N768" s="15">
        <f t="shared" si="143"/>
        <v>1809</v>
      </c>
      <c r="O768" s="15" t="str">
        <f t="shared" si="144"/>
        <v>휘발유 73,160원</v>
      </c>
      <c r="P768" s="15">
        <f t="shared" si="145"/>
        <v>73160</v>
      </c>
      <c r="Q768" s="15"/>
      <c r="R768" s="16">
        <f t="shared" si="146"/>
        <v>0</v>
      </c>
      <c r="S768" s="15">
        <f t="shared" si="147"/>
        <v>0</v>
      </c>
      <c r="T768" s="15">
        <f t="shared" si="148"/>
        <v>73160</v>
      </c>
      <c r="U768" s="15">
        <f t="shared" si="149"/>
        <v>1829</v>
      </c>
      <c r="V768" s="15">
        <f t="shared" si="150"/>
        <v>1829</v>
      </c>
      <c r="W768" s="17">
        <f>IF($T768="",1000000000000000,$T768)</f>
        <v>73160</v>
      </c>
      <c r="XFC768" s="3"/>
    </row>
    <row r="769" spans="1:23 16382:16383" s="19" customFormat="1" ht="28.5" customHeight="1">
      <c r="A769" s="14">
        <f t="shared" si="140"/>
        <v>754</v>
      </c>
      <c r="B769" s="14" t="s">
        <v>18</v>
      </c>
      <c r="C769" s="14" t="s">
        <v>1541</v>
      </c>
      <c r="D769" s="14" t="s">
        <v>496</v>
      </c>
      <c r="E769" s="14" t="s">
        <v>63</v>
      </c>
      <c r="F769" s="14" t="s">
        <v>1542</v>
      </c>
      <c r="G769" s="15">
        <v>1829</v>
      </c>
      <c r="H769" s="15"/>
      <c r="I769" s="15"/>
      <c r="J769" s="15">
        <v>1819</v>
      </c>
      <c r="K769" s="15">
        <f t="shared" si="151"/>
        <v>0</v>
      </c>
      <c r="L769" s="15">
        <f t="shared" si="141"/>
        <v>1829</v>
      </c>
      <c r="M769" s="15" t="str">
        <f t="shared" si="142"/>
        <v/>
      </c>
      <c r="N769" s="15">
        <f t="shared" si="143"/>
        <v>1819</v>
      </c>
      <c r="O769" s="15" t="str">
        <f t="shared" si="144"/>
        <v>휘발유 73,160원</v>
      </c>
      <c r="P769" s="15">
        <f t="shared" si="145"/>
        <v>73160</v>
      </c>
      <c r="Q769" s="15"/>
      <c r="R769" s="16">
        <f t="shared" si="146"/>
        <v>0</v>
      </c>
      <c r="S769" s="15">
        <f t="shared" si="147"/>
        <v>0</v>
      </c>
      <c r="T769" s="15">
        <f t="shared" si="148"/>
        <v>73160</v>
      </c>
      <c r="U769" s="15">
        <f t="shared" si="149"/>
        <v>1829</v>
      </c>
      <c r="V769" s="15">
        <f t="shared" si="150"/>
        <v>1829</v>
      </c>
      <c r="W769" s="17">
        <f>IF($T769="",1000000000000000,$T769)</f>
        <v>73160</v>
      </c>
      <c r="XFB769" s="5"/>
      <c r="XFC769" s="3"/>
    </row>
    <row r="770" spans="1:23 16382:16383" s="19" customFormat="1" ht="28.5" customHeight="1">
      <c r="A770" s="14">
        <f t="shared" si="140"/>
        <v>754</v>
      </c>
      <c r="B770" s="14" t="s">
        <v>12</v>
      </c>
      <c r="C770" s="14" t="s">
        <v>1562</v>
      </c>
      <c r="D770" s="18" t="s">
        <v>51</v>
      </c>
      <c r="E770" s="14" t="s">
        <v>63</v>
      </c>
      <c r="F770" s="14" t="s">
        <v>1563</v>
      </c>
      <c r="G770" s="15">
        <v>1829</v>
      </c>
      <c r="H770" s="15"/>
      <c r="I770" s="15"/>
      <c r="J770" s="15">
        <v>1819</v>
      </c>
      <c r="K770" s="15">
        <f t="shared" si="151"/>
        <v>0</v>
      </c>
      <c r="L770" s="15">
        <f t="shared" si="141"/>
        <v>1829</v>
      </c>
      <c r="M770" s="15" t="str">
        <f t="shared" si="142"/>
        <v/>
      </c>
      <c r="N770" s="15">
        <f t="shared" si="143"/>
        <v>1819</v>
      </c>
      <c r="O770" s="15" t="str">
        <f t="shared" si="144"/>
        <v>휘발유 73,160원</v>
      </c>
      <c r="P770" s="15">
        <f t="shared" si="145"/>
        <v>73160</v>
      </c>
      <c r="Q770" s="15"/>
      <c r="R770" s="16">
        <f t="shared" si="146"/>
        <v>0</v>
      </c>
      <c r="S770" s="15">
        <f t="shared" si="147"/>
        <v>0</v>
      </c>
      <c r="T770" s="15">
        <f t="shared" si="148"/>
        <v>73160</v>
      </c>
      <c r="U770" s="15">
        <f t="shared" si="149"/>
        <v>1829</v>
      </c>
      <c r="V770" s="15">
        <f t="shared" si="150"/>
        <v>1829</v>
      </c>
      <c r="W770" s="17">
        <f>IF($T770="",1000000000000000,$T770)</f>
        <v>73160</v>
      </c>
      <c r="XFB770" s="5"/>
      <c r="XFC770" s="3"/>
    </row>
    <row r="771" spans="1:23 16382:16383" s="5" customFormat="1" ht="28.65" customHeight="1">
      <c r="A771" s="14">
        <f t="shared" si="140"/>
        <v>754</v>
      </c>
      <c r="B771" s="14" t="s">
        <v>10</v>
      </c>
      <c r="C771" s="14" t="s">
        <v>1543</v>
      </c>
      <c r="D771" s="14" t="s">
        <v>45</v>
      </c>
      <c r="E771" s="14" t="s">
        <v>26</v>
      </c>
      <c r="F771" s="14" t="s">
        <v>1544</v>
      </c>
      <c r="G771" s="15">
        <v>1829</v>
      </c>
      <c r="H771" s="15"/>
      <c r="I771" s="15"/>
      <c r="J771" s="15">
        <v>1819</v>
      </c>
      <c r="K771" s="15">
        <f t="shared" si="151"/>
        <v>0</v>
      </c>
      <c r="L771" s="15">
        <f t="shared" si="141"/>
        <v>1829</v>
      </c>
      <c r="M771" s="15" t="str">
        <f t="shared" si="142"/>
        <v/>
      </c>
      <c r="N771" s="15">
        <f t="shared" si="143"/>
        <v>1819</v>
      </c>
      <c r="O771" s="15" t="str">
        <f t="shared" si="144"/>
        <v>휘발유 73,160원</v>
      </c>
      <c r="P771" s="15">
        <f t="shared" si="145"/>
        <v>73160</v>
      </c>
      <c r="Q771" s="15"/>
      <c r="R771" s="16">
        <f t="shared" si="146"/>
        <v>0</v>
      </c>
      <c r="S771" s="15">
        <f t="shared" si="147"/>
        <v>0</v>
      </c>
      <c r="T771" s="15">
        <f t="shared" si="148"/>
        <v>73160</v>
      </c>
      <c r="U771" s="15">
        <f t="shared" si="149"/>
        <v>1829</v>
      </c>
      <c r="V771" s="15">
        <f t="shared" si="150"/>
        <v>1829</v>
      </c>
      <c r="W771" s="17">
        <f>IF($T771="",1000000000000000,$T771)</f>
        <v>73160</v>
      </c>
      <c r="XFC771" s="3"/>
    </row>
    <row r="772" spans="1:23 16382:16383" s="19" customFormat="1" ht="28.5" customHeight="1">
      <c r="A772" s="14">
        <f t="shared" si="140"/>
        <v>754</v>
      </c>
      <c r="B772" s="14" t="s">
        <v>18</v>
      </c>
      <c r="C772" s="14" t="s">
        <v>1545</v>
      </c>
      <c r="D772" s="14" t="s">
        <v>45</v>
      </c>
      <c r="E772" s="14" t="s">
        <v>63</v>
      </c>
      <c r="F772" s="14" t="s">
        <v>1546</v>
      </c>
      <c r="G772" s="15">
        <v>1829</v>
      </c>
      <c r="H772" s="15"/>
      <c r="I772" s="15"/>
      <c r="J772" s="15">
        <v>1829</v>
      </c>
      <c r="K772" s="15">
        <f t="shared" si="151"/>
        <v>0</v>
      </c>
      <c r="L772" s="15">
        <f t="shared" si="141"/>
        <v>1829</v>
      </c>
      <c r="M772" s="15" t="str">
        <f t="shared" si="142"/>
        <v/>
      </c>
      <c r="N772" s="15">
        <f t="shared" si="143"/>
        <v>1829</v>
      </c>
      <c r="O772" s="15" t="str">
        <f t="shared" si="144"/>
        <v>휘발유 73,160원</v>
      </c>
      <c r="P772" s="15">
        <f t="shared" si="145"/>
        <v>73160</v>
      </c>
      <c r="Q772" s="15"/>
      <c r="R772" s="16">
        <f t="shared" si="146"/>
        <v>0</v>
      </c>
      <c r="S772" s="15">
        <f t="shared" si="147"/>
        <v>0</v>
      </c>
      <c r="T772" s="15">
        <f t="shared" si="148"/>
        <v>73160</v>
      </c>
      <c r="U772" s="15">
        <f t="shared" si="149"/>
        <v>1829</v>
      </c>
      <c r="V772" s="15">
        <f t="shared" si="150"/>
        <v>1829</v>
      </c>
      <c r="W772" s="17">
        <f>IF($T772="",1000000000000000,$T772)</f>
        <v>73160</v>
      </c>
      <c r="XFB772" s="5"/>
      <c r="XFC772" s="3"/>
    </row>
    <row r="773" spans="1:23 16382:16383" s="5" customFormat="1" ht="28.65" customHeight="1">
      <c r="A773" s="14">
        <f t="shared" si="140"/>
        <v>754</v>
      </c>
      <c r="B773" s="14" t="s">
        <v>16</v>
      </c>
      <c r="C773" s="14" t="s">
        <v>1547</v>
      </c>
      <c r="D773" s="14" t="s">
        <v>95</v>
      </c>
      <c r="E773" s="14" t="s">
        <v>63</v>
      </c>
      <c r="F773" s="14" t="s">
        <v>1548</v>
      </c>
      <c r="G773" s="15">
        <v>1829</v>
      </c>
      <c r="H773" s="15"/>
      <c r="I773" s="15"/>
      <c r="J773" s="15">
        <v>1829</v>
      </c>
      <c r="K773" s="15">
        <f t="shared" ref="K773:K800" si="152">IF(AND(IFERROR(SEARCH("현대오일뱅크",$C773),0)&gt;0,IFERROR(SEARCH("직영",$C773),0)&gt;0),$B$13,0)</f>
        <v>0</v>
      </c>
      <c r="L773" s="15">
        <f t="shared" si="141"/>
        <v>1829</v>
      </c>
      <c r="M773" s="15" t="str">
        <f t="shared" si="142"/>
        <v/>
      </c>
      <c r="N773" s="15">
        <f t="shared" si="143"/>
        <v>1829</v>
      </c>
      <c r="O773" s="15" t="str">
        <f t="shared" si="144"/>
        <v>휘발유 73,160원</v>
      </c>
      <c r="P773" s="15">
        <f t="shared" si="145"/>
        <v>73160</v>
      </c>
      <c r="Q773" s="15"/>
      <c r="R773" s="16">
        <f t="shared" si="146"/>
        <v>0</v>
      </c>
      <c r="S773" s="15">
        <f t="shared" si="147"/>
        <v>0</v>
      </c>
      <c r="T773" s="15">
        <f t="shared" si="148"/>
        <v>73160</v>
      </c>
      <c r="U773" s="15">
        <f t="shared" si="149"/>
        <v>1829</v>
      </c>
      <c r="V773" s="15">
        <f t="shared" si="150"/>
        <v>1829</v>
      </c>
      <c r="W773" s="17">
        <f>IF($T773="",1000000000000000,$T773)</f>
        <v>73160</v>
      </c>
      <c r="XFC773" s="3"/>
    </row>
    <row r="774" spans="1:23 16382:16383" s="5" customFormat="1" ht="28.65" customHeight="1">
      <c r="A774" s="14">
        <f t="shared" si="140"/>
        <v>754</v>
      </c>
      <c r="B774" s="14" t="s">
        <v>10</v>
      </c>
      <c r="C774" s="14" t="s">
        <v>1549</v>
      </c>
      <c r="D774" s="14" t="s">
        <v>45</v>
      </c>
      <c r="E774" s="14" t="s">
        <v>26</v>
      </c>
      <c r="F774" s="14" t="s">
        <v>1550</v>
      </c>
      <c r="G774" s="15">
        <v>1829</v>
      </c>
      <c r="H774" s="15"/>
      <c r="I774" s="15"/>
      <c r="J774" s="15">
        <v>1839</v>
      </c>
      <c r="K774" s="15">
        <f t="shared" si="152"/>
        <v>0</v>
      </c>
      <c r="L774" s="15">
        <f t="shared" si="141"/>
        <v>1829</v>
      </c>
      <c r="M774" s="15" t="str">
        <f t="shared" si="142"/>
        <v/>
      </c>
      <c r="N774" s="15">
        <f t="shared" si="143"/>
        <v>1839</v>
      </c>
      <c r="O774" s="15" t="str">
        <f t="shared" si="144"/>
        <v>휘발유 73,160원</v>
      </c>
      <c r="P774" s="15">
        <f t="shared" si="145"/>
        <v>73160</v>
      </c>
      <c r="Q774" s="15"/>
      <c r="R774" s="16">
        <f t="shared" si="146"/>
        <v>0</v>
      </c>
      <c r="S774" s="15">
        <f t="shared" si="147"/>
        <v>0</v>
      </c>
      <c r="T774" s="15">
        <f t="shared" si="148"/>
        <v>73160</v>
      </c>
      <c r="U774" s="15">
        <f t="shared" si="149"/>
        <v>1829</v>
      </c>
      <c r="V774" s="15">
        <f t="shared" si="150"/>
        <v>1829</v>
      </c>
      <c r="W774" s="17">
        <f>IF($T774="",1000000000000000,$T774)</f>
        <v>73160</v>
      </c>
      <c r="XFC774" s="3"/>
    </row>
    <row r="775" spans="1:23 16382:16383" s="5" customFormat="1" ht="28.65" customHeight="1">
      <c r="A775" s="14">
        <f t="shared" si="140"/>
        <v>754</v>
      </c>
      <c r="B775" s="14" t="s">
        <v>10</v>
      </c>
      <c r="C775" s="14" t="s">
        <v>1551</v>
      </c>
      <c r="D775" s="14" t="s">
        <v>45</v>
      </c>
      <c r="E775" s="14" t="s">
        <v>63</v>
      </c>
      <c r="F775" s="14" t="s">
        <v>1552</v>
      </c>
      <c r="G775" s="15">
        <v>1829</v>
      </c>
      <c r="H775" s="15"/>
      <c r="I775" s="15"/>
      <c r="J775" s="15">
        <v>1849</v>
      </c>
      <c r="K775" s="15">
        <f t="shared" si="152"/>
        <v>0</v>
      </c>
      <c r="L775" s="15">
        <f t="shared" si="141"/>
        <v>1829</v>
      </c>
      <c r="M775" s="15" t="str">
        <f t="shared" si="142"/>
        <v/>
      </c>
      <c r="N775" s="15">
        <f t="shared" si="143"/>
        <v>1849</v>
      </c>
      <c r="O775" s="15" t="str">
        <f t="shared" si="144"/>
        <v>휘발유 73,160원</v>
      </c>
      <c r="P775" s="15">
        <f t="shared" si="145"/>
        <v>73160</v>
      </c>
      <c r="Q775" s="15"/>
      <c r="R775" s="16">
        <f t="shared" si="146"/>
        <v>0</v>
      </c>
      <c r="S775" s="15">
        <f t="shared" si="147"/>
        <v>0</v>
      </c>
      <c r="T775" s="15">
        <f t="shared" si="148"/>
        <v>73160</v>
      </c>
      <c r="U775" s="15">
        <f t="shared" si="149"/>
        <v>1829</v>
      </c>
      <c r="V775" s="15">
        <f t="shared" si="150"/>
        <v>1829</v>
      </c>
      <c r="W775" s="17">
        <f>IF($T775="",1000000000000000,$T775)</f>
        <v>73160</v>
      </c>
      <c r="XFC775" s="3"/>
    </row>
    <row r="776" spans="1:23 16382:16383" s="5" customFormat="1" ht="28.65" customHeight="1">
      <c r="A776" s="14">
        <f t="shared" si="140"/>
        <v>762</v>
      </c>
      <c r="B776" s="14" t="s">
        <v>10</v>
      </c>
      <c r="C776" s="14" t="s">
        <v>356</v>
      </c>
      <c r="D776" s="14" t="s">
        <v>95</v>
      </c>
      <c r="E776" s="14" t="s">
        <v>26</v>
      </c>
      <c r="F776" s="14" t="s">
        <v>357</v>
      </c>
      <c r="G776" s="15">
        <v>1830</v>
      </c>
      <c r="H776" s="15">
        <v>2138</v>
      </c>
      <c r="I776" s="15"/>
      <c r="J776" s="15">
        <v>1830</v>
      </c>
      <c r="K776" s="15">
        <f t="shared" si="152"/>
        <v>0</v>
      </c>
      <c r="L776" s="15">
        <f t="shared" si="141"/>
        <v>1830</v>
      </c>
      <c r="M776" s="15">
        <f t="shared" si="142"/>
        <v>2138</v>
      </c>
      <c r="N776" s="15">
        <f t="shared" si="143"/>
        <v>1830</v>
      </c>
      <c r="O776" s="15" t="str">
        <f t="shared" si="144"/>
        <v>휘발유 73,200원</v>
      </c>
      <c r="P776" s="15">
        <f t="shared" si="145"/>
        <v>73200</v>
      </c>
      <c r="Q776" s="15"/>
      <c r="R776" s="16">
        <f t="shared" si="146"/>
        <v>0</v>
      </c>
      <c r="S776" s="15">
        <f t="shared" si="147"/>
        <v>0</v>
      </c>
      <c r="T776" s="15">
        <f t="shared" si="148"/>
        <v>73200</v>
      </c>
      <c r="U776" s="15">
        <f t="shared" si="149"/>
        <v>1830</v>
      </c>
      <c r="V776" s="15">
        <f t="shared" si="150"/>
        <v>1830</v>
      </c>
      <c r="W776" s="17">
        <f>IF($T776="",1000000000000000,$T776)</f>
        <v>73200</v>
      </c>
      <c r="XFC776" s="3"/>
    </row>
    <row r="777" spans="1:23 16382:16383" s="4" customFormat="1" ht="28.5" customHeight="1">
      <c r="A777" s="14">
        <f t="shared" si="140"/>
        <v>762</v>
      </c>
      <c r="B777" s="14" t="s">
        <v>14</v>
      </c>
      <c r="C777" s="14" t="s">
        <v>1553</v>
      </c>
      <c r="D777" s="14" t="s">
        <v>45</v>
      </c>
      <c r="E777" s="14" t="s">
        <v>63</v>
      </c>
      <c r="F777" s="14" t="s">
        <v>1554</v>
      </c>
      <c r="G777" s="15">
        <v>1830</v>
      </c>
      <c r="H777" s="15"/>
      <c r="I777" s="15"/>
      <c r="J777" s="15">
        <v>1820</v>
      </c>
      <c r="K777" s="15">
        <f t="shared" si="152"/>
        <v>0</v>
      </c>
      <c r="L777" s="15">
        <f t="shared" si="141"/>
        <v>1830</v>
      </c>
      <c r="M777" s="15" t="str">
        <f t="shared" si="142"/>
        <v/>
      </c>
      <c r="N777" s="15">
        <f t="shared" si="143"/>
        <v>1820</v>
      </c>
      <c r="O777" s="15" t="str">
        <f t="shared" si="144"/>
        <v>휘발유 73,200원</v>
      </c>
      <c r="P777" s="15">
        <f t="shared" si="145"/>
        <v>73200</v>
      </c>
      <c r="Q777" s="15"/>
      <c r="R777" s="16">
        <f t="shared" si="146"/>
        <v>0</v>
      </c>
      <c r="S777" s="15">
        <f t="shared" si="147"/>
        <v>0</v>
      </c>
      <c r="T777" s="15">
        <f t="shared" si="148"/>
        <v>73200</v>
      </c>
      <c r="U777" s="15">
        <f t="shared" si="149"/>
        <v>1830</v>
      </c>
      <c r="V777" s="15">
        <f t="shared" si="150"/>
        <v>1830</v>
      </c>
      <c r="W777" s="17">
        <f>IF($T777="",1000000000000000,$T777)</f>
        <v>73200</v>
      </c>
      <c r="XFB777" s="5"/>
      <c r="XFC777" s="3"/>
    </row>
    <row r="778" spans="1:23 16382:16383" s="5" customFormat="1" ht="28.65" customHeight="1">
      <c r="A778" s="14">
        <f t="shared" si="140"/>
        <v>762</v>
      </c>
      <c r="B778" s="14" t="s">
        <v>16</v>
      </c>
      <c r="C778" s="14" t="s">
        <v>1555</v>
      </c>
      <c r="D778" s="14" t="s">
        <v>496</v>
      </c>
      <c r="E778" s="14" t="s">
        <v>63</v>
      </c>
      <c r="F778" s="14" t="s">
        <v>1556</v>
      </c>
      <c r="G778" s="15">
        <v>1830</v>
      </c>
      <c r="H778" s="15"/>
      <c r="I778" s="15"/>
      <c r="J778" s="15">
        <v>1830</v>
      </c>
      <c r="K778" s="15">
        <f t="shared" si="152"/>
        <v>0</v>
      </c>
      <c r="L778" s="15">
        <f t="shared" si="141"/>
        <v>1830</v>
      </c>
      <c r="M778" s="15" t="str">
        <f t="shared" si="142"/>
        <v/>
      </c>
      <c r="N778" s="15">
        <f t="shared" si="143"/>
        <v>1830</v>
      </c>
      <c r="O778" s="15" t="str">
        <f t="shared" si="144"/>
        <v>휘발유 73,200원</v>
      </c>
      <c r="P778" s="15">
        <f t="shared" si="145"/>
        <v>73200</v>
      </c>
      <c r="Q778" s="15"/>
      <c r="R778" s="16">
        <f t="shared" si="146"/>
        <v>0</v>
      </c>
      <c r="S778" s="15">
        <f t="shared" si="147"/>
        <v>0</v>
      </c>
      <c r="T778" s="15">
        <f t="shared" si="148"/>
        <v>73200</v>
      </c>
      <c r="U778" s="15">
        <f t="shared" si="149"/>
        <v>1830</v>
      </c>
      <c r="V778" s="15">
        <f t="shared" si="150"/>
        <v>1830</v>
      </c>
      <c r="W778" s="17">
        <f>IF($T778="",1000000000000000,$T778)</f>
        <v>73200</v>
      </c>
      <c r="XFC778" s="3"/>
    </row>
    <row r="779" spans="1:23 16382:16383" s="19" customFormat="1" ht="28.5" customHeight="1">
      <c r="A779" s="14">
        <f t="shared" si="140"/>
        <v>762</v>
      </c>
      <c r="B779" s="14" t="s">
        <v>12</v>
      </c>
      <c r="C779" s="14" t="s">
        <v>1126</v>
      </c>
      <c r="D779" s="18" t="s">
        <v>45</v>
      </c>
      <c r="E779" s="14" t="s">
        <v>26</v>
      </c>
      <c r="F779" s="14" t="s">
        <v>1127</v>
      </c>
      <c r="G779" s="15">
        <v>1830</v>
      </c>
      <c r="H779" s="15"/>
      <c r="I779" s="15"/>
      <c r="J779" s="15">
        <v>1870</v>
      </c>
      <c r="K779" s="15">
        <f t="shared" si="152"/>
        <v>0</v>
      </c>
      <c r="L779" s="15">
        <f t="shared" si="141"/>
        <v>1830</v>
      </c>
      <c r="M779" s="15" t="str">
        <f t="shared" si="142"/>
        <v/>
      </c>
      <c r="N779" s="15">
        <f t="shared" si="143"/>
        <v>1870</v>
      </c>
      <c r="O779" s="15" t="str">
        <f t="shared" si="144"/>
        <v>휘발유 73,200원</v>
      </c>
      <c r="P779" s="15">
        <f t="shared" si="145"/>
        <v>73200</v>
      </c>
      <c r="Q779" s="15"/>
      <c r="R779" s="16">
        <f t="shared" si="146"/>
        <v>0</v>
      </c>
      <c r="S779" s="15">
        <f t="shared" si="147"/>
        <v>0</v>
      </c>
      <c r="T779" s="15">
        <f t="shared" si="148"/>
        <v>73200</v>
      </c>
      <c r="U779" s="15">
        <f t="shared" si="149"/>
        <v>1830</v>
      </c>
      <c r="V779" s="15">
        <f t="shared" si="150"/>
        <v>1830</v>
      </c>
      <c r="W779" s="17">
        <f>IF($T779="",1000000000000000,$T779)</f>
        <v>73200</v>
      </c>
      <c r="XFB779" s="5"/>
      <c r="XFC779" s="3"/>
    </row>
    <row r="780" spans="1:23 16382:16383" s="5" customFormat="1" ht="28.65" customHeight="1">
      <c r="A780" s="14">
        <f t="shared" si="140"/>
        <v>762</v>
      </c>
      <c r="B780" s="14" t="s">
        <v>12</v>
      </c>
      <c r="C780" s="14" t="s">
        <v>1128</v>
      </c>
      <c r="D780" s="18" t="s">
        <v>496</v>
      </c>
      <c r="E780" s="14" t="s">
        <v>26</v>
      </c>
      <c r="F780" s="14" t="s">
        <v>1129</v>
      </c>
      <c r="G780" s="15">
        <v>1830</v>
      </c>
      <c r="H780" s="15"/>
      <c r="I780" s="15"/>
      <c r="J780" s="15">
        <v>1870</v>
      </c>
      <c r="K780" s="15">
        <f t="shared" si="152"/>
        <v>0</v>
      </c>
      <c r="L780" s="15">
        <f t="shared" si="141"/>
        <v>1830</v>
      </c>
      <c r="M780" s="15" t="str">
        <f t="shared" si="142"/>
        <v/>
      </c>
      <c r="N780" s="15">
        <f t="shared" si="143"/>
        <v>1870</v>
      </c>
      <c r="O780" s="15" t="str">
        <f t="shared" si="144"/>
        <v>휘발유 73,200원</v>
      </c>
      <c r="P780" s="15">
        <f t="shared" si="145"/>
        <v>73200</v>
      </c>
      <c r="Q780" s="15"/>
      <c r="R780" s="16">
        <f t="shared" si="146"/>
        <v>0</v>
      </c>
      <c r="S780" s="15">
        <f t="shared" si="147"/>
        <v>0</v>
      </c>
      <c r="T780" s="15">
        <f t="shared" si="148"/>
        <v>73200</v>
      </c>
      <c r="U780" s="15">
        <f t="shared" si="149"/>
        <v>1830</v>
      </c>
      <c r="V780" s="15">
        <f t="shared" si="150"/>
        <v>1830</v>
      </c>
      <c r="W780" s="17">
        <f>IF($T780="",1000000000000000,$T780)</f>
        <v>73200</v>
      </c>
      <c r="XFC780" s="3"/>
    </row>
    <row r="781" spans="1:23 16382:16383" s="5" customFormat="1" ht="28.65" customHeight="1">
      <c r="A781" s="14">
        <f t="shared" si="140"/>
        <v>762</v>
      </c>
      <c r="B781" s="14" t="s">
        <v>12</v>
      </c>
      <c r="C781" s="14" t="s">
        <v>1130</v>
      </c>
      <c r="D781" s="18" t="s">
        <v>496</v>
      </c>
      <c r="E781" s="14" t="s">
        <v>26</v>
      </c>
      <c r="F781" s="14" t="s">
        <v>1131</v>
      </c>
      <c r="G781" s="15">
        <v>1830</v>
      </c>
      <c r="H781" s="15"/>
      <c r="I781" s="15"/>
      <c r="J781" s="15">
        <v>1870</v>
      </c>
      <c r="K781" s="15">
        <f t="shared" si="152"/>
        <v>0</v>
      </c>
      <c r="L781" s="15">
        <f t="shared" si="141"/>
        <v>1830</v>
      </c>
      <c r="M781" s="15" t="str">
        <f t="shared" si="142"/>
        <v/>
      </c>
      <c r="N781" s="15">
        <f t="shared" si="143"/>
        <v>1870</v>
      </c>
      <c r="O781" s="15" t="str">
        <f t="shared" si="144"/>
        <v>휘발유 73,200원</v>
      </c>
      <c r="P781" s="15">
        <f t="shared" si="145"/>
        <v>73200</v>
      </c>
      <c r="Q781" s="15"/>
      <c r="R781" s="16">
        <f t="shared" si="146"/>
        <v>0</v>
      </c>
      <c r="S781" s="15">
        <f t="shared" si="147"/>
        <v>0</v>
      </c>
      <c r="T781" s="15">
        <f t="shared" si="148"/>
        <v>73200</v>
      </c>
      <c r="U781" s="15">
        <f t="shared" si="149"/>
        <v>1830</v>
      </c>
      <c r="V781" s="15">
        <f t="shared" si="150"/>
        <v>1830</v>
      </c>
      <c r="W781" s="17">
        <f>IF($T781="",1000000000000000,$T781)</f>
        <v>73200</v>
      </c>
      <c r="XFC781" s="3"/>
    </row>
    <row r="782" spans="1:23 16382:16383" s="4" customFormat="1" ht="28.5" customHeight="1">
      <c r="A782" s="14">
        <f t="shared" si="140"/>
        <v>768</v>
      </c>
      <c r="B782" s="14" t="s">
        <v>12</v>
      </c>
      <c r="C782" s="14" t="s">
        <v>1460</v>
      </c>
      <c r="D782" s="18" t="s">
        <v>95</v>
      </c>
      <c r="E782" s="14" t="s">
        <v>26</v>
      </c>
      <c r="F782" s="14" t="s">
        <v>1461</v>
      </c>
      <c r="G782" s="15">
        <v>1832</v>
      </c>
      <c r="H782" s="15"/>
      <c r="I782" s="15"/>
      <c r="J782" s="15">
        <v>1782</v>
      </c>
      <c r="K782" s="15">
        <f t="shared" si="152"/>
        <v>0</v>
      </c>
      <c r="L782" s="15">
        <f t="shared" si="141"/>
        <v>1832</v>
      </c>
      <c r="M782" s="15" t="str">
        <f t="shared" si="142"/>
        <v/>
      </c>
      <c r="N782" s="15">
        <f t="shared" si="143"/>
        <v>1782</v>
      </c>
      <c r="O782" s="15" t="str">
        <f t="shared" si="144"/>
        <v>휘발유 73,280원</v>
      </c>
      <c r="P782" s="15">
        <f t="shared" si="145"/>
        <v>73280</v>
      </c>
      <c r="Q782" s="15"/>
      <c r="R782" s="16">
        <f t="shared" si="146"/>
        <v>0</v>
      </c>
      <c r="S782" s="15">
        <f t="shared" si="147"/>
        <v>0</v>
      </c>
      <c r="T782" s="15">
        <f t="shared" si="148"/>
        <v>73280</v>
      </c>
      <c r="U782" s="15">
        <f t="shared" si="149"/>
        <v>1832</v>
      </c>
      <c r="V782" s="15">
        <f t="shared" si="150"/>
        <v>1832</v>
      </c>
      <c r="W782" s="17">
        <f>IF($T782="",1000000000000000,$T782)</f>
        <v>73280</v>
      </c>
      <c r="XFB782" s="5"/>
      <c r="XFC782" s="3"/>
    </row>
    <row r="783" spans="1:23 16382:16383" s="19" customFormat="1" ht="28.5" customHeight="1">
      <c r="A783" s="14">
        <f t="shared" ref="A783:A846" si="153">IF($T783="","",1+COUNTIF($W$15:$W$890,"&lt;"&amp;W783))</f>
        <v>769</v>
      </c>
      <c r="B783" s="14" t="s">
        <v>12</v>
      </c>
      <c r="C783" s="14" t="s">
        <v>1498</v>
      </c>
      <c r="D783" s="18" t="s">
        <v>51</v>
      </c>
      <c r="E783" s="14" t="s">
        <v>26</v>
      </c>
      <c r="F783" s="14" t="s">
        <v>1499</v>
      </c>
      <c r="G783" s="15">
        <v>1835</v>
      </c>
      <c r="H783" s="15"/>
      <c r="I783" s="15"/>
      <c r="J783" s="15">
        <v>1825</v>
      </c>
      <c r="K783" s="15">
        <f t="shared" si="152"/>
        <v>0</v>
      </c>
      <c r="L783" s="15">
        <f t="shared" ref="L783:L846" si="154">IF($G783="","",$G783+$K783)</f>
        <v>1835</v>
      </c>
      <c r="M783" s="15" t="str">
        <f t="shared" ref="M783:M846" si="155">IF($H783="","",$H783+$K783)</f>
        <v/>
      </c>
      <c r="N783" s="15">
        <f t="shared" ref="N783:N846" si="156">IF($J783="","",$J783+$K783)</f>
        <v>1825</v>
      </c>
      <c r="O783" s="15" t="str">
        <f t="shared" ref="O783:O846" si="157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>휘발유 73,400원</v>
      </c>
      <c r="P783" s="15">
        <f t="shared" ref="P783:P846" si="158">IF($B$10=0,"",IFERROR(IF($B$4&gt;0,IF($L783="",1/0,$L783*$B$4),0)+IF($B$5&gt;0,IF($M783="",1/0,$M783*$B$5),0)+IF($B$6&gt;0,IF($N783="",1/0,$N783*$B$6),0),""))</f>
        <v>73400</v>
      </c>
      <c r="Q783" s="15"/>
      <c r="R783" s="16">
        <f t="shared" ref="R783:R846" si="159">IF($P783="","",IF($Q783="Y",IFERROR(VLOOKUP($B783,$C$4:$D$13,2,FALSE()),0),0))</f>
        <v>0</v>
      </c>
      <c r="S783" s="15">
        <f t="shared" ref="S783:S846" si="160">IF($P783="","",ROUNDDOWN($P783*$R783,0))</f>
        <v>0</v>
      </c>
      <c r="T783" s="15">
        <f t="shared" ref="T783:T846" si="161">IF($P783="","",$P783-$S783)</f>
        <v>73400</v>
      </c>
      <c r="U783" s="15">
        <f t="shared" ref="U783:U846" si="162">IF($T783="","",IF($B$10=0,"",$T783/$B$10))</f>
        <v>1835</v>
      </c>
      <c r="V783" s="15">
        <f t="shared" si="150"/>
        <v>1835</v>
      </c>
      <c r="W783" s="17">
        <f>IF($T783="",1000000000000000,$T783)</f>
        <v>73400</v>
      </c>
      <c r="XFB783" s="5"/>
      <c r="XFC783" s="3"/>
    </row>
    <row r="784" spans="1:23 16382:16383" s="19" customFormat="1" ht="28.5" customHeight="1">
      <c r="A784" s="14">
        <f t="shared" si="153"/>
        <v>769</v>
      </c>
      <c r="B784" s="14" t="s">
        <v>16</v>
      </c>
      <c r="C784" s="14" t="s">
        <v>1564</v>
      </c>
      <c r="D784" s="18" t="s">
        <v>86</v>
      </c>
      <c r="E784" s="14" t="s">
        <v>26</v>
      </c>
      <c r="F784" s="14" t="s">
        <v>1565</v>
      </c>
      <c r="G784" s="15">
        <v>1835</v>
      </c>
      <c r="H784" s="15"/>
      <c r="I784" s="15"/>
      <c r="J784" s="15">
        <v>1835</v>
      </c>
      <c r="K784" s="15">
        <f t="shared" si="152"/>
        <v>0</v>
      </c>
      <c r="L784" s="15">
        <f t="shared" si="154"/>
        <v>1835</v>
      </c>
      <c r="M784" s="15" t="str">
        <f t="shared" si="155"/>
        <v/>
      </c>
      <c r="N784" s="15">
        <f t="shared" si="156"/>
        <v>1835</v>
      </c>
      <c r="O784" s="15" t="str">
        <f t="shared" si="157"/>
        <v>휘발유 73,400원</v>
      </c>
      <c r="P784" s="15">
        <f t="shared" si="158"/>
        <v>73400</v>
      </c>
      <c r="Q784" s="15"/>
      <c r="R784" s="16">
        <f t="shared" si="159"/>
        <v>0</v>
      </c>
      <c r="S784" s="15">
        <f t="shared" si="160"/>
        <v>0</v>
      </c>
      <c r="T784" s="15">
        <f t="shared" si="161"/>
        <v>73400</v>
      </c>
      <c r="U784" s="15">
        <f t="shared" si="162"/>
        <v>1835</v>
      </c>
      <c r="V784" s="15">
        <f t="shared" si="150"/>
        <v>1835</v>
      </c>
      <c r="W784" s="17">
        <f>IF($T784="",1000000000000000,$T784)</f>
        <v>73400</v>
      </c>
      <c r="XFB784" s="5"/>
      <c r="XFC784" s="3"/>
    </row>
    <row r="785" spans="1:23 16382:16383" s="19" customFormat="1" ht="28.5" customHeight="1">
      <c r="A785" s="14">
        <f t="shared" si="153"/>
        <v>769</v>
      </c>
      <c r="B785" s="14" t="s">
        <v>12</v>
      </c>
      <c r="C785" s="14" t="s">
        <v>1688</v>
      </c>
      <c r="D785" s="18" t="s">
        <v>45</v>
      </c>
      <c r="E785" s="14" t="s">
        <v>63</v>
      </c>
      <c r="F785" s="14" t="s">
        <v>1689</v>
      </c>
      <c r="G785" s="15">
        <v>1835</v>
      </c>
      <c r="H785" s="15"/>
      <c r="I785" s="15"/>
      <c r="J785" s="15">
        <v>1835</v>
      </c>
      <c r="K785" s="15">
        <f t="shared" si="152"/>
        <v>0</v>
      </c>
      <c r="L785" s="15">
        <f t="shared" si="154"/>
        <v>1835</v>
      </c>
      <c r="M785" s="15" t="str">
        <f t="shared" si="155"/>
        <v/>
      </c>
      <c r="N785" s="15">
        <f t="shared" si="156"/>
        <v>1835</v>
      </c>
      <c r="O785" s="15" t="str">
        <f t="shared" si="157"/>
        <v>휘발유 73,400원</v>
      </c>
      <c r="P785" s="15">
        <f t="shared" si="158"/>
        <v>73400</v>
      </c>
      <c r="Q785" s="15"/>
      <c r="R785" s="16">
        <f t="shared" si="159"/>
        <v>0</v>
      </c>
      <c r="S785" s="15">
        <f t="shared" si="160"/>
        <v>0</v>
      </c>
      <c r="T785" s="15">
        <f t="shared" si="161"/>
        <v>73400</v>
      </c>
      <c r="U785" s="15">
        <f t="shared" si="162"/>
        <v>1835</v>
      </c>
      <c r="V785" s="15">
        <f t="shared" si="150"/>
        <v>1835</v>
      </c>
      <c r="W785" s="17">
        <f>IF($T785="",1000000000000000,$T785)</f>
        <v>73400</v>
      </c>
      <c r="XFB785" s="5"/>
      <c r="XFC785" s="3"/>
    </row>
    <row r="786" spans="1:23 16382:16383" s="5" customFormat="1" ht="28.65" customHeight="1">
      <c r="A786" s="14">
        <f t="shared" si="153"/>
        <v>769</v>
      </c>
      <c r="B786" s="14" t="s">
        <v>10</v>
      </c>
      <c r="C786" s="14" t="s">
        <v>1566</v>
      </c>
      <c r="D786" s="14" t="s">
        <v>45</v>
      </c>
      <c r="E786" s="14" t="s">
        <v>63</v>
      </c>
      <c r="F786" s="14" t="s">
        <v>1567</v>
      </c>
      <c r="G786" s="15">
        <v>1835</v>
      </c>
      <c r="H786" s="15"/>
      <c r="I786" s="15"/>
      <c r="J786" s="15">
        <v>1835</v>
      </c>
      <c r="K786" s="15">
        <f t="shared" si="152"/>
        <v>0</v>
      </c>
      <c r="L786" s="15">
        <f t="shared" si="154"/>
        <v>1835</v>
      </c>
      <c r="M786" s="15" t="str">
        <f t="shared" si="155"/>
        <v/>
      </c>
      <c r="N786" s="15">
        <f t="shared" si="156"/>
        <v>1835</v>
      </c>
      <c r="O786" s="15" t="str">
        <f t="shared" si="157"/>
        <v>휘발유 73,400원</v>
      </c>
      <c r="P786" s="15">
        <f t="shared" si="158"/>
        <v>73400</v>
      </c>
      <c r="Q786" s="15"/>
      <c r="R786" s="16">
        <f t="shared" si="159"/>
        <v>0</v>
      </c>
      <c r="S786" s="15">
        <f t="shared" si="160"/>
        <v>0</v>
      </c>
      <c r="T786" s="15">
        <f t="shared" si="161"/>
        <v>73400</v>
      </c>
      <c r="U786" s="15">
        <f t="shared" si="162"/>
        <v>1835</v>
      </c>
      <c r="V786" s="15">
        <f t="shared" si="150"/>
        <v>1835</v>
      </c>
      <c r="W786" s="17">
        <f>IF($T786="",1000000000000000,$T786)</f>
        <v>73400</v>
      </c>
      <c r="XFC786" s="3"/>
    </row>
    <row r="787" spans="1:23 16382:16383" s="19" customFormat="1" ht="28.5" customHeight="1">
      <c r="A787" s="14">
        <f t="shared" si="153"/>
        <v>773</v>
      </c>
      <c r="B787" s="14" t="s">
        <v>14</v>
      </c>
      <c r="C787" s="14" t="s">
        <v>1366</v>
      </c>
      <c r="D787" s="14" t="s">
        <v>95</v>
      </c>
      <c r="E787" s="14" t="s">
        <v>63</v>
      </c>
      <c r="F787" s="14" t="s">
        <v>1568</v>
      </c>
      <c r="G787" s="15">
        <v>1837</v>
      </c>
      <c r="H787" s="15"/>
      <c r="I787" s="15"/>
      <c r="J787" s="15">
        <v>1817</v>
      </c>
      <c r="K787" s="15">
        <f t="shared" si="152"/>
        <v>0</v>
      </c>
      <c r="L787" s="15">
        <f t="shared" si="154"/>
        <v>1837</v>
      </c>
      <c r="M787" s="15" t="str">
        <f t="shared" si="155"/>
        <v/>
      </c>
      <c r="N787" s="15">
        <f t="shared" si="156"/>
        <v>1817</v>
      </c>
      <c r="O787" s="15" t="str">
        <f t="shared" si="157"/>
        <v>휘발유 73,480원</v>
      </c>
      <c r="P787" s="15">
        <f t="shared" si="158"/>
        <v>73480</v>
      </c>
      <c r="Q787" s="15"/>
      <c r="R787" s="16">
        <f t="shared" si="159"/>
        <v>0</v>
      </c>
      <c r="S787" s="15">
        <f t="shared" si="160"/>
        <v>0</v>
      </c>
      <c r="T787" s="15">
        <f t="shared" si="161"/>
        <v>73480</v>
      </c>
      <c r="U787" s="15">
        <f t="shared" si="162"/>
        <v>1837</v>
      </c>
      <c r="V787" s="15">
        <f t="shared" si="150"/>
        <v>1837</v>
      </c>
      <c r="W787" s="17">
        <f>IF($T787="",1000000000000000,$T787)</f>
        <v>73480</v>
      </c>
      <c r="XFB787" s="5"/>
      <c r="XFC787" s="3"/>
    </row>
    <row r="788" spans="1:23 16382:16383" s="5" customFormat="1" ht="28.65" customHeight="1">
      <c r="A788" s="14">
        <f t="shared" si="153"/>
        <v>773</v>
      </c>
      <c r="B788" s="14" t="s">
        <v>12</v>
      </c>
      <c r="C788" s="14" t="s">
        <v>1569</v>
      </c>
      <c r="D788" s="18" t="s">
        <v>95</v>
      </c>
      <c r="E788" s="14" t="s">
        <v>26</v>
      </c>
      <c r="F788" s="14" t="s">
        <v>1570</v>
      </c>
      <c r="G788" s="15">
        <v>1837</v>
      </c>
      <c r="H788" s="15"/>
      <c r="I788" s="15"/>
      <c r="J788" s="15">
        <v>1837</v>
      </c>
      <c r="K788" s="15">
        <f t="shared" si="152"/>
        <v>0</v>
      </c>
      <c r="L788" s="15">
        <f t="shared" si="154"/>
        <v>1837</v>
      </c>
      <c r="M788" s="15" t="str">
        <f t="shared" si="155"/>
        <v/>
      </c>
      <c r="N788" s="15">
        <f t="shared" si="156"/>
        <v>1837</v>
      </c>
      <c r="O788" s="15" t="str">
        <f t="shared" si="157"/>
        <v>휘발유 73,480원</v>
      </c>
      <c r="P788" s="15">
        <f t="shared" si="158"/>
        <v>73480</v>
      </c>
      <c r="Q788" s="15"/>
      <c r="R788" s="16">
        <f t="shared" si="159"/>
        <v>0</v>
      </c>
      <c r="S788" s="15">
        <f t="shared" si="160"/>
        <v>0</v>
      </c>
      <c r="T788" s="15">
        <f t="shared" si="161"/>
        <v>73480</v>
      </c>
      <c r="U788" s="15">
        <f t="shared" si="162"/>
        <v>1837</v>
      </c>
      <c r="V788" s="15">
        <f t="shared" si="150"/>
        <v>1837</v>
      </c>
      <c r="W788" s="17">
        <f>IF($T788="",1000000000000000,$T788)</f>
        <v>73480</v>
      </c>
      <c r="XFC788" s="3"/>
    </row>
    <row r="789" spans="1:23 16382:16383" s="5" customFormat="1" ht="28.65" customHeight="1">
      <c r="A789" s="14">
        <f t="shared" si="153"/>
        <v>775</v>
      </c>
      <c r="B789" s="14" t="s">
        <v>12</v>
      </c>
      <c r="C789" s="14" t="s">
        <v>314</v>
      </c>
      <c r="D789" s="18" t="s">
        <v>86</v>
      </c>
      <c r="E789" s="14" t="s">
        <v>26</v>
      </c>
      <c r="F789" s="14" t="s">
        <v>315</v>
      </c>
      <c r="G789" s="15">
        <v>1838</v>
      </c>
      <c r="H789" s="15">
        <v>2039</v>
      </c>
      <c r="I789" s="15"/>
      <c r="J789" s="15">
        <v>1778</v>
      </c>
      <c r="K789" s="15">
        <f t="shared" si="152"/>
        <v>0</v>
      </c>
      <c r="L789" s="15">
        <f t="shared" si="154"/>
        <v>1838</v>
      </c>
      <c r="M789" s="15">
        <f t="shared" si="155"/>
        <v>2039</v>
      </c>
      <c r="N789" s="15">
        <f t="shared" si="156"/>
        <v>1778</v>
      </c>
      <c r="O789" s="15" t="str">
        <f t="shared" si="157"/>
        <v>휘발유 73,520원</v>
      </c>
      <c r="P789" s="15">
        <f t="shared" si="158"/>
        <v>73520</v>
      </c>
      <c r="Q789" s="15"/>
      <c r="R789" s="16">
        <f t="shared" si="159"/>
        <v>0</v>
      </c>
      <c r="S789" s="15">
        <f t="shared" si="160"/>
        <v>0</v>
      </c>
      <c r="T789" s="15">
        <f t="shared" si="161"/>
        <v>73520</v>
      </c>
      <c r="U789" s="15">
        <f t="shared" si="162"/>
        <v>1838</v>
      </c>
      <c r="V789" s="15">
        <f t="shared" si="150"/>
        <v>1838</v>
      </c>
      <c r="W789" s="17">
        <f>IF($T789="",1000000000000000,$T789)</f>
        <v>73520</v>
      </c>
      <c r="XFC789" s="3"/>
    </row>
    <row r="790" spans="1:23 16382:16383" s="5" customFormat="1" ht="28.65" customHeight="1">
      <c r="A790" s="14">
        <f t="shared" si="153"/>
        <v>775</v>
      </c>
      <c r="B790" s="14" t="s">
        <v>12</v>
      </c>
      <c r="C790" s="14" t="s">
        <v>1571</v>
      </c>
      <c r="D790" s="18" t="s">
        <v>95</v>
      </c>
      <c r="E790" s="14" t="s">
        <v>26</v>
      </c>
      <c r="F790" s="14" t="s">
        <v>1572</v>
      </c>
      <c r="G790" s="15">
        <v>1838</v>
      </c>
      <c r="H790" s="15"/>
      <c r="I790" s="15"/>
      <c r="J790" s="15">
        <v>1794</v>
      </c>
      <c r="K790" s="15">
        <f t="shared" si="152"/>
        <v>0</v>
      </c>
      <c r="L790" s="15">
        <f t="shared" si="154"/>
        <v>1838</v>
      </c>
      <c r="M790" s="15" t="str">
        <f t="shared" si="155"/>
        <v/>
      </c>
      <c r="N790" s="15">
        <f t="shared" si="156"/>
        <v>1794</v>
      </c>
      <c r="O790" s="15" t="str">
        <f t="shared" si="157"/>
        <v>휘발유 73,520원</v>
      </c>
      <c r="P790" s="15">
        <f t="shared" si="158"/>
        <v>73520</v>
      </c>
      <c r="Q790" s="15"/>
      <c r="R790" s="16">
        <f t="shared" si="159"/>
        <v>0</v>
      </c>
      <c r="S790" s="15">
        <f t="shared" si="160"/>
        <v>0</v>
      </c>
      <c r="T790" s="15">
        <f t="shared" si="161"/>
        <v>73520</v>
      </c>
      <c r="U790" s="15">
        <f t="shared" si="162"/>
        <v>1838</v>
      </c>
      <c r="V790" s="15">
        <f t="shared" si="150"/>
        <v>1838</v>
      </c>
      <c r="W790" s="17">
        <f>IF($T790="",1000000000000000,$T790)</f>
        <v>73520</v>
      </c>
      <c r="XFC790" s="3"/>
    </row>
    <row r="791" spans="1:23 16382:16383" s="19" customFormat="1" ht="28.5" customHeight="1">
      <c r="A791" s="14">
        <f t="shared" si="153"/>
        <v>775</v>
      </c>
      <c r="B791" s="14" t="s">
        <v>8</v>
      </c>
      <c r="C791" s="14" t="s">
        <v>409</v>
      </c>
      <c r="D791" s="14" t="s">
        <v>95</v>
      </c>
      <c r="E791" s="14" t="s">
        <v>63</v>
      </c>
      <c r="F791" s="14" t="s">
        <v>1573</v>
      </c>
      <c r="G791" s="15">
        <v>1838</v>
      </c>
      <c r="H791" s="15"/>
      <c r="I791" s="15"/>
      <c r="J791" s="15">
        <v>1808</v>
      </c>
      <c r="K791" s="15">
        <f t="shared" si="152"/>
        <v>0</v>
      </c>
      <c r="L791" s="15">
        <f t="shared" si="154"/>
        <v>1838</v>
      </c>
      <c r="M791" s="15" t="str">
        <f t="shared" si="155"/>
        <v/>
      </c>
      <c r="N791" s="15">
        <f t="shared" si="156"/>
        <v>1808</v>
      </c>
      <c r="O791" s="15" t="str">
        <f t="shared" si="157"/>
        <v>휘발유 73,520원</v>
      </c>
      <c r="P791" s="15">
        <f t="shared" si="158"/>
        <v>73520</v>
      </c>
      <c r="Q791" s="15"/>
      <c r="R791" s="16">
        <f t="shared" si="159"/>
        <v>0</v>
      </c>
      <c r="S791" s="15">
        <f t="shared" si="160"/>
        <v>0</v>
      </c>
      <c r="T791" s="15">
        <f t="shared" si="161"/>
        <v>73520</v>
      </c>
      <c r="U791" s="15">
        <f t="shared" si="162"/>
        <v>1838</v>
      </c>
      <c r="V791" s="15">
        <f t="shared" ref="V791:V854" si="163">IF($P791="","",IF($B$10=0,"",$P791/$B$10))</f>
        <v>1838</v>
      </c>
      <c r="W791" s="17">
        <f>IF($T791="",1000000000000000,$T791)</f>
        <v>73520</v>
      </c>
      <c r="XFB791" s="5"/>
      <c r="XFC791" s="3"/>
    </row>
    <row r="792" spans="1:23 16382:16383" s="19" customFormat="1" ht="28.5" customHeight="1">
      <c r="A792" s="14">
        <f t="shared" si="153"/>
        <v>775</v>
      </c>
      <c r="B792" s="14" t="s">
        <v>12</v>
      </c>
      <c r="C792" s="14" t="s">
        <v>1574</v>
      </c>
      <c r="D792" s="18" t="s">
        <v>45</v>
      </c>
      <c r="E792" s="14" t="s">
        <v>26</v>
      </c>
      <c r="F792" s="14" t="s">
        <v>1575</v>
      </c>
      <c r="G792" s="15">
        <v>1838</v>
      </c>
      <c r="H792" s="15"/>
      <c r="I792" s="15"/>
      <c r="J792" s="15">
        <v>1818</v>
      </c>
      <c r="K792" s="15">
        <f t="shared" si="152"/>
        <v>0</v>
      </c>
      <c r="L792" s="15">
        <f t="shared" si="154"/>
        <v>1838</v>
      </c>
      <c r="M792" s="15" t="str">
        <f t="shared" si="155"/>
        <v/>
      </c>
      <c r="N792" s="15">
        <f t="shared" si="156"/>
        <v>1818</v>
      </c>
      <c r="O792" s="15" t="str">
        <f t="shared" si="157"/>
        <v>휘발유 73,520원</v>
      </c>
      <c r="P792" s="15">
        <f t="shared" si="158"/>
        <v>73520</v>
      </c>
      <c r="Q792" s="15"/>
      <c r="R792" s="16">
        <f t="shared" si="159"/>
        <v>0</v>
      </c>
      <c r="S792" s="15">
        <f t="shared" si="160"/>
        <v>0</v>
      </c>
      <c r="T792" s="15">
        <f t="shared" si="161"/>
        <v>73520</v>
      </c>
      <c r="U792" s="15">
        <f t="shared" si="162"/>
        <v>1838</v>
      </c>
      <c r="V792" s="15">
        <f t="shared" si="163"/>
        <v>1838</v>
      </c>
      <c r="W792" s="17">
        <f>IF($T792="",1000000000000000,$T792)</f>
        <v>73520</v>
      </c>
      <c r="XFB792" s="5"/>
      <c r="XFC792" s="3"/>
    </row>
    <row r="793" spans="1:23 16382:16383" s="19" customFormat="1" ht="28.5" customHeight="1">
      <c r="A793" s="14">
        <f t="shared" si="153"/>
        <v>775</v>
      </c>
      <c r="B793" s="14" t="s">
        <v>14</v>
      </c>
      <c r="C793" s="14" t="s">
        <v>1648</v>
      </c>
      <c r="D793" s="14" t="s">
        <v>95</v>
      </c>
      <c r="E793" s="14" t="s">
        <v>26</v>
      </c>
      <c r="F793" s="14" t="s">
        <v>1649</v>
      </c>
      <c r="G793" s="15">
        <v>1838</v>
      </c>
      <c r="H793" s="15"/>
      <c r="I793" s="15"/>
      <c r="J793" s="15">
        <v>1837</v>
      </c>
      <c r="K793" s="15">
        <f t="shared" si="152"/>
        <v>0</v>
      </c>
      <c r="L793" s="15">
        <f t="shared" si="154"/>
        <v>1838</v>
      </c>
      <c r="M793" s="15" t="str">
        <f t="shared" si="155"/>
        <v/>
      </c>
      <c r="N793" s="15">
        <f t="shared" si="156"/>
        <v>1837</v>
      </c>
      <c r="O793" s="15" t="str">
        <f t="shared" si="157"/>
        <v>휘발유 73,520원</v>
      </c>
      <c r="P793" s="15">
        <f t="shared" si="158"/>
        <v>73520</v>
      </c>
      <c r="Q793" s="15"/>
      <c r="R793" s="16">
        <f t="shared" si="159"/>
        <v>0</v>
      </c>
      <c r="S793" s="15">
        <f t="shared" si="160"/>
        <v>0</v>
      </c>
      <c r="T793" s="15">
        <f t="shared" si="161"/>
        <v>73520</v>
      </c>
      <c r="U793" s="15">
        <f t="shared" si="162"/>
        <v>1838</v>
      </c>
      <c r="V793" s="15">
        <f t="shared" si="163"/>
        <v>1838</v>
      </c>
      <c r="W793" s="17">
        <f>IF($T793="",1000000000000000,$T793)</f>
        <v>73520</v>
      </c>
      <c r="XFB793" s="5"/>
      <c r="XFC793" s="3"/>
    </row>
    <row r="794" spans="1:23 16382:16383" s="5" customFormat="1" ht="28.65" customHeight="1">
      <c r="A794" s="14">
        <f t="shared" si="153"/>
        <v>775</v>
      </c>
      <c r="B794" s="14" t="s">
        <v>14</v>
      </c>
      <c r="C794" s="14" t="s">
        <v>1618</v>
      </c>
      <c r="D794" s="14" t="s">
        <v>95</v>
      </c>
      <c r="E794" s="14" t="s">
        <v>26</v>
      </c>
      <c r="F794" s="14" t="s">
        <v>1619</v>
      </c>
      <c r="G794" s="15">
        <v>1838</v>
      </c>
      <c r="H794" s="15"/>
      <c r="I794" s="15"/>
      <c r="J794" s="15">
        <v>1838</v>
      </c>
      <c r="K794" s="15">
        <f t="shared" si="152"/>
        <v>0</v>
      </c>
      <c r="L794" s="15">
        <f t="shared" si="154"/>
        <v>1838</v>
      </c>
      <c r="M794" s="15" t="str">
        <f t="shared" si="155"/>
        <v/>
      </c>
      <c r="N794" s="15">
        <f t="shared" si="156"/>
        <v>1838</v>
      </c>
      <c r="O794" s="15" t="str">
        <f t="shared" si="157"/>
        <v>휘발유 73,520원</v>
      </c>
      <c r="P794" s="15">
        <f t="shared" si="158"/>
        <v>73520</v>
      </c>
      <c r="Q794" s="15"/>
      <c r="R794" s="16">
        <f t="shared" si="159"/>
        <v>0</v>
      </c>
      <c r="S794" s="15">
        <f t="shared" si="160"/>
        <v>0</v>
      </c>
      <c r="T794" s="15">
        <f t="shared" si="161"/>
        <v>73520</v>
      </c>
      <c r="U794" s="15">
        <f t="shared" si="162"/>
        <v>1838</v>
      </c>
      <c r="V794" s="15">
        <f t="shared" si="163"/>
        <v>1838</v>
      </c>
      <c r="W794" s="17">
        <f>IF($T794="",1000000000000000,$T794)</f>
        <v>73520</v>
      </c>
      <c r="XFC794" s="3"/>
    </row>
    <row r="795" spans="1:23 16382:16383" s="19" customFormat="1" ht="28.5" customHeight="1">
      <c r="A795" s="14">
        <f t="shared" si="153"/>
        <v>775</v>
      </c>
      <c r="B795" s="14" t="s">
        <v>14</v>
      </c>
      <c r="C795" s="14" t="s">
        <v>1576</v>
      </c>
      <c r="D795" s="18" t="s">
        <v>86</v>
      </c>
      <c r="E795" s="14" t="s">
        <v>26</v>
      </c>
      <c r="F795" s="14" t="s">
        <v>1577</v>
      </c>
      <c r="G795" s="15">
        <v>1838</v>
      </c>
      <c r="H795" s="15"/>
      <c r="I795" s="15"/>
      <c r="J795" s="15">
        <v>1838</v>
      </c>
      <c r="K795" s="15">
        <f t="shared" si="152"/>
        <v>0</v>
      </c>
      <c r="L795" s="15">
        <f t="shared" si="154"/>
        <v>1838</v>
      </c>
      <c r="M795" s="15" t="str">
        <f t="shared" si="155"/>
        <v/>
      </c>
      <c r="N795" s="15">
        <f t="shared" si="156"/>
        <v>1838</v>
      </c>
      <c r="O795" s="15" t="str">
        <f t="shared" si="157"/>
        <v>휘발유 73,520원</v>
      </c>
      <c r="P795" s="15">
        <f t="shared" si="158"/>
        <v>73520</v>
      </c>
      <c r="Q795" s="15"/>
      <c r="R795" s="16">
        <f t="shared" si="159"/>
        <v>0</v>
      </c>
      <c r="S795" s="15">
        <f t="shared" si="160"/>
        <v>0</v>
      </c>
      <c r="T795" s="15">
        <f t="shared" si="161"/>
        <v>73520</v>
      </c>
      <c r="U795" s="15">
        <f t="shared" si="162"/>
        <v>1838</v>
      </c>
      <c r="V795" s="15">
        <f t="shared" si="163"/>
        <v>1838</v>
      </c>
      <c r="W795" s="17">
        <f>IF($T795="",1000000000000000,$T795)</f>
        <v>73520</v>
      </c>
      <c r="XFB795" s="5"/>
      <c r="XFC795" s="3"/>
    </row>
    <row r="796" spans="1:23 16382:16383" s="5" customFormat="1" ht="28.65" customHeight="1">
      <c r="A796" s="14">
        <f t="shared" si="153"/>
        <v>775</v>
      </c>
      <c r="B796" s="14" t="s">
        <v>12</v>
      </c>
      <c r="C796" s="14" t="s">
        <v>1703</v>
      </c>
      <c r="D796" s="18" t="s">
        <v>496</v>
      </c>
      <c r="E796" s="14" t="s">
        <v>63</v>
      </c>
      <c r="F796" s="14" t="s">
        <v>1704</v>
      </c>
      <c r="G796" s="15">
        <v>1838</v>
      </c>
      <c r="H796" s="15"/>
      <c r="I796" s="15"/>
      <c r="J796" s="15">
        <v>1848</v>
      </c>
      <c r="K796" s="15">
        <f t="shared" si="152"/>
        <v>0</v>
      </c>
      <c r="L796" s="15">
        <f t="shared" si="154"/>
        <v>1838</v>
      </c>
      <c r="M796" s="15" t="str">
        <f t="shared" si="155"/>
        <v/>
      </c>
      <c r="N796" s="15">
        <f t="shared" si="156"/>
        <v>1848</v>
      </c>
      <c r="O796" s="15" t="str">
        <f t="shared" si="157"/>
        <v>휘발유 73,520원</v>
      </c>
      <c r="P796" s="15">
        <f t="shared" si="158"/>
        <v>73520</v>
      </c>
      <c r="Q796" s="15"/>
      <c r="R796" s="16">
        <f t="shared" si="159"/>
        <v>0</v>
      </c>
      <c r="S796" s="15">
        <f t="shared" si="160"/>
        <v>0</v>
      </c>
      <c r="T796" s="15">
        <f t="shared" si="161"/>
        <v>73520</v>
      </c>
      <c r="U796" s="15">
        <f t="shared" si="162"/>
        <v>1838</v>
      </c>
      <c r="V796" s="15">
        <f t="shared" si="163"/>
        <v>1838</v>
      </c>
      <c r="W796" s="17">
        <f>IF($T796="",1000000000000000,$T796)</f>
        <v>73520</v>
      </c>
      <c r="XFC796" s="3"/>
    </row>
    <row r="797" spans="1:23 16382:16383" s="5" customFormat="1" ht="28.65" customHeight="1">
      <c r="A797" s="14">
        <f t="shared" si="153"/>
        <v>775</v>
      </c>
      <c r="B797" s="14" t="s">
        <v>12</v>
      </c>
      <c r="C797" s="14" t="s">
        <v>1705</v>
      </c>
      <c r="D797" s="18" t="s">
        <v>496</v>
      </c>
      <c r="E797" s="14" t="s">
        <v>63</v>
      </c>
      <c r="F797" s="14" t="s">
        <v>1706</v>
      </c>
      <c r="G797" s="15">
        <v>1838</v>
      </c>
      <c r="H797" s="15"/>
      <c r="I797" s="15"/>
      <c r="J797" s="15">
        <v>1848</v>
      </c>
      <c r="K797" s="15">
        <f t="shared" si="152"/>
        <v>0</v>
      </c>
      <c r="L797" s="15">
        <f t="shared" si="154"/>
        <v>1838</v>
      </c>
      <c r="M797" s="15" t="str">
        <f t="shared" si="155"/>
        <v/>
      </c>
      <c r="N797" s="15">
        <f t="shared" si="156"/>
        <v>1848</v>
      </c>
      <c r="O797" s="15" t="str">
        <f t="shared" si="157"/>
        <v>휘발유 73,520원</v>
      </c>
      <c r="P797" s="15">
        <f t="shared" si="158"/>
        <v>73520</v>
      </c>
      <c r="Q797" s="15"/>
      <c r="R797" s="16">
        <f t="shared" si="159"/>
        <v>0</v>
      </c>
      <c r="S797" s="15">
        <f t="shared" si="160"/>
        <v>0</v>
      </c>
      <c r="T797" s="15">
        <f t="shared" si="161"/>
        <v>73520</v>
      </c>
      <c r="U797" s="15">
        <f t="shared" si="162"/>
        <v>1838</v>
      </c>
      <c r="V797" s="15">
        <f t="shared" si="163"/>
        <v>1838</v>
      </c>
      <c r="W797" s="17">
        <f>IF($T797="",1000000000000000,$T797)</f>
        <v>73520</v>
      </c>
      <c r="XFC797" s="3"/>
    </row>
    <row r="798" spans="1:23 16382:16383" s="5" customFormat="1" ht="28.65" customHeight="1">
      <c r="A798" s="14">
        <f t="shared" si="153"/>
        <v>775</v>
      </c>
      <c r="B798" s="14" t="s">
        <v>12</v>
      </c>
      <c r="C798" s="14" t="s">
        <v>1707</v>
      </c>
      <c r="D798" s="18" t="s">
        <v>496</v>
      </c>
      <c r="E798" s="14" t="s">
        <v>26</v>
      </c>
      <c r="F798" s="14" t="s">
        <v>1708</v>
      </c>
      <c r="G798" s="15">
        <v>1838</v>
      </c>
      <c r="H798" s="15"/>
      <c r="I798" s="15"/>
      <c r="J798" s="15">
        <v>1848</v>
      </c>
      <c r="K798" s="15">
        <f t="shared" si="152"/>
        <v>0</v>
      </c>
      <c r="L798" s="15">
        <f t="shared" si="154"/>
        <v>1838</v>
      </c>
      <c r="M798" s="15" t="str">
        <f t="shared" si="155"/>
        <v/>
      </c>
      <c r="N798" s="15">
        <f t="shared" si="156"/>
        <v>1848</v>
      </c>
      <c r="O798" s="15" t="str">
        <f t="shared" si="157"/>
        <v>휘발유 73,520원</v>
      </c>
      <c r="P798" s="15">
        <f t="shared" si="158"/>
        <v>73520</v>
      </c>
      <c r="Q798" s="15"/>
      <c r="R798" s="16">
        <f t="shared" si="159"/>
        <v>0</v>
      </c>
      <c r="S798" s="15">
        <f t="shared" si="160"/>
        <v>0</v>
      </c>
      <c r="T798" s="15">
        <f t="shared" si="161"/>
        <v>73520</v>
      </c>
      <c r="U798" s="15">
        <f t="shared" si="162"/>
        <v>1838</v>
      </c>
      <c r="V798" s="15">
        <f t="shared" si="163"/>
        <v>1838</v>
      </c>
      <c r="W798" s="17">
        <f>IF($T798="",1000000000000000,$T798)</f>
        <v>73520</v>
      </c>
      <c r="XFC798" s="3"/>
    </row>
    <row r="799" spans="1:23 16382:16383" s="19" customFormat="1" ht="28.5" customHeight="1">
      <c r="A799" s="14">
        <f t="shared" si="153"/>
        <v>775</v>
      </c>
      <c r="B799" s="14" t="s">
        <v>12</v>
      </c>
      <c r="C799" s="14" t="s">
        <v>1578</v>
      </c>
      <c r="D799" s="18" t="s">
        <v>496</v>
      </c>
      <c r="E799" s="14" t="s">
        <v>26</v>
      </c>
      <c r="F799" s="14" t="s">
        <v>1579</v>
      </c>
      <c r="G799" s="15">
        <v>1838</v>
      </c>
      <c r="H799" s="15"/>
      <c r="I799" s="15"/>
      <c r="J799" s="15">
        <v>1858</v>
      </c>
      <c r="K799" s="15">
        <f t="shared" si="152"/>
        <v>0</v>
      </c>
      <c r="L799" s="15">
        <f t="shared" si="154"/>
        <v>1838</v>
      </c>
      <c r="M799" s="15" t="str">
        <f t="shared" si="155"/>
        <v/>
      </c>
      <c r="N799" s="15">
        <f t="shared" si="156"/>
        <v>1858</v>
      </c>
      <c r="O799" s="15" t="str">
        <f t="shared" si="157"/>
        <v>휘발유 73,520원</v>
      </c>
      <c r="P799" s="15">
        <f t="shared" si="158"/>
        <v>73520</v>
      </c>
      <c r="Q799" s="15"/>
      <c r="R799" s="16">
        <f t="shared" si="159"/>
        <v>0</v>
      </c>
      <c r="S799" s="15">
        <f t="shared" si="160"/>
        <v>0</v>
      </c>
      <c r="T799" s="15">
        <f t="shared" si="161"/>
        <v>73520</v>
      </c>
      <c r="U799" s="15">
        <f t="shared" si="162"/>
        <v>1838</v>
      </c>
      <c r="V799" s="15">
        <f t="shared" si="163"/>
        <v>1838</v>
      </c>
      <c r="W799" s="17">
        <f>IF($T799="",1000000000000000,$T799)</f>
        <v>73520</v>
      </c>
      <c r="XFB799" s="5"/>
      <c r="XFC799" s="3"/>
    </row>
    <row r="800" spans="1:23 16382:16383" s="5" customFormat="1" ht="28.65" customHeight="1">
      <c r="A800" s="14">
        <f t="shared" si="153"/>
        <v>786</v>
      </c>
      <c r="B800" s="14" t="s">
        <v>6</v>
      </c>
      <c r="C800" s="14" t="s">
        <v>308</v>
      </c>
      <c r="D800" s="18" t="s">
        <v>86</v>
      </c>
      <c r="E800" s="14" t="s">
        <v>26</v>
      </c>
      <c r="F800" s="14" t="s">
        <v>309</v>
      </c>
      <c r="G800" s="15">
        <v>1839</v>
      </c>
      <c r="H800" s="15">
        <v>2029</v>
      </c>
      <c r="I800" s="15"/>
      <c r="J800" s="15">
        <v>1798</v>
      </c>
      <c r="K800" s="15">
        <f t="shared" si="152"/>
        <v>0</v>
      </c>
      <c r="L800" s="15">
        <f t="shared" si="154"/>
        <v>1839</v>
      </c>
      <c r="M800" s="15">
        <f t="shared" si="155"/>
        <v>2029</v>
      </c>
      <c r="N800" s="15">
        <f t="shared" si="156"/>
        <v>1798</v>
      </c>
      <c r="O800" s="15" t="str">
        <f t="shared" si="157"/>
        <v>휘발유 73,560원</v>
      </c>
      <c r="P800" s="15">
        <f t="shared" si="158"/>
        <v>73560</v>
      </c>
      <c r="Q800" s="15"/>
      <c r="R800" s="16">
        <f t="shared" si="159"/>
        <v>0</v>
      </c>
      <c r="S800" s="15">
        <f t="shared" si="160"/>
        <v>0</v>
      </c>
      <c r="T800" s="15">
        <f t="shared" si="161"/>
        <v>73560</v>
      </c>
      <c r="U800" s="15">
        <f t="shared" si="162"/>
        <v>1839</v>
      </c>
      <c r="V800" s="15">
        <f t="shared" si="163"/>
        <v>1839</v>
      </c>
      <c r="W800" s="17">
        <f>IF($T800="",1000000000000000,$T800)</f>
        <v>73560</v>
      </c>
      <c r="XFC800" s="3"/>
    </row>
    <row r="801" spans="1:23 16382:16383" s="5" customFormat="1" ht="28.65" customHeight="1">
      <c r="A801" s="14">
        <f t="shared" si="153"/>
        <v>786</v>
      </c>
      <c r="B801" s="14" t="s">
        <v>12</v>
      </c>
      <c r="C801" s="14" t="s">
        <v>1537</v>
      </c>
      <c r="D801" s="18" t="s">
        <v>45</v>
      </c>
      <c r="E801" s="14" t="s">
        <v>63</v>
      </c>
      <c r="F801" s="14" t="s">
        <v>1538</v>
      </c>
      <c r="G801" s="15">
        <v>1839</v>
      </c>
      <c r="H801" s="15"/>
      <c r="I801" s="15"/>
      <c r="J801" s="15">
        <v>1819</v>
      </c>
      <c r="K801" s="15">
        <v>0</v>
      </c>
      <c r="L801" s="15">
        <f t="shared" si="154"/>
        <v>1839</v>
      </c>
      <c r="M801" s="15" t="str">
        <f t="shared" si="155"/>
        <v/>
      </c>
      <c r="N801" s="15">
        <f t="shared" si="156"/>
        <v>1819</v>
      </c>
      <c r="O801" s="15" t="str">
        <f t="shared" si="157"/>
        <v>휘발유 73,560원</v>
      </c>
      <c r="P801" s="15">
        <f t="shared" si="158"/>
        <v>73560</v>
      </c>
      <c r="Q801" s="15"/>
      <c r="R801" s="16">
        <f t="shared" si="159"/>
        <v>0</v>
      </c>
      <c r="S801" s="15">
        <f t="shared" si="160"/>
        <v>0</v>
      </c>
      <c r="T801" s="15">
        <f t="shared" si="161"/>
        <v>73560</v>
      </c>
      <c r="U801" s="15">
        <f t="shared" si="162"/>
        <v>1839</v>
      </c>
      <c r="V801" s="15">
        <f t="shared" si="163"/>
        <v>1839</v>
      </c>
      <c r="W801" s="17">
        <f>IF($T801="",1000000000000000,$T801)</f>
        <v>73560</v>
      </c>
      <c r="XFC801" s="3"/>
    </row>
    <row r="802" spans="1:23 16382:16383" s="19" customFormat="1" ht="28.5" customHeight="1">
      <c r="A802" s="14">
        <f t="shared" si="153"/>
        <v>786</v>
      </c>
      <c r="B802" s="14" t="s">
        <v>10</v>
      </c>
      <c r="C802" s="14" t="s">
        <v>1580</v>
      </c>
      <c r="D802" s="18" t="s">
        <v>86</v>
      </c>
      <c r="E802" s="14" t="s">
        <v>63</v>
      </c>
      <c r="F802" s="14" t="s">
        <v>1581</v>
      </c>
      <c r="G802" s="15">
        <v>1839</v>
      </c>
      <c r="H802" s="15"/>
      <c r="I802" s="15"/>
      <c r="J802" s="15">
        <v>1798</v>
      </c>
      <c r="K802" s="15">
        <f t="shared" ref="K802:K833" si="164">IF(AND(IFERROR(SEARCH("현대오일뱅크",$C802),0)&gt;0,IFERROR(SEARCH("직영",$C802),0)&gt;0),$B$13,0)</f>
        <v>0</v>
      </c>
      <c r="L802" s="15">
        <f t="shared" si="154"/>
        <v>1839</v>
      </c>
      <c r="M802" s="15" t="str">
        <f t="shared" si="155"/>
        <v/>
      </c>
      <c r="N802" s="15">
        <f t="shared" si="156"/>
        <v>1798</v>
      </c>
      <c r="O802" s="15" t="str">
        <f t="shared" si="157"/>
        <v>휘발유 73,560원</v>
      </c>
      <c r="P802" s="15">
        <f t="shared" si="158"/>
        <v>73560</v>
      </c>
      <c r="Q802" s="15"/>
      <c r="R802" s="16">
        <f t="shared" si="159"/>
        <v>0</v>
      </c>
      <c r="S802" s="15">
        <f t="shared" si="160"/>
        <v>0</v>
      </c>
      <c r="T802" s="15">
        <f t="shared" si="161"/>
        <v>73560</v>
      </c>
      <c r="U802" s="15">
        <f t="shared" si="162"/>
        <v>1839</v>
      </c>
      <c r="V802" s="15">
        <f t="shared" si="163"/>
        <v>1839</v>
      </c>
      <c r="W802" s="17">
        <f>IF($T802="",1000000000000000,$T802)</f>
        <v>73560</v>
      </c>
      <c r="XFB802" s="5"/>
      <c r="XFC802" s="3"/>
    </row>
    <row r="803" spans="1:23 16382:16383" s="5" customFormat="1" ht="28.65" customHeight="1">
      <c r="A803" s="14">
        <f t="shared" si="153"/>
        <v>786</v>
      </c>
      <c r="B803" s="14" t="s">
        <v>14</v>
      </c>
      <c r="C803" s="14" t="s">
        <v>1582</v>
      </c>
      <c r="D803" s="14" t="s">
        <v>496</v>
      </c>
      <c r="E803" s="14" t="s">
        <v>63</v>
      </c>
      <c r="F803" s="14" t="s">
        <v>1583</v>
      </c>
      <c r="G803" s="15">
        <v>1839</v>
      </c>
      <c r="H803" s="15"/>
      <c r="I803" s="15"/>
      <c r="J803" s="15">
        <v>1829</v>
      </c>
      <c r="K803" s="15">
        <f t="shared" si="164"/>
        <v>0</v>
      </c>
      <c r="L803" s="15">
        <f t="shared" si="154"/>
        <v>1839</v>
      </c>
      <c r="M803" s="15" t="str">
        <f t="shared" si="155"/>
        <v/>
      </c>
      <c r="N803" s="15">
        <f t="shared" si="156"/>
        <v>1829</v>
      </c>
      <c r="O803" s="15" t="str">
        <f t="shared" si="157"/>
        <v>휘발유 73,560원</v>
      </c>
      <c r="P803" s="15">
        <f t="shared" si="158"/>
        <v>73560</v>
      </c>
      <c r="Q803" s="15"/>
      <c r="R803" s="16">
        <f t="shared" si="159"/>
        <v>0</v>
      </c>
      <c r="S803" s="15">
        <f t="shared" si="160"/>
        <v>0</v>
      </c>
      <c r="T803" s="15">
        <f t="shared" si="161"/>
        <v>73560</v>
      </c>
      <c r="U803" s="15">
        <f t="shared" si="162"/>
        <v>1839</v>
      </c>
      <c r="V803" s="15">
        <f t="shared" si="163"/>
        <v>1839</v>
      </c>
      <c r="W803" s="17">
        <f>IF($T803="",1000000000000000,$T803)</f>
        <v>73560</v>
      </c>
      <c r="XFC803" s="3"/>
    </row>
    <row r="804" spans="1:23 16382:16383" s="5" customFormat="1" ht="28.65" customHeight="1">
      <c r="A804" s="14">
        <f t="shared" si="153"/>
        <v>786</v>
      </c>
      <c r="B804" s="14" t="s">
        <v>14</v>
      </c>
      <c r="C804" s="14" t="s">
        <v>1596</v>
      </c>
      <c r="D804" s="14" t="s">
        <v>496</v>
      </c>
      <c r="E804" s="14" t="s">
        <v>26</v>
      </c>
      <c r="F804" s="14" t="s">
        <v>1597</v>
      </c>
      <c r="G804" s="15">
        <v>1839</v>
      </c>
      <c r="H804" s="15"/>
      <c r="I804" s="15"/>
      <c r="J804" s="15">
        <v>1829</v>
      </c>
      <c r="K804" s="15">
        <f t="shared" si="164"/>
        <v>0</v>
      </c>
      <c r="L804" s="15">
        <f t="shared" si="154"/>
        <v>1839</v>
      </c>
      <c r="M804" s="15" t="str">
        <f t="shared" si="155"/>
        <v/>
      </c>
      <c r="N804" s="15">
        <f t="shared" si="156"/>
        <v>1829</v>
      </c>
      <c r="O804" s="15" t="str">
        <f t="shared" si="157"/>
        <v>휘발유 73,560원</v>
      </c>
      <c r="P804" s="15">
        <f t="shared" si="158"/>
        <v>73560</v>
      </c>
      <c r="Q804" s="15"/>
      <c r="R804" s="16">
        <f t="shared" si="159"/>
        <v>0</v>
      </c>
      <c r="S804" s="15">
        <f t="shared" si="160"/>
        <v>0</v>
      </c>
      <c r="T804" s="15">
        <f t="shared" si="161"/>
        <v>73560</v>
      </c>
      <c r="U804" s="15">
        <f t="shared" si="162"/>
        <v>1839</v>
      </c>
      <c r="V804" s="15">
        <f t="shared" si="163"/>
        <v>1839</v>
      </c>
      <c r="W804" s="17">
        <f>IF($T804="",1000000000000000,$T804)</f>
        <v>73560</v>
      </c>
      <c r="XFC804" s="3"/>
    </row>
    <row r="805" spans="1:23 16382:16383" s="5" customFormat="1" ht="28.65" customHeight="1">
      <c r="A805" s="14">
        <f t="shared" si="153"/>
        <v>786</v>
      </c>
      <c r="B805" s="14" t="s">
        <v>14</v>
      </c>
      <c r="C805" s="14" t="s">
        <v>1584</v>
      </c>
      <c r="D805" s="14" t="s">
        <v>496</v>
      </c>
      <c r="E805" s="14" t="s">
        <v>63</v>
      </c>
      <c r="F805" s="14" t="s">
        <v>1585</v>
      </c>
      <c r="G805" s="15">
        <v>1839</v>
      </c>
      <c r="H805" s="15"/>
      <c r="I805" s="15"/>
      <c r="J805" s="15">
        <v>1829</v>
      </c>
      <c r="K805" s="15">
        <f t="shared" si="164"/>
        <v>0</v>
      </c>
      <c r="L805" s="15">
        <f t="shared" si="154"/>
        <v>1839</v>
      </c>
      <c r="M805" s="15" t="str">
        <f t="shared" si="155"/>
        <v/>
      </c>
      <c r="N805" s="15">
        <f t="shared" si="156"/>
        <v>1829</v>
      </c>
      <c r="O805" s="15" t="str">
        <f t="shared" si="157"/>
        <v>휘발유 73,560원</v>
      </c>
      <c r="P805" s="15">
        <f t="shared" si="158"/>
        <v>73560</v>
      </c>
      <c r="Q805" s="15"/>
      <c r="R805" s="16">
        <f t="shared" si="159"/>
        <v>0</v>
      </c>
      <c r="S805" s="15">
        <f t="shared" si="160"/>
        <v>0</v>
      </c>
      <c r="T805" s="15">
        <f t="shared" si="161"/>
        <v>73560</v>
      </c>
      <c r="U805" s="15">
        <f t="shared" si="162"/>
        <v>1839</v>
      </c>
      <c r="V805" s="15">
        <f t="shared" si="163"/>
        <v>1839</v>
      </c>
      <c r="W805" s="17">
        <f>IF($T805="",1000000000000000,$T805)</f>
        <v>73560</v>
      </c>
      <c r="XFC805" s="3"/>
    </row>
    <row r="806" spans="1:23 16382:16383" s="5" customFormat="1" ht="28.65" customHeight="1">
      <c r="A806" s="14">
        <f t="shared" si="153"/>
        <v>786</v>
      </c>
      <c r="B806" s="14" t="s">
        <v>12</v>
      </c>
      <c r="C806" s="14" t="s">
        <v>1586</v>
      </c>
      <c r="D806" s="18" t="s">
        <v>496</v>
      </c>
      <c r="E806" s="14" t="s">
        <v>26</v>
      </c>
      <c r="F806" s="14" t="s">
        <v>1587</v>
      </c>
      <c r="G806" s="15">
        <v>1839</v>
      </c>
      <c r="H806" s="15"/>
      <c r="I806" s="15"/>
      <c r="J806" s="15">
        <v>1829</v>
      </c>
      <c r="K806" s="15">
        <f t="shared" si="164"/>
        <v>0</v>
      </c>
      <c r="L806" s="15">
        <f t="shared" si="154"/>
        <v>1839</v>
      </c>
      <c r="M806" s="15" t="str">
        <f t="shared" si="155"/>
        <v/>
      </c>
      <c r="N806" s="15">
        <f t="shared" si="156"/>
        <v>1829</v>
      </c>
      <c r="O806" s="15" t="str">
        <f t="shared" si="157"/>
        <v>휘발유 73,560원</v>
      </c>
      <c r="P806" s="15">
        <f t="shared" si="158"/>
        <v>73560</v>
      </c>
      <c r="Q806" s="15"/>
      <c r="R806" s="16">
        <f t="shared" si="159"/>
        <v>0</v>
      </c>
      <c r="S806" s="15">
        <f t="shared" si="160"/>
        <v>0</v>
      </c>
      <c r="T806" s="15">
        <f t="shared" si="161"/>
        <v>73560</v>
      </c>
      <c r="U806" s="15">
        <f t="shared" si="162"/>
        <v>1839</v>
      </c>
      <c r="V806" s="15">
        <f t="shared" si="163"/>
        <v>1839</v>
      </c>
      <c r="W806" s="17">
        <f>IF($T806="",1000000000000000,$T806)</f>
        <v>73560</v>
      </c>
      <c r="XFC806" s="3"/>
    </row>
    <row r="807" spans="1:23 16382:16383" s="19" customFormat="1" ht="28.5" customHeight="1">
      <c r="A807" s="14">
        <f t="shared" si="153"/>
        <v>786</v>
      </c>
      <c r="B807" s="14" t="s">
        <v>10</v>
      </c>
      <c r="C807" s="14" t="s">
        <v>1588</v>
      </c>
      <c r="D807" s="14" t="s">
        <v>51</v>
      </c>
      <c r="E807" s="14" t="s">
        <v>26</v>
      </c>
      <c r="F807" s="14" t="s">
        <v>1589</v>
      </c>
      <c r="G807" s="15">
        <v>1839</v>
      </c>
      <c r="H807" s="15"/>
      <c r="I807" s="15"/>
      <c r="J807" s="15">
        <v>1829</v>
      </c>
      <c r="K807" s="15">
        <f t="shared" si="164"/>
        <v>0</v>
      </c>
      <c r="L807" s="15">
        <f t="shared" si="154"/>
        <v>1839</v>
      </c>
      <c r="M807" s="15" t="str">
        <f t="shared" si="155"/>
        <v/>
      </c>
      <c r="N807" s="15">
        <f t="shared" si="156"/>
        <v>1829</v>
      </c>
      <c r="O807" s="15" t="str">
        <f t="shared" si="157"/>
        <v>휘발유 73,560원</v>
      </c>
      <c r="P807" s="15">
        <f t="shared" si="158"/>
        <v>73560</v>
      </c>
      <c r="Q807" s="15"/>
      <c r="R807" s="16">
        <f t="shared" si="159"/>
        <v>0</v>
      </c>
      <c r="S807" s="15">
        <f t="shared" si="160"/>
        <v>0</v>
      </c>
      <c r="T807" s="15">
        <f t="shared" si="161"/>
        <v>73560</v>
      </c>
      <c r="U807" s="15">
        <f t="shared" si="162"/>
        <v>1839</v>
      </c>
      <c r="V807" s="15">
        <f t="shared" si="163"/>
        <v>1839</v>
      </c>
      <c r="W807" s="17">
        <f>IF($T807="",1000000000000000,$T807)</f>
        <v>73560</v>
      </c>
      <c r="XFB807" s="5"/>
      <c r="XFC807" s="3"/>
    </row>
    <row r="808" spans="1:23 16382:16383" s="19" customFormat="1" ht="28.5" customHeight="1">
      <c r="A808" s="14">
        <f t="shared" si="153"/>
        <v>786</v>
      </c>
      <c r="B808" s="14" t="s">
        <v>16</v>
      </c>
      <c r="C808" s="14" t="s">
        <v>1590</v>
      </c>
      <c r="D808" s="14" t="s">
        <v>45</v>
      </c>
      <c r="E808" s="14" t="s">
        <v>26</v>
      </c>
      <c r="F808" s="14" t="s">
        <v>1591</v>
      </c>
      <c r="G808" s="15">
        <v>1839</v>
      </c>
      <c r="H808" s="15"/>
      <c r="I808" s="15"/>
      <c r="J808" s="15">
        <v>1839</v>
      </c>
      <c r="K808" s="15">
        <f t="shared" si="164"/>
        <v>0</v>
      </c>
      <c r="L808" s="15">
        <f t="shared" si="154"/>
        <v>1839</v>
      </c>
      <c r="M808" s="15" t="str">
        <f t="shared" si="155"/>
        <v/>
      </c>
      <c r="N808" s="15">
        <f t="shared" si="156"/>
        <v>1839</v>
      </c>
      <c r="O808" s="15" t="str">
        <f t="shared" si="157"/>
        <v>휘발유 73,560원</v>
      </c>
      <c r="P808" s="15">
        <f t="shared" si="158"/>
        <v>73560</v>
      </c>
      <c r="Q808" s="15"/>
      <c r="R808" s="16">
        <f t="shared" si="159"/>
        <v>0</v>
      </c>
      <c r="S808" s="15">
        <f t="shared" si="160"/>
        <v>0</v>
      </c>
      <c r="T808" s="15">
        <f t="shared" si="161"/>
        <v>73560</v>
      </c>
      <c r="U808" s="15">
        <f t="shared" si="162"/>
        <v>1839</v>
      </c>
      <c r="V808" s="15">
        <f t="shared" si="163"/>
        <v>1839</v>
      </c>
      <c r="W808" s="17">
        <f>IF($T808="",1000000000000000,$T808)</f>
        <v>73560</v>
      </c>
      <c r="XFB808" s="5"/>
      <c r="XFC808" s="3"/>
    </row>
    <row r="809" spans="1:23 16382:16383" s="5" customFormat="1" ht="28.65" customHeight="1">
      <c r="A809" s="14">
        <f t="shared" si="153"/>
        <v>786</v>
      </c>
      <c r="B809" s="14" t="s">
        <v>8</v>
      </c>
      <c r="C809" s="14" t="s">
        <v>1660</v>
      </c>
      <c r="D809" s="14" t="s">
        <v>51</v>
      </c>
      <c r="E809" s="14" t="s">
        <v>63</v>
      </c>
      <c r="F809" s="14" t="s">
        <v>1661</v>
      </c>
      <c r="G809" s="15">
        <v>1839</v>
      </c>
      <c r="H809" s="15"/>
      <c r="I809" s="15"/>
      <c r="J809" s="15">
        <v>1839</v>
      </c>
      <c r="K809" s="15">
        <f t="shared" si="164"/>
        <v>0</v>
      </c>
      <c r="L809" s="15">
        <f t="shared" si="154"/>
        <v>1839</v>
      </c>
      <c r="M809" s="15" t="str">
        <f t="shared" si="155"/>
        <v/>
      </c>
      <c r="N809" s="15">
        <f t="shared" si="156"/>
        <v>1839</v>
      </c>
      <c r="O809" s="15" t="str">
        <f t="shared" si="157"/>
        <v>휘발유 73,560원</v>
      </c>
      <c r="P809" s="15">
        <f t="shared" si="158"/>
        <v>73560</v>
      </c>
      <c r="Q809" s="15"/>
      <c r="R809" s="16">
        <f t="shared" si="159"/>
        <v>0</v>
      </c>
      <c r="S809" s="15">
        <f t="shared" si="160"/>
        <v>0</v>
      </c>
      <c r="T809" s="15">
        <f t="shared" si="161"/>
        <v>73560</v>
      </c>
      <c r="U809" s="15">
        <f t="shared" si="162"/>
        <v>1839</v>
      </c>
      <c r="V809" s="15">
        <f t="shared" si="163"/>
        <v>1839</v>
      </c>
      <c r="W809" s="17">
        <f>IF($T809="",1000000000000000,$T809)</f>
        <v>73560</v>
      </c>
      <c r="XFC809" s="3"/>
    </row>
    <row r="810" spans="1:23 16382:16383" s="19" customFormat="1" ht="28.5" customHeight="1">
      <c r="A810" s="14">
        <f t="shared" si="153"/>
        <v>786</v>
      </c>
      <c r="B810" s="14" t="s">
        <v>14</v>
      </c>
      <c r="C810" s="14" t="s">
        <v>1592</v>
      </c>
      <c r="D810" s="14" t="s">
        <v>496</v>
      </c>
      <c r="E810" s="14" t="s">
        <v>63</v>
      </c>
      <c r="F810" s="14" t="s">
        <v>1593</v>
      </c>
      <c r="G810" s="15">
        <v>1839</v>
      </c>
      <c r="H810" s="15"/>
      <c r="I810" s="15"/>
      <c r="J810" s="15">
        <v>1839</v>
      </c>
      <c r="K810" s="15">
        <f t="shared" si="164"/>
        <v>0</v>
      </c>
      <c r="L810" s="15">
        <f t="shared" si="154"/>
        <v>1839</v>
      </c>
      <c r="M810" s="15" t="str">
        <f t="shared" si="155"/>
        <v/>
      </c>
      <c r="N810" s="15">
        <f t="shared" si="156"/>
        <v>1839</v>
      </c>
      <c r="O810" s="15" t="str">
        <f t="shared" si="157"/>
        <v>휘발유 73,560원</v>
      </c>
      <c r="P810" s="15">
        <f t="shared" si="158"/>
        <v>73560</v>
      </c>
      <c r="Q810" s="15"/>
      <c r="R810" s="16">
        <f t="shared" si="159"/>
        <v>0</v>
      </c>
      <c r="S810" s="15">
        <f t="shared" si="160"/>
        <v>0</v>
      </c>
      <c r="T810" s="15">
        <f t="shared" si="161"/>
        <v>73560</v>
      </c>
      <c r="U810" s="15">
        <f t="shared" si="162"/>
        <v>1839</v>
      </c>
      <c r="V810" s="15">
        <f t="shared" si="163"/>
        <v>1839</v>
      </c>
      <c r="W810" s="17">
        <f>IF($T810="",1000000000000000,$T810)</f>
        <v>73560</v>
      </c>
      <c r="XFB810" s="5"/>
      <c r="XFC810" s="3"/>
    </row>
    <row r="811" spans="1:23 16382:16383" s="5" customFormat="1" ht="28.65" customHeight="1">
      <c r="A811" s="14">
        <f t="shared" si="153"/>
        <v>786</v>
      </c>
      <c r="B811" s="14" t="s">
        <v>12</v>
      </c>
      <c r="C811" s="14" t="s">
        <v>1594</v>
      </c>
      <c r="D811" s="18" t="s">
        <v>496</v>
      </c>
      <c r="E811" s="14" t="s">
        <v>63</v>
      </c>
      <c r="F811" s="14" t="s">
        <v>1595</v>
      </c>
      <c r="G811" s="15">
        <v>1839</v>
      </c>
      <c r="H811" s="15"/>
      <c r="I811" s="15"/>
      <c r="J811" s="15">
        <v>1845</v>
      </c>
      <c r="K811" s="15">
        <f t="shared" si="164"/>
        <v>0</v>
      </c>
      <c r="L811" s="15">
        <f t="shared" si="154"/>
        <v>1839</v>
      </c>
      <c r="M811" s="15" t="str">
        <f t="shared" si="155"/>
        <v/>
      </c>
      <c r="N811" s="15">
        <f t="shared" si="156"/>
        <v>1845</v>
      </c>
      <c r="O811" s="15" t="str">
        <f t="shared" si="157"/>
        <v>휘발유 73,560원</v>
      </c>
      <c r="P811" s="15">
        <f t="shared" si="158"/>
        <v>73560</v>
      </c>
      <c r="Q811" s="15"/>
      <c r="R811" s="16">
        <f t="shared" si="159"/>
        <v>0</v>
      </c>
      <c r="S811" s="15">
        <f t="shared" si="160"/>
        <v>0</v>
      </c>
      <c r="T811" s="15">
        <f t="shared" si="161"/>
        <v>73560</v>
      </c>
      <c r="U811" s="15">
        <f t="shared" si="162"/>
        <v>1839</v>
      </c>
      <c r="V811" s="15">
        <f t="shared" si="163"/>
        <v>1839</v>
      </c>
      <c r="W811" s="17">
        <f>IF($T811="",1000000000000000,$T811)</f>
        <v>73560</v>
      </c>
      <c r="XFC811" s="3"/>
    </row>
    <row r="812" spans="1:23 16382:16383" s="5" customFormat="1" ht="28.65" customHeight="1">
      <c r="A812" s="14">
        <f t="shared" si="153"/>
        <v>798</v>
      </c>
      <c r="B812" s="14" t="s">
        <v>16</v>
      </c>
      <c r="C812" s="14" t="s">
        <v>1598</v>
      </c>
      <c r="D812" s="14" t="s">
        <v>45</v>
      </c>
      <c r="E812" s="14" t="s">
        <v>26</v>
      </c>
      <c r="F812" s="14" t="s">
        <v>1599</v>
      </c>
      <c r="G812" s="15">
        <v>1840</v>
      </c>
      <c r="H812" s="15"/>
      <c r="I812" s="15"/>
      <c r="J812" s="15">
        <v>1830</v>
      </c>
      <c r="K812" s="15">
        <f t="shared" si="164"/>
        <v>0</v>
      </c>
      <c r="L812" s="15">
        <f t="shared" si="154"/>
        <v>1840</v>
      </c>
      <c r="M812" s="15" t="str">
        <f t="shared" si="155"/>
        <v/>
      </c>
      <c r="N812" s="15">
        <f t="shared" si="156"/>
        <v>1830</v>
      </c>
      <c r="O812" s="15" t="str">
        <f t="shared" si="157"/>
        <v>휘발유 73,600원</v>
      </c>
      <c r="P812" s="15">
        <f t="shared" si="158"/>
        <v>73600</v>
      </c>
      <c r="Q812" s="15"/>
      <c r="R812" s="16">
        <f t="shared" si="159"/>
        <v>0</v>
      </c>
      <c r="S812" s="15">
        <f t="shared" si="160"/>
        <v>0</v>
      </c>
      <c r="T812" s="15">
        <f t="shared" si="161"/>
        <v>73600</v>
      </c>
      <c r="U812" s="15">
        <f t="shared" si="162"/>
        <v>1840</v>
      </c>
      <c r="V812" s="15">
        <f t="shared" si="163"/>
        <v>1840</v>
      </c>
      <c r="W812" s="17">
        <f>IF($T812="",1000000000000000,$T812)</f>
        <v>73600</v>
      </c>
      <c r="XFC812" s="3"/>
    </row>
    <row r="813" spans="1:23 16382:16383" s="19" customFormat="1" ht="28.5" customHeight="1">
      <c r="A813" s="14">
        <f t="shared" si="153"/>
        <v>798</v>
      </c>
      <c r="B813" s="14" t="s">
        <v>14</v>
      </c>
      <c r="C813" s="14" t="s">
        <v>1600</v>
      </c>
      <c r="D813" s="14" t="s">
        <v>95</v>
      </c>
      <c r="E813" s="14" t="s">
        <v>26</v>
      </c>
      <c r="F813" s="14" t="s">
        <v>1601</v>
      </c>
      <c r="G813" s="15">
        <v>1840</v>
      </c>
      <c r="H813" s="15"/>
      <c r="I813" s="15"/>
      <c r="J813" s="15">
        <v>1858</v>
      </c>
      <c r="K813" s="15">
        <f t="shared" si="164"/>
        <v>0</v>
      </c>
      <c r="L813" s="15">
        <f t="shared" si="154"/>
        <v>1840</v>
      </c>
      <c r="M813" s="15" t="str">
        <f t="shared" si="155"/>
        <v/>
      </c>
      <c r="N813" s="15">
        <f t="shared" si="156"/>
        <v>1858</v>
      </c>
      <c r="O813" s="15" t="str">
        <f t="shared" si="157"/>
        <v>휘발유 73,600원</v>
      </c>
      <c r="P813" s="15">
        <f t="shared" si="158"/>
        <v>73600</v>
      </c>
      <c r="Q813" s="15"/>
      <c r="R813" s="16">
        <f t="shared" si="159"/>
        <v>0</v>
      </c>
      <c r="S813" s="15">
        <f t="shared" si="160"/>
        <v>0</v>
      </c>
      <c r="T813" s="15">
        <f t="shared" si="161"/>
        <v>73600</v>
      </c>
      <c r="U813" s="15">
        <f t="shared" si="162"/>
        <v>1840</v>
      </c>
      <c r="V813" s="15">
        <f t="shared" si="163"/>
        <v>1840</v>
      </c>
      <c r="W813" s="17">
        <f>IF($T813="",1000000000000000,$T813)</f>
        <v>73600</v>
      </c>
      <c r="XFB813" s="5"/>
      <c r="XFC813" s="3"/>
    </row>
    <row r="814" spans="1:23 16382:16383" s="19" customFormat="1" ht="28.5" customHeight="1">
      <c r="A814" s="14">
        <f t="shared" si="153"/>
        <v>798</v>
      </c>
      <c r="B814" s="14" t="s">
        <v>16</v>
      </c>
      <c r="C814" s="14" t="s">
        <v>1602</v>
      </c>
      <c r="D814" s="14" t="s">
        <v>95</v>
      </c>
      <c r="E814" s="14" t="s">
        <v>26</v>
      </c>
      <c r="F814" s="14" t="s">
        <v>1603</v>
      </c>
      <c r="G814" s="15">
        <v>1840</v>
      </c>
      <c r="H814" s="15"/>
      <c r="I814" s="15"/>
      <c r="J814" s="15">
        <v>1860</v>
      </c>
      <c r="K814" s="15">
        <f t="shared" si="164"/>
        <v>0</v>
      </c>
      <c r="L814" s="15">
        <f t="shared" si="154"/>
        <v>1840</v>
      </c>
      <c r="M814" s="15" t="str">
        <f t="shared" si="155"/>
        <v/>
      </c>
      <c r="N814" s="15">
        <f t="shared" si="156"/>
        <v>1860</v>
      </c>
      <c r="O814" s="15" t="str">
        <f t="shared" si="157"/>
        <v>휘발유 73,600원</v>
      </c>
      <c r="P814" s="15">
        <f t="shared" si="158"/>
        <v>73600</v>
      </c>
      <c r="Q814" s="15"/>
      <c r="R814" s="16">
        <f t="shared" si="159"/>
        <v>0</v>
      </c>
      <c r="S814" s="15">
        <f t="shared" si="160"/>
        <v>0</v>
      </c>
      <c r="T814" s="15">
        <f t="shared" si="161"/>
        <v>73600</v>
      </c>
      <c r="U814" s="15">
        <f t="shared" si="162"/>
        <v>1840</v>
      </c>
      <c r="V814" s="15">
        <f t="shared" si="163"/>
        <v>1840</v>
      </c>
      <c r="W814" s="17">
        <f>IF($T814="",1000000000000000,$T814)</f>
        <v>73600</v>
      </c>
      <c r="XFB814" s="5"/>
      <c r="XFC814" s="3"/>
    </row>
    <row r="815" spans="1:23 16382:16383" s="5" customFormat="1" ht="28.65" customHeight="1">
      <c r="A815" s="14">
        <f t="shared" si="153"/>
        <v>798</v>
      </c>
      <c r="B815" s="14" t="s">
        <v>16</v>
      </c>
      <c r="C815" s="14" t="s">
        <v>1604</v>
      </c>
      <c r="D815" s="18" t="s">
        <v>86</v>
      </c>
      <c r="E815" s="14" t="s">
        <v>63</v>
      </c>
      <c r="F815" s="14" t="s">
        <v>1605</v>
      </c>
      <c r="G815" s="15">
        <v>1840</v>
      </c>
      <c r="H815" s="15"/>
      <c r="I815" s="15"/>
      <c r="J815" s="15">
        <v>1890</v>
      </c>
      <c r="K815" s="15">
        <f t="shared" si="164"/>
        <v>0</v>
      </c>
      <c r="L815" s="15">
        <f t="shared" si="154"/>
        <v>1840</v>
      </c>
      <c r="M815" s="15" t="str">
        <f t="shared" si="155"/>
        <v/>
      </c>
      <c r="N815" s="15">
        <f t="shared" si="156"/>
        <v>1890</v>
      </c>
      <c r="O815" s="15" t="str">
        <f t="shared" si="157"/>
        <v>휘발유 73,600원</v>
      </c>
      <c r="P815" s="15">
        <f t="shared" si="158"/>
        <v>73600</v>
      </c>
      <c r="Q815" s="15"/>
      <c r="R815" s="16">
        <f t="shared" si="159"/>
        <v>0</v>
      </c>
      <c r="S815" s="15">
        <f t="shared" si="160"/>
        <v>0</v>
      </c>
      <c r="T815" s="15">
        <f t="shared" si="161"/>
        <v>73600</v>
      </c>
      <c r="U815" s="15">
        <f t="shared" si="162"/>
        <v>1840</v>
      </c>
      <c r="V815" s="15">
        <f t="shared" si="163"/>
        <v>1840</v>
      </c>
      <c r="W815" s="17">
        <f>IF($T815="",1000000000000000,$T815)</f>
        <v>73600</v>
      </c>
      <c r="XFC815" s="3"/>
    </row>
    <row r="816" spans="1:23 16382:16383" s="5" customFormat="1" ht="28.65" customHeight="1">
      <c r="A816" s="14">
        <f t="shared" si="153"/>
        <v>802</v>
      </c>
      <c r="B816" s="14" t="s">
        <v>12</v>
      </c>
      <c r="C816" s="14" t="s">
        <v>1606</v>
      </c>
      <c r="D816" s="18" t="s">
        <v>45</v>
      </c>
      <c r="E816" s="14" t="s">
        <v>63</v>
      </c>
      <c r="F816" s="14" t="s">
        <v>1607</v>
      </c>
      <c r="G816" s="15">
        <v>1845</v>
      </c>
      <c r="H816" s="15"/>
      <c r="I816" s="15"/>
      <c r="J816" s="15">
        <v>1830</v>
      </c>
      <c r="K816" s="15">
        <f t="shared" si="164"/>
        <v>0</v>
      </c>
      <c r="L816" s="15">
        <f t="shared" si="154"/>
        <v>1845</v>
      </c>
      <c r="M816" s="15" t="str">
        <f t="shared" si="155"/>
        <v/>
      </c>
      <c r="N816" s="15">
        <f t="shared" si="156"/>
        <v>1830</v>
      </c>
      <c r="O816" s="15" t="str">
        <f t="shared" si="157"/>
        <v>휘발유 73,800원</v>
      </c>
      <c r="P816" s="15">
        <f t="shared" si="158"/>
        <v>73800</v>
      </c>
      <c r="Q816" s="15"/>
      <c r="R816" s="16">
        <f t="shared" si="159"/>
        <v>0</v>
      </c>
      <c r="S816" s="15">
        <f t="shared" si="160"/>
        <v>0</v>
      </c>
      <c r="T816" s="15">
        <f t="shared" si="161"/>
        <v>73800</v>
      </c>
      <c r="U816" s="15">
        <f t="shared" si="162"/>
        <v>1845</v>
      </c>
      <c r="V816" s="15">
        <f t="shared" si="163"/>
        <v>1845</v>
      </c>
      <c r="W816" s="17">
        <f>IF($T816="",1000000000000000,$T816)</f>
        <v>73800</v>
      </c>
      <c r="XFC816" s="3"/>
    </row>
    <row r="817" spans="1:23 16382:16383" s="19" customFormat="1" ht="28.5" customHeight="1">
      <c r="A817" s="14">
        <f t="shared" si="153"/>
        <v>802</v>
      </c>
      <c r="B817" s="14" t="s">
        <v>12</v>
      </c>
      <c r="C817" s="14" t="s">
        <v>1608</v>
      </c>
      <c r="D817" s="18" t="s">
        <v>45</v>
      </c>
      <c r="E817" s="14" t="s">
        <v>63</v>
      </c>
      <c r="F817" s="14" t="s">
        <v>1609</v>
      </c>
      <c r="G817" s="15">
        <v>1845</v>
      </c>
      <c r="H817" s="15"/>
      <c r="I817" s="15"/>
      <c r="J817" s="15">
        <v>1835</v>
      </c>
      <c r="K817" s="15">
        <f t="shared" si="164"/>
        <v>0</v>
      </c>
      <c r="L817" s="15">
        <f t="shared" si="154"/>
        <v>1845</v>
      </c>
      <c r="M817" s="15" t="str">
        <f t="shared" si="155"/>
        <v/>
      </c>
      <c r="N817" s="15">
        <f t="shared" si="156"/>
        <v>1835</v>
      </c>
      <c r="O817" s="15" t="str">
        <f t="shared" si="157"/>
        <v>휘발유 73,800원</v>
      </c>
      <c r="P817" s="15">
        <f t="shared" si="158"/>
        <v>73800</v>
      </c>
      <c r="Q817" s="15"/>
      <c r="R817" s="16">
        <f t="shared" si="159"/>
        <v>0</v>
      </c>
      <c r="S817" s="15">
        <f t="shared" si="160"/>
        <v>0</v>
      </c>
      <c r="T817" s="15">
        <f t="shared" si="161"/>
        <v>73800</v>
      </c>
      <c r="U817" s="15">
        <f t="shared" si="162"/>
        <v>1845</v>
      </c>
      <c r="V817" s="15">
        <f t="shared" si="163"/>
        <v>1845</v>
      </c>
      <c r="W817" s="17">
        <f>IF($T817="",1000000000000000,$T817)</f>
        <v>73800</v>
      </c>
      <c r="XFB817" s="5"/>
      <c r="XFC817" s="3"/>
    </row>
    <row r="818" spans="1:23 16382:16383" s="19" customFormat="1" ht="28.5" customHeight="1">
      <c r="A818" s="14">
        <f t="shared" si="153"/>
        <v>802</v>
      </c>
      <c r="B818" s="14" t="s">
        <v>12</v>
      </c>
      <c r="C818" s="14" t="s">
        <v>1610</v>
      </c>
      <c r="D818" s="18" t="s">
        <v>45</v>
      </c>
      <c r="E818" s="14" t="s">
        <v>63</v>
      </c>
      <c r="F818" s="14" t="s">
        <v>1611</v>
      </c>
      <c r="G818" s="15">
        <v>1845</v>
      </c>
      <c r="H818" s="15"/>
      <c r="I818" s="15"/>
      <c r="J818" s="15">
        <v>1835</v>
      </c>
      <c r="K818" s="15">
        <f t="shared" si="164"/>
        <v>0</v>
      </c>
      <c r="L818" s="15">
        <f t="shared" si="154"/>
        <v>1845</v>
      </c>
      <c r="M818" s="15" t="str">
        <f t="shared" si="155"/>
        <v/>
      </c>
      <c r="N818" s="15">
        <f t="shared" si="156"/>
        <v>1835</v>
      </c>
      <c r="O818" s="15" t="str">
        <f t="shared" si="157"/>
        <v>휘발유 73,800원</v>
      </c>
      <c r="P818" s="15">
        <f t="shared" si="158"/>
        <v>73800</v>
      </c>
      <c r="Q818" s="15"/>
      <c r="R818" s="16">
        <f t="shared" si="159"/>
        <v>0</v>
      </c>
      <c r="S818" s="15">
        <f t="shared" si="160"/>
        <v>0</v>
      </c>
      <c r="T818" s="15">
        <f t="shared" si="161"/>
        <v>73800</v>
      </c>
      <c r="U818" s="15">
        <f t="shared" si="162"/>
        <v>1845</v>
      </c>
      <c r="V818" s="15">
        <f t="shared" si="163"/>
        <v>1845</v>
      </c>
      <c r="W818" s="17">
        <f>IF($T818="",1000000000000000,$T818)</f>
        <v>73800</v>
      </c>
      <c r="XFB818" s="5"/>
      <c r="XFC818" s="3"/>
    </row>
    <row r="819" spans="1:23 16382:16383" s="19" customFormat="1" ht="28.5" customHeight="1">
      <c r="A819" s="14">
        <f t="shared" si="153"/>
        <v>802</v>
      </c>
      <c r="B819" s="14" t="s">
        <v>10</v>
      </c>
      <c r="C819" s="14" t="s">
        <v>1612</v>
      </c>
      <c r="D819" s="18" t="s">
        <v>86</v>
      </c>
      <c r="E819" s="14" t="s">
        <v>63</v>
      </c>
      <c r="F819" s="14" t="s">
        <v>1613</v>
      </c>
      <c r="G819" s="15">
        <v>1845</v>
      </c>
      <c r="H819" s="15"/>
      <c r="I819" s="15"/>
      <c r="J819" s="15">
        <v>1835</v>
      </c>
      <c r="K819" s="15">
        <f t="shared" si="164"/>
        <v>0</v>
      </c>
      <c r="L819" s="15">
        <f t="shared" si="154"/>
        <v>1845</v>
      </c>
      <c r="M819" s="15" t="str">
        <f t="shared" si="155"/>
        <v/>
      </c>
      <c r="N819" s="15">
        <f t="shared" si="156"/>
        <v>1835</v>
      </c>
      <c r="O819" s="15" t="str">
        <f t="shared" si="157"/>
        <v>휘발유 73,800원</v>
      </c>
      <c r="P819" s="15">
        <f t="shared" si="158"/>
        <v>73800</v>
      </c>
      <c r="Q819" s="15"/>
      <c r="R819" s="16">
        <f t="shared" si="159"/>
        <v>0</v>
      </c>
      <c r="S819" s="15">
        <f t="shared" si="160"/>
        <v>0</v>
      </c>
      <c r="T819" s="15">
        <f t="shared" si="161"/>
        <v>73800</v>
      </c>
      <c r="U819" s="15">
        <f t="shared" si="162"/>
        <v>1845</v>
      </c>
      <c r="V819" s="15">
        <f t="shared" si="163"/>
        <v>1845</v>
      </c>
      <c r="W819" s="17">
        <f>IF($T819="",1000000000000000,$T819)</f>
        <v>73800</v>
      </c>
      <c r="XFB819" s="5"/>
      <c r="XFC819" s="3"/>
    </row>
    <row r="820" spans="1:23 16382:16383" s="5" customFormat="1" ht="28.65" customHeight="1">
      <c r="A820" s="14">
        <f t="shared" si="153"/>
        <v>806</v>
      </c>
      <c r="B820" s="14" t="s">
        <v>14</v>
      </c>
      <c r="C820" s="14" t="s">
        <v>1614</v>
      </c>
      <c r="D820" s="14" t="s">
        <v>45</v>
      </c>
      <c r="E820" s="14" t="s">
        <v>63</v>
      </c>
      <c r="F820" s="14" t="s">
        <v>1615</v>
      </c>
      <c r="G820" s="15">
        <v>1846</v>
      </c>
      <c r="H820" s="15"/>
      <c r="I820" s="15"/>
      <c r="J820" s="15">
        <v>1846</v>
      </c>
      <c r="K820" s="15">
        <f t="shared" si="164"/>
        <v>0</v>
      </c>
      <c r="L820" s="15">
        <f t="shared" si="154"/>
        <v>1846</v>
      </c>
      <c r="M820" s="15" t="str">
        <f t="shared" si="155"/>
        <v/>
      </c>
      <c r="N820" s="15">
        <f t="shared" si="156"/>
        <v>1846</v>
      </c>
      <c r="O820" s="15" t="str">
        <f t="shared" si="157"/>
        <v>휘발유 73,840원</v>
      </c>
      <c r="P820" s="15">
        <f t="shared" si="158"/>
        <v>73840</v>
      </c>
      <c r="Q820" s="15"/>
      <c r="R820" s="16">
        <f t="shared" si="159"/>
        <v>0</v>
      </c>
      <c r="S820" s="15">
        <f t="shared" si="160"/>
        <v>0</v>
      </c>
      <c r="T820" s="15">
        <f t="shared" si="161"/>
        <v>73840</v>
      </c>
      <c r="U820" s="15">
        <f t="shared" si="162"/>
        <v>1846</v>
      </c>
      <c r="V820" s="15">
        <f t="shared" si="163"/>
        <v>1846</v>
      </c>
      <c r="W820" s="17">
        <f>IF($T820="",1000000000000000,$T820)</f>
        <v>73840</v>
      </c>
      <c r="XFC820" s="3"/>
    </row>
    <row r="821" spans="1:23 16382:16383" s="19" customFormat="1" ht="28.5" customHeight="1">
      <c r="A821" s="14">
        <f t="shared" si="153"/>
        <v>807</v>
      </c>
      <c r="B821" s="14" t="s">
        <v>12</v>
      </c>
      <c r="C821" s="14" t="s">
        <v>1616</v>
      </c>
      <c r="D821" s="18" t="s">
        <v>86</v>
      </c>
      <c r="E821" s="14" t="s">
        <v>63</v>
      </c>
      <c r="F821" s="14" t="s">
        <v>1617</v>
      </c>
      <c r="G821" s="15">
        <v>1847</v>
      </c>
      <c r="H821" s="15"/>
      <c r="I821" s="15"/>
      <c r="J821" s="15">
        <v>1847</v>
      </c>
      <c r="K821" s="15">
        <f t="shared" si="164"/>
        <v>0</v>
      </c>
      <c r="L821" s="15">
        <f t="shared" si="154"/>
        <v>1847</v>
      </c>
      <c r="M821" s="15" t="str">
        <f t="shared" si="155"/>
        <v/>
      </c>
      <c r="N821" s="15">
        <f t="shared" si="156"/>
        <v>1847</v>
      </c>
      <c r="O821" s="15" t="str">
        <f t="shared" si="157"/>
        <v>휘발유 73,880원</v>
      </c>
      <c r="P821" s="15">
        <f t="shared" si="158"/>
        <v>73880</v>
      </c>
      <c r="Q821" s="15"/>
      <c r="R821" s="16">
        <f t="shared" si="159"/>
        <v>0</v>
      </c>
      <c r="S821" s="15">
        <f t="shared" si="160"/>
        <v>0</v>
      </c>
      <c r="T821" s="15">
        <f t="shared" si="161"/>
        <v>73880</v>
      </c>
      <c r="U821" s="15">
        <f t="shared" si="162"/>
        <v>1847</v>
      </c>
      <c r="V821" s="15">
        <f t="shared" si="163"/>
        <v>1847</v>
      </c>
      <c r="W821" s="17">
        <f>IF($T821="",1000000000000000,$T821)</f>
        <v>73880</v>
      </c>
      <c r="XFB821" s="5"/>
      <c r="XFC821" s="3"/>
    </row>
    <row r="822" spans="1:23 16382:16383" s="5" customFormat="1" ht="28.65" customHeight="1">
      <c r="A822" s="14">
        <f t="shared" si="153"/>
        <v>808</v>
      </c>
      <c r="B822" s="14" t="s">
        <v>10</v>
      </c>
      <c r="C822" s="14" t="s">
        <v>310</v>
      </c>
      <c r="D822" s="14" t="s">
        <v>45</v>
      </c>
      <c r="E822" s="14" t="s">
        <v>26</v>
      </c>
      <c r="F822" s="14" t="s">
        <v>311</v>
      </c>
      <c r="G822" s="15">
        <v>1849</v>
      </c>
      <c r="H822" s="15">
        <v>2019</v>
      </c>
      <c r="I822" s="15"/>
      <c r="J822" s="15">
        <v>1839</v>
      </c>
      <c r="K822" s="15">
        <f t="shared" si="164"/>
        <v>0</v>
      </c>
      <c r="L822" s="15">
        <f t="shared" si="154"/>
        <v>1849</v>
      </c>
      <c r="M822" s="15">
        <f t="shared" si="155"/>
        <v>2019</v>
      </c>
      <c r="N822" s="15">
        <f t="shared" si="156"/>
        <v>1839</v>
      </c>
      <c r="O822" s="15" t="str">
        <f t="shared" si="157"/>
        <v>휘발유 73,960원</v>
      </c>
      <c r="P822" s="15">
        <f t="shared" si="158"/>
        <v>73960</v>
      </c>
      <c r="Q822" s="15"/>
      <c r="R822" s="16">
        <f t="shared" si="159"/>
        <v>0</v>
      </c>
      <c r="S822" s="15">
        <f t="shared" si="160"/>
        <v>0</v>
      </c>
      <c r="T822" s="15">
        <f t="shared" si="161"/>
        <v>73960</v>
      </c>
      <c r="U822" s="15">
        <f t="shared" si="162"/>
        <v>1849</v>
      </c>
      <c r="V822" s="15">
        <f t="shared" si="163"/>
        <v>1849</v>
      </c>
      <c r="W822" s="17">
        <f>IF($T822="",1000000000000000,$T822)</f>
        <v>73960</v>
      </c>
      <c r="XFC822" s="3"/>
    </row>
    <row r="823" spans="1:23 16382:16383" s="5" customFormat="1" ht="28.65" customHeight="1">
      <c r="A823" s="14">
        <f t="shared" si="153"/>
        <v>808</v>
      </c>
      <c r="B823" s="14" t="s">
        <v>12</v>
      </c>
      <c r="C823" s="14" t="s">
        <v>334</v>
      </c>
      <c r="D823" s="18" t="s">
        <v>86</v>
      </c>
      <c r="E823" s="14" t="s">
        <v>63</v>
      </c>
      <c r="F823" s="14" t="s">
        <v>335</v>
      </c>
      <c r="G823" s="15">
        <v>1849</v>
      </c>
      <c r="H823" s="15">
        <v>2039</v>
      </c>
      <c r="I823" s="15"/>
      <c r="J823" s="15">
        <v>1798</v>
      </c>
      <c r="K823" s="15">
        <f t="shared" si="164"/>
        <v>0</v>
      </c>
      <c r="L823" s="15">
        <f t="shared" si="154"/>
        <v>1849</v>
      </c>
      <c r="M823" s="15">
        <f t="shared" si="155"/>
        <v>2039</v>
      </c>
      <c r="N823" s="15">
        <f t="shared" si="156"/>
        <v>1798</v>
      </c>
      <c r="O823" s="15" t="str">
        <f t="shared" si="157"/>
        <v>휘발유 73,960원</v>
      </c>
      <c r="P823" s="15">
        <f t="shared" si="158"/>
        <v>73960</v>
      </c>
      <c r="Q823" s="15"/>
      <c r="R823" s="16">
        <f t="shared" si="159"/>
        <v>0</v>
      </c>
      <c r="S823" s="15">
        <f t="shared" si="160"/>
        <v>0</v>
      </c>
      <c r="T823" s="15">
        <f t="shared" si="161"/>
        <v>73960</v>
      </c>
      <c r="U823" s="15">
        <f t="shared" si="162"/>
        <v>1849</v>
      </c>
      <c r="V823" s="15">
        <f t="shared" si="163"/>
        <v>1849</v>
      </c>
      <c r="W823" s="17">
        <f>IF($T823="",1000000000000000,$T823)</f>
        <v>73960</v>
      </c>
      <c r="XFC823" s="3"/>
    </row>
    <row r="824" spans="1:23 16382:16383" s="19" customFormat="1" ht="28.5" customHeight="1">
      <c r="A824" s="14">
        <f t="shared" si="153"/>
        <v>808</v>
      </c>
      <c r="B824" s="14" t="s">
        <v>12</v>
      </c>
      <c r="C824" s="14" t="s">
        <v>1620</v>
      </c>
      <c r="D824" s="18" t="s">
        <v>86</v>
      </c>
      <c r="E824" s="14" t="s">
        <v>63</v>
      </c>
      <c r="F824" s="14" t="s">
        <v>1621</v>
      </c>
      <c r="G824" s="15">
        <v>1849</v>
      </c>
      <c r="H824" s="15"/>
      <c r="I824" s="15"/>
      <c r="J824" s="15">
        <v>1799</v>
      </c>
      <c r="K824" s="15">
        <f t="shared" si="164"/>
        <v>0</v>
      </c>
      <c r="L824" s="15">
        <f t="shared" si="154"/>
        <v>1849</v>
      </c>
      <c r="M824" s="15" t="str">
        <f t="shared" si="155"/>
        <v/>
      </c>
      <c r="N824" s="15">
        <f t="shared" si="156"/>
        <v>1799</v>
      </c>
      <c r="O824" s="15" t="str">
        <f t="shared" si="157"/>
        <v>휘발유 73,960원</v>
      </c>
      <c r="P824" s="15">
        <f t="shared" si="158"/>
        <v>73960</v>
      </c>
      <c r="Q824" s="15"/>
      <c r="R824" s="16">
        <f t="shared" si="159"/>
        <v>0</v>
      </c>
      <c r="S824" s="15">
        <f t="shared" si="160"/>
        <v>0</v>
      </c>
      <c r="T824" s="15">
        <f t="shared" si="161"/>
        <v>73960</v>
      </c>
      <c r="U824" s="15">
        <f t="shared" si="162"/>
        <v>1849</v>
      </c>
      <c r="V824" s="15">
        <f t="shared" si="163"/>
        <v>1849</v>
      </c>
      <c r="W824" s="17">
        <f>IF($T824="",1000000000000000,$T824)</f>
        <v>73960</v>
      </c>
      <c r="XFB824" s="5"/>
      <c r="XFC824" s="3"/>
    </row>
    <row r="825" spans="1:23 16382:16383" s="19" customFormat="1" ht="28.5" customHeight="1">
      <c r="A825" s="14">
        <f t="shared" si="153"/>
        <v>808</v>
      </c>
      <c r="B825" s="14" t="s">
        <v>10</v>
      </c>
      <c r="C825" s="14" t="s">
        <v>1622</v>
      </c>
      <c r="D825" s="14" t="s">
        <v>45</v>
      </c>
      <c r="E825" s="14" t="s">
        <v>26</v>
      </c>
      <c r="F825" s="14" t="s">
        <v>1623</v>
      </c>
      <c r="G825" s="15">
        <v>1849</v>
      </c>
      <c r="H825" s="15"/>
      <c r="I825" s="15"/>
      <c r="J825" s="15">
        <v>1799</v>
      </c>
      <c r="K825" s="15">
        <f t="shared" si="164"/>
        <v>0</v>
      </c>
      <c r="L825" s="15">
        <f t="shared" si="154"/>
        <v>1849</v>
      </c>
      <c r="M825" s="15" t="str">
        <f t="shared" si="155"/>
        <v/>
      </c>
      <c r="N825" s="15">
        <f t="shared" si="156"/>
        <v>1799</v>
      </c>
      <c r="O825" s="15" t="str">
        <f t="shared" si="157"/>
        <v>휘발유 73,960원</v>
      </c>
      <c r="P825" s="15">
        <f t="shared" si="158"/>
        <v>73960</v>
      </c>
      <c r="Q825" s="15"/>
      <c r="R825" s="16">
        <f t="shared" si="159"/>
        <v>0</v>
      </c>
      <c r="S825" s="15">
        <f t="shared" si="160"/>
        <v>0</v>
      </c>
      <c r="T825" s="15">
        <f t="shared" si="161"/>
        <v>73960</v>
      </c>
      <c r="U825" s="15">
        <f t="shared" si="162"/>
        <v>1849</v>
      </c>
      <c r="V825" s="15">
        <f t="shared" si="163"/>
        <v>1849</v>
      </c>
      <c r="W825" s="17">
        <f>IF($T825="",1000000000000000,$T825)</f>
        <v>73960</v>
      </c>
      <c r="XFB825" s="5"/>
      <c r="XFC825" s="3"/>
    </row>
    <row r="826" spans="1:23 16382:16383" s="5" customFormat="1" ht="28.65" customHeight="1">
      <c r="A826" s="14">
        <f t="shared" si="153"/>
        <v>808</v>
      </c>
      <c r="B826" s="14" t="s">
        <v>14</v>
      </c>
      <c r="C826" s="14" t="s">
        <v>1624</v>
      </c>
      <c r="D826" s="14" t="s">
        <v>45</v>
      </c>
      <c r="E826" s="14" t="s">
        <v>63</v>
      </c>
      <c r="F826" s="14" t="s">
        <v>1625</v>
      </c>
      <c r="G826" s="15">
        <v>1849</v>
      </c>
      <c r="H826" s="15"/>
      <c r="I826" s="15"/>
      <c r="J826" s="15">
        <v>1839</v>
      </c>
      <c r="K826" s="15">
        <f t="shared" si="164"/>
        <v>0</v>
      </c>
      <c r="L826" s="15">
        <f t="shared" si="154"/>
        <v>1849</v>
      </c>
      <c r="M826" s="15" t="str">
        <f t="shared" si="155"/>
        <v/>
      </c>
      <c r="N826" s="15">
        <f t="shared" si="156"/>
        <v>1839</v>
      </c>
      <c r="O826" s="15" t="str">
        <f t="shared" si="157"/>
        <v>휘발유 73,960원</v>
      </c>
      <c r="P826" s="15">
        <f t="shared" si="158"/>
        <v>73960</v>
      </c>
      <c r="Q826" s="15"/>
      <c r="R826" s="16">
        <f t="shared" si="159"/>
        <v>0</v>
      </c>
      <c r="S826" s="15">
        <f t="shared" si="160"/>
        <v>0</v>
      </c>
      <c r="T826" s="15">
        <f t="shared" si="161"/>
        <v>73960</v>
      </c>
      <c r="U826" s="15">
        <f t="shared" si="162"/>
        <v>1849</v>
      </c>
      <c r="V826" s="15">
        <f t="shared" si="163"/>
        <v>1849</v>
      </c>
      <c r="W826" s="17">
        <f>IF($T826="",1000000000000000,$T826)</f>
        <v>73960</v>
      </c>
      <c r="XFC826" s="3"/>
    </row>
    <row r="827" spans="1:23 16382:16383" s="5" customFormat="1" ht="28.65" customHeight="1">
      <c r="A827" s="14">
        <f t="shared" si="153"/>
        <v>808</v>
      </c>
      <c r="B827" s="14" t="s">
        <v>14</v>
      </c>
      <c r="C827" s="14" t="s">
        <v>1626</v>
      </c>
      <c r="D827" s="14" t="s">
        <v>45</v>
      </c>
      <c r="E827" s="14" t="s">
        <v>63</v>
      </c>
      <c r="F827" s="14" t="s">
        <v>1627</v>
      </c>
      <c r="G827" s="15">
        <v>1849</v>
      </c>
      <c r="H827" s="15"/>
      <c r="I827" s="15"/>
      <c r="J827" s="15">
        <v>1839</v>
      </c>
      <c r="K827" s="15">
        <f t="shared" si="164"/>
        <v>0</v>
      </c>
      <c r="L827" s="15">
        <f t="shared" si="154"/>
        <v>1849</v>
      </c>
      <c r="M827" s="15" t="str">
        <f t="shared" si="155"/>
        <v/>
      </c>
      <c r="N827" s="15">
        <f t="shared" si="156"/>
        <v>1839</v>
      </c>
      <c r="O827" s="15" t="str">
        <f t="shared" si="157"/>
        <v>휘발유 73,960원</v>
      </c>
      <c r="P827" s="15">
        <f t="shared" si="158"/>
        <v>73960</v>
      </c>
      <c r="Q827" s="15"/>
      <c r="R827" s="16">
        <f t="shared" si="159"/>
        <v>0</v>
      </c>
      <c r="S827" s="15">
        <f t="shared" si="160"/>
        <v>0</v>
      </c>
      <c r="T827" s="15">
        <f t="shared" si="161"/>
        <v>73960</v>
      </c>
      <c r="U827" s="15">
        <f t="shared" si="162"/>
        <v>1849</v>
      </c>
      <c r="V827" s="15">
        <f t="shared" si="163"/>
        <v>1849</v>
      </c>
      <c r="W827" s="17">
        <f>IF($T827="",1000000000000000,$T827)</f>
        <v>73960</v>
      </c>
      <c r="XFC827" s="3"/>
    </row>
    <row r="828" spans="1:23 16382:16383" s="19" customFormat="1" ht="28.5" customHeight="1">
      <c r="A828" s="14">
        <f t="shared" si="153"/>
        <v>808</v>
      </c>
      <c r="B828" s="14" t="s">
        <v>10</v>
      </c>
      <c r="C828" s="14" t="s">
        <v>1628</v>
      </c>
      <c r="D828" s="14" t="s">
        <v>95</v>
      </c>
      <c r="E828" s="14" t="s">
        <v>26</v>
      </c>
      <c r="F828" s="14" t="s">
        <v>1629</v>
      </c>
      <c r="G828" s="15">
        <v>1849</v>
      </c>
      <c r="H828" s="15"/>
      <c r="I828" s="15"/>
      <c r="J828" s="15">
        <v>1839</v>
      </c>
      <c r="K828" s="15">
        <f t="shared" si="164"/>
        <v>0</v>
      </c>
      <c r="L828" s="15">
        <f t="shared" si="154"/>
        <v>1849</v>
      </c>
      <c r="M828" s="15" t="str">
        <f t="shared" si="155"/>
        <v/>
      </c>
      <c r="N828" s="15">
        <f t="shared" si="156"/>
        <v>1839</v>
      </c>
      <c r="O828" s="15" t="str">
        <f t="shared" si="157"/>
        <v>휘발유 73,960원</v>
      </c>
      <c r="P828" s="15">
        <f t="shared" si="158"/>
        <v>73960</v>
      </c>
      <c r="Q828" s="15"/>
      <c r="R828" s="16">
        <f t="shared" si="159"/>
        <v>0</v>
      </c>
      <c r="S828" s="15">
        <f t="shared" si="160"/>
        <v>0</v>
      </c>
      <c r="T828" s="15">
        <f t="shared" si="161"/>
        <v>73960</v>
      </c>
      <c r="U828" s="15">
        <f t="shared" si="162"/>
        <v>1849</v>
      </c>
      <c r="V828" s="15">
        <f t="shared" si="163"/>
        <v>1849</v>
      </c>
      <c r="W828" s="17">
        <f>IF($T828="",1000000000000000,$T828)</f>
        <v>73960</v>
      </c>
      <c r="XFB828" s="5"/>
      <c r="XFC828" s="3"/>
    </row>
    <row r="829" spans="1:23 16382:16383" s="5" customFormat="1" ht="28.65" customHeight="1">
      <c r="A829" s="14">
        <f t="shared" si="153"/>
        <v>808</v>
      </c>
      <c r="B829" s="14" t="s">
        <v>18</v>
      </c>
      <c r="C829" s="14" t="s">
        <v>1630</v>
      </c>
      <c r="D829" s="14" t="s">
        <v>95</v>
      </c>
      <c r="E829" s="14" t="s">
        <v>63</v>
      </c>
      <c r="F829" s="14" t="s">
        <v>1631</v>
      </c>
      <c r="G829" s="15">
        <v>1849</v>
      </c>
      <c r="H829" s="15"/>
      <c r="I829" s="15"/>
      <c r="J829" s="15">
        <v>1849</v>
      </c>
      <c r="K829" s="15">
        <f t="shared" si="164"/>
        <v>0</v>
      </c>
      <c r="L829" s="15">
        <f t="shared" si="154"/>
        <v>1849</v>
      </c>
      <c r="M829" s="15" t="str">
        <f t="shared" si="155"/>
        <v/>
      </c>
      <c r="N829" s="15">
        <f t="shared" si="156"/>
        <v>1849</v>
      </c>
      <c r="O829" s="15" t="str">
        <f t="shared" si="157"/>
        <v>휘발유 73,960원</v>
      </c>
      <c r="P829" s="15">
        <f t="shared" si="158"/>
        <v>73960</v>
      </c>
      <c r="Q829" s="15"/>
      <c r="R829" s="16">
        <f t="shared" si="159"/>
        <v>0</v>
      </c>
      <c r="S829" s="15">
        <f t="shared" si="160"/>
        <v>0</v>
      </c>
      <c r="T829" s="15">
        <f t="shared" si="161"/>
        <v>73960</v>
      </c>
      <c r="U829" s="15">
        <f t="shared" si="162"/>
        <v>1849</v>
      </c>
      <c r="V829" s="15">
        <f t="shared" si="163"/>
        <v>1849</v>
      </c>
      <c r="W829" s="17">
        <f>IF($T829="",1000000000000000,$T829)</f>
        <v>73960</v>
      </c>
      <c r="XFC829" s="3"/>
    </row>
    <row r="830" spans="1:23 16382:16383" s="5" customFormat="1" ht="28.65" customHeight="1">
      <c r="A830" s="14">
        <f t="shared" si="153"/>
        <v>808</v>
      </c>
      <c r="B830" s="14" t="s">
        <v>8</v>
      </c>
      <c r="C830" s="14" t="s">
        <v>1632</v>
      </c>
      <c r="D830" s="18" t="s">
        <v>86</v>
      </c>
      <c r="E830" s="14" t="s">
        <v>26</v>
      </c>
      <c r="F830" s="14" t="s">
        <v>1633</v>
      </c>
      <c r="G830" s="15">
        <v>1849</v>
      </c>
      <c r="H830" s="15"/>
      <c r="I830" s="15"/>
      <c r="J830" s="15">
        <v>1849</v>
      </c>
      <c r="K830" s="15">
        <f t="shared" si="164"/>
        <v>0</v>
      </c>
      <c r="L830" s="15">
        <f t="shared" si="154"/>
        <v>1849</v>
      </c>
      <c r="M830" s="15" t="str">
        <f t="shared" si="155"/>
        <v/>
      </c>
      <c r="N830" s="15">
        <f t="shared" si="156"/>
        <v>1849</v>
      </c>
      <c r="O830" s="15" t="str">
        <f t="shared" si="157"/>
        <v>휘발유 73,960원</v>
      </c>
      <c r="P830" s="15">
        <f t="shared" si="158"/>
        <v>73960</v>
      </c>
      <c r="Q830" s="15"/>
      <c r="R830" s="16">
        <f t="shared" si="159"/>
        <v>0</v>
      </c>
      <c r="S830" s="15">
        <f t="shared" si="160"/>
        <v>0</v>
      </c>
      <c r="T830" s="15">
        <f t="shared" si="161"/>
        <v>73960</v>
      </c>
      <c r="U830" s="15">
        <f t="shared" si="162"/>
        <v>1849</v>
      </c>
      <c r="V830" s="15">
        <f t="shared" si="163"/>
        <v>1849</v>
      </c>
      <c r="W830" s="17">
        <f>IF($T830="",1000000000000000,$T830)</f>
        <v>73960</v>
      </c>
      <c r="XFC830" s="3"/>
    </row>
    <row r="831" spans="1:23 16382:16383" s="5" customFormat="1" ht="28.65" customHeight="1">
      <c r="A831" s="14">
        <f t="shared" si="153"/>
        <v>808</v>
      </c>
      <c r="B831" s="14" t="s">
        <v>18</v>
      </c>
      <c r="C831" s="14" t="s">
        <v>1636</v>
      </c>
      <c r="D831" s="14" t="s">
        <v>45</v>
      </c>
      <c r="E831" s="14" t="s">
        <v>26</v>
      </c>
      <c r="F831" s="14" t="s">
        <v>1637</v>
      </c>
      <c r="G831" s="15">
        <v>1849</v>
      </c>
      <c r="H831" s="15"/>
      <c r="I831" s="15"/>
      <c r="J831" s="15">
        <v>1850</v>
      </c>
      <c r="K831" s="15">
        <f t="shared" si="164"/>
        <v>0</v>
      </c>
      <c r="L831" s="15">
        <f t="shared" si="154"/>
        <v>1849</v>
      </c>
      <c r="M831" s="15" t="str">
        <f t="shared" si="155"/>
        <v/>
      </c>
      <c r="N831" s="15">
        <f t="shared" si="156"/>
        <v>1850</v>
      </c>
      <c r="O831" s="15" t="str">
        <f t="shared" si="157"/>
        <v>휘발유 73,960원</v>
      </c>
      <c r="P831" s="15">
        <f t="shared" si="158"/>
        <v>73960</v>
      </c>
      <c r="Q831" s="15"/>
      <c r="R831" s="16">
        <f t="shared" si="159"/>
        <v>0</v>
      </c>
      <c r="S831" s="15">
        <f t="shared" si="160"/>
        <v>0</v>
      </c>
      <c r="T831" s="15">
        <f t="shared" si="161"/>
        <v>73960</v>
      </c>
      <c r="U831" s="15">
        <f t="shared" si="162"/>
        <v>1849</v>
      </c>
      <c r="V831" s="15">
        <f t="shared" si="163"/>
        <v>1849</v>
      </c>
      <c r="W831" s="17">
        <f>IF($T831="",1000000000000000,$T831)</f>
        <v>73960</v>
      </c>
      <c r="XFC831" s="3"/>
    </row>
    <row r="832" spans="1:23 16382:16383" s="5" customFormat="1" ht="28.65" customHeight="1">
      <c r="A832" s="14">
        <f t="shared" si="153"/>
        <v>808</v>
      </c>
      <c r="B832" s="14" t="s">
        <v>14</v>
      </c>
      <c r="C832" s="14" t="s">
        <v>1638</v>
      </c>
      <c r="D832" s="14" t="s">
        <v>45</v>
      </c>
      <c r="E832" s="14" t="s">
        <v>63</v>
      </c>
      <c r="F832" s="14" t="s">
        <v>1639</v>
      </c>
      <c r="G832" s="15">
        <v>1849</v>
      </c>
      <c r="H832" s="15"/>
      <c r="I832" s="15"/>
      <c r="J832" s="15">
        <v>1859</v>
      </c>
      <c r="K832" s="15">
        <f t="shared" si="164"/>
        <v>0</v>
      </c>
      <c r="L832" s="15">
        <f t="shared" si="154"/>
        <v>1849</v>
      </c>
      <c r="M832" s="15" t="str">
        <f t="shared" si="155"/>
        <v/>
      </c>
      <c r="N832" s="15">
        <f t="shared" si="156"/>
        <v>1859</v>
      </c>
      <c r="O832" s="15" t="str">
        <f t="shared" si="157"/>
        <v>휘발유 73,960원</v>
      </c>
      <c r="P832" s="15">
        <f t="shared" si="158"/>
        <v>73960</v>
      </c>
      <c r="Q832" s="15"/>
      <c r="R832" s="16">
        <f t="shared" si="159"/>
        <v>0</v>
      </c>
      <c r="S832" s="15">
        <f t="shared" si="160"/>
        <v>0</v>
      </c>
      <c r="T832" s="15">
        <f t="shared" si="161"/>
        <v>73960</v>
      </c>
      <c r="U832" s="15">
        <f t="shared" si="162"/>
        <v>1849</v>
      </c>
      <c r="V832" s="15">
        <f t="shared" si="163"/>
        <v>1849</v>
      </c>
      <c r="W832" s="17">
        <f>IF($T832="",1000000000000000,$T832)</f>
        <v>73960</v>
      </c>
      <c r="XFC832" s="3"/>
    </row>
    <row r="833" spans="1:23 16382:16383" s="19" customFormat="1" ht="28.5" customHeight="1">
      <c r="A833" s="14">
        <f t="shared" si="153"/>
        <v>808</v>
      </c>
      <c r="B833" s="14" t="s">
        <v>14</v>
      </c>
      <c r="C833" s="14" t="s">
        <v>1640</v>
      </c>
      <c r="D833" s="14" t="s">
        <v>51</v>
      </c>
      <c r="E833" s="14" t="s">
        <v>26</v>
      </c>
      <c r="F833" s="14" t="s">
        <v>1641</v>
      </c>
      <c r="G833" s="15">
        <v>1849</v>
      </c>
      <c r="H833" s="15"/>
      <c r="I833" s="15"/>
      <c r="J833" s="15">
        <v>1869</v>
      </c>
      <c r="K833" s="15">
        <f t="shared" si="164"/>
        <v>0</v>
      </c>
      <c r="L833" s="15">
        <f t="shared" si="154"/>
        <v>1849</v>
      </c>
      <c r="M833" s="15" t="str">
        <f t="shared" si="155"/>
        <v/>
      </c>
      <c r="N833" s="15">
        <f t="shared" si="156"/>
        <v>1869</v>
      </c>
      <c r="O833" s="15" t="str">
        <f t="shared" si="157"/>
        <v>휘발유 73,960원</v>
      </c>
      <c r="P833" s="15">
        <f t="shared" si="158"/>
        <v>73960</v>
      </c>
      <c r="Q833" s="15"/>
      <c r="R833" s="16">
        <f t="shared" si="159"/>
        <v>0</v>
      </c>
      <c r="S833" s="15">
        <f t="shared" si="160"/>
        <v>0</v>
      </c>
      <c r="T833" s="15">
        <f t="shared" si="161"/>
        <v>73960</v>
      </c>
      <c r="U833" s="15">
        <f t="shared" si="162"/>
        <v>1849</v>
      </c>
      <c r="V833" s="15">
        <f t="shared" si="163"/>
        <v>1849</v>
      </c>
      <c r="W833" s="17">
        <f>IF($T833="",1000000000000000,$T833)</f>
        <v>73960</v>
      </c>
      <c r="XFB833" s="5"/>
      <c r="XFC833" s="3"/>
    </row>
    <row r="834" spans="1:23 16382:16383" s="5" customFormat="1" ht="28.65" customHeight="1">
      <c r="A834" s="14">
        <f t="shared" si="153"/>
        <v>820</v>
      </c>
      <c r="B834" s="14" t="s">
        <v>18</v>
      </c>
      <c r="C834" s="14" t="s">
        <v>1642</v>
      </c>
      <c r="D834" s="18" t="s">
        <v>86</v>
      </c>
      <c r="E834" s="14" t="s">
        <v>26</v>
      </c>
      <c r="F834" s="14" t="s">
        <v>1643</v>
      </c>
      <c r="G834" s="15">
        <v>1850</v>
      </c>
      <c r="H834" s="15"/>
      <c r="I834" s="15"/>
      <c r="J834" s="15">
        <v>1789</v>
      </c>
      <c r="K834" s="15">
        <f t="shared" ref="K834:K865" si="165">IF(AND(IFERROR(SEARCH("현대오일뱅크",$C834),0)&gt;0,IFERROR(SEARCH("직영",$C834),0)&gt;0),$B$13,0)</f>
        <v>0</v>
      </c>
      <c r="L834" s="15">
        <f t="shared" si="154"/>
        <v>1850</v>
      </c>
      <c r="M834" s="15" t="str">
        <f t="shared" si="155"/>
        <v/>
      </c>
      <c r="N834" s="15">
        <f t="shared" si="156"/>
        <v>1789</v>
      </c>
      <c r="O834" s="15" t="str">
        <f t="shared" si="157"/>
        <v>휘발유 74,000원</v>
      </c>
      <c r="P834" s="15">
        <f t="shared" si="158"/>
        <v>74000</v>
      </c>
      <c r="Q834" s="15"/>
      <c r="R834" s="16">
        <f t="shared" si="159"/>
        <v>0</v>
      </c>
      <c r="S834" s="15">
        <f t="shared" si="160"/>
        <v>0</v>
      </c>
      <c r="T834" s="15">
        <f t="shared" si="161"/>
        <v>74000</v>
      </c>
      <c r="U834" s="15">
        <f t="shared" si="162"/>
        <v>1850</v>
      </c>
      <c r="V834" s="15">
        <f t="shared" si="163"/>
        <v>1850</v>
      </c>
      <c r="W834" s="17">
        <f>IF($T834="",1000000000000000,$T834)</f>
        <v>74000</v>
      </c>
      <c r="XFC834" s="3"/>
    </row>
    <row r="835" spans="1:23 16382:16383" s="5" customFormat="1" ht="28.65" customHeight="1">
      <c r="A835" s="14">
        <f t="shared" si="153"/>
        <v>820</v>
      </c>
      <c r="B835" s="14" t="s">
        <v>14</v>
      </c>
      <c r="C835" s="14" t="s">
        <v>1670</v>
      </c>
      <c r="D835" s="18" t="s">
        <v>86</v>
      </c>
      <c r="E835" s="14" t="s">
        <v>63</v>
      </c>
      <c r="F835" s="14" t="s">
        <v>1671</v>
      </c>
      <c r="G835" s="15">
        <v>1850</v>
      </c>
      <c r="H835" s="15"/>
      <c r="I835" s="15"/>
      <c r="J835" s="15">
        <v>1865</v>
      </c>
      <c r="K835" s="15">
        <f t="shared" si="165"/>
        <v>0</v>
      </c>
      <c r="L835" s="15">
        <f t="shared" si="154"/>
        <v>1850</v>
      </c>
      <c r="M835" s="15" t="str">
        <f t="shared" si="155"/>
        <v/>
      </c>
      <c r="N835" s="15">
        <f t="shared" si="156"/>
        <v>1865</v>
      </c>
      <c r="O835" s="15" t="str">
        <f t="shared" si="157"/>
        <v>휘발유 74,000원</v>
      </c>
      <c r="P835" s="15">
        <f t="shared" si="158"/>
        <v>74000</v>
      </c>
      <c r="Q835" s="15"/>
      <c r="R835" s="16">
        <f t="shared" si="159"/>
        <v>0</v>
      </c>
      <c r="S835" s="15">
        <f t="shared" si="160"/>
        <v>0</v>
      </c>
      <c r="T835" s="15">
        <f t="shared" si="161"/>
        <v>74000</v>
      </c>
      <c r="U835" s="15">
        <f t="shared" si="162"/>
        <v>1850</v>
      </c>
      <c r="V835" s="15">
        <f t="shared" si="163"/>
        <v>1850</v>
      </c>
      <c r="W835" s="17">
        <f>IF($T835="",1000000000000000,$T835)</f>
        <v>74000</v>
      </c>
      <c r="XFC835" s="3"/>
    </row>
    <row r="836" spans="1:23 16382:16383" s="5" customFormat="1" ht="28.65" customHeight="1">
      <c r="A836" s="14">
        <f t="shared" si="153"/>
        <v>820</v>
      </c>
      <c r="B836" s="14" t="s">
        <v>18</v>
      </c>
      <c r="C836" s="14" t="s">
        <v>1644</v>
      </c>
      <c r="D836" s="14" t="s">
        <v>496</v>
      </c>
      <c r="E836" s="14" t="s">
        <v>63</v>
      </c>
      <c r="F836" s="14" t="s">
        <v>1645</v>
      </c>
      <c r="G836" s="15">
        <v>1850</v>
      </c>
      <c r="H836" s="15"/>
      <c r="I836" s="15"/>
      <c r="J836" s="15">
        <v>1880</v>
      </c>
      <c r="K836" s="15">
        <f t="shared" si="165"/>
        <v>0</v>
      </c>
      <c r="L836" s="15">
        <f t="shared" si="154"/>
        <v>1850</v>
      </c>
      <c r="M836" s="15" t="str">
        <f t="shared" si="155"/>
        <v/>
      </c>
      <c r="N836" s="15">
        <f t="shared" si="156"/>
        <v>1880</v>
      </c>
      <c r="O836" s="15" t="str">
        <f t="shared" si="157"/>
        <v>휘발유 74,000원</v>
      </c>
      <c r="P836" s="15">
        <f t="shared" si="158"/>
        <v>74000</v>
      </c>
      <c r="Q836" s="15"/>
      <c r="R836" s="16">
        <f t="shared" si="159"/>
        <v>0</v>
      </c>
      <c r="S836" s="15">
        <f t="shared" si="160"/>
        <v>0</v>
      </c>
      <c r="T836" s="15">
        <f t="shared" si="161"/>
        <v>74000</v>
      </c>
      <c r="U836" s="15">
        <f t="shared" si="162"/>
        <v>1850</v>
      </c>
      <c r="V836" s="15">
        <f t="shared" si="163"/>
        <v>1850</v>
      </c>
      <c r="W836" s="17">
        <f>IF($T836="",1000000000000000,$T836)</f>
        <v>74000</v>
      </c>
      <c r="XFC836" s="3"/>
    </row>
    <row r="837" spans="1:23 16382:16383" s="5" customFormat="1" ht="28.65" customHeight="1">
      <c r="A837" s="14">
        <f t="shared" si="153"/>
        <v>823</v>
      </c>
      <c r="B837" s="14" t="s">
        <v>14</v>
      </c>
      <c r="C837" s="14" t="s">
        <v>1672</v>
      </c>
      <c r="D837" s="14" t="s">
        <v>45</v>
      </c>
      <c r="E837" s="14" t="s">
        <v>26</v>
      </c>
      <c r="F837" s="14" t="s">
        <v>1673</v>
      </c>
      <c r="G837" s="15">
        <v>1856</v>
      </c>
      <c r="H837" s="15"/>
      <c r="I837" s="15"/>
      <c r="J837" s="15">
        <v>1856</v>
      </c>
      <c r="K837" s="15">
        <f t="shared" si="165"/>
        <v>0</v>
      </c>
      <c r="L837" s="15">
        <f t="shared" si="154"/>
        <v>1856</v>
      </c>
      <c r="M837" s="15" t="str">
        <f t="shared" si="155"/>
        <v/>
      </c>
      <c r="N837" s="15">
        <f t="shared" si="156"/>
        <v>1856</v>
      </c>
      <c r="O837" s="15" t="str">
        <f t="shared" si="157"/>
        <v>휘발유 74,240원</v>
      </c>
      <c r="P837" s="15">
        <f t="shared" si="158"/>
        <v>74240</v>
      </c>
      <c r="Q837" s="15"/>
      <c r="R837" s="16">
        <f t="shared" si="159"/>
        <v>0</v>
      </c>
      <c r="S837" s="15">
        <f t="shared" si="160"/>
        <v>0</v>
      </c>
      <c r="T837" s="15">
        <f t="shared" si="161"/>
        <v>74240</v>
      </c>
      <c r="U837" s="15">
        <f t="shared" si="162"/>
        <v>1856</v>
      </c>
      <c r="V837" s="15">
        <f t="shared" si="163"/>
        <v>1856</v>
      </c>
      <c r="W837" s="17">
        <f>IF($T837="",1000000000000000,$T837)</f>
        <v>74240</v>
      </c>
      <c r="XFC837" s="3"/>
    </row>
    <row r="838" spans="1:23 16382:16383" s="19" customFormat="1" ht="28.5" customHeight="1">
      <c r="A838" s="14">
        <f t="shared" si="153"/>
        <v>824</v>
      </c>
      <c r="B838" s="14" t="s">
        <v>12</v>
      </c>
      <c r="C838" s="14" t="s">
        <v>1646</v>
      </c>
      <c r="D838" s="18" t="s">
        <v>51</v>
      </c>
      <c r="E838" s="14" t="s">
        <v>63</v>
      </c>
      <c r="F838" s="14" t="s">
        <v>1647</v>
      </c>
      <c r="G838" s="15">
        <v>1857</v>
      </c>
      <c r="H838" s="15"/>
      <c r="I838" s="15"/>
      <c r="J838" s="15">
        <v>1837</v>
      </c>
      <c r="K838" s="15">
        <f t="shared" si="165"/>
        <v>0</v>
      </c>
      <c r="L838" s="15">
        <f t="shared" si="154"/>
        <v>1857</v>
      </c>
      <c r="M838" s="15" t="str">
        <f t="shared" si="155"/>
        <v/>
      </c>
      <c r="N838" s="15">
        <f t="shared" si="156"/>
        <v>1837</v>
      </c>
      <c r="O838" s="15" t="str">
        <f t="shared" si="157"/>
        <v>휘발유 74,280원</v>
      </c>
      <c r="P838" s="15">
        <f t="shared" si="158"/>
        <v>74280</v>
      </c>
      <c r="Q838" s="15"/>
      <c r="R838" s="16">
        <f t="shared" si="159"/>
        <v>0</v>
      </c>
      <c r="S838" s="15">
        <f t="shared" si="160"/>
        <v>0</v>
      </c>
      <c r="T838" s="15">
        <f t="shared" si="161"/>
        <v>74280</v>
      </c>
      <c r="U838" s="15">
        <f t="shared" si="162"/>
        <v>1857</v>
      </c>
      <c r="V838" s="15">
        <f t="shared" si="163"/>
        <v>1857</v>
      </c>
      <c r="W838" s="17">
        <f>IF($T838="",1000000000000000,$T838)</f>
        <v>74280</v>
      </c>
      <c r="XFB838" s="5"/>
      <c r="XFC838" s="3"/>
    </row>
    <row r="839" spans="1:23 16382:16383" s="5" customFormat="1" ht="28.65" customHeight="1">
      <c r="A839" s="14">
        <f t="shared" si="153"/>
        <v>825</v>
      </c>
      <c r="B839" s="14" t="s">
        <v>10</v>
      </c>
      <c r="C839" s="14" t="s">
        <v>1650</v>
      </c>
      <c r="D839" s="18" t="s">
        <v>86</v>
      </c>
      <c r="E839" s="14" t="s">
        <v>63</v>
      </c>
      <c r="F839" s="14" t="s">
        <v>1651</v>
      </c>
      <c r="G839" s="15">
        <v>1858</v>
      </c>
      <c r="H839" s="15"/>
      <c r="I839" s="15"/>
      <c r="J839" s="15">
        <v>1848</v>
      </c>
      <c r="K839" s="15">
        <f t="shared" si="165"/>
        <v>0</v>
      </c>
      <c r="L839" s="15">
        <f t="shared" si="154"/>
        <v>1858</v>
      </c>
      <c r="M839" s="15" t="str">
        <f t="shared" si="155"/>
        <v/>
      </c>
      <c r="N839" s="15">
        <f t="shared" si="156"/>
        <v>1848</v>
      </c>
      <c r="O839" s="15" t="str">
        <f t="shared" si="157"/>
        <v>휘발유 74,320원</v>
      </c>
      <c r="P839" s="15">
        <f t="shared" si="158"/>
        <v>74320</v>
      </c>
      <c r="Q839" s="15"/>
      <c r="R839" s="16">
        <f t="shared" si="159"/>
        <v>0</v>
      </c>
      <c r="S839" s="15">
        <f t="shared" si="160"/>
        <v>0</v>
      </c>
      <c r="T839" s="15">
        <f t="shared" si="161"/>
        <v>74320</v>
      </c>
      <c r="U839" s="15">
        <f t="shared" si="162"/>
        <v>1858</v>
      </c>
      <c r="V839" s="15">
        <f t="shared" si="163"/>
        <v>1858</v>
      </c>
      <c r="W839" s="17">
        <f>IF($T839="",1000000000000000,$T839)</f>
        <v>74320</v>
      </c>
      <c r="XFC839" s="3"/>
    </row>
    <row r="840" spans="1:23 16382:16383" s="19" customFormat="1" ht="28.5" customHeight="1">
      <c r="A840" s="14">
        <f t="shared" si="153"/>
        <v>825</v>
      </c>
      <c r="B840" s="14" t="s">
        <v>10</v>
      </c>
      <c r="C840" s="14" t="s">
        <v>1654</v>
      </c>
      <c r="D840" s="18" t="s">
        <v>86</v>
      </c>
      <c r="E840" s="14" t="s">
        <v>26</v>
      </c>
      <c r="F840" s="14" t="s">
        <v>1655</v>
      </c>
      <c r="G840" s="15">
        <v>1858</v>
      </c>
      <c r="H840" s="15"/>
      <c r="I840" s="15"/>
      <c r="J840" s="15">
        <v>1858</v>
      </c>
      <c r="K840" s="15">
        <f t="shared" si="165"/>
        <v>0</v>
      </c>
      <c r="L840" s="15">
        <f t="shared" si="154"/>
        <v>1858</v>
      </c>
      <c r="M840" s="15" t="str">
        <f t="shared" si="155"/>
        <v/>
      </c>
      <c r="N840" s="15">
        <f t="shared" si="156"/>
        <v>1858</v>
      </c>
      <c r="O840" s="15" t="str">
        <f t="shared" si="157"/>
        <v>휘발유 74,320원</v>
      </c>
      <c r="P840" s="15">
        <f t="shared" si="158"/>
        <v>74320</v>
      </c>
      <c r="Q840" s="15"/>
      <c r="R840" s="16">
        <f t="shared" si="159"/>
        <v>0</v>
      </c>
      <c r="S840" s="15">
        <f t="shared" si="160"/>
        <v>0</v>
      </c>
      <c r="T840" s="15">
        <f t="shared" si="161"/>
        <v>74320</v>
      </c>
      <c r="U840" s="15">
        <f t="shared" si="162"/>
        <v>1858</v>
      </c>
      <c r="V840" s="15">
        <f t="shared" si="163"/>
        <v>1858</v>
      </c>
      <c r="W840" s="17">
        <f>IF($T840="",1000000000000000,$T840)</f>
        <v>74320</v>
      </c>
      <c r="XFB840" s="5"/>
      <c r="XFC840" s="3"/>
    </row>
    <row r="841" spans="1:23 16382:16383" s="5" customFormat="1" ht="28.65" customHeight="1">
      <c r="A841" s="14">
        <f t="shared" si="153"/>
        <v>825</v>
      </c>
      <c r="B841" s="14" t="s">
        <v>10</v>
      </c>
      <c r="C841" s="14" t="s">
        <v>1656</v>
      </c>
      <c r="D841" s="18" t="s">
        <v>86</v>
      </c>
      <c r="E841" s="14" t="s">
        <v>26</v>
      </c>
      <c r="F841" s="14" t="s">
        <v>1657</v>
      </c>
      <c r="G841" s="15">
        <v>1858</v>
      </c>
      <c r="H841" s="15"/>
      <c r="I841" s="15"/>
      <c r="J841" s="15">
        <v>1858</v>
      </c>
      <c r="K841" s="15">
        <f t="shared" si="165"/>
        <v>0</v>
      </c>
      <c r="L841" s="15">
        <f t="shared" si="154"/>
        <v>1858</v>
      </c>
      <c r="M841" s="15" t="str">
        <f t="shared" si="155"/>
        <v/>
      </c>
      <c r="N841" s="15">
        <f t="shared" si="156"/>
        <v>1858</v>
      </c>
      <c r="O841" s="15" t="str">
        <f t="shared" si="157"/>
        <v>휘발유 74,320원</v>
      </c>
      <c r="P841" s="15">
        <f t="shared" si="158"/>
        <v>74320</v>
      </c>
      <c r="Q841" s="15"/>
      <c r="R841" s="16">
        <f t="shared" si="159"/>
        <v>0</v>
      </c>
      <c r="S841" s="15">
        <f t="shared" si="160"/>
        <v>0</v>
      </c>
      <c r="T841" s="15">
        <f t="shared" si="161"/>
        <v>74320</v>
      </c>
      <c r="U841" s="15">
        <f t="shared" si="162"/>
        <v>1858</v>
      </c>
      <c r="V841" s="15">
        <f t="shared" si="163"/>
        <v>1858</v>
      </c>
      <c r="W841" s="17">
        <f>IF($T841="",1000000000000000,$T841)</f>
        <v>74320</v>
      </c>
      <c r="XFC841" s="3"/>
    </row>
    <row r="842" spans="1:23 16382:16383" s="5" customFormat="1" ht="28.65" customHeight="1">
      <c r="A842" s="14">
        <f t="shared" si="153"/>
        <v>825</v>
      </c>
      <c r="B842" s="14" t="s">
        <v>10</v>
      </c>
      <c r="C842" s="14" t="s">
        <v>1658</v>
      </c>
      <c r="D842" s="14" t="s">
        <v>45</v>
      </c>
      <c r="E842" s="14" t="s">
        <v>26</v>
      </c>
      <c r="F842" s="14" t="s">
        <v>1659</v>
      </c>
      <c r="G842" s="15">
        <v>1858</v>
      </c>
      <c r="H842" s="15"/>
      <c r="I842" s="15"/>
      <c r="J842" s="15">
        <v>1878</v>
      </c>
      <c r="K842" s="15">
        <f t="shared" si="165"/>
        <v>0</v>
      </c>
      <c r="L842" s="15">
        <f t="shared" si="154"/>
        <v>1858</v>
      </c>
      <c r="M842" s="15" t="str">
        <f t="shared" si="155"/>
        <v/>
      </c>
      <c r="N842" s="15">
        <f t="shared" si="156"/>
        <v>1878</v>
      </c>
      <c r="O842" s="15" t="str">
        <f t="shared" si="157"/>
        <v>휘발유 74,320원</v>
      </c>
      <c r="P842" s="15">
        <f t="shared" si="158"/>
        <v>74320</v>
      </c>
      <c r="Q842" s="15"/>
      <c r="R842" s="16">
        <f t="shared" si="159"/>
        <v>0</v>
      </c>
      <c r="S842" s="15">
        <f t="shared" si="160"/>
        <v>0</v>
      </c>
      <c r="T842" s="15">
        <f t="shared" si="161"/>
        <v>74320</v>
      </c>
      <c r="U842" s="15">
        <f t="shared" si="162"/>
        <v>1858</v>
      </c>
      <c r="V842" s="15">
        <f t="shared" si="163"/>
        <v>1858</v>
      </c>
      <c r="W842" s="17">
        <f>IF($T842="",1000000000000000,$T842)</f>
        <v>74320</v>
      </c>
      <c r="XFC842" s="3"/>
    </row>
    <row r="843" spans="1:23 16382:16383" s="5" customFormat="1" ht="28.65" customHeight="1">
      <c r="A843" s="14">
        <f t="shared" si="153"/>
        <v>829</v>
      </c>
      <c r="B843" s="14" t="s">
        <v>12</v>
      </c>
      <c r="C843" s="14" t="s">
        <v>1662</v>
      </c>
      <c r="D843" s="18" t="s">
        <v>95</v>
      </c>
      <c r="E843" s="14" t="s">
        <v>63</v>
      </c>
      <c r="F843" s="14" t="s">
        <v>1663</v>
      </c>
      <c r="G843" s="15">
        <v>1860</v>
      </c>
      <c r="H843" s="15"/>
      <c r="I843" s="15"/>
      <c r="J843" s="15">
        <v>1830</v>
      </c>
      <c r="K843" s="15">
        <f t="shared" si="165"/>
        <v>0</v>
      </c>
      <c r="L843" s="15">
        <f t="shared" si="154"/>
        <v>1860</v>
      </c>
      <c r="M843" s="15" t="str">
        <f t="shared" si="155"/>
        <v/>
      </c>
      <c r="N843" s="15">
        <f t="shared" si="156"/>
        <v>1830</v>
      </c>
      <c r="O843" s="15" t="str">
        <f t="shared" si="157"/>
        <v>휘발유 74,400원</v>
      </c>
      <c r="P843" s="15">
        <f t="shared" si="158"/>
        <v>74400</v>
      </c>
      <c r="Q843" s="15"/>
      <c r="R843" s="16">
        <f t="shared" si="159"/>
        <v>0</v>
      </c>
      <c r="S843" s="15">
        <f t="shared" si="160"/>
        <v>0</v>
      </c>
      <c r="T843" s="15">
        <f t="shared" si="161"/>
        <v>74400</v>
      </c>
      <c r="U843" s="15">
        <f t="shared" si="162"/>
        <v>1860</v>
      </c>
      <c r="V843" s="15">
        <f t="shared" si="163"/>
        <v>1860</v>
      </c>
      <c r="W843" s="17">
        <f>IF($T843="",1000000000000000,$T843)</f>
        <v>74400</v>
      </c>
      <c r="XFC843" s="3"/>
    </row>
    <row r="844" spans="1:23 16382:16383" s="19" customFormat="1" ht="28.5" customHeight="1">
      <c r="A844" s="14">
        <f t="shared" si="153"/>
        <v>829</v>
      </c>
      <c r="B844" s="14" t="s">
        <v>10</v>
      </c>
      <c r="C844" s="14" t="s">
        <v>1664</v>
      </c>
      <c r="D844" s="18" t="s">
        <v>86</v>
      </c>
      <c r="E844" s="14" t="s">
        <v>26</v>
      </c>
      <c r="F844" s="14" t="s">
        <v>1665</v>
      </c>
      <c r="G844" s="15">
        <v>1860</v>
      </c>
      <c r="H844" s="15"/>
      <c r="I844" s="15"/>
      <c r="J844" s="15">
        <v>1895</v>
      </c>
      <c r="K844" s="15">
        <f t="shared" si="165"/>
        <v>0</v>
      </c>
      <c r="L844" s="15">
        <f t="shared" si="154"/>
        <v>1860</v>
      </c>
      <c r="M844" s="15" t="str">
        <f t="shared" si="155"/>
        <v/>
      </c>
      <c r="N844" s="15">
        <f t="shared" si="156"/>
        <v>1895</v>
      </c>
      <c r="O844" s="15" t="str">
        <f t="shared" si="157"/>
        <v>휘발유 74,400원</v>
      </c>
      <c r="P844" s="15">
        <f t="shared" si="158"/>
        <v>74400</v>
      </c>
      <c r="Q844" s="15"/>
      <c r="R844" s="16">
        <f t="shared" si="159"/>
        <v>0</v>
      </c>
      <c r="S844" s="15">
        <f t="shared" si="160"/>
        <v>0</v>
      </c>
      <c r="T844" s="15">
        <f t="shared" si="161"/>
        <v>74400</v>
      </c>
      <c r="U844" s="15">
        <f t="shared" si="162"/>
        <v>1860</v>
      </c>
      <c r="V844" s="15">
        <f t="shared" si="163"/>
        <v>1860</v>
      </c>
      <c r="W844" s="17">
        <f>IF($T844="",1000000000000000,$T844)</f>
        <v>74400</v>
      </c>
      <c r="XFB844" s="5"/>
      <c r="XFC844" s="3"/>
    </row>
    <row r="845" spans="1:23 16382:16383" s="19" customFormat="1" ht="28.5" customHeight="1">
      <c r="A845" s="14">
        <f t="shared" si="153"/>
        <v>831</v>
      </c>
      <c r="B845" s="14" t="s">
        <v>16</v>
      </c>
      <c r="C845" s="14" t="s">
        <v>1666</v>
      </c>
      <c r="D845" s="14" t="s">
        <v>95</v>
      </c>
      <c r="E845" s="14" t="s">
        <v>26</v>
      </c>
      <c r="F845" s="14" t="s">
        <v>1667</v>
      </c>
      <c r="G845" s="15">
        <v>1865</v>
      </c>
      <c r="H845" s="15"/>
      <c r="I845" s="15"/>
      <c r="J845" s="15">
        <v>1825</v>
      </c>
      <c r="K845" s="15">
        <f t="shared" si="165"/>
        <v>0</v>
      </c>
      <c r="L845" s="15">
        <f t="shared" si="154"/>
        <v>1865</v>
      </c>
      <c r="M845" s="15" t="str">
        <f t="shared" si="155"/>
        <v/>
      </c>
      <c r="N845" s="15">
        <f t="shared" si="156"/>
        <v>1825</v>
      </c>
      <c r="O845" s="15" t="str">
        <f t="shared" si="157"/>
        <v>휘발유 74,600원</v>
      </c>
      <c r="P845" s="15">
        <f t="shared" si="158"/>
        <v>74600</v>
      </c>
      <c r="Q845" s="15"/>
      <c r="R845" s="16">
        <f t="shared" si="159"/>
        <v>0</v>
      </c>
      <c r="S845" s="15">
        <f t="shared" si="160"/>
        <v>0</v>
      </c>
      <c r="T845" s="15">
        <f t="shared" si="161"/>
        <v>74600</v>
      </c>
      <c r="U845" s="15">
        <f t="shared" si="162"/>
        <v>1865</v>
      </c>
      <c r="V845" s="15">
        <f t="shared" si="163"/>
        <v>1865</v>
      </c>
      <c r="W845" s="17">
        <f>IF($T845="",1000000000000000,$T845)</f>
        <v>74600</v>
      </c>
      <c r="XFB845" s="5"/>
      <c r="XFC845" s="3"/>
    </row>
    <row r="846" spans="1:23 16382:16383" s="5" customFormat="1" ht="28.65" customHeight="1">
      <c r="A846" s="14">
        <f t="shared" si="153"/>
        <v>831</v>
      </c>
      <c r="B846" s="14" t="s">
        <v>14</v>
      </c>
      <c r="C846" s="14" t="s">
        <v>1668</v>
      </c>
      <c r="D846" s="14" t="s">
        <v>95</v>
      </c>
      <c r="E846" s="14" t="s">
        <v>26</v>
      </c>
      <c r="F846" s="14" t="s">
        <v>1669</v>
      </c>
      <c r="G846" s="15">
        <v>1865</v>
      </c>
      <c r="H846" s="15"/>
      <c r="I846" s="15"/>
      <c r="J846" s="15">
        <v>1865</v>
      </c>
      <c r="K846" s="15">
        <f t="shared" si="165"/>
        <v>0</v>
      </c>
      <c r="L846" s="15">
        <f t="shared" si="154"/>
        <v>1865</v>
      </c>
      <c r="M846" s="15" t="str">
        <f t="shared" si="155"/>
        <v/>
      </c>
      <c r="N846" s="15">
        <f t="shared" si="156"/>
        <v>1865</v>
      </c>
      <c r="O846" s="15" t="str">
        <f t="shared" si="157"/>
        <v>휘발유 74,600원</v>
      </c>
      <c r="P846" s="15">
        <f t="shared" si="158"/>
        <v>74600</v>
      </c>
      <c r="Q846" s="15"/>
      <c r="R846" s="16">
        <f t="shared" si="159"/>
        <v>0</v>
      </c>
      <c r="S846" s="15">
        <f t="shared" si="160"/>
        <v>0</v>
      </c>
      <c r="T846" s="15">
        <f t="shared" si="161"/>
        <v>74600</v>
      </c>
      <c r="U846" s="15">
        <f t="shared" si="162"/>
        <v>1865</v>
      </c>
      <c r="V846" s="15">
        <f t="shared" si="163"/>
        <v>1865</v>
      </c>
      <c r="W846" s="17">
        <f>IF($T846="",1000000000000000,$T846)</f>
        <v>74600</v>
      </c>
      <c r="XFC846" s="3"/>
    </row>
    <row r="847" spans="1:23 16382:16383" s="5" customFormat="1" ht="28.65" customHeight="1">
      <c r="A847" s="14">
        <f t="shared" ref="A847:A890" si="166">IF($T847="","",1+COUNTIF($W$15:$W$890,"&lt;"&amp;W847))</f>
        <v>833</v>
      </c>
      <c r="B847" s="14" t="s">
        <v>10</v>
      </c>
      <c r="C847" s="14" t="s">
        <v>1674</v>
      </c>
      <c r="D847" s="18" t="s">
        <v>86</v>
      </c>
      <c r="E847" s="14" t="s">
        <v>26</v>
      </c>
      <c r="F847" s="14" t="s">
        <v>1675</v>
      </c>
      <c r="G847" s="15">
        <v>1867</v>
      </c>
      <c r="H847" s="15"/>
      <c r="I847" s="15"/>
      <c r="J847" s="15">
        <v>1867</v>
      </c>
      <c r="K847" s="15">
        <f t="shared" si="165"/>
        <v>0</v>
      </c>
      <c r="L847" s="15">
        <f t="shared" ref="L847:L890" si="167">IF($G847="","",$G847+$K847)</f>
        <v>1867</v>
      </c>
      <c r="M847" s="15" t="str">
        <f t="shared" ref="M847:M890" si="168">IF($H847="","",$H847+$K847)</f>
        <v/>
      </c>
      <c r="N847" s="15">
        <f t="shared" ref="N847:N890" si="169">IF($J847="","",$J847+$K847)</f>
        <v>1867</v>
      </c>
      <c r="O847" s="15" t="str">
        <f t="shared" ref="O847:O890" si="170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>휘발유 74,680원</v>
      </c>
      <c r="P847" s="15">
        <f t="shared" ref="P847:P890" si="171">IF($B$10=0,"",IFERROR(IF($B$4&gt;0,IF($L847="",1/0,$L847*$B$4),0)+IF($B$5&gt;0,IF($M847="",1/0,$M847*$B$5),0)+IF($B$6&gt;0,IF($N847="",1/0,$N847*$B$6),0),""))</f>
        <v>74680</v>
      </c>
      <c r="Q847" s="15"/>
      <c r="R847" s="16">
        <f t="shared" ref="R847:R890" si="172">IF($P847="","",IF($Q847="Y",IFERROR(VLOOKUP($B847,$C$4:$D$13,2,FALSE()),0),0))</f>
        <v>0</v>
      </c>
      <c r="S847" s="15">
        <f t="shared" ref="S847:S890" si="173">IF($P847="","",ROUNDDOWN($P847*$R847,0))</f>
        <v>0</v>
      </c>
      <c r="T847" s="15">
        <f t="shared" ref="T847:T890" si="174">IF($P847="","",$P847-$S847)</f>
        <v>74680</v>
      </c>
      <c r="U847" s="15">
        <f t="shared" ref="U847:U890" si="175">IF($T847="","",IF($B$10=0,"",$T847/$B$10))</f>
        <v>1867</v>
      </c>
      <c r="V847" s="15">
        <f t="shared" si="163"/>
        <v>1867</v>
      </c>
      <c r="W847" s="17">
        <f>IF($T847="",1000000000000000,$T847)</f>
        <v>74680</v>
      </c>
      <c r="XFC847" s="3"/>
    </row>
    <row r="848" spans="1:23 16382:16383" s="5" customFormat="1" ht="28.65" customHeight="1">
      <c r="A848" s="14">
        <f t="shared" si="166"/>
        <v>834</v>
      </c>
      <c r="B848" s="14" t="s">
        <v>14</v>
      </c>
      <c r="C848" s="14" t="s">
        <v>364</v>
      </c>
      <c r="D848" s="14" t="s">
        <v>95</v>
      </c>
      <c r="E848" s="14" t="s">
        <v>26</v>
      </c>
      <c r="F848" s="14" t="s">
        <v>365</v>
      </c>
      <c r="G848" s="15">
        <v>1869</v>
      </c>
      <c r="H848" s="15">
        <v>2159</v>
      </c>
      <c r="I848" s="15"/>
      <c r="J848" s="15">
        <v>1879</v>
      </c>
      <c r="K848" s="15">
        <f t="shared" si="165"/>
        <v>0</v>
      </c>
      <c r="L848" s="15">
        <f t="shared" si="167"/>
        <v>1869</v>
      </c>
      <c r="M848" s="15">
        <f t="shared" si="168"/>
        <v>2159</v>
      </c>
      <c r="N848" s="15">
        <f t="shared" si="169"/>
        <v>1879</v>
      </c>
      <c r="O848" s="15" t="str">
        <f t="shared" si="170"/>
        <v>휘발유 74,760원</v>
      </c>
      <c r="P848" s="15">
        <f t="shared" si="171"/>
        <v>74760</v>
      </c>
      <c r="Q848" s="15"/>
      <c r="R848" s="16">
        <f t="shared" si="172"/>
        <v>0</v>
      </c>
      <c r="S848" s="15">
        <f t="shared" si="173"/>
        <v>0</v>
      </c>
      <c r="T848" s="15">
        <f t="shared" si="174"/>
        <v>74760</v>
      </c>
      <c r="U848" s="15">
        <f t="shared" si="175"/>
        <v>1869</v>
      </c>
      <c r="V848" s="15">
        <f t="shared" si="163"/>
        <v>1869</v>
      </c>
      <c r="W848" s="17">
        <f>IF($T848="",1000000000000000,$T848)</f>
        <v>74760</v>
      </c>
      <c r="XFC848" s="3"/>
    </row>
    <row r="849" spans="1:23 16382:16383" s="5" customFormat="1" ht="28.65" customHeight="1">
      <c r="A849" s="14">
        <f t="shared" si="166"/>
        <v>834</v>
      </c>
      <c r="B849" s="14" t="s">
        <v>14</v>
      </c>
      <c r="C849" s="14" t="s">
        <v>366</v>
      </c>
      <c r="D849" s="18" t="s">
        <v>86</v>
      </c>
      <c r="E849" s="14" t="s">
        <v>26</v>
      </c>
      <c r="F849" s="14" t="s">
        <v>367</v>
      </c>
      <c r="G849" s="15">
        <v>1869</v>
      </c>
      <c r="H849" s="15">
        <v>2159</v>
      </c>
      <c r="I849" s="15"/>
      <c r="J849" s="15">
        <v>1879</v>
      </c>
      <c r="K849" s="15">
        <f t="shared" si="165"/>
        <v>0</v>
      </c>
      <c r="L849" s="15">
        <f t="shared" si="167"/>
        <v>1869</v>
      </c>
      <c r="M849" s="15">
        <f t="shared" si="168"/>
        <v>2159</v>
      </c>
      <c r="N849" s="15">
        <f t="shared" si="169"/>
        <v>1879</v>
      </c>
      <c r="O849" s="15" t="str">
        <f t="shared" si="170"/>
        <v>휘발유 74,760원</v>
      </c>
      <c r="P849" s="15">
        <f t="shared" si="171"/>
        <v>74760</v>
      </c>
      <c r="Q849" s="15"/>
      <c r="R849" s="16">
        <f t="shared" si="172"/>
        <v>0</v>
      </c>
      <c r="S849" s="15">
        <f t="shared" si="173"/>
        <v>0</v>
      </c>
      <c r="T849" s="15">
        <f t="shared" si="174"/>
        <v>74760</v>
      </c>
      <c r="U849" s="15">
        <f t="shared" si="175"/>
        <v>1869</v>
      </c>
      <c r="V849" s="15">
        <f t="shared" si="163"/>
        <v>1869</v>
      </c>
      <c r="W849" s="17">
        <f>IF($T849="",1000000000000000,$T849)</f>
        <v>74760</v>
      </c>
      <c r="XFC849" s="3"/>
    </row>
    <row r="850" spans="1:23 16382:16383" s="5" customFormat="1" ht="28.65" customHeight="1">
      <c r="A850" s="14">
        <f t="shared" si="166"/>
        <v>834</v>
      </c>
      <c r="B850" s="14" t="s">
        <v>14</v>
      </c>
      <c r="C850" s="14" t="s">
        <v>1676</v>
      </c>
      <c r="D850" s="14" t="s">
        <v>95</v>
      </c>
      <c r="E850" s="14" t="s">
        <v>26</v>
      </c>
      <c r="F850" s="14" t="s">
        <v>1677</v>
      </c>
      <c r="G850" s="15">
        <v>1869</v>
      </c>
      <c r="H850" s="15"/>
      <c r="I850" s="15"/>
      <c r="J850" s="15">
        <v>1859</v>
      </c>
      <c r="K850" s="15">
        <f t="shared" si="165"/>
        <v>0</v>
      </c>
      <c r="L850" s="15">
        <f t="shared" si="167"/>
        <v>1869</v>
      </c>
      <c r="M850" s="15" t="str">
        <f t="shared" si="168"/>
        <v/>
      </c>
      <c r="N850" s="15">
        <f t="shared" si="169"/>
        <v>1859</v>
      </c>
      <c r="O850" s="15" t="str">
        <f t="shared" si="170"/>
        <v>휘발유 74,760원</v>
      </c>
      <c r="P850" s="15">
        <f t="shared" si="171"/>
        <v>74760</v>
      </c>
      <c r="Q850" s="15"/>
      <c r="R850" s="16">
        <f t="shared" si="172"/>
        <v>0</v>
      </c>
      <c r="S850" s="15">
        <f t="shared" si="173"/>
        <v>0</v>
      </c>
      <c r="T850" s="15">
        <f t="shared" si="174"/>
        <v>74760</v>
      </c>
      <c r="U850" s="15">
        <f t="shared" si="175"/>
        <v>1869</v>
      </c>
      <c r="V850" s="15">
        <f t="shared" si="163"/>
        <v>1869</v>
      </c>
      <c r="W850" s="17">
        <f>IF($T850="",1000000000000000,$T850)</f>
        <v>74760</v>
      </c>
      <c r="XFC850" s="3"/>
    </row>
    <row r="851" spans="1:23 16382:16383" s="19" customFormat="1" ht="28.5" customHeight="1">
      <c r="A851" s="14">
        <f t="shared" si="166"/>
        <v>834</v>
      </c>
      <c r="B851" s="14" t="s">
        <v>10</v>
      </c>
      <c r="C851" s="14" t="s">
        <v>1709</v>
      </c>
      <c r="D851" s="14" t="s">
        <v>51</v>
      </c>
      <c r="E851" s="14" t="s">
        <v>63</v>
      </c>
      <c r="F851" s="14" t="s">
        <v>1710</v>
      </c>
      <c r="G851" s="15">
        <v>1869</v>
      </c>
      <c r="H851" s="15"/>
      <c r="I851" s="15"/>
      <c r="J851" s="15">
        <v>1859</v>
      </c>
      <c r="K851" s="15">
        <f t="shared" si="165"/>
        <v>0</v>
      </c>
      <c r="L851" s="15">
        <f t="shared" si="167"/>
        <v>1869</v>
      </c>
      <c r="M851" s="15" t="str">
        <f t="shared" si="168"/>
        <v/>
      </c>
      <c r="N851" s="15">
        <f t="shared" si="169"/>
        <v>1859</v>
      </c>
      <c r="O851" s="15" t="str">
        <f t="shared" si="170"/>
        <v>휘발유 74,760원</v>
      </c>
      <c r="P851" s="15">
        <f t="shared" si="171"/>
        <v>74760</v>
      </c>
      <c r="Q851" s="15"/>
      <c r="R851" s="16">
        <f t="shared" si="172"/>
        <v>0</v>
      </c>
      <c r="S851" s="15">
        <f t="shared" si="173"/>
        <v>0</v>
      </c>
      <c r="T851" s="15">
        <f t="shared" si="174"/>
        <v>74760</v>
      </c>
      <c r="U851" s="15">
        <f t="shared" si="175"/>
        <v>1869</v>
      </c>
      <c r="V851" s="15">
        <f t="shared" si="163"/>
        <v>1869</v>
      </c>
      <c r="W851" s="17">
        <f>IF($T851="",1000000000000000,$T851)</f>
        <v>74760</v>
      </c>
      <c r="XFB851" s="5"/>
      <c r="XFC851" s="3"/>
    </row>
    <row r="852" spans="1:23 16382:16383" s="5" customFormat="1" ht="28.65" customHeight="1">
      <c r="A852" s="14">
        <f t="shared" si="166"/>
        <v>834</v>
      </c>
      <c r="B852" s="14" t="s">
        <v>10</v>
      </c>
      <c r="C852" s="14" t="s">
        <v>1678</v>
      </c>
      <c r="D852" s="14" t="s">
        <v>95</v>
      </c>
      <c r="E852" s="14" t="s">
        <v>63</v>
      </c>
      <c r="F852" s="14" t="s">
        <v>1679</v>
      </c>
      <c r="G852" s="15">
        <v>1869</v>
      </c>
      <c r="H852" s="15"/>
      <c r="I852" s="15"/>
      <c r="J852" s="15">
        <v>1869</v>
      </c>
      <c r="K852" s="15">
        <f t="shared" si="165"/>
        <v>0</v>
      </c>
      <c r="L852" s="15">
        <f t="shared" si="167"/>
        <v>1869</v>
      </c>
      <c r="M852" s="15" t="str">
        <f t="shared" si="168"/>
        <v/>
      </c>
      <c r="N852" s="15">
        <f t="shared" si="169"/>
        <v>1869</v>
      </c>
      <c r="O852" s="15" t="str">
        <f t="shared" si="170"/>
        <v>휘발유 74,760원</v>
      </c>
      <c r="P852" s="15">
        <f t="shared" si="171"/>
        <v>74760</v>
      </c>
      <c r="Q852" s="15"/>
      <c r="R852" s="16">
        <f t="shared" si="172"/>
        <v>0</v>
      </c>
      <c r="S852" s="15">
        <f t="shared" si="173"/>
        <v>0</v>
      </c>
      <c r="T852" s="15">
        <f t="shared" si="174"/>
        <v>74760</v>
      </c>
      <c r="U852" s="15">
        <f t="shared" si="175"/>
        <v>1869</v>
      </c>
      <c r="V852" s="15">
        <f t="shared" si="163"/>
        <v>1869</v>
      </c>
      <c r="W852" s="17">
        <f>IF($T852="",1000000000000000,$T852)</f>
        <v>74760</v>
      </c>
      <c r="XFC852" s="3"/>
    </row>
    <row r="853" spans="1:23 16382:16383" s="19" customFormat="1" ht="28.5" customHeight="1">
      <c r="A853" s="14">
        <f t="shared" si="166"/>
        <v>834</v>
      </c>
      <c r="B853" s="14" t="s">
        <v>14</v>
      </c>
      <c r="C853" s="14" t="s">
        <v>1680</v>
      </c>
      <c r="D853" s="14" t="s">
        <v>51</v>
      </c>
      <c r="E853" s="14" t="s">
        <v>26</v>
      </c>
      <c r="F853" s="14" t="s">
        <v>1681</v>
      </c>
      <c r="G853" s="15">
        <v>1869</v>
      </c>
      <c r="H853" s="15"/>
      <c r="I853" s="15"/>
      <c r="J853" s="15">
        <v>1879</v>
      </c>
      <c r="K853" s="15">
        <f t="shared" si="165"/>
        <v>0</v>
      </c>
      <c r="L853" s="15">
        <f t="shared" si="167"/>
        <v>1869</v>
      </c>
      <c r="M853" s="15" t="str">
        <f t="shared" si="168"/>
        <v/>
      </c>
      <c r="N853" s="15">
        <f t="shared" si="169"/>
        <v>1879</v>
      </c>
      <c r="O853" s="15" t="str">
        <f t="shared" si="170"/>
        <v>휘발유 74,760원</v>
      </c>
      <c r="P853" s="15">
        <f t="shared" si="171"/>
        <v>74760</v>
      </c>
      <c r="Q853" s="15"/>
      <c r="R853" s="16">
        <f t="shared" si="172"/>
        <v>0</v>
      </c>
      <c r="S853" s="15">
        <f t="shared" si="173"/>
        <v>0</v>
      </c>
      <c r="T853" s="15">
        <f t="shared" si="174"/>
        <v>74760</v>
      </c>
      <c r="U853" s="15">
        <f t="shared" si="175"/>
        <v>1869</v>
      </c>
      <c r="V853" s="15">
        <f t="shared" si="163"/>
        <v>1869</v>
      </c>
      <c r="W853" s="17">
        <f>IF($T853="",1000000000000000,$T853)</f>
        <v>74760</v>
      </c>
      <c r="XFB853" s="5"/>
      <c r="XFC853" s="3"/>
    </row>
    <row r="854" spans="1:23 16382:16383" s="5" customFormat="1" ht="28.65" customHeight="1">
      <c r="A854" s="14">
        <f t="shared" si="166"/>
        <v>834</v>
      </c>
      <c r="B854" s="14" t="s">
        <v>14</v>
      </c>
      <c r="C854" s="14" t="s">
        <v>1682</v>
      </c>
      <c r="D854" s="18" t="s">
        <v>86</v>
      </c>
      <c r="E854" s="14" t="s">
        <v>26</v>
      </c>
      <c r="F854" s="14" t="s">
        <v>1683</v>
      </c>
      <c r="G854" s="15">
        <v>1869</v>
      </c>
      <c r="H854" s="15"/>
      <c r="I854" s="15"/>
      <c r="J854" s="15">
        <v>1879</v>
      </c>
      <c r="K854" s="15">
        <f t="shared" si="165"/>
        <v>0</v>
      </c>
      <c r="L854" s="15">
        <f t="shared" si="167"/>
        <v>1869</v>
      </c>
      <c r="M854" s="15" t="str">
        <f t="shared" si="168"/>
        <v/>
      </c>
      <c r="N854" s="15">
        <f t="shared" si="169"/>
        <v>1879</v>
      </c>
      <c r="O854" s="15" t="str">
        <f t="shared" si="170"/>
        <v>휘발유 74,760원</v>
      </c>
      <c r="P854" s="15">
        <f t="shared" si="171"/>
        <v>74760</v>
      </c>
      <c r="Q854" s="15"/>
      <c r="R854" s="16">
        <f t="shared" si="172"/>
        <v>0</v>
      </c>
      <c r="S854" s="15">
        <f t="shared" si="173"/>
        <v>0</v>
      </c>
      <c r="T854" s="15">
        <f t="shared" si="174"/>
        <v>74760</v>
      </c>
      <c r="U854" s="15">
        <f t="shared" si="175"/>
        <v>1869</v>
      </c>
      <c r="V854" s="15">
        <f t="shared" si="163"/>
        <v>1869</v>
      </c>
      <c r="W854" s="17">
        <f>IF($T854="",1000000000000000,$T854)</f>
        <v>74760</v>
      </c>
      <c r="XFC854" s="3"/>
    </row>
    <row r="855" spans="1:23 16382:16383" s="5" customFormat="1" ht="28.65" customHeight="1">
      <c r="A855" s="14">
        <f t="shared" si="166"/>
        <v>841</v>
      </c>
      <c r="B855" s="14" t="s">
        <v>10</v>
      </c>
      <c r="C855" s="14" t="s">
        <v>1686</v>
      </c>
      <c r="D855" s="14" t="s">
        <v>45</v>
      </c>
      <c r="E855" s="14" t="s">
        <v>26</v>
      </c>
      <c r="F855" s="14" t="s">
        <v>1687</v>
      </c>
      <c r="G855" s="15">
        <v>1874</v>
      </c>
      <c r="H855" s="15"/>
      <c r="I855" s="15"/>
      <c r="J855" s="15">
        <v>1863</v>
      </c>
      <c r="K855" s="15">
        <f t="shared" si="165"/>
        <v>0</v>
      </c>
      <c r="L855" s="15">
        <f t="shared" si="167"/>
        <v>1874</v>
      </c>
      <c r="M855" s="15" t="str">
        <f t="shared" si="168"/>
        <v/>
      </c>
      <c r="N855" s="15">
        <f t="shared" si="169"/>
        <v>1863</v>
      </c>
      <c r="O855" s="15" t="str">
        <f t="shared" si="170"/>
        <v>휘발유 74,960원</v>
      </c>
      <c r="P855" s="15">
        <f t="shared" si="171"/>
        <v>74960</v>
      </c>
      <c r="Q855" s="15"/>
      <c r="R855" s="16">
        <f t="shared" si="172"/>
        <v>0</v>
      </c>
      <c r="S855" s="15">
        <f t="shared" si="173"/>
        <v>0</v>
      </c>
      <c r="T855" s="15">
        <f t="shared" si="174"/>
        <v>74960</v>
      </c>
      <c r="U855" s="15">
        <f t="shared" si="175"/>
        <v>1874</v>
      </c>
      <c r="V855" s="15">
        <f t="shared" ref="V855:V890" si="176">IF($P855="","",IF($B$10=0,"",$P855/$B$10))</f>
        <v>1874</v>
      </c>
      <c r="W855" s="17">
        <f>IF($T855="",1000000000000000,$T855)</f>
        <v>74960</v>
      </c>
      <c r="XFC855" s="3"/>
    </row>
    <row r="856" spans="1:23 16382:16383" s="5" customFormat="1" ht="28.65" customHeight="1">
      <c r="A856" s="14">
        <f t="shared" si="166"/>
        <v>842</v>
      </c>
      <c r="B856" s="14" t="s">
        <v>10</v>
      </c>
      <c r="C856" s="14" t="s">
        <v>1690</v>
      </c>
      <c r="D856" s="14" t="s">
        <v>95</v>
      </c>
      <c r="E856" s="14" t="s">
        <v>63</v>
      </c>
      <c r="F856" s="14" t="s">
        <v>1691</v>
      </c>
      <c r="G856" s="15">
        <v>1875</v>
      </c>
      <c r="H856" s="15"/>
      <c r="I856" s="15"/>
      <c r="J856" s="15">
        <v>1875</v>
      </c>
      <c r="K856" s="15">
        <f t="shared" si="165"/>
        <v>0</v>
      </c>
      <c r="L856" s="15">
        <f t="shared" si="167"/>
        <v>1875</v>
      </c>
      <c r="M856" s="15" t="str">
        <f t="shared" si="168"/>
        <v/>
      </c>
      <c r="N856" s="15">
        <f t="shared" si="169"/>
        <v>1875</v>
      </c>
      <c r="O856" s="15" t="str">
        <f t="shared" si="170"/>
        <v>휘발유 75,000원</v>
      </c>
      <c r="P856" s="15">
        <f t="shared" si="171"/>
        <v>75000</v>
      </c>
      <c r="Q856" s="15"/>
      <c r="R856" s="16">
        <f t="shared" si="172"/>
        <v>0</v>
      </c>
      <c r="S856" s="15">
        <f t="shared" si="173"/>
        <v>0</v>
      </c>
      <c r="T856" s="15">
        <f t="shared" si="174"/>
        <v>75000</v>
      </c>
      <c r="U856" s="15">
        <f t="shared" si="175"/>
        <v>1875</v>
      </c>
      <c r="V856" s="15">
        <f t="shared" si="176"/>
        <v>1875</v>
      </c>
      <c r="W856" s="17">
        <f>IF($T856="",1000000000000000,$T856)</f>
        <v>75000</v>
      </c>
      <c r="XFC856" s="3"/>
    </row>
    <row r="857" spans="1:23 16382:16383" s="5" customFormat="1" ht="28.65" customHeight="1">
      <c r="A857" s="14">
        <f t="shared" si="166"/>
        <v>842</v>
      </c>
      <c r="B857" s="14" t="s">
        <v>10</v>
      </c>
      <c r="C857" s="14" t="s">
        <v>595</v>
      </c>
      <c r="D857" s="14" t="s">
        <v>51</v>
      </c>
      <c r="E857" s="14" t="s">
        <v>63</v>
      </c>
      <c r="F857" s="14" t="s">
        <v>1692</v>
      </c>
      <c r="G857" s="15">
        <v>1875</v>
      </c>
      <c r="H857" s="15"/>
      <c r="I857" s="15"/>
      <c r="J857" s="15">
        <v>1895</v>
      </c>
      <c r="K857" s="15">
        <f t="shared" si="165"/>
        <v>0</v>
      </c>
      <c r="L857" s="15">
        <f t="shared" si="167"/>
        <v>1875</v>
      </c>
      <c r="M857" s="15" t="str">
        <f t="shared" si="168"/>
        <v/>
      </c>
      <c r="N857" s="15">
        <f t="shared" si="169"/>
        <v>1895</v>
      </c>
      <c r="O857" s="15" t="str">
        <f t="shared" si="170"/>
        <v>휘발유 75,000원</v>
      </c>
      <c r="P857" s="15">
        <f t="shared" si="171"/>
        <v>75000</v>
      </c>
      <c r="Q857" s="15"/>
      <c r="R857" s="16">
        <f t="shared" si="172"/>
        <v>0</v>
      </c>
      <c r="S857" s="15">
        <f t="shared" si="173"/>
        <v>0</v>
      </c>
      <c r="T857" s="15">
        <f t="shared" si="174"/>
        <v>75000</v>
      </c>
      <c r="U857" s="15">
        <f t="shared" si="175"/>
        <v>1875</v>
      </c>
      <c r="V857" s="15">
        <f t="shared" si="176"/>
        <v>1875</v>
      </c>
      <c r="W857" s="17">
        <f>IF($T857="",1000000000000000,$T857)</f>
        <v>75000</v>
      </c>
      <c r="XFC857" s="3"/>
    </row>
    <row r="858" spans="1:23 16382:16383" s="19" customFormat="1" ht="28.5" customHeight="1">
      <c r="A858" s="14">
        <f t="shared" si="166"/>
        <v>844</v>
      </c>
      <c r="B858" s="14" t="s">
        <v>12</v>
      </c>
      <c r="C858" s="14" t="s">
        <v>1693</v>
      </c>
      <c r="D858" s="18" t="s">
        <v>51</v>
      </c>
      <c r="E858" s="14" t="s">
        <v>63</v>
      </c>
      <c r="F858" s="14" t="s">
        <v>1694</v>
      </c>
      <c r="G858" s="15">
        <v>1878</v>
      </c>
      <c r="H858" s="15"/>
      <c r="I858" s="15"/>
      <c r="J858" s="15">
        <v>1868</v>
      </c>
      <c r="K858" s="15">
        <f t="shared" si="165"/>
        <v>0</v>
      </c>
      <c r="L858" s="15">
        <f t="shared" si="167"/>
        <v>1878</v>
      </c>
      <c r="M858" s="15" t="str">
        <f t="shared" si="168"/>
        <v/>
      </c>
      <c r="N858" s="15">
        <f t="shared" si="169"/>
        <v>1868</v>
      </c>
      <c r="O858" s="15" t="str">
        <f t="shared" si="170"/>
        <v>휘발유 75,120원</v>
      </c>
      <c r="P858" s="15">
        <f t="shared" si="171"/>
        <v>75120</v>
      </c>
      <c r="Q858" s="15"/>
      <c r="R858" s="16">
        <f t="shared" si="172"/>
        <v>0</v>
      </c>
      <c r="S858" s="15">
        <f t="shared" si="173"/>
        <v>0</v>
      </c>
      <c r="T858" s="15">
        <f t="shared" si="174"/>
        <v>75120</v>
      </c>
      <c r="U858" s="15">
        <f t="shared" si="175"/>
        <v>1878</v>
      </c>
      <c r="V858" s="15">
        <f t="shared" si="176"/>
        <v>1878</v>
      </c>
      <c r="W858" s="17">
        <f>IF($T858="",1000000000000000,$T858)</f>
        <v>75120</v>
      </c>
      <c r="XFB858" s="5"/>
      <c r="XFC858" s="3"/>
    </row>
    <row r="859" spans="1:23 16382:16383" s="19" customFormat="1" ht="28.5" customHeight="1">
      <c r="A859" s="14">
        <f t="shared" si="166"/>
        <v>844</v>
      </c>
      <c r="B859" s="14" t="s">
        <v>10</v>
      </c>
      <c r="C859" s="14" t="s">
        <v>1695</v>
      </c>
      <c r="D859" s="14" t="s">
        <v>51</v>
      </c>
      <c r="E859" s="14" t="s">
        <v>63</v>
      </c>
      <c r="F859" s="14" t="s">
        <v>1696</v>
      </c>
      <c r="G859" s="15">
        <v>1878</v>
      </c>
      <c r="H859" s="15"/>
      <c r="I859" s="15"/>
      <c r="J859" s="15">
        <v>1878</v>
      </c>
      <c r="K859" s="15">
        <f t="shared" si="165"/>
        <v>0</v>
      </c>
      <c r="L859" s="15">
        <f t="shared" si="167"/>
        <v>1878</v>
      </c>
      <c r="M859" s="15" t="str">
        <f t="shared" si="168"/>
        <v/>
      </c>
      <c r="N859" s="15">
        <f t="shared" si="169"/>
        <v>1878</v>
      </c>
      <c r="O859" s="15" t="str">
        <f t="shared" si="170"/>
        <v>휘발유 75,120원</v>
      </c>
      <c r="P859" s="15">
        <f t="shared" si="171"/>
        <v>75120</v>
      </c>
      <c r="Q859" s="15"/>
      <c r="R859" s="16">
        <f t="shared" si="172"/>
        <v>0</v>
      </c>
      <c r="S859" s="15">
        <f t="shared" si="173"/>
        <v>0</v>
      </c>
      <c r="T859" s="15">
        <f t="shared" si="174"/>
        <v>75120</v>
      </c>
      <c r="U859" s="15">
        <f t="shared" si="175"/>
        <v>1878</v>
      </c>
      <c r="V859" s="15">
        <f t="shared" si="176"/>
        <v>1878</v>
      </c>
      <c r="W859" s="17">
        <f>IF($T859="",1000000000000000,$T859)</f>
        <v>75120</v>
      </c>
      <c r="XFB859" s="5"/>
      <c r="XFC859" s="3"/>
    </row>
    <row r="860" spans="1:23 16382:16383" s="5" customFormat="1" ht="28.65" customHeight="1">
      <c r="A860" s="14">
        <f t="shared" si="166"/>
        <v>844</v>
      </c>
      <c r="B860" s="14" t="s">
        <v>14</v>
      </c>
      <c r="C860" s="14" t="s">
        <v>1752</v>
      </c>
      <c r="D860" s="14" t="s">
        <v>51</v>
      </c>
      <c r="E860" s="14" t="s">
        <v>26</v>
      </c>
      <c r="F860" s="14" t="s">
        <v>1753</v>
      </c>
      <c r="G860" s="15">
        <v>1878</v>
      </c>
      <c r="H860" s="15"/>
      <c r="I860" s="15"/>
      <c r="J860" s="15">
        <v>1898</v>
      </c>
      <c r="K860" s="15">
        <f t="shared" si="165"/>
        <v>0</v>
      </c>
      <c r="L860" s="15">
        <f t="shared" si="167"/>
        <v>1878</v>
      </c>
      <c r="M860" s="15" t="str">
        <f t="shared" si="168"/>
        <v/>
      </c>
      <c r="N860" s="15">
        <f t="shared" si="169"/>
        <v>1898</v>
      </c>
      <c r="O860" s="15" t="str">
        <f t="shared" si="170"/>
        <v>휘발유 75,120원</v>
      </c>
      <c r="P860" s="15">
        <f t="shared" si="171"/>
        <v>75120</v>
      </c>
      <c r="Q860" s="15"/>
      <c r="R860" s="16">
        <f t="shared" si="172"/>
        <v>0</v>
      </c>
      <c r="S860" s="15">
        <f t="shared" si="173"/>
        <v>0</v>
      </c>
      <c r="T860" s="15">
        <f t="shared" si="174"/>
        <v>75120</v>
      </c>
      <c r="U860" s="15">
        <f t="shared" si="175"/>
        <v>1878</v>
      </c>
      <c r="V860" s="15">
        <f t="shared" si="176"/>
        <v>1878</v>
      </c>
      <c r="W860" s="17">
        <f>IF($T860="",1000000000000000,$T860)</f>
        <v>75120</v>
      </c>
      <c r="XFC860" s="3"/>
    </row>
    <row r="861" spans="1:23 16382:16383" s="5" customFormat="1" ht="28.65" customHeight="1">
      <c r="A861" s="14">
        <f t="shared" si="166"/>
        <v>844</v>
      </c>
      <c r="B861" s="14" t="s">
        <v>10</v>
      </c>
      <c r="C861" s="14" t="s">
        <v>1697</v>
      </c>
      <c r="D861" s="14" t="s">
        <v>45</v>
      </c>
      <c r="E861" s="14" t="s">
        <v>26</v>
      </c>
      <c r="F861" s="14" t="s">
        <v>1698</v>
      </c>
      <c r="G861" s="15">
        <v>1878</v>
      </c>
      <c r="H861" s="15"/>
      <c r="I861" s="15"/>
      <c r="J861" s="15">
        <v>1929</v>
      </c>
      <c r="K861" s="15">
        <f t="shared" si="165"/>
        <v>0</v>
      </c>
      <c r="L861" s="15">
        <f t="shared" si="167"/>
        <v>1878</v>
      </c>
      <c r="M861" s="15" t="str">
        <f t="shared" si="168"/>
        <v/>
      </c>
      <c r="N861" s="15">
        <f t="shared" si="169"/>
        <v>1929</v>
      </c>
      <c r="O861" s="15" t="str">
        <f t="shared" si="170"/>
        <v>휘발유 75,120원</v>
      </c>
      <c r="P861" s="15">
        <f t="shared" si="171"/>
        <v>75120</v>
      </c>
      <c r="Q861" s="15"/>
      <c r="R861" s="16">
        <f t="shared" si="172"/>
        <v>0</v>
      </c>
      <c r="S861" s="15">
        <f t="shared" si="173"/>
        <v>0</v>
      </c>
      <c r="T861" s="15">
        <f t="shared" si="174"/>
        <v>75120</v>
      </c>
      <c r="U861" s="15">
        <f t="shared" si="175"/>
        <v>1878</v>
      </c>
      <c r="V861" s="15">
        <f t="shared" si="176"/>
        <v>1878</v>
      </c>
      <c r="W861" s="17">
        <f>IF($T861="",1000000000000000,$T861)</f>
        <v>75120</v>
      </c>
      <c r="XFC861" s="3"/>
    </row>
    <row r="862" spans="1:23 16382:16383" s="5" customFormat="1" ht="28.65" customHeight="1">
      <c r="A862" s="14">
        <f t="shared" si="166"/>
        <v>848</v>
      </c>
      <c r="B862" s="14" t="s">
        <v>14</v>
      </c>
      <c r="C862" s="14" t="s">
        <v>1699</v>
      </c>
      <c r="D862" s="14" t="s">
        <v>45</v>
      </c>
      <c r="E862" s="14" t="s">
        <v>26</v>
      </c>
      <c r="F862" s="14" t="s">
        <v>1700</v>
      </c>
      <c r="G862" s="15">
        <v>1879</v>
      </c>
      <c r="H862" s="15"/>
      <c r="I862" s="15"/>
      <c r="J862" s="15">
        <v>1879</v>
      </c>
      <c r="K862" s="15">
        <f t="shared" si="165"/>
        <v>0</v>
      </c>
      <c r="L862" s="15">
        <f t="shared" si="167"/>
        <v>1879</v>
      </c>
      <c r="M862" s="15" t="str">
        <f t="shared" si="168"/>
        <v/>
      </c>
      <c r="N862" s="15">
        <f t="shared" si="169"/>
        <v>1879</v>
      </c>
      <c r="O862" s="15" t="str">
        <f t="shared" si="170"/>
        <v>휘발유 75,160원</v>
      </c>
      <c r="P862" s="15">
        <f t="shared" si="171"/>
        <v>75160</v>
      </c>
      <c r="Q862" s="15"/>
      <c r="R862" s="16">
        <f t="shared" si="172"/>
        <v>0</v>
      </c>
      <c r="S862" s="15">
        <f t="shared" si="173"/>
        <v>0</v>
      </c>
      <c r="T862" s="15">
        <f t="shared" si="174"/>
        <v>75160</v>
      </c>
      <c r="U862" s="15">
        <f t="shared" si="175"/>
        <v>1879</v>
      </c>
      <c r="V862" s="15">
        <f t="shared" si="176"/>
        <v>1879</v>
      </c>
      <c r="W862" s="17">
        <f>IF($T862="",1000000000000000,$T862)</f>
        <v>75160</v>
      </c>
      <c r="XFC862" s="3"/>
    </row>
    <row r="863" spans="1:23 16382:16383" s="5" customFormat="1" ht="28.65" customHeight="1">
      <c r="A863" s="14">
        <f t="shared" si="166"/>
        <v>848</v>
      </c>
      <c r="B863" s="14" t="s">
        <v>10</v>
      </c>
      <c r="C863" s="14" t="s">
        <v>1728</v>
      </c>
      <c r="D863" s="14" t="s">
        <v>51</v>
      </c>
      <c r="E863" s="14" t="s">
        <v>26</v>
      </c>
      <c r="F863" s="14" t="s">
        <v>1729</v>
      </c>
      <c r="G863" s="15">
        <v>1879</v>
      </c>
      <c r="H863" s="15"/>
      <c r="I863" s="15"/>
      <c r="J863" s="15">
        <v>1879</v>
      </c>
      <c r="K863" s="15">
        <f t="shared" si="165"/>
        <v>0</v>
      </c>
      <c r="L863" s="15">
        <f t="shared" si="167"/>
        <v>1879</v>
      </c>
      <c r="M863" s="15" t="str">
        <f t="shared" si="168"/>
        <v/>
      </c>
      <c r="N863" s="15">
        <f t="shared" si="169"/>
        <v>1879</v>
      </c>
      <c r="O863" s="15" t="str">
        <f t="shared" si="170"/>
        <v>휘발유 75,160원</v>
      </c>
      <c r="P863" s="15">
        <f t="shared" si="171"/>
        <v>75160</v>
      </c>
      <c r="Q863" s="15"/>
      <c r="R863" s="16">
        <f t="shared" si="172"/>
        <v>0</v>
      </c>
      <c r="S863" s="15">
        <f t="shared" si="173"/>
        <v>0</v>
      </c>
      <c r="T863" s="15">
        <f t="shared" si="174"/>
        <v>75160</v>
      </c>
      <c r="U863" s="15">
        <f t="shared" si="175"/>
        <v>1879</v>
      </c>
      <c r="V863" s="15">
        <f t="shared" si="176"/>
        <v>1879</v>
      </c>
      <c r="W863" s="17">
        <f>IF($T863="",1000000000000000,$T863)</f>
        <v>75160</v>
      </c>
      <c r="XFC863" s="3"/>
    </row>
    <row r="864" spans="1:23 16382:16383" s="5" customFormat="1" ht="28.65" customHeight="1">
      <c r="A864" s="14">
        <f t="shared" si="166"/>
        <v>848</v>
      </c>
      <c r="B864" s="14" t="s">
        <v>10</v>
      </c>
      <c r="C864" s="14" t="s">
        <v>1701</v>
      </c>
      <c r="D864" s="14" t="s">
        <v>51</v>
      </c>
      <c r="E864" s="14" t="s">
        <v>63</v>
      </c>
      <c r="F864" s="14" t="s">
        <v>1702</v>
      </c>
      <c r="G864" s="15">
        <v>1879</v>
      </c>
      <c r="H864" s="15"/>
      <c r="I864" s="15"/>
      <c r="J864" s="15">
        <v>1879</v>
      </c>
      <c r="K864" s="15">
        <f t="shared" si="165"/>
        <v>0</v>
      </c>
      <c r="L864" s="15">
        <f t="shared" si="167"/>
        <v>1879</v>
      </c>
      <c r="M864" s="15" t="str">
        <f t="shared" si="168"/>
        <v/>
      </c>
      <c r="N864" s="15">
        <f t="shared" si="169"/>
        <v>1879</v>
      </c>
      <c r="O864" s="15" t="str">
        <f t="shared" si="170"/>
        <v>휘발유 75,160원</v>
      </c>
      <c r="P864" s="15">
        <f t="shared" si="171"/>
        <v>75160</v>
      </c>
      <c r="Q864" s="15"/>
      <c r="R864" s="16">
        <f t="shared" si="172"/>
        <v>0</v>
      </c>
      <c r="S864" s="15">
        <f t="shared" si="173"/>
        <v>0</v>
      </c>
      <c r="T864" s="15">
        <f t="shared" si="174"/>
        <v>75160</v>
      </c>
      <c r="U864" s="15">
        <f t="shared" si="175"/>
        <v>1879</v>
      </c>
      <c r="V864" s="15">
        <f t="shared" si="176"/>
        <v>1879</v>
      </c>
      <c r="W864" s="17">
        <f>IF($T864="",1000000000000000,$T864)</f>
        <v>75160</v>
      </c>
      <c r="XFC864" s="3"/>
    </row>
    <row r="865" spans="1:23 16382:16383" s="5" customFormat="1" ht="28.65" customHeight="1">
      <c r="A865" s="14">
        <f t="shared" si="166"/>
        <v>851</v>
      </c>
      <c r="B865" s="14" t="s">
        <v>8</v>
      </c>
      <c r="C865" s="14" t="s">
        <v>1711</v>
      </c>
      <c r="D865" s="14" t="s">
        <v>51</v>
      </c>
      <c r="E865" s="14" t="s">
        <v>63</v>
      </c>
      <c r="F865" s="14" t="s">
        <v>1712</v>
      </c>
      <c r="G865" s="15">
        <v>1880</v>
      </c>
      <c r="H865" s="15"/>
      <c r="I865" s="15"/>
      <c r="J865" s="15">
        <v>1880</v>
      </c>
      <c r="K865" s="15">
        <f t="shared" si="165"/>
        <v>0</v>
      </c>
      <c r="L865" s="15">
        <f t="shared" si="167"/>
        <v>1880</v>
      </c>
      <c r="M865" s="15" t="str">
        <f t="shared" si="168"/>
        <v/>
      </c>
      <c r="N865" s="15">
        <f t="shared" si="169"/>
        <v>1880</v>
      </c>
      <c r="O865" s="15" t="str">
        <f t="shared" si="170"/>
        <v>휘발유 75,200원</v>
      </c>
      <c r="P865" s="15">
        <f t="shared" si="171"/>
        <v>75200</v>
      </c>
      <c r="Q865" s="15"/>
      <c r="R865" s="16">
        <f t="shared" si="172"/>
        <v>0</v>
      </c>
      <c r="S865" s="15">
        <f t="shared" si="173"/>
        <v>0</v>
      </c>
      <c r="T865" s="15">
        <f t="shared" si="174"/>
        <v>75200</v>
      </c>
      <c r="U865" s="15">
        <f t="shared" si="175"/>
        <v>1880</v>
      </c>
      <c r="V865" s="15">
        <f t="shared" si="176"/>
        <v>1880</v>
      </c>
      <c r="W865" s="17">
        <f>IF($T865="",1000000000000000,$T865)</f>
        <v>75200</v>
      </c>
      <c r="XFC865" s="3"/>
    </row>
    <row r="866" spans="1:23 16382:16383" s="5" customFormat="1" ht="28.65" customHeight="1">
      <c r="A866" s="14">
        <f t="shared" si="166"/>
        <v>852</v>
      </c>
      <c r="B866" s="14" t="s">
        <v>10</v>
      </c>
      <c r="C866" s="14" t="s">
        <v>1715</v>
      </c>
      <c r="D866" s="18" t="s">
        <v>86</v>
      </c>
      <c r="E866" s="14" t="s">
        <v>63</v>
      </c>
      <c r="F866" s="14" t="s">
        <v>1716</v>
      </c>
      <c r="G866" s="15">
        <v>1888</v>
      </c>
      <c r="H866" s="15"/>
      <c r="I866" s="15"/>
      <c r="J866" s="15">
        <v>1878</v>
      </c>
      <c r="K866" s="15">
        <f t="shared" ref="K866:K890" si="177">IF(AND(IFERROR(SEARCH("현대오일뱅크",$C866),0)&gt;0,IFERROR(SEARCH("직영",$C866),0)&gt;0),$B$13,0)</f>
        <v>0</v>
      </c>
      <c r="L866" s="15">
        <f t="shared" si="167"/>
        <v>1888</v>
      </c>
      <c r="M866" s="15" t="str">
        <f t="shared" si="168"/>
        <v/>
      </c>
      <c r="N866" s="15">
        <f t="shared" si="169"/>
        <v>1878</v>
      </c>
      <c r="O866" s="15" t="str">
        <f t="shared" si="170"/>
        <v>휘발유 75,520원</v>
      </c>
      <c r="P866" s="15">
        <f t="shared" si="171"/>
        <v>75520</v>
      </c>
      <c r="Q866" s="15"/>
      <c r="R866" s="16">
        <f t="shared" si="172"/>
        <v>0</v>
      </c>
      <c r="S866" s="15">
        <f t="shared" si="173"/>
        <v>0</v>
      </c>
      <c r="T866" s="15">
        <f t="shared" si="174"/>
        <v>75520</v>
      </c>
      <c r="U866" s="15">
        <f t="shared" si="175"/>
        <v>1888</v>
      </c>
      <c r="V866" s="15">
        <f t="shared" si="176"/>
        <v>1888</v>
      </c>
      <c r="W866" s="17">
        <f>IF($T866="",1000000000000000,$T866)</f>
        <v>75520</v>
      </c>
      <c r="XFC866" s="3"/>
    </row>
    <row r="867" spans="1:23 16382:16383" s="5" customFormat="1" ht="28.65" customHeight="1">
      <c r="A867" s="14">
        <f t="shared" si="166"/>
        <v>853</v>
      </c>
      <c r="B867" s="14" t="s">
        <v>14</v>
      </c>
      <c r="C867" s="14" t="s">
        <v>1719</v>
      </c>
      <c r="D867" s="14" t="s">
        <v>95</v>
      </c>
      <c r="E867" s="14" t="s">
        <v>26</v>
      </c>
      <c r="F867" s="14" t="s">
        <v>1720</v>
      </c>
      <c r="G867" s="15">
        <v>1889</v>
      </c>
      <c r="H867" s="15"/>
      <c r="I867" s="15"/>
      <c r="J867" s="15">
        <v>1889</v>
      </c>
      <c r="K867" s="15">
        <f t="shared" si="177"/>
        <v>0</v>
      </c>
      <c r="L867" s="15">
        <f t="shared" si="167"/>
        <v>1889</v>
      </c>
      <c r="M867" s="15" t="str">
        <f t="shared" si="168"/>
        <v/>
      </c>
      <c r="N867" s="15">
        <f t="shared" si="169"/>
        <v>1889</v>
      </c>
      <c r="O867" s="15" t="str">
        <f t="shared" si="170"/>
        <v>휘발유 75,560원</v>
      </c>
      <c r="P867" s="15">
        <f t="shared" si="171"/>
        <v>75560</v>
      </c>
      <c r="Q867" s="15"/>
      <c r="R867" s="16">
        <f t="shared" si="172"/>
        <v>0</v>
      </c>
      <c r="S867" s="15">
        <f t="shared" si="173"/>
        <v>0</v>
      </c>
      <c r="T867" s="15">
        <f t="shared" si="174"/>
        <v>75560</v>
      </c>
      <c r="U867" s="15">
        <f t="shared" si="175"/>
        <v>1889</v>
      </c>
      <c r="V867" s="15">
        <f t="shared" si="176"/>
        <v>1889</v>
      </c>
      <c r="W867" s="17">
        <f>IF($T867="",1000000000000000,$T867)</f>
        <v>75560</v>
      </c>
      <c r="XFC867" s="3"/>
    </row>
    <row r="868" spans="1:23 16382:16383" s="5" customFormat="1" ht="28.65" customHeight="1">
      <c r="A868" s="14">
        <f t="shared" si="166"/>
        <v>853</v>
      </c>
      <c r="B868" s="14" t="s">
        <v>10</v>
      </c>
      <c r="C868" s="14" t="s">
        <v>1717</v>
      </c>
      <c r="D868" s="18" t="s">
        <v>86</v>
      </c>
      <c r="E868" s="14" t="s">
        <v>63</v>
      </c>
      <c r="F868" s="14" t="s">
        <v>1718</v>
      </c>
      <c r="G868" s="15">
        <v>1889</v>
      </c>
      <c r="H868" s="15"/>
      <c r="I868" s="15"/>
      <c r="J868" s="15">
        <v>1895</v>
      </c>
      <c r="K868" s="15">
        <f t="shared" si="177"/>
        <v>0</v>
      </c>
      <c r="L868" s="15">
        <f t="shared" si="167"/>
        <v>1889</v>
      </c>
      <c r="M868" s="15" t="str">
        <f t="shared" si="168"/>
        <v/>
      </c>
      <c r="N868" s="15">
        <f t="shared" si="169"/>
        <v>1895</v>
      </c>
      <c r="O868" s="15" t="str">
        <f t="shared" si="170"/>
        <v>휘발유 75,560원</v>
      </c>
      <c r="P868" s="15">
        <f t="shared" si="171"/>
        <v>75560</v>
      </c>
      <c r="Q868" s="15"/>
      <c r="R868" s="16">
        <f t="shared" si="172"/>
        <v>0</v>
      </c>
      <c r="S868" s="15">
        <f t="shared" si="173"/>
        <v>0</v>
      </c>
      <c r="T868" s="15">
        <f t="shared" si="174"/>
        <v>75560</v>
      </c>
      <c r="U868" s="15">
        <f t="shared" si="175"/>
        <v>1889</v>
      </c>
      <c r="V868" s="15">
        <f t="shared" si="176"/>
        <v>1889</v>
      </c>
      <c r="W868" s="17">
        <f>IF($T868="",1000000000000000,$T868)</f>
        <v>75560</v>
      </c>
      <c r="XFC868" s="3"/>
    </row>
    <row r="869" spans="1:23 16382:16383" s="5" customFormat="1" ht="28.65" customHeight="1">
      <c r="A869" s="14">
        <f t="shared" si="166"/>
        <v>855</v>
      </c>
      <c r="B869" s="14" t="s">
        <v>12</v>
      </c>
      <c r="C869" s="14" t="s">
        <v>1721</v>
      </c>
      <c r="D869" s="18" t="s">
        <v>95</v>
      </c>
      <c r="E869" s="14" t="s">
        <v>63</v>
      </c>
      <c r="F869" s="14" t="s">
        <v>1722</v>
      </c>
      <c r="G869" s="15">
        <v>1898</v>
      </c>
      <c r="H869" s="15"/>
      <c r="I869" s="15"/>
      <c r="J869" s="15">
        <v>1818</v>
      </c>
      <c r="K869" s="15">
        <f t="shared" si="177"/>
        <v>0</v>
      </c>
      <c r="L869" s="15">
        <f t="shared" si="167"/>
        <v>1898</v>
      </c>
      <c r="M869" s="15" t="str">
        <f t="shared" si="168"/>
        <v/>
      </c>
      <c r="N869" s="15">
        <f t="shared" si="169"/>
        <v>1818</v>
      </c>
      <c r="O869" s="15" t="str">
        <f t="shared" si="170"/>
        <v>휘발유 75,920원</v>
      </c>
      <c r="P869" s="15">
        <f t="shared" si="171"/>
        <v>75920</v>
      </c>
      <c r="Q869" s="15"/>
      <c r="R869" s="16">
        <f t="shared" si="172"/>
        <v>0</v>
      </c>
      <c r="S869" s="15">
        <f t="shared" si="173"/>
        <v>0</v>
      </c>
      <c r="T869" s="15">
        <f t="shared" si="174"/>
        <v>75920</v>
      </c>
      <c r="U869" s="15">
        <f t="shared" si="175"/>
        <v>1898</v>
      </c>
      <c r="V869" s="15">
        <f t="shared" si="176"/>
        <v>1898</v>
      </c>
      <c r="W869" s="17">
        <f>IF($T869="",1000000000000000,$T869)</f>
        <v>75920</v>
      </c>
      <c r="XFC869" s="3"/>
    </row>
    <row r="870" spans="1:23 16382:16383" s="4" customFormat="1" ht="28.5" customHeight="1">
      <c r="A870" s="14">
        <f t="shared" si="166"/>
        <v>856</v>
      </c>
      <c r="B870" s="14" t="s">
        <v>10</v>
      </c>
      <c r="C870" s="14" t="s">
        <v>362</v>
      </c>
      <c r="D870" s="18" t="s">
        <v>86</v>
      </c>
      <c r="E870" s="14" t="s">
        <v>26</v>
      </c>
      <c r="F870" s="14" t="s">
        <v>363</v>
      </c>
      <c r="G870" s="15">
        <v>1899</v>
      </c>
      <c r="H870" s="15">
        <v>2095</v>
      </c>
      <c r="I870" s="15"/>
      <c r="J870" s="15">
        <v>1949</v>
      </c>
      <c r="K870" s="15">
        <f t="shared" si="177"/>
        <v>0</v>
      </c>
      <c r="L870" s="15">
        <f t="shared" si="167"/>
        <v>1899</v>
      </c>
      <c r="M870" s="15">
        <f t="shared" si="168"/>
        <v>2095</v>
      </c>
      <c r="N870" s="15">
        <f t="shared" si="169"/>
        <v>1949</v>
      </c>
      <c r="O870" s="15" t="str">
        <f t="shared" si="170"/>
        <v>휘발유 75,960원</v>
      </c>
      <c r="P870" s="15">
        <f t="shared" si="171"/>
        <v>75960</v>
      </c>
      <c r="Q870" s="15"/>
      <c r="R870" s="16">
        <f t="shared" si="172"/>
        <v>0</v>
      </c>
      <c r="S870" s="15">
        <f t="shared" si="173"/>
        <v>0</v>
      </c>
      <c r="T870" s="15">
        <f t="shared" si="174"/>
        <v>75960</v>
      </c>
      <c r="U870" s="15">
        <f t="shared" si="175"/>
        <v>1899</v>
      </c>
      <c r="V870" s="15">
        <f t="shared" si="176"/>
        <v>1899</v>
      </c>
      <c r="W870" s="17">
        <f>IF($T870="",1000000000000000,$T870)</f>
        <v>75960</v>
      </c>
      <c r="XFB870" s="5"/>
      <c r="XFC870" s="3"/>
    </row>
    <row r="871" spans="1:23 16382:16383" s="5" customFormat="1" ht="28.65" customHeight="1">
      <c r="A871" s="14">
        <f t="shared" si="166"/>
        <v>856</v>
      </c>
      <c r="B871" s="14" t="s">
        <v>12</v>
      </c>
      <c r="C871" s="14" t="s">
        <v>1725</v>
      </c>
      <c r="D871" s="18" t="s">
        <v>45</v>
      </c>
      <c r="E871" s="14" t="s">
        <v>63</v>
      </c>
      <c r="F871" s="14" t="s">
        <v>1726</v>
      </c>
      <c r="G871" s="15">
        <v>1899</v>
      </c>
      <c r="H871" s="15"/>
      <c r="I871" s="15"/>
      <c r="J871" s="15">
        <v>1883</v>
      </c>
      <c r="K871" s="15">
        <f t="shared" si="177"/>
        <v>0</v>
      </c>
      <c r="L871" s="15">
        <f t="shared" si="167"/>
        <v>1899</v>
      </c>
      <c r="M871" s="15" t="str">
        <f t="shared" si="168"/>
        <v/>
      </c>
      <c r="N871" s="15">
        <f t="shared" si="169"/>
        <v>1883</v>
      </c>
      <c r="O871" s="15" t="str">
        <f t="shared" si="170"/>
        <v>휘발유 75,960원</v>
      </c>
      <c r="P871" s="15">
        <f t="shared" si="171"/>
        <v>75960</v>
      </c>
      <c r="Q871" s="15"/>
      <c r="R871" s="16">
        <f t="shared" si="172"/>
        <v>0</v>
      </c>
      <c r="S871" s="15">
        <f t="shared" si="173"/>
        <v>0</v>
      </c>
      <c r="T871" s="15">
        <f t="shared" si="174"/>
        <v>75960</v>
      </c>
      <c r="U871" s="15">
        <f t="shared" si="175"/>
        <v>1899</v>
      </c>
      <c r="V871" s="15">
        <f t="shared" si="176"/>
        <v>1899</v>
      </c>
      <c r="W871" s="17">
        <f>IF($T871="",1000000000000000,$T871)</f>
        <v>75960</v>
      </c>
      <c r="XFC871" s="3"/>
    </row>
    <row r="872" spans="1:23 16382:16383" s="5" customFormat="1" ht="28.65" customHeight="1">
      <c r="A872" s="14">
        <f t="shared" si="166"/>
        <v>856</v>
      </c>
      <c r="B872" s="14" t="s">
        <v>14</v>
      </c>
      <c r="C872" s="14" t="s">
        <v>1723</v>
      </c>
      <c r="D872" s="14" t="s">
        <v>95</v>
      </c>
      <c r="E872" s="14" t="s">
        <v>63</v>
      </c>
      <c r="F872" s="14" t="s">
        <v>1724</v>
      </c>
      <c r="G872" s="15">
        <v>1899</v>
      </c>
      <c r="H872" s="15"/>
      <c r="I872" s="15"/>
      <c r="J872" s="15">
        <v>1899</v>
      </c>
      <c r="K872" s="15">
        <f t="shared" si="177"/>
        <v>0</v>
      </c>
      <c r="L872" s="15">
        <f t="shared" si="167"/>
        <v>1899</v>
      </c>
      <c r="M872" s="15" t="str">
        <f t="shared" si="168"/>
        <v/>
      </c>
      <c r="N872" s="15">
        <f t="shared" si="169"/>
        <v>1899</v>
      </c>
      <c r="O872" s="15" t="str">
        <f t="shared" si="170"/>
        <v>휘발유 75,960원</v>
      </c>
      <c r="P872" s="15">
        <f t="shared" si="171"/>
        <v>75960</v>
      </c>
      <c r="Q872" s="15"/>
      <c r="R872" s="16">
        <f t="shared" si="172"/>
        <v>0</v>
      </c>
      <c r="S872" s="15">
        <f t="shared" si="173"/>
        <v>0</v>
      </c>
      <c r="T872" s="15">
        <f t="shared" si="174"/>
        <v>75960</v>
      </c>
      <c r="U872" s="15">
        <f t="shared" si="175"/>
        <v>1899</v>
      </c>
      <c r="V872" s="15">
        <f t="shared" si="176"/>
        <v>1899</v>
      </c>
      <c r="W872" s="17">
        <f>IF($T872="",1000000000000000,$T872)</f>
        <v>75960</v>
      </c>
      <c r="XFC872" s="3"/>
    </row>
    <row r="873" spans="1:23 16382:16383" s="5" customFormat="1" ht="28.65" customHeight="1">
      <c r="A873" s="14">
        <f t="shared" si="166"/>
        <v>856</v>
      </c>
      <c r="B873" s="14" t="s">
        <v>14</v>
      </c>
      <c r="C873" s="14" t="s">
        <v>829</v>
      </c>
      <c r="D873" s="14" t="s">
        <v>45</v>
      </c>
      <c r="E873" s="14" t="s">
        <v>26</v>
      </c>
      <c r="F873" s="14" t="s">
        <v>1727</v>
      </c>
      <c r="G873" s="15">
        <v>1899</v>
      </c>
      <c r="H873" s="15"/>
      <c r="I873" s="15"/>
      <c r="J873" s="15">
        <v>1899</v>
      </c>
      <c r="K873" s="15">
        <f t="shared" si="177"/>
        <v>0</v>
      </c>
      <c r="L873" s="15">
        <f t="shared" si="167"/>
        <v>1899</v>
      </c>
      <c r="M873" s="15" t="str">
        <f t="shared" si="168"/>
        <v/>
      </c>
      <c r="N873" s="15">
        <f t="shared" si="169"/>
        <v>1899</v>
      </c>
      <c r="O873" s="15" t="str">
        <f t="shared" si="170"/>
        <v>휘발유 75,960원</v>
      </c>
      <c r="P873" s="15">
        <f t="shared" si="171"/>
        <v>75960</v>
      </c>
      <c r="Q873" s="15"/>
      <c r="R873" s="16">
        <f t="shared" si="172"/>
        <v>0</v>
      </c>
      <c r="S873" s="15">
        <f t="shared" si="173"/>
        <v>0</v>
      </c>
      <c r="T873" s="15">
        <f t="shared" si="174"/>
        <v>75960</v>
      </c>
      <c r="U873" s="15">
        <f t="shared" si="175"/>
        <v>1899</v>
      </c>
      <c r="V873" s="15">
        <f t="shared" si="176"/>
        <v>1899</v>
      </c>
      <c r="W873" s="17">
        <f>IF($T873="",1000000000000000,$T873)</f>
        <v>75960</v>
      </c>
      <c r="XFC873" s="3"/>
    </row>
    <row r="874" spans="1:23 16382:16383" s="5" customFormat="1" ht="28.65" customHeight="1">
      <c r="A874" s="14">
        <f t="shared" si="166"/>
        <v>856</v>
      </c>
      <c r="B874" s="14" t="s">
        <v>10</v>
      </c>
      <c r="C874" s="14" t="s">
        <v>903</v>
      </c>
      <c r="D874" s="18" t="s">
        <v>86</v>
      </c>
      <c r="E874" s="14" t="s">
        <v>63</v>
      </c>
      <c r="F874" s="14" t="s">
        <v>1730</v>
      </c>
      <c r="G874" s="15">
        <v>1899</v>
      </c>
      <c r="H874" s="15"/>
      <c r="I874" s="15"/>
      <c r="J874" s="15">
        <v>1899</v>
      </c>
      <c r="K874" s="15">
        <f t="shared" si="177"/>
        <v>0</v>
      </c>
      <c r="L874" s="15">
        <f t="shared" si="167"/>
        <v>1899</v>
      </c>
      <c r="M874" s="15" t="str">
        <f t="shared" si="168"/>
        <v/>
      </c>
      <c r="N874" s="15">
        <f t="shared" si="169"/>
        <v>1899</v>
      </c>
      <c r="O874" s="15" t="str">
        <f t="shared" si="170"/>
        <v>휘발유 75,960원</v>
      </c>
      <c r="P874" s="15">
        <f t="shared" si="171"/>
        <v>75960</v>
      </c>
      <c r="Q874" s="15"/>
      <c r="R874" s="16">
        <f t="shared" si="172"/>
        <v>0</v>
      </c>
      <c r="S874" s="15">
        <f t="shared" si="173"/>
        <v>0</v>
      </c>
      <c r="T874" s="15">
        <f t="shared" si="174"/>
        <v>75960</v>
      </c>
      <c r="U874" s="15">
        <f t="shared" si="175"/>
        <v>1899</v>
      </c>
      <c r="V874" s="15">
        <f t="shared" si="176"/>
        <v>1899</v>
      </c>
      <c r="W874" s="17">
        <f>IF($T874="",1000000000000000,$T874)</f>
        <v>75960</v>
      </c>
      <c r="XFC874" s="3"/>
    </row>
    <row r="875" spans="1:23 16382:16383" s="5" customFormat="1" ht="28.65" customHeight="1">
      <c r="A875" s="14">
        <f t="shared" si="166"/>
        <v>856</v>
      </c>
      <c r="B875" s="14" t="s">
        <v>10</v>
      </c>
      <c r="C875" s="14" t="s">
        <v>1731</v>
      </c>
      <c r="D875" s="14" t="s">
        <v>51</v>
      </c>
      <c r="E875" s="14" t="s">
        <v>63</v>
      </c>
      <c r="F875" s="14" t="s">
        <v>1732</v>
      </c>
      <c r="G875" s="15">
        <v>1899</v>
      </c>
      <c r="H875" s="15"/>
      <c r="I875" s="15"/>
      <c r="J875" s="15">
        <v>1899</v>
      </c>
      <c r="K875" s="15">
        <f t="shared" si="177"/>
        <v>0</v>
      </c>
      <c r="L875" s="15">
        <f t="shared" si="167"/>
        <v>1899</v>
      </c>
      <c r="M875" s="15" t="str">
        <f t="shared" si="168"/>
        <v/>
      </c>
      <c r="N875" s="15">
        <f t="shared" si="169"/>
        <v>1899</v>
      </c>
      <c r="O875" s="15" t="str">
        <f t="shared" si="170"/>
        <v>휘발유 75,960원</v>
      </c>
      <c r="P875" s="15">
        <f t="shared" si="171"/>
        <v>75960</v>
      </c>
      <c r="Q875" s="15"/>
      <c r="R875" s="16">
        <f t="shared" si="172"/>
        <v>0</v>
      </c>
      <c r="S875" s="15">
        <f t="shared" si="173"/>
        <v>0</v>
      </c>
      <c r="T875" s="15">
        <f t="shared" si="174"/>
        <v>75960</v>
      </c>
      <c r="U875" s="15">
        <f t="shared" si="175"/>
        <v>1899</v>
      </c>
      <c r="V875" s="15">
        <f t="shared" si="176"/>
        <v>1899</v>
      </c>
      <c r="W875" s="17">
        <f>IF($T875="",1000000000000000,$T875)</f>
        <v>75960</v>
      </c>
      <c r="XFC875" s="3"/>
    </row>
    <row r="876" spans="1:23 16382:16383" s="5" customFormat="1" ht="28.65" customHeight="1">
      <c r="A876" s="14">
        <f t="shared" si="166"/>
        <v>862</v>
      </c>
      <c r="B876" s="14" t="s">
        <v>14</v>
      </c>
      <c r="C876" s="14" t="s">
        <v>1735</v>
      </c>
      <c r="D876" s="18" t="s">
        <v>86</v>
      </c>
      <c r="E876" s="14" t="s">
        <v>26</v>
      </c>
      <c r="F876" s="14" t="s">
        <v>1736</v>
      </c>
      <c r="G876" s="15">
        <v>1915</v>
      </c>
      <c r="H876" s="15"/>
      <c r="I876" s="15"/>
      <c r="J876" s="15">
        <v>1939</v>
      </c>
      <c r="K876" s="15">
        <f t="shared" si="177"/>
        <v>0</v>
      </c>
      <c r="L876" s="15">
        <f t="shared" si="167"/>
        <v>1915</v>
      </c>
      <c r="M876" s="15" t="str">
        <f t="shared" si="168"/>
        <v/>
      </c>
      <c r="N876" s="15">
        <f t="shared" si="169"/>
        <v>1939</v>
      </c>
      <c r="O876" s="15" t="str">
        <f t="shared" si="170"/>
        <v>휘발유 76,600원</v>
      </c>
      <c r="P876" s="15">
        <f t="shared" si="171"/>
        <v>76600</v>
      </c>
      <c r="Q876" s="15"/>
      <c r="R876" s="16">
        <f t="shared" si="172"/>
        <v>0</v>
      </c>
      <c r="S876" s="15">
        <f t="shared" si="173"/>
        <v>0</v>
      </c>
      <c r="T876" s="15">
        <f t="shared" si="174"/>
        <v>76600</v>
      </c>
      <c r="U876" s="15">
        <f t="shared" si="175"/>
        <v>1915</v>
      </c>
      <c r="V876" s="15">
        <f t="shared" si="176"/>
        <v>1915</v>
      </c>
      <c r="W876" s="17">
        <f>IF($T876="",1000000000000000,$T876)</f>
        <v>76600</v>
      </c>
      <c r="XFC876" s="3"/>
    </row>
    <row r="877" spans="1:23 16382:16383" s="5" customFormat="1" ht="28.65" customHeight="1">
      <c r="A877" s="14">
        <f t="shared" si="166"/>
        <v>863</v>
      </c>
      <c r="B877" s="14" t="s">
        <v>14</v>
      </c>
      <c r="C877" s="14" t="s">
        <v>1737</v>
      </c>
      <c r="D877" s="14" t="s">
        <v>45</v>
      </c>
      <c r="E877" s="14" t="s">
        <v>63</v>
      </c>
      <c r="F877" s="14" t="s">
        <v>1738</v>
      </c>
      <c r="G877" s="15">
        <v>1918</v>
      </c>
      <c r="H877" s="15"/>
      <c r="I877" s="15"/>
      <c r="J877" s="15">
        <v>1948</v>
      </c>
      <c r="K877" s="15">
        <f t="shared" si="177"/>
        <v>0</v>
      </c>
      <c r="L877" s="15">
        <f t="shared" si="167"/>
        <v>1918</v>
      </c>
      <c r="M877" s="15" t="str">
        <f t="shared" si="168"/>
        <v/>
      </c>
      <c r="N877" s="15">
        <f t="shared" si="169"/>
        <v>1948</v>
      </c>
      <c r="O877" s="15" t="str">
        <f t="shared" si="170"/>
        <v>휘발유 76,720원</v>
      </c>
      <c r="P877" s="15">
        <f t="shared" si="171"/>
        <v>76720</v>
      </c>
      <c r="Q877" s="15"/>
      <c r="R877" s="16">
        <f t="shared" si="172"/>
        <v>0</v>
      </c>
      <c r="S877" s="15">
        <f t="shared" si="173"/>
        <v>0</v>
      </c>
      <c r="T877" s="15">
        <f t="shared" si="174"/>
        <v>76720</v>
      </c>
      <c r="U877" s="15">
        <f t="shared" si="175"/>
        <v>1918</v>
      </c>
      <c r="V877" s="15">
        <f t="shared" si="176"/>
        <v>1918</v>
      </c>
      <c r="W877" s="17">
        <f>IF($T877="",1000000000000000,$T877)</f>
        <v>76720</v>
      </c>
      <c r="XFC877" s="3"/>
    </row>
    <row r="878" spans="1:23 16382:16383" s="19" customFormat="1" ht="28.5" customHeight="1">
      <c r="A878" s="14">
        <f t="shared" si="166"/>
        <v>863</v>
      </c>
      <c r="B878" s="14" t="s">
        <v>14</v>
      </c>
      <c r="C878" s="14" t="s">
        <v>437</v>
      </c>
      <c r="D878" s="18" t="s">
        <v>86</v>
      </c>
      <c r="E878" s="14" t="s">
        <v>26</v>
      </c>
      <c r="F878" s="14" t="s">
        <v>1739</v>
      </c>
      <c r="G878" s="15">
        <v>1918</v>
      </c>
      <c r="H878" s="15"/>
      <c r="I878" s="15"/>
      <c r="J878" s="15">
        <v>1968</v>
      </c>
      <c r="K878" s="15">
        <f t="shared" si="177"/>
        <v>0</v>
      </c>
      <c r="L878" s="15">
        <f t="shared" si="167"/>
        <v>1918</v>
      </c>
      <c r="M878" s="15" t="str">
        <f t="shared" si="168"/>
        <v/>
      </c>
      <c r="N878" s="15">
        <f t="shared" si="169"/>
        <v>1968</v>
      </c>
      <c r="O878" s="15" t="str">
        <f t="shared" si="170"/>
        <v>휘발유 76,720원</v>
      </c>
      <c r="P878" s="15">
        <f t="shared" si="171"/>
        <v>76720</v>
      </c>
      <c r="Q878" s="15"/>
      <c r="R878" s="16">
        <f t="shared" si="172"/>
        <v>0</v>
      </c>
      <c r="S878" s="15">
        <f t="shared" si="173"/>
        <v>0</v>
      </c>
      <c r="T878" s="15">
        <f t="shared" si="174"/>
        <v>76720</v>
      </c>
      <c r="U878" s="15">
        <f t="shared" si="175"/>
        <v>1918</v>
      </c>
      <c r="V878" s="15">
        <f t="shared" si="176"/>
        <v>1918</v>
      </c>
      <c r="W878" s="17">
        <f>IF($T878="",1000000000000000,$T878)</f>
        <v>76720</v>
      </c>
      <c r="XFB878" s="5"/>
      <c r="XFC878" s="3"/>
    </row>
    <row r="879" spans="1:23 16382:16383" s="5" customFormat="1" ht="28.65" customHeight="1">
      <c r="A879" s="14">
        <f t="shared" si="166"/>
        <v>863</v>
      </c>
      <c r="B879" s="14" t="s">
        <v>12</v>
      </c>
      <c r="C879" s="14" t="s">
        <v>1742</v>
      </c>
      <c r="D879" s="18" t="s">
        <v>45</v>
      </c>
      <c r="E879" s="14" t="s">
        <v>63</v>
      </c>
      <c r="F879" s="14" t="s">
        <v>1743</v>
      </c>
      <c r="G879" s="15">
        <v>1918</v>
      </c>
      <c r="H879" s="15"/>
      <c r="I879" s="15"/>
      <c r="J879" s="15">
        <v>1978</v>
      </c>
      <c r="K879" s="15">
        <f t="shared" si="177"/>
        <v>0</v>
      </c>
      <c r="L879" s="15">
        <f t="shared" si="167"/>
        <v>1918</v>
      </c>
      <c r="M879" s="15" t="str">
        <f t="shared" si="168"/>
        <v/>
      </c>
      <c r="N879" s="15">
        <f t="shared" si="169"/>
        <v>1978</v>
      </c>
      <c r="O879" s="15" t="str">
        <f t="shared" si="170"/>
        <v>휘발유 76,720원</v>
      </c>
      <c r="P879" s="15">
        <f t="shared" si="171"/>
        <v>76720</v>
      </c>
      <c r="Q879" s="15"/>
      <c r="R879" s="16">
        <f t="shared" si="172"/>
        <v>0</v>
      </c>
      <c r="S879" s="15">
        <f t="shared" si="173"/>
        <v>0</v>
      </c>
      <c r="T879" s="15">
        <f t="shared" si="174"/>
        <v>76720</v>
      </c>
      <c r="U879" s="15">
        <f t="shared" si="175"/>
        <v>1918</v>
      </c>
      <c r="V879" s="15">
        <f t="shared" si="176"/>
        <v>1918</v>
      </c>
      <c r="W879" s="17">
        <f>IF($T879="",1000000000000000,$T879)</f>
        <v>76720</v>
      </c>
      <c r="XFC879" s="3"/>
    </row>
    <row r="880" spans="1:23 16382:16383" s="5" customFormat="1" ht="28.65" customHeight="1">
      <c r="A880" s="14">
        <f t="shared" si="166"/>
        <v>866</v>
      </c>
      <c r="B880" s="14" t="s">
        <v>12</v>
      </c>
      <c r="C880" s="14" t="s">
        <v>591</v>
      </c>
      <c r="D880" s="18" t="s">
        <v>51</v>
      </c>
      <c r="E880" s="14" t="s">
        <v>63</v>
      </c>
      <c r="F880" s="14" t="s">
        <v>1740</v>
      </c>
      <c r="G880" s="15">
        <v>1928</v>
      </c>
      <c r="H880" s="15"/>
      <c r="I880" s="15"/>
      <c r="J880" s="15">
        <v>1878</v>
      </c>
      <c r="K880" s="15">
        <f t="shared" si="177"/>
        <v>0</v>
      </c>
      <c r="L880" s="15">
        <f t="shared" si="167"/>
        <v>1928</v>
      </c>
      <c r="M880" s="15" t="str">
        <f t="shared" si="168"/>
        <v/>
      </c>
      <c r="N880" s="15">
        <f t="shared" si="169"/>
        <v>1878</v>
      </c>
      <c r="O880" s="15" t="str">
        <f t="shared" si="170"/>
        <v>휘발유 77,120원</v>
      </c>
      <c r="P880" s="15">
        <f t="shared" si="171"/>
        <v>77120</v>
      </c>
      <c r="Q880" s="15"/>
      <c r="R880" s="16">
        <f t="shared" si="172"/>
        <v>0</v>
      </c>
      <c r="S880" s="15">
        <f t="shared" si="173"/>
        <v>0</v>
      </c>
      <c r="T880" s="15">
        <f t="shared" si="174"/>
        <v>77120</v>
      </c>
      <c r="U880" s="15">
        <f t="shared" si="175"/>
        <v>1928</v>
      </c>
      <c r="V880" s="15">
        <f t="shared" si="176"/>
        <v>1928</v>
      </c>
      <c r="W880" s="17">
        <f>IF($T880="",1000000000000000,$T880)</f>
        <v>77120</v>
      </c>
      <c r="XFC880" s="3"/>
    </row>
    <row r="881" spans="1:23 16382:16383" s="5" customFormat="1" ht="28.65" customHeight="1">
      <c r="A881" s="14">
        <f t="shared" si="166"/>
        <v>867</v>
      </c>
      <c r="B881" s="14" t="s">
        <v>14</v>
      </c>
      <c r="C881" s="14" t="s">
        <v>649</v>
      </c>
      <c r="D881" s="14" t="s">
        <v>51</v>
      </c>
      <c r="E881" s="14" t="s">
        <v>63</v>
      </c>
      <c r="F881" s="14" t="s">
        <v>1741</v>
      </c>
      <c r="G881" s="15">
        <v>1945</v>
      </c>
      <c r="H881" s="15"/>
      <c r="I881" s="15"/>
      <c r="J881" s="15">
        <v>1945</v>
      </c>
      <c r="K881" s="15">
        <f t="shared" si="177"/>
        <v>0</v>
      </c>
      <c r="L881" s="15">
        <f t="shared" si="167"/>
        <v>1945</v>
      </c>
      <c r="M881" s="15" t="str">
        <f t="shared" si="168"/>
        <v/>
      </c>
      <c r="N881" s="15">
        <f t="shared" si="169"/>
        <v>1945</v>
      </c>
      <c r="O881" s="15" t="str">
        <f t="shared" si="170"/>
        <v>휘발유 77,800원</v>
      </c>
      <c r="P881" s="15">
        <f t="shared" si="171"/>
        <v>77800</v>
      </c>
      <c r="Q881" s="15"/>
      <c r="R881" s="16">
        <f t="shared" si="172"/>
        <v>0</v>
      </c>
      <c r="S881" s="15">
        <f t="shared" si="173"/>
        <v>0</v>
      </c>
      <c r="T881" s="15">
        <f t="shared" si="174"/>
        <v>77800</v>
      </c>
      <c r="U881" s="15">
        <f t="shared" si="175"/>
        <v>1945</v>
      </c>
      <c r="V881" s="15">
        <f t="shared" si="176"/>
        <v>1945</v>
      </c>
      <c r="W881" s="17">
        <f>IF($T881="",1000000000000000,$T881)</f>
        <v>77800</v>
      </c>
      <c r="XFC881" s="3"/>
    </row>
    <row r="882" spans="1:23 16382:16383" s="5" customFormat="1" ht="28.65" customHeight="1">
      <c r="A882" s="14">
        <f t="shared" si="166"/>
        <v>868</v>
      </c>
      <c r="B882" s="14" t="s">
        <v>12</v>
      </c>
      <c r="C882" s="14" t="s">
        <v>1744</v>
      </c>
      <c r="D882" s="18" t="s">
        <v>86</v>
      </c>
      <c r="E882" s="14" t="s">
        <v>26</v>
      </c>
      <c r="F882" s="14" t="s">
        <v>1745</v>
      </c>
      <c r="G882" s="15">
        <v>1959</v>
      </c>
      <c r="H882" s="15"/>
      <c r="I882" s="15"/>
      <c r="J882" s="15">
        <v>1799</v>
      </c>
      <c r="K882" s="15">
        <f t="shared" si="177"/>
        <v>0</v>
      </c>
      <c r="L882" s="15">
        <f t="shared" si="167"/>
        <v>1959</v>
      </c>
      <c r="M882" s="15" t="str">
        <f t="shared" si="168"/>
        <v/>
      </c>
      <c r="N882" s="15">
        <f t="shared" si="169"/>
        <v>1799</v>
      </c>
      <c r="O882" s="15" t="str">
        <f t="shared" si="170"/>
        <v>휘발유 78,360원</v>
      </c>
      <c r="P882" s="15">
        <f t="shared" si="171"/>
        <v>78360</v>
      </c>
      <c r="Q882" s="15"/>
      <c r="R882" s="16">
        <f t="shared" si="172"/>
        <v>0</v>
      </c>
      <c r="S882" s="15">
        <f t="shared" si="173"/>
        <v>0</v>
      </c>
      <c r="T882" s="15">
        <f t="shared" si="174"/>
        <v>78360</v>
      </c>
      <c r="U882" s="15">
        <f t="shared" si="175"/>
        <v>1959</v>
      </c>
      <c r="V882" s="15">
        <f t="shared" si="176"/>
        <v>1959</v>
      </c>
      <c r="W882" s="17">
        <f>IF($T882="",1000000000000000,$T882)</f>
        <v>78360</v>
      </c>
      <c r="XFC882" s="3"/>
    </row>
    <row r="883" spans="1:23 16382:16383" s="5" customFormat="1" ht="28.65" customHeight="1">
      <c r="A883" s="14">
        <f t="shared" si="166"/>
        <v>869</v>
      </c>
      <c r="B883" s="14" t="s">
        <v>10</v>
      </c>
      <c r="C883" s="14" t="s">
        <v>1746</v>
      </c>
      <c r="D883" s="18" t="s">
        <v>86</v>
      </c>
      <c r="E883" s="14" t="s">
        <v>63</v>
      </c>
      <c r="F883" s="14" t="s">
        <v>1747</v>
      </c>
      <c r="G883" s="15">
        <v>1966</v>
      </c>
      <c r="H883" s="15"/>
      <c r="I883" s="15"/>
      <c r="J883" s="15">
        <v>1995</v>
      </c>
      <c r="K883" s="15">
        <f t="shared" si="177"/>
        <v>0</v>
      </c>
      <c r="L883" s="15">
        <f t="shared" si="167"/>
        <v>1966</v>
      </c>
      <c r="M883" s="15" t="str">
        <f t="shared" si="168"/>
        <v/>
      </c>
      <c r="N883" s="15">
        <f t="shared" si="169"/>
        <v>1995</v>
      </c>
      <c r="O883" s="15" t="str">
        <f t="shared" si="170"/>
        <v>휘발유 78,640원</v>
      </c>
      <c r="P883" s="15">
        <f t="shared" si="171"/>
        <v>78640</v>
      </c>
      <c r="Q883" s="15"/>
      <c r="R883" s="16">
        <f t="shared" si="172"/>
        <v>0</v>
      </c>
      <c r="S883" s="15">
        <f t="shared" si="173"/>
        <v>0</v>
      </c>
      <c r="T883" s="15">
        <f t="shared" si="174"/>
        <v>78640</v>
      </c>
      <c r="U883" s="15">
        <f t="shared" si="175"/>
        <v>1966</v>
      </c>
      <c r="V883" s="15">
        <f t="shared" si="176"/>
        <v>1966</v>
      </c>
      <c r="W883" s="17">
        <f>IF($T883="",1000000000000000,$T883)</f>
        <v>78640</v>
      </c>
      <c r="XFC883" s="3"/>
    </row>
    <row r="884" spans="1:23 16382:16383" s="5" customFormat="1" ht="28.65" customHeight="1">
      <c r="A884" s="14">
        <f t="shared" si="166"/>
        <v>870</v>
      </c>
      <c r="B884" s="14" t="s">
        <v>12</v>
      </c>
      <c r="C884" s="14" t="s">
        <v>1748</v>
      </c>
      <c r="D884" s="18" t="s">
        <v>51</v>
      </c>
      <c r="E884" s="14" t="s">
        <v>63</v>
      </c>
      <c r="F884" s="14" t="s">
        <v>1749</v>
      </c>
      <c r="G884" s="15">
        <v>1978</v>
      </c>
      <c r="H884" s="15"/>
      <c r="I884" s="15"/>
      <c r="J884" s="15">
        <v>1978</v>
      </c>
      <c r="K884" s="15">
        <f t="shared" si="177"/>
        <v>0</v>
      </c>
      <c r="L884" s="15">
        <f t="shared" si="167"/>
        <v>1978</v>
      </c>
      <c r="M884" s="15" t="str">
        <f t="shared" si="168"/>
        <v/>
      </c>
      <c r="N884" s="15">
        <f t="shared" si="169"/>
        <v>1978</v>
      </c>
      <c r="O884" s="15" t="str">
        <f t="shared" si="170"/>
        <v>휘발유 79,120원</v>
      </c>
      <c r="P884" s="15">
        <f t="shared" si="171"/>
        <v>79120</v>
      </c>
      <c r="Q884" s="15"/>
      <c r="R884" s="16">
        <f t="shared" si="172"/>
        <v>0</v>
      </c>
      <c r="S884" s="15">
        <f t="shared" si="173"/>
        <v>0</v>
      </c>
      <c r="T884" s="15">
        <f t="shared" si="174"/>
        <v>79120</v>
      </c>
      <c r="U884" s="15">
        <f t="shared" si="175"/>
        <v>1978</v>
      </c>
      <c r="V884" s="15">
        <f t="shared" si="176"/>
        <v>1978</v>
      </c>
      <c r="W884" s="17">
        <f>IF($T884="",1000000000000000,$T884)</f>
        <v>79120</v>
      </c>
      <c r="XFC884" s="3"/>
    </row>
    <row r="885" spans="1:23 16382:16383" s="5" customFormat="1" ht="28.65" customHeight="1">
      <c r="A885" s="14">
        <f t="shared" si="166"/>
        <v>871</v>
      </c>
      <c r="B885" s="14" t="s">
        <v>12</v>
      </c>
      <c r="C885" s="14" t="s">
        <v>370</v>
      </c>
      <c r="D885" s="18" t="s">
        <v>86</v>
      </c>
      <c r="E885" s="14" t="s">
        <v>63</v>
      </c>
      <c r="F885" s="14" t="s">
        <v>371</v>
      </c>
      <c r="G885" s="15">
        <v>1979</v>
      </c>
      <c r="H885" s="15">
        <v>2199</v>
      </c>
      <c r="I885" s="15"/>
      <c r="J885" s="15">
        <v>1978</v>
      </c>
      <c r="K885" s="15">
        <f t="shared" si="177"/>
        <v>0</v>
      </c>
      <c r="L885" s="15">
        <f t="shared" si="167"/>
        <v>1979</v>
      </c>
      <c r="M885" s="15">
        <f t="shared" si="168"/>
        <v>2199</v>
      </c>
      <c r="N885" s="15">
        <f t="shared" si="169"/>
        <v>1978</v>
      </c>
      <c r="O885" s="15" t="str">
        <f t="shared" si="170"/>
        <v>휘발유 79,160원</v>
      </c>
      <c r="P885" s="15">
        <f t="shared" si="171"/>
        <v>79160</v>
      </c>
      <c r="Q885" s="15"/>
      <c r="R885" s="16">
        <f t="shared" si="172"/>
        <v>0</v>
      </c>
      <c r="S885" s="15">
        <f t="shared" si="173"/>
        <v>0</v>
      </c>
      <c r="T885" s="15">
        <f t="shared" si="174"/>
        <v>79160</v>
      </c>
      <c r="U885" s="15">
        <f t="shared" si="175"/>
        <v>1979</v>
      </c>
      <c r="V885" s="15">
        <f t="shared" si="176"/>
        <v>1979</v>
      </c>
      <c r="W885" s="17">
        <f>IF($T885="",1000000000000000,$T885)</f>
        <v>79160</v>
      </c>
      <c r="XFC885" s="3"/>
    </row>
    <row r="886" spans="1:23 16382:16383" s="5" customFormat="1" ht="28.65" customHeight="1">
      <c r="A886" s="14">
        <f t="shared" si="166"/>
        <v>872</v>
      </c>
      <c r="B886" s="14" t="s">
        <v>6</v>
      </c>
      <c r="C886" s="14" t="s">
        <v>1750</v>
      </c>
      <c r="D886" s="18" t="s">
        <v>86</v>
      </c>
      <c r="E886" s="14" t="s">
        <v>26</v>
      </c>
      <c r="F886" s="14" t="s">
        <v>1751</v>
      </c>
      <c r="G886" s="15">
        <v>2199</v>
      </c>
      <c r="H886" s="15"/>
      <c r="I886" s="15"/>
      <c r="J886" s="15">
        <v>2099</v>
      </c>
      <c r="K886" s="15">
        <f t="shared" si="177"/>
        <v>0</v>
      </c>
      <c r="L886" s="15">
        <f t="shared" si="167"/>
        <v>2199</v>
      </c>
      <c r="M886" s="15" t="str">
        <f t="shared" si="168"/>
        <v/>
      </c>
      <c r="N886" s="15">
        <f t="shared" si="169"/>
        <v>2099</v>
      </c>
      <c r="O886" s="15" t="str">
        <f t="shared" si="170"/>
        <v>휘발유 87,960원</v>
      </c>
      <c r="P886" s="15">
        <f t="shared" si="171"/>
        <v>87960</v>
      </c>
      <c r="Q886" s="15" t="s">
        <v>47</v>
      </c>
      <c r="R886" s="16">
        <f t="shared" si="172"/>
        <v>0.1</v>
      </c>
      <c r="S886" s="15">
        <f t="shared" si="173"/>
        <v>8796</v>
      </c>
      <c r="T886" s="15">
        <f t="shared" si="174"/>
        <v>79164</v>
      </c>
      <c r="U886" s="15">
        <f t="shared" si="175"/>
        <v>1979.1</v>
      </c>
      <c r="V886" s="15">
        <f t="shared" si="176"/>
        <v>2199</v>
      </c>
      <c r="W886" s="17">
        <f>IF($T886="",1000000000000000,$T886)</f>
        <v>79164</v>
      </c>
      <c r="XFC886" s="3"/>
    </row>
    <row r="887" spans="1:23 16382:16383" s="5" customFormat="1" ht="28.65" customHeight="1">
      <c r="A887" s="14">
        <f t="shared" si="166"/>
        <v>873</v>
      </c>
      <c r="B887" s="14" t="s">
        <v>12</v>
      </c>
      <c r="C887" s="14" t="s">
        <v>1754</v>
      </c>
      <c r="D887" s="18" t="s">
        <v>51</v>
      </c>
      <c r="E887" s="14" t="s">
        <v>63</v>
      </c>
      <c r="F887" s="14" t="s">
        <v>1755</v>
      </c>
      <c r="G887" s="15">
        <v>2078</v>
      </c>
      <c r="H887" s="15"/>
      <c r="I887" s="15"/>
      <c r="J887" s="15">
        <v>1995</v>
      </c>
      <c r="K887" s="15">
        <f t="shared" si="177"/>
        <v>0</v>
      </c>
      <c r="L887" s="15">
        <f t="shared" si="167"/>
        <v>2078</v>
      </c>
      <c r="M887" s="15" t="str">
        <f t="shared" si="168"/>
        <v/>
      </c>
      <c r="N887" s="15">
        <f t="shared" si="169"/>
        <v>1995</v>
      </c>
      <c r="O887" s="15" t="str">
        <f t="shared" si="170"/>
        <v>휘발유 83,120원</v>
      </c>
      <c r="P887" s="15">
        <f t="shared" si="171"/>
        <v>83120</v>
      </c>
      <c r="Q887" s="15"/>
      <c r="R887" s="16">
        <f t="shared" si="172"/>
        <v>0</v>
      </c>
      <c r="S887" s="15">
        <f t="shared" si="173"/>
        <v>0</v>
      </c>
      <c r="T887" s="15">
        <f t="shared" si="174"/>
        <v>83120</v>
      </c>
      <c r="U887" s="15">
        <f t="shared" si="175"/>
        <v>2078</v>
      </c>
      <c r="V887" s="15">
        <f t="shared" si="176"/>
        <v>2078</v>
      </c>
      <c r="W887" s="17">
        <f>IF($T887="",1000000000000000,$T887)</f>
        <v>83120</v>
      </c>
      <c r="XFC887" s="3"/>
    </row>
    <row r="888" spans="1:23 16382:16383" s="4" customFormat="1" ht="28.5" customHeight="1">
      <c r="A888" s="14" t="str">
        <f t="shared" si="166"/>
        <v/>
      </c>
      <c r="B888" s="14" t="s">
        <v>14</v>
      </c>
      <c r="C888" s="14" t="s">
        <v>1756</v>
      </c>
      <c r="D888" s="14" t="s">
        <v>95</v>
      </c>
      <c r="E888" s="14" t="s">
        <v>63</v>
      </c>
      <c r="F888" s="14" t="s">
        <v>1757</v>
      </c>
      <c r="G888" s="15"/>
      <c r="H888" s="15">
        <v>2159</v>
      </c>
      <c r="I888" s="15"/>
      <c r="J888" s="15">
        <v>1876</v>
      </c>
      <c r="K888" s="15">
        <f t="shared" si="177"/>
        <v>0</v>
      </c>
      <c r="L888" s="15" t="str">
        <f t="shared" si="167"/>
        <v/>
      </c>
      <c r="M888" s="15">
        <f t="shared" si="168"/>
        <v>2159</v>
      </c>
      <c r="N888" s="15">
        <f t="shared" si="169"/>
        <v>1876</v>
      </c>
      <c r="O888" s="15" t="str">
        <f t="shared" si="170"/>
        <v/>
      </c>
      <c r="P888" s="15" t="str">
        <f t="shared" si="171"/>
        <v/>
      </c>
      <c r="Q888" s="15" t="s">
        <v>47</v>
      </c>
      <c r="R888" s="16" t="str">
        <f t="shared" si="172"/>
        <v/>
      </c>
      <c r="S888" s="15" t="str">
        <f t="shared" si="173"/>
        <v/>
      </c>
      <c r="T888" s="15" t="str">
        <f t="shared" si="174"/>
        <v/>
      </c>
      <c r="U888" s="15" t="str">
        <f t="shared" si="175"/>
        <v/>
      </c>
      <c r="V888" s="15" t="str">
        <f t="shared" si="176"/>
        <v/>
      </c>
      <c r="W888" s="17">
        <f>IF($T888="",1000000000000000,$T888)</f>
        <v>1000000000000000</v>
      </c>
      <c r="XFB888" s="5"/>
      <c r="XFC888" s="3"/>
    </row>
    <row r="889" spans="1:23 16382:16383" s="4" customFormat="1" ht="28.5" customHeight="1">
      <c r="A889" s="14" t="str">
        <f t="shared" si="166"/>
        <v/>
      </c>
      <c r="B889" s="14" t="s">
        <v>10</v>
      </c>
      <c r="C889" s="14" t="s">
        <v>1758</v>
      </c>
      <c r="D889" s="14" t="s">
        <v>51</v>
      </c>
      <c r="E889" s="14" t="s">
        <v>26</v>
      </c>
      <c r="F889" s="14" t="s">
        <v>1759</v>
      </c>
      <c r="G889" s="15"/>
      <c r="H889" s="15">
        <v>2079</v>
      </c>
      <c r="I889" s="15"/>
      <c r="J889" s="15">
        <v>1829</v>
      </c>
      <c r="K889" s="15">
        <f t="shared" si="177"/>
        <v>0</v>
      </c>
      <c r="L889" s="15" t="str">
        <f t="shared" si="167"/>
        <v/>
      </c>
      <c r="M889" s="15">
        <f t="shared" si="168"/>
        <v>2079</v>
      </c>
      <c r="N889" s="15">
        <f t="shared" si="169"/>
        <v>1829</v>
      </c>
      <c r="O889" s="15" t="str">
        <f t="shared" si="170"/>
        <v/>
      </c>
      <c r="P889" s="15" t="str">
        <f t="shared" si="171"/>
        <v/>
      </c>
      <c r="Q889" s="15"/>
      <c r="R889" s="16" t="str">
        <f t="shared" si="172"/>
        <v/>
      </c>
      <c r="S889" s="15" t="str">
        <f t="shared" si="173"/>
        <v/>
      </c>
      <c r="T889" s="15" t="str">
        <f t="shared" si="174"/>
        <v/>
      </c>
      <c r="U889" s="15" t="str">
        <f t="shared" si="175"/>
        <v/>
      </c>
      <c r="V889" s="15" t="str">
        <f t="shared" si="176"/>
        <v/>
      </c>
      <c r="W889" s="17">
        <f>IF($T889="",1000000000000000,$T889)</f>
        <v>1000000000000000</v>
      </c>
      <c r="XFB889" s="5"/>
      <c r="XFC889" s="3"/>
    </row>
    <row r="890" spans="1:23 16382:16383" s="4" customFormat="1" ht="28.5" customHeight="1">
      <c r="A890" s="14" t="str">
        <f t="shared" si="166"/>
        <v/>
      </c>
      <c r="B890" s="14" t="s">
        <v>10</v>
      </c>
      <c r="C890" s="14" t="s">
        <v>1760</v>
      </c>
      <c r="D890" s="14" t="s">
        <v>389</v>
      </c>
      <c r="E890" s="14" t="s">
        <v>63</v>
      </c>
      <c r="F890" s="14" t="s">
        <v>1761</v>
      </c>
      <c r="G890" s="15"/>
      <c r="H890" s="15"/>
      <c r="I890" s="15"/>
      <c r="J890" s="15">
        <v>1998</v>
      </c>
      <c r="K890" s="15">
        <f t="shared" si="177"/>
        <v>0</v>
      </c>
      <c r="L890" s="15" t="str">
        <f t="shared" si="167"/>
        <v/>
      </c>
      <c r="M890" s="15" t="str">
        <f t="shared" si="168"/>
        <v/>
      </c>
      <c r="N890" s="15">
        <f t="shared" si="169"/>
        <v>1998</v>
      </c>
      <c r="O890" s="15" t="str">
        <f t="shared" si="170"/>
        <v/>
      </c>
      <c r="P890" s="15" t="str">
        <f t="shared" si="171"/>
        <v/>
      </c>
      <c r="Q890" s="15"/>
      <c r="R890" s="16" t="str">
        <f t="shared" si="172"/>
        <v/>
      </c>
      <c r="S890" s="15" t="str">
        <f t="shared" si="173"/>
        <v/>
      </c>
      <c r="T890" s="15" t="str">
        <f t="shared" si="174"/>
        <v/>
      </c>
      <c r="U890" s="15" t="str">
        <f t="shared" si="175"/>
        <v/>
      </c>
      <c r="V890" s="15" t="str">
        <f t="shared" si="176"/>
        <v/>
      </c>
      <c r="W890" s="17">
        <f>IF($T890="",1000000000000000,$T890)</f>
        <v>1000000000000000</v>
      </c>
      <c r="XFB890" s="5"/>
      <c r="XFC890" s="3"/>
    </row>
    <row r="891" spans="1:23 16382:16383" s="5" customFormat="1" ht="13.5" customHeight="1">
      <c r="F891" s="19"/>
      <c r="XFC891" s="3"/>
    </row>
    <row r="892" spans="1:23 16382:16383" s="5" customFormat="1" ht="13.5" customHeight="1">
      <c r="F892" s="19"/>
      <c r="XFC892" s="3"/>
    </row>
  </sheetData>
  <autoFilter ref="A14:W894">
    <sortState ref="A15:W892">
      <sortCondition ref="A14:A894"/>
    </sortState>
  </autoFilter>
  <mergeCells count="3">
    <mergeCell ref="A1:G1"/>
    <mergeCell ref="A2:T2"/>
    <mergeCell ref="A3:B3"/>
  </mergeCells>
  <phoneticPr fontId="27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883"/>
  <sheetViews>
    <sheetView zoomScaleNormal="100" workbookViewId="0">
      <selection sqref="A1:M1"/>
    </sheetView>
  </sheetViews>
  <sheetFormatPr defaultColWidth="8.796875" defaultRowHeight="17.399999999999999"/>
  <cols>
    <col min="1" max="1" width="8" style="2" customWidth="1"/>
    <col min="2" max="2" width="28.296875" style="2" customWidth="1"/>
    <col min="3" max="3" width="42.3984375" style="2" customWidth="1"/>
    <col min="4" max="6" width="14.3984375" style="2" customWidth="1"/>
    <col min="7" max="7" width="10.3984375" style="2" customWidth="1"/>
    <col min="8" max="9" width="14.3984375" style="2" customWidth="1"/>
    <col min="10" max="10" width="10.3984375" style="2" customWidth="1"/>
    <col min="11" max="12" width="12" style="2" customWidth="1"/>
    <col min="13" max="13" width="8.296875" style="2" customWidth="1"/>
  </cols>
  <sheetData>
    <row r="1" spans="1:13" s="19" customFormat="1" ht="21.75" customHeight="1">
      <c r="A1" s="28" t="s">
        <v>1762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</row>
    <row r="2" spans="1:13" s="19" customFormat="1" ht="21" customHeight="1">
      <c r="A2" s="21" t="s">
        <v>1775</v>
      </c>
    </row>
    <row r="3" spans="1:13" s="19" customFormat="1" ht="27.75" customHeight="1">
      <c r="A3" s="7" t="s">
        <v>23</v>
      </c>
      <c r="B3" s="7" t="s">
        <v>24</v>
      </c>
      <c r="C3" s="7" t="s">
        <v>27</v>
      </c>
      <c r="D3" s="7" t="s">
        <v>1763</v>
      </c>
      <c r="E3" s="7" t="s">
        <v>1764</v>
      </c>
      <c r="F3" s="7" t="s">
        <v>1765</v>
      </c>
      <c r="G3" s="7" t="s">
        <v>1766</v>
      </c>
      <c r="H3" s="7" t="s">
        <v>1767</v>
      </c>
      <c r="I3" s="7" t="s">
        <v>1768</v>
      </c>
      <c r="J3" s="7" t="s">
        <v>1769</v>
      </c>
      <c r="K3" s="7" t="s">
        <v>1770</v>
      </c>
      <c r="L3" s="7" t="s">
        <v>1771</v>
      </c>
      <c r="M3" s="7" t="s">
        <v>1772</v>
      </c>
    </row>
    <row r="4" spans="1:13" s="19" customFormat="1" ht="25.5" customHeight="1">
      <c r="A4" s="22"/>
      <c r="B4" s="23"/>
      <c r="C4" s="23"/>
      <c r="D4" s="23"/>
      <c r="E4" s="24"/>
      <c r="F4" s="24"/>
      <c r="G4" s="24"/>
      <c r="H4" s="24"/>
      <c r="I4" s="24"/>
      <c r="J4" s="24"/>
      <c r="K4" s="24"/>
      <c r="L4" s="24"/>
      <c r="M4" s="24"/>
    </row>
    <row r="5" spans="1:13" s="19" customFormat="1" ht="25.5" customHeight="1">
      <c r="A5" s="22"/>
      <c r="B5" s="23"/>
      <c r="C5" s="23"/>
      <c r="D5" s="23"/>
      <c r="E5" s="24"/>
      <c r="F5" s="24"/>
      <c r="G5" s="24"/>
      <c r="H5" s="24"/>
      <c r="I5" s="24"/>
      <c r="J5" s="24"/>
      <c r="K5" s="24"/>
      <c r="L5" s="24"/>
      <c r="M5" s="24"/>
    </row>
    <row r="6" spans="1:13" s="19" customFormat="1" ht="25.5" customHeight="1">
      <c r="A6" s="22"/>
      <c r="B6" s="23"/>
      <c r="C6" s="23"/>
      <c r="D6" s="23"/>
      <c r="E6" s="24"/>
      <c r="F6" s="24"/>
      <c r="G6" s="24"/>
      <c r="H6" s="24"/>
      <c r="I6" s="24"/>
      <c r="J6" s="24"/>
      <c r="K6" s="24"/>
      <c r="L6" s="24"/>
      <c r="M6" s="24"/>
    </row>
    <row r="7" spans="1:13" s="19" customFormat="1" ht="25.5" customHeight="1">
      <c r="A7" s="22"/>
      <c r="B7" s="23"/>
      <c r="C7" s="23"/>
      <c r="D7" s="23"/>
      <c r="E7" s="24"/>
      <c r="F7" s="24"/>
      <c r="G7" s="24"/>
      <c r="H7" s="24"/>
      <c r="I7" s="24"/>
      <c r="J7" s="24"/>
      <c r="K7" s="24"/>
      <c r="L7" s="24"/>
      <c r="M7" s="24"/>
    </row>
    <row r="8" spans="1:13" s="19" customFormat="1" ht="25.5" customHeight="1">
      <c r="A8" s="22"/>
      <c r="B8" s="23"/>
      <c r="C8" s="23"/>
      <c r="D8" s="23"/>
      <c r="E8" s="24"/>
      <c r="F8" s="24"/>
      <c r="G8" s="24"/>
      <c r="H8" s="24"/>
      <c r="I8" s="24"/>
      <c r="J8" s="24"/>
      <c r="K8" s="24"/>
      <c r="L8" s="24"/>
      <c r="M8" s="24"/>
    </row>
    <row r="9" spans="1:13" s="19" customFormat="1" ht="25.5" customHeight="1">
      <c r="A9" s="22"/>
      <c r="B9" s="23"/>
      <c r="C9" s="23"/>
      <c r="D9" s="23"/>
      <c r="E9" s="24"/>
      <c r="F9" s="24"/>
      <c r="G9" s="24"/>
      <c r="H9" s="24"/>
      <c r="I9" s="24"/>
      <c r="J9" s="24"/>
      <c r="K9" s="24"/>
      <c r="L9" s="24"/>
      <c r="M9" s="24"/>
    </row>
    <row r="10" spans="1:13" s="19" customFormat="1" ht="25.5" customHeight="1">
      <c r="A10" s="22"/>
      <c r="B10" s="23"/>
      <c r="C10" s="23"/>
      <c r="D10" s="23"/>
      <c r="E10" s="24"/>
      <c r="F10" s="24"/>
      <c r="G10" s="24"/>
      <c r="H10" s="24"/>
      <c r="I10" s="24"/>
      <c r="J10" s="24"/>
      <c r="K10" s="24"/>
      <c r="L10" s="24"/>
      <c r="M10" s="24"/>
    </row>
    <row r="11" spans="1:13" s="19" customFormat="1" ht="25.5" customHeight="1">
      <c r="A11" s="22"/>
      <c r="B11" s="23"/>
      <c r="C11" s="23"/>
      <c r="D11" s="23"/>
      <c r="E11" s="24"/>
      <c r="F11" s="24"/>
      <c r="G11" s="24"/>
      <c r="H11" s="24"/>
      <c r="I11" s="24"/>
      <c r="J11" s="24"/>
      <c r="K11" s="24"/>
      <c r="L11" s="24"/>
      <c r="M11" s="24"/>
    </row>
    <row r="12" spans="1:13" s="19" customFormat="1" ht="25.5" customHeight="1">
      <c r="A12" s="22"/>
      <c r="B12" s="23"/>
      <c r="C12" s="23"/>
      <c r="D12" s="23"/>
      <c r="E12" s="24"/>
      <c r="F12" s="24"/>
      <c r="G12" s="24"/>
      <c r="H12" s="24"/>
      <c r="I12" s="24"/>
      <c r="J12" s="24"/>
      <c r="K12" s="24"/>
      <c r="L12" s="24"/>
      <c r="M12" s="24"/>
    </row>
    <row r="13" spans="1:13" s="19" customFormat="1" ht="25.5" customHeight="1">
      <c r="A13" s="22"/>
      <c r="B13" s="23"/>
      <c r="C13" s="23"/>
      <c r="D13" s="23"/>
      <c r="E13" s="24"/>
      <c r="F13" s="24"/>
      <c r="G13" s="24"/>
      <c r="H13" s="24"/>
      <c r="I13" s="24"/>
      <c r="J13" s="24"/>
      <c r="K13" s="24"/>
      <c r="L13" s="24"/>
      <c r="M13" s="24"/>
    </row>
    <row r="14" spans="1:13" s="19" customFormat="1" ht="25.5" customHeight="1">
      <c r="A14" s="22"/>
      <c r="B14" s="23"/>
      <c r="C14" s="23"/>
      <c r="D14" s="23"/>
      <c r="E14" s="24"/>
      <c r="F14" s="24"/>
      <c r="G14" s="24"/>
      <c r="H14" s="24"/>
      <c r="I14" s="24"/>
      <c r="J14" s="24"/>
      <c r="K14" s="24"/>
      <c r="L14" s="24"/>
      <c r="M14" s="24"/>
    </row>
    <row r="15" spans="1:13" s="19" customFormat="1" ht="25.5" customHeight="1">
      <c r="A15" s="22"/>
      <c r="B15" s="23"/>
      <c r="C15" s="23"/>
      <c r="D15" s="23"/>
      <c r="E15" s="24"/>
      <c r="F15" s="24"/>
      <c r="G15" s="24"/>
      <c r="H15" s="24"/>
      <c r="I15" s="24"/>
      <c r="J15" s="24"/>
      <c r="K15" s="24"/>
      <c r="L15" s="24"/>
      <c r="M15" s="24"/>
    </row>
    <row r="16" spans="1:13" s="19" customFormat="1" ht="25.5" customHeight="1">
      <c r="A16" s="22"/>
      <c r="B16" s="23"/>
      <c r="C16" s="23"/>
      <c r="D16" s="23"/>
      <c r="E16" s="24"/>
      <c r="F16" s="24"/>
      <c r="G16" s="24"/>
      <c r="H16" s="24"/>
      <c r="I16" s="24"/>
      <c r="J16" s="24"/>
      <c r="K16" s="24"/>
      <c r="L16" s="24"/>
      <c r="M16" s="24"/>
    </row>
    <row r="17" spans="1:13" s="19" customFormat="1" ht="25.5" customHeight="1">
      <c r="A17" s="22"/>
      <c r="B17" s="23"/>
      <c r="C17" s="23"/>
      <c r="D17" s="23"/>
      <c r="E17" s="24"/>
      <c r="F17" s="24"/>
      <c r="G17" s="24"/>
      <c r="H17" s="24"/>
      <c r="I17" s="24"/>
      <c r="J17" s="24"/>
      <c r="K17" s="24"/>
      <c r="L17" s="24"/>
      <c r="M17" s="24"/>
    </row>
    <row r="18" spans="1:13" s="19" customFormat="1" ht="25.5" customHeight="1">
      <c r="A18" s="22"/>
      <c r="B18" s="23"/>
      <c r="C18" s="23"/>
      <c r="D18" s="23"/>
      <c r="E18" s="24"/>
      <c r="F18" s="24"/>
      <c r="G18" s="24"/>
      <c r="H18" s="24"/>
      <c r="I18" s="24"/>
      <c r="J18" s="24"/>
      <c r="K18" s="24"/>
      <c r="L18" s="24"/>
      <c r="M18" s="24"/>
    </row>
    <row r="19" spans="1:13" s="19" customFormat="1" ht="25.5" customHeight="1">
      <c r="A19" s="22"/>
      <c r="B19" s="23"/>
      <c r="C19" s="23"/>
      <c r="D19" s="23"/>
      <c r="E19" s="24"/>
      <c r="F19" s="24"/>
      <c r="G19" s="24"/>
      <c r="H19" s="24"/>
      <c r="I19" s="24"/>
      <c r="J19" s="24"/>
      <c r="K19" s="24"/>
      <c r="L19" s="24"/>
      <c r="M19" s="24"/>
    </row>
    <row r="20" spans="1:13" s="19" customFormat="1" ht="25.5" customHeight="1">
      <c r="A20" s="22"/>
      <c r="B20" s="23"/>
      <c r="C20" s="23"/>
      <c r="D20" s="23"/>
      <c r="E20" s="24"/>
      <c r="F20" s="24"/>
      <c r="G20" s="24"/>
      <c r="H20" s="24"/>
      <c r="I20" s="24"/>
      <c r="J20" s="24"/>
      <c r="K20" s="24"/>
      <c r="L20" s="24"/>
      <c r="M20" s="24"/>
    </row>
    <row r="21" spans="1:13" s="19" customFormat="1" ht="25.5" customHeight="1">
      <c r="A21" s="22"/>
      <c r="B21" s="23"/>
      <c r="C21" s="23"/>
      <c r="D21" s="23"/>
      <c r="E21" s="24"/>
      <c r="F21" s="24"/>
      <c r="G21" s="24"/>
      <c r="H21" s="24"/>
      <c r="I21" s="24"/>
      <c r="J21" s="24"/>
      <c r="K21" s="24"/>
      <c r="L21" s="24"/>
      <c r="M21" s="24"/>
    </row>
    <row r="22" spans="1:13" s="19" customFormat="1" ht="25.5" customHeight="1">
      <c r="A22" s="22"/>
      <c r="B22" s="23"/>
      <c r="C22" s="23"/>
      <c r="D22" s="23"/>
      <c r="E22" s="24"/>
      <c r="F22" s="24"/>
      <c r="G22" s="24"/>
      <c r="H22" s="24"/>
      <c r="I22" s="24"/>
      <c r="J22" s="24"/>
      <c r="K22" s="24"/>
      <c r="L22" s="24"/>
      <c r="M22" s="24"/>
    </row>
    <row r="23" spans="1:13" s="19" customFormat="1" ht="25.5" customHeight="1">
      <c r="A23" s="22"/>
      <c r="B23" s="23"/>
      <c r="C23" s="23"/>
      <c r="D23" s="23"/>
      <c r="E23" s="24"/>
      <c r="F23" s="24"/>
      <c r="G23" s="24"/>
      <c r="H23" s="24"/>
      <c r="I23" s="24"/>
      <c r="J23" s="24"/>
      <c r="K23" s="24"/>
      <c r="L23" s="24"/>
      <c r="M23" s="24"/>
    </row>
    <row r="24" spans="1:13" s="19" customFormat="1" ht="25.5" customHeight="1">
      <c r="A24" s="22"/>
      <c r="B24" s="23"/>
      <c r="C24" s="23"/>
      <c r="D24" s="23"/>
      <c r="E24" s="24"/>
      <c r="F24" s="24"/>
      <c r="G24" s="24"/>
      <c r="H24" s="24"/>
      <c r="I24" s="24"/>
      <c r="J24" s="24"/>
      <c r="K24" s="24"/>
      <c r="L24" s="24"/>
      <c r="M24" s="24"/>
    </row>
    <row r="25" spans="1:13" s="19" customFormat="1" ht="25.5" customHeight="1">
      <c r="A25" s="22"/>
      <c r="B25" s="23"/>
      <c r="C25" s="23"/>
      <c r="D25" s="23"/>
      <c r="E25" s="24"/>
      <c r="F25" s="24"/>
      <c r="G25" s="24"/>
      <c r="H25" s="24"/>
      <c r="I25" s="24"/>
      <c r="J25" s="24"/>
      <c r="K25" s="24"/>
      <c r="L25" s="24"/>
      <c r="M25" s="24"/>
    </row>
    <row r="26" spans="1:13" s="19" customFormat="1" ht="25.5" customHeight="1">
      <c r="A26" s="22"/>
      <c r="B26" s="23"/>
      <c r="C26" s="23"/>
      <c r="D26" s="23"/>
      <c r="E26" s="24"/>
      <c r="F26" s="24"/>
      <c r="G26" s="24"/>
      <c r="H26" s="24"/>
      <c r="I26" s="24"/>
      <c r="J26" s="24"/>
      <c r="K26" s="24"/>
      <c r="L26" s="24"/>
      <c r="M26" s="24"/>
    </row>
    <row r="27" spans="1:13" s="19" customFormat="1" ht="25.5" customHeight="1">
      <c r="A27" s="22"/>
      <c r="B27" s="23"/>
      <c r="C27" s="23"/>
      <c r="D27" s="23"/>
      <c r="E27" s="24"/>
      <c r="F27" s="24"/>
      <c r="G27" s="24"/>
      <c r="H27" s="24"/>
      <c r="I27" s="24"/>
      <c r="J27" s="24"/>
      <c r="K27" s="24"/>
      <c r="L27" s="24"/>
      <c r="M27" s="24"/>
    </row>
    <row r="28" spans="1:13" s="19" customFormat="1" ht="25.5" customHeight="1">
      <c r="A28" s="22"/>
      <c r="B28" s="23"/>
      <c r="C28" s="23"/>
      <c r="D28" s="23"/>
      <c r="E28" s="24"/>
      <c r="F28" s="24"/>
      <c r="G28" s="24"/>
      <c r="H28" s="24"/>
      <c r="I28" s="24"/>
      <c r="J28" s="24"/>
      <c r="K28" s="24"/>
      <c r="L28" s="24"/>
      <c r="M28" s="24"/>
    </row>
    <row r="29" spans="1:13" s="19" customFormat="1" ht="25.5" customHeight="1">
      <c r="A29" s="22"/>
      <c r="B29" s="23"/>
      <c r="C29" s="23"/>
      <c r="D29" s="23"/>
      <c r="E29" s="24"/>
      <c r="F29" s="24"/>
      <c r="G29" s="24"/>
      <c r="H29" s="24"/>
      <c r="I29" s="24"/>
      <c r="J29" s="24"/>
      <c r="K29" s="24"/>
      <c r="L29" s="24"/>
      <c r="M29" s="24"/>
    </row>
    <row r="30" spans="1:13" s="19" customFormat="1" ht="25.5" customHeight="1">
      <c r="A30" s="22"/>
      <c r="B30" s="23"/>
      <c r="C30" s="23"/>
      <c r="D30" s="23"/>
      <c r="E30" s="24"/>
      <c r="F30" s="24"/>
      <c r="G30" s="24"/>
      <c r="H30" s="24"/>
      <c r="I30" s="24"/>
      <c r="J30" s="24"/>
      <c r="K30" s="24"/>
      <c r="L30" s="24"/>
      <c r="M30" s="24"/>
    </row>
    <row r="31" spans="1:13" s="19" customFormat="1" ht="25.5" customHeight="1">
      <c r="A31" s="22"/>
      <c r="B31" s="23"/>
      <c r="C31" s="23"/>
      <c r="D31" s="23"/>
      <c r="E31" s="24"/>
      <c r="F31" s="24"/>
      <c r="G31" s="24"/>
      <c r="H31" s="24"/>
      <c r="I31" s="24"/>
      <c r="J31" s="24"/>
      <c r="K31" s="24"/>
      <c r="L31" s="24"/>
      <c r="M31" s="24"/>
    </row>
    <row r="32" spans="1:13" s="19" customFormat="1" ht="25.5" customHeight="1">
      <c r="A32" s="22"/>
      <c r="B32" s="23"/>
      <c r="C32" s="23"/>
      <c r="D32" s="23"/>
      <c r="E32" s="24"/>
      <c r="F32" s="24"/>
      <c r="G32" s="24"/>
      <c r="H32" s="24"/>
      <c r="I32" s="24"/>
      <c r="J32" s="24"/>
      <c r="K32" s="24"/>
      <c r="L32" s="24"/>
      <c r="M32" s="24"/>
    </row>
    <row r="33" spans="1:13" s="19" customFormat="1" ht="25.5" customHeight="1">
      <c r="A33" s="22"/>
      <c r="B33" s="23"/>
      <c r="C33" s="23"/>
      <c r="D33" s="23"/>
      <c r="E33" s="24"/>
      <c r="F33" s="24"/>
      <c r="G33" s="24"/>
      <c r="H33" s="24"/>
      <c r="I33" s="24"/>
      <c r="J33" s="24"/>
      <c r="K33" s="24"/>
      <c r="L33" s="24"/>
      <c r="M33" s="24"/>
    </row>
    <row r="34" spans="1:13" s="19" customFormat="1" ht="25.5" customHeight="1">
      <c r="A34" s="22"/>
      <c r="B34" s="23"/>
      <c r="C34" s="23"/>
      <c r="D34" s="23"/>
      <c r="E34" s="24"/>
      <c r="F34" s="24"/>
      <c r="G34" s="24"/>
      <c r="H34" s="24"/>
      <c r="I34" s="24"/>
      <c r="J34" s="24"/>
      <c r="K34" s="24"/>
      <c r="L34" s="24"/>
      <c r="M34" s="24"/>
    </row>
    <row r="35" spans="1:13" s="19" customFormat="1" ht="25.5" customHeight="1">
      <c r="A35" s="22"/>
      <c r="B35" s="23"/>
      <c r="C35" s="23"/>
      <c r="D35" s="23"/>
      <c r="E35" s="24"/>
      <c r="F35" s="24"/>
      <c r="G35" s="24"/>
      <c r="H35" s="24"/>
      <c r="I35" s="24"/>
      <c r="J35" s="24"/>
      <c r="K35" s="24"/>
      <c r="L35" s="24"/>
      <c r="M35" s="24"/>
    </row>
    <row r="36" spans="1:13" s="19" customFormat="1" ht="25.5" customHeight="1">
      <c r="A36" s="22"/>
      <c r="B36" s="23"/>
      <c r="C36" s="23"/>
      <c r="D36" s="23"/>
      <c r="E36" s="24"/>
      <c r="F36" s="24"/>
      <c r="G36" s="24"/>
      <c r="H36" s="24"/>
      <c r="I36" s="24"/>
      <c r="J36" s="24"/>
      <c r="K36" s="24"/>
      <c r="L36" s="24"/>
      <c r="M36" s="24"/>
    </row>
    <row r="37" spans="1:13" s="19" customFormat="1" ht="25.5" customHeight="1">
      <c r="A37" s="22"/>
      <c r="B37" s="23"/>
      <c r="C37" s="23"/>
      <c r="D37" s="23"/>
      <c r="E37" s="24"/>
      <c r="F37" s="24"/>
      <c r="G37" s="24"/>
      <c r="H37" s="24"/>
      <c r="I37" s="24"/>
      <c r="J37" s="24"/>
      <c r="K37" s="24"/>
      <c r="L37" s="24"/>
      <c r="M37" s="24"/>
    </row>
    <row r="38" spans="1:13" s="19" customFormat="1" ht="25.5" customHeight="1">
      <c r="A38" s="22"/>
      <c r="B38" s="23"/>
      <c r="C38" s="23"/>
      <c r="D38" s="23"/>
      <c r="E38" s="24"/>
      <c r="F38" s="24"/>
      <c r="G38" s="24"/>
      <c r="H38" s="24"/>
      <c r="I38" s="24"/>
      <c r="J38" s="24"/>
      <c r="K38" s="24"/>
      <c r="L38" s="24"/>
      <c r="M38" s="24"/>
    </row>
    <row r="39" spans="1:13" s="19" customFormat="1" ht="25.5" customHeight="1">
      <c r="A39" s="22"/>
      <c r="B39" s="23"/>
      <c r="C39" s="23"/>
      <c r="D39" s="23"/>
      <c r="E39" s="24"/>
      <c r="F39" s="24"/>
      <c r="G39" s="24"/>
      <c r="H39" s="24"/>
      <c r="I39" s="24"/>
      <c r="J39" s="24"/>
      <c r="K39" s="24"/>
      <c r="L39" s="24"/>
      <c r="M39" s="24"/>
    </row>
    <row r="40" spans="1:13" s="19" customFormat="1" ht="25.5" customHeight="1">
      <c r="A40" s="22"/>
      <c r="B40" s="23"/>
      <c r="C40" s="23"/>
      <c r="D40" s="23"/>
      <c r="E40" s="24"/>
      <c r="F40" s="24"/>
      <c r="G40" s="24"/>
      <c r="H40" s="24"/>
      <c r="I40" s="24"/>
      <c r="J40" s="24"/>
      <c r="K40" s="24"/>
      <c r="L40" s="24"/>
      <c r="M40" s="24"/>
    </row>
    <row r="41" spans="1:13" s="19" customFormat="1" ht="25.5" customHeight="1">
      <c r="A41" s="22"/>
      <c r="B41" s="23"/>
      <c r="C41" s="23"/>
      <c r="D41" s="23"/>
      <c r="E41" s="24"/>
      <c r="F41" s="24"/>
      <c r="G41" s="24"/>
      <c r="H41" s="24"/>
      <c r="I41" s="24"/>
      <c r="J41" s="24"/>
      <c r="K41" s="24"/>
      <c r="L41" s="24"/>
      <c r="M41" s="24"/>
    </row>
    <row r="42" spans="1:13" s="19" customFormat="1" ht="25.5" customHeight="1">
      <c r="A42" s="22"/>
      <c r="B42" s="23"/>
      <c r="C42" s="23"/>
      <c r="D42" s="23"/>
      <c r="E42" s="24"/>
      <c r="F42" s="24"/>
      <c r="G42" s="24"/>
      <c r="H42" s="24"/>
      <c r="I42" s="24"/>
      <c r="J42" s="24"/>
      <c r="K42" s="24"/>
      <c r="L42" s="24"/>
      <c r="M42" s="24"/>
    </row>
    <row r="43" spans="1:13" s="19" customFormat="1" ht="25.5" customHeight="1">
      <c r="A43" s="22"/>
      <c r="B43" s="23"/>
      <c r="C43" s="23"/>
      <c r="D43" s="23"/>
      <c r="E43" s="24"/>
      <c r="F43" s="24"/>
      <c r="G43" s="24"/>
      <c r="H43" s="24"/>
      <c r="I43" s="24"/>
      <c r="J43" s="24"/>
      <c r="K43" s="24"/>
      <c r="L43" s="24"/>
      <c r="M43" s="24"/>
    </row>
    <row r="44" spans="1:13" s="19" customFormat="1" ht="25.5" customHeight="1">
      <c r="A44" s="22"/>
      <c r="B44" s="23"/>
      <c r="C44" s="23"/>
      <c r="D44" s="23"/>
      <c r="E44" s="24"/>
      <c r="F44" s="24"/>
      <c r="G44" s="24"/>
      <c r="H44" s="24"/>
      <c r="I44" s="24"/>
      <c r="J44" s="24"/>
      <c r="K44" s="24"/>
      <c r="L44" s="24"/>
      <c r="M44" s="24"/>
    </row>
    <row r="45" spans="1:13" s="19" customFormat="1" ht="25.5" customHeight="1">
      <c r="A45" s="22"/>
      <c r="B45" s="23"/>
      <c r="C45" s="23"/>
      <c r="D45" s="23"/>
      <c r="E45" s="24"/>
      <c r="F45" s="24"/>
      <c r="G45" s="24"/>
      <c r="H45" s="24"/>
      <c r="I45" s="24"/>
      <c r="J45" s="24"/>
      <c r="K45" s="24"/>
      <c r="L45" s="24"/>
      <c r="M45" s="24"/>
    </row>
    <row r="46" spans="1:13" s="19" customFormat="1" ht="25.5" customHeight="1">
      <c r="A46" s="22"/>
      <c r="B46" s="23"/>
      <c r="C46" s="23"/>
      <c r="D46" s="23"/>
      <c r="E46" s="24"/>
      <c r="F46" s="24"/>
      <c r="G46" s="24"/>
      <c r="H46" s="24"/>
      <c r="I46" s="24"/>
      <c r="J46" s="24"/>
      <c r="K46" s="24"/>
      <c r="L46" s="24"/>
      <c r="M46" s="24"/>
    </row>
    <row r="47" spans="1:13" s="19" customFormat="1" ht="25.5" customHeight="1">
      <c r="A47" s="22"/>
      <c r="B47" s="23"/>
      <c r="C47" s="23"/>
      <c r="D47" s="23"/>
      <c r="E47" s="24"/>
      <c r="F47" s="24"/>
      <c r="G47" s="24"/>
      <c r="H47" s="24"/>
      <c r="I47" s="24"/>
      <c r="J47" s="24"/>
      <c r="K47" s="24"/>
      <c r="L47" s="24"/>
      <c r="M47" s="24"/>
    </row>
    <row r="48" spans="1:13" s="19" customFormat="1" ht="25.5" customHeight="1">
      <c r="A48" s="22"/>
      <c r="B48" s="23"/>
      <c r="C48" s="23"/>
      <c r="D48" s="23"/>
      <c r="E48" s="24"/>
      <c r="F48" s="24"/>
      <c r="G48" s="24"/>
      <c r="H48" s="24"/>
      <c r="I48" s="24"/>
      <c r="J48" s="24"/>
      <c r="K48" s="24"/>
      <c r="L48" s="24"/>
      <c r="M48" s="24"/>
    </row>
    <row r="49" spans="1:13" s="19" customFormat="1" ht="25.5" customHeight="1">
      <c r="A49" s="22"/>
      <c r="B49" s="23"/>
      <c r="C49" s="23"/>
      <c r="D49" s="23"/>
      <c r="E49" s="24"/>
      <c r="F49" s="24"/>
      <c r="G49" s="24"/>
      <c r="H49" s="24"/>
      <c r="I49" s="24"/>
      <c r="J49" s="24"/>
      <c r="K49" s="24"/>
      <c r="L49" s="24"/>
      <c r="M49" s="24"/>
    </row>
    <row r="50" spans="1:13" s="19" customFormat="1" ht="25.5" customHeight="1">
      <c r="A50" s="22"/>
      <c r="B50" s="23"/>
      <c r="C50" s="23"/>
      <c r="D50" s="23"/>
      <c r="E50" s="24"/>
      <c r="F50" s="24"/>
      <c r="G50" s="24"/>
      <c r="H50" s="24"/>
      <c r="I50" s="24"/>
      <c r="J50" s="24"/>
      <c r="K50" s="24"/>
      <c r="L50" s="24"/>
      <c r="M50" s="24"/>
    </row>
    <row r="51" spans="1:13" s="19" customFormat="1" ht="25.5" customHeight="1">
      <c r="A51" s="22"/>
      <c r="B51" s="23"/>
      <c r="C51" s="23"/>
      <c r="D51" s="23"/>
      <c r="E51" s="24"/>
      <c r="F51" s="24"/>
      <c r="G51" s="24"/>
      <c r="H51" s="24"/>
      <c r="I51" s="24"/>
      <c r="J51" s="24"/>
      <c r="K51" s="24"/>
      <c r="L51" s="24"/>
      <c r="M51" s="24"/>
    </row>
    <row r="52" spans="1:13" s="19" customFormat="1" ht="25.5" customHeight="1">
      <c r="A52" s="22"/>
      <c r="B52" s="23"/>
      <c r="C52" s="23"/>
      <c r="D52" s="23"/>
      <c r="E52" s="24"/>
      <c r="F52" s="24"/>
      <c r="G52" s="24"/>
      <c r="H52" s="24"/>
      <c r="I52" s="24"/>
      <c r="J52" s="24"/>
      <c r="K52" s="24"/>
      <c r="L52" s="24"/>
      <c r="M52" s="24"/>
    </row>
    <row r="53" spans="1:13" s="19" customFormat="1" ht="25.5" customHeight="1">
      <c r="A53" s="22"/>
      <c r="B53" s="23"/>
      <c r="C53" s="23"/>
      <c r="D53" s="23"/>
      <c r="E53" s="24"/>
      <c r="F53" s="24"/>
      <c r="G53" s="24"/>
      <c r="H53" s="24"/>
      <c r="I53" s="24"/>
      <c r="J53" s="24"/>
      <c r="K53" s="24"/>
      <c r="L53" s="24"/>
      <c r="M53" s="24"/>
    </row>
    <row r="54" spans="1:13" s="19" customFormat="1" ht="25.5" customHeight="1">
      <c r="A54" s="22"/>
      <c r="B54" s="23"/>
      <c r="C54" s="23"/>
      <c r="D54" s="23"/>
      <c r="E54" s="24"/>
      <c r="F54" s="24"/>
      <c r="G54" s="24"/>
      <c r="H54" s="24"/>
      <c r="I54" s="24"/>
      <c r="J54" s="24"/>
      <c r="K54" s="24"/>
      <c r="L54" s="24"/>
      <c r="M54" s="24"/>
    </row>
    <row r="55" spans="1:13" s="19" customFormat="1" ht="25.5" customHeight="1">
      <c r="A55" s="22"/>
      <c r="B55" s="23"/>
      <c r="C55" s="23"/>
      <c r="D55" s="23"/>
      <c r="E55" s="24"/>
      <c r="F55" s="24"/>
      <c r="G55" s="24"/>
      <c r="H55" s="24"/>
      <c r="I55" s="24"/>
      <c r="J55" s="24"/>
      <c r="K55" s="24"/>
      <c r="L55" s="24"/>
      <c r="M55" s="24"/>
    </row>
    <row r="56" spans="1:13" s="19" customFormat="1" ht="25.5" customHeight="1">
      <c r="A56" s="22"/>
      <c r="B56" s="23"/>
      <c r="C56" s="23"/>
      <c r="D56" s="23"/>
      <c r="E56" s="24"/>
      <c r="F56" s="24"/>
      <c r="G56" s="24"/>
      <c r="H56" s="24"/>
      <c r="I56" s="24"/>
      <c r="J56" s="24"/>
      <c r="K56" s="24"/>
      <c r="L56" s="24"/>
      <c r="M56" s="24"/>
    </row>
    <row r="57" spans="1:13" s="19" customFormat="1" ht="25.5" customHeight="1">
      <c r="A57" s="22"/>
      <c r="B57" s="23"/>
      <c r="C57" s="23"/>
      <c r="D57" s="23"/>
      <c r="E57" s="24"/>
      <c r="F57" s="24"/>
      <c r="G57" s="24"/>
      <c r="H57" s="24"/>
      <c r="I57" s="24"/>
      <c r="J57" s="24"/>
      <c r="K57" s="24"/>
      <c r="L57" s="24"/>
      <c r="M57" s="24"/>
    </row>
    <row r="58" spans="1:13" s="19" customFormat="1" ht="25.5" customHeight="1">
      <c r="A58" s="22"/>
      <c r="B58" s="23"/>
      <c r="C58" s="23"/>
      <c r="D58" s="23"/>
      <c r="E58" s="24"/>
      <c r="F58" s="24"/>
      <c r="G58" s="24"/>
      <c r="H58" s="24"/>
      <c r="I58" s="24"/>
      <c r="J58" s="24"/>
      <c r="K58" s="24"/>
      <c r="L58" s="24"/>
      <c r="M58" s="24"/>
    </row>
    <row r="59" spans="1:13" s="19" customFormat="1" ht="25.5" customHeight="1">
      <c r="A59" s="22"/>
      <c r="B59" s="23"/>
      <c r="C59" s="23"/>
      <c r="D59" s="23"/>
      <c r="E59" s="24"/>
      <c r="F59" s="24"/>
      <c r="G59" s="24"/>
      <c r="H59" s="24"/>
      <c r="I59" s="24"/>
      <c r="J59" s="24"/>
      <c r="K59" s="24"/>
      <c r="L59" s="24"/>
      <c r="M59" s="24"/>
    </row>
    <row r="60" spans="1:13" s="19" customFormat="1" ht="25.5" customHeight="1">
      <c r="A60" s="22"/>
      <c r="B60" s="23"/>
      <c r="C60" s="23"/>
      <c r="D60" s="23"/>
      <c r="E60" s="24"/>
      <c r="F60" s="24"/>
      <c r="G60" s="24"/>
      <c r="H60" s="24"/>
      <c r="I60" s="24"/>
      <c r="J60" s="24"/>
      <c r="K60" s="24"/>
      <c r="L60" s="24"/>
      <c r="M60" s="24"/>
    </row>
    <row r="61" spans="1:13" s="19" customFormat="1" ht="25.5" customHeight="1">
      <c r="A61" s="22"/>
      <c r="B61" s="23"/>
      <c r="C61" s="23"/>
      <c r="D61" s="23"/>
      <c r="E61" s="24"/>
      <c r="F61" s="24"/>
      <c r="G61" s="24"/>
      <c r="H61" s="24"/>
      <c r="I61" s="24"/>
      <c r="J61" s="24"/>
      <c r="K61" s="24"/>
      <c r="L61" s="24"/>
      <c r="M61" s="24"/>
    </row>
    <row r="62" spans="1:13" s="19" customFormat="1" ht="25.5" customHeight="1">
      <c r="A62" s="22"/>
      <c r="B62" s="23"/>
      <c r="C62" s="23"/>
      <c r="D62" s="23"/>
      <c r="E62" s="24"/>
      <c r="F62" s="24"/>
      <c r="G62" s="24"/>
      <c r="H62" s="24"/>
      <c r="I62" s="24"/>
      <c r="J62" s="24"/>
      <c r="K62" s="24"/>
      <c r="L62" s="24"/>
      <c r="M62" s="24"/>
    </row>
    <row r="63" spans="1:13" s="19" customFormat="1" ht="25.5" customHeight="1">
      <c r="A63" s="22"/>
      <c r="B63" s="23"/>
      <c r="C63" s="23"/>
      <c r="D63" s="23"/>
      <c r="E63" s="24"/>
      <c r="F63" s="24"/>
      <c r="G63" s="24"/>
      <c r="H63" s="24"/>
      <c r="I63" s="24"/>
      <c r="J63" s="24"/>
      <c r="K63" s="24"/>
      <c r="L63" s="24"/>
      <c r="M63" s="24"/>
    </row>
    <row r="64" spans="1:13" s="19" customFormat="1" ht="25.5" customHeight="1">
      <c r="A64" s="22"/>
      <c r="B64" s="23"/>
      <c r="C64" s="23"/>
      <c r="D64" s="23"/>
      <c r="E64" s="24"/>
      <c r="F64" s="24"/>
      <c r="G64" s="24"/>
      <c r="H64" s="24"/>
      <c r="I64" s="24"/>
      <c r="J64" s="24"/>
      <c r="K64" s="24"/>
      <c r="L64" s="24"/>
      <c r="M64" s="24"/>
    </row>
    <row r="65" spans="1:13" s="19" customFormat="1" ht="25.5" customHeight="1">
      <c r="A65" s="22"/>
      <c r="B65" s="23"/>
      <c r="C65" s="23"/>
      <c r="D65" s="23"/>
      <c r="E65" s="24"/>
      <c r="F65" s="24"/>
      <c r="G65" s="24"/>
      <c r="H65" s="24"/>
      <c r="I65" s="24"/>
      <c r="J65" s="24"/>
      <c r="K65" s="24"/>
      <c r="L65" s="24"/>
      <c r="M65" s="24"/>
    </row>
    <row r="66" spans="1:13" s="19" customFormat="1" ht="25.5" customHeight="1">
      <c r="A66" s="22"/>
      <c r="B66" s="23"/>
      <c r="C66" s="23"/>
      <c r="D66" s="23"/>
      <c r="E66" s="24"/>
      <c r="F66" s="24"/>
      <c r="G66" s="24"/>
      <c r="H66" s="24"/>
      <c r="I66" s="24"/>
      <c r="J66" s="24"/>
      <c r="K66" s="24"/>
      <c r="L66" s="24"/>
      <c r="M66" s="24"/>
    </row>
    <row r="67" spans="1:13" s="19" customFormat="1" ht="25.5" customHeight="1">
      <c r="A67" s="22"/>
      <c r="B67" s="23"/>
      <c r="C67" s="23"/>
      <c r="D67" s="23"/>
      <c r="E67" s="24"/>
      <c r="F67" s="24"/>
      <c r="G67" s="24"/>
      <c r="H67" s="24"/>
      <c r="I67" s="24"/>
      <c r="J67" s="24"/>
      <c r="K67" s="24"/>
      <c r="L67" s="24"/>
      <c r="M67" s="24"/>
    </row>
    <row r="68" spans="1:13" s="19" customFormat="1" ht="25.5" customHeight="1">
      <c r="A68" s="22"/>
      <c r="B68" s="23"/>
      <c r="C68" s="23"/>
      <c r="D68" s="23"/>
      <c r="E68" s="24"/>
      <c r="F68" s="24"/>
      <c r="G68" s="24"/>
      <c r="H68" s="24"/>
      <c r="I68" s="24"/>
      <c r="J68" s="24"/>
      <c r="K68" s="24"/>
      <c r="L68" s="24"/>
      <c r="M68" s="24"/>
    </row>
    <row r="69" spans="1:13" s="19" customFormat="1" ht="25.5" customHeight="1">
      <c r="A69" s="22"/>
      <c r="B69" s="23"/>
      <c r="C69" s="23"/>
      <c r="D69" s="23"/>
      <c r="E69" s="24"/>
      <c r="F69" s="24"/>
      <c r="G69" s="24"/>
      <c r="H69" s="24"/>
      <c r="I69" s="24"/>
      <c r="J69" s="24"/>
      <c r="K69" s="24"/>
      <c r="L69" s="24"/>
      <c r="M69" s="24"/>
    </row>
    <row r="70" spans="1:13" s="19" customFormat="1" ht="25.5" customHeight="1">
      <c r="A70" s="22"/>
      <c r="B70" s="23"/>
      <c r="C70" s="23"/>
      <c r="D70" s="23"/>
      <c r="E70" s="24"/>
      <c r="F70" s="24"/>
      <c r="G70" s="24"/>
      <c r="H70" s="24"/>
      <c r="I70" s="24"/>
      <c r="J70" s="24"/>
      <c r="K70" s="24"/>
      <c r="L70" s="24"/>
      <c r="M70" s="24"/>
    </row>
    <row r="71" spans="1:13" s="19" customFormat="1" ht="25.5" customHeight="1">
      <c r="A71" s="22"/>
      <c r="B71" s="23"/>
      <c r="C71" s="23"/>
      <c r="D71" s="23"/>
      <c r="E71" s="24"/>
      <c r="F71" s="24"/>
      <c r="G71" s="24"/>
      <c r="H71" s="24"/>
      <c r="I71" s="24"/>
      <c r="J71" s="24"/>
      <c r="K71" s="24"/>
      <c r="L71" s="24"/>
      <c r="M71" s="24"/>
    </row>
    <row r="72" spans="1:13" s="19" customFormat="1" ht="25.5" customHeight="1">
      <c r="A72" s="22"/>
      <c r="B72" s="23"/>
      <c r="C72" s="23"/>
      <c r="D72" s="23"/>
      <c r="E72" s="24"/>
      <c r="F72" s="24"/>
      <c r="G72" s="24"/>
      <c r="H72" s="24"/>
      <c r="I72" s="24"/>
      <c r="J72" s="24"/>
      <c r="K72" s="24"/>
      <c r="L72" s="24"/>
      <c r="M72" s="24"/>
    </row>
    <row r="73" spans="1:13" s="19" customFormat="1" ht="25.5" customHeight="1">
      <c r="A73" s="22"/>
      <c r="B73" s="23"/>
      <c r="C73" s="23"/>
      <c r="D73" s="23"/>
      <c r="E73" s="24"/>
      <c r="F73" s="24"/>
      <c r="G73" s="24"/>
      <c r="H73" s="24"/>
      <c r="I73" s="24"/>
      <c r="J73" s="24"/>
      <c r="K73" s="24"/>
      <c r="L73" s="24"/>
      <c r="M73" s="24"/>
    </row>
    <row r="74" spans="1:13" s="19" customFormat="1" ht="25.5" customHeight="1">
      <c r="A74" s="22"/>
      <c r="B74" s="23"/>
      <c r="C74" s="23"/>
      <c r="D74" s="23"/>
      <c r="E74" s="24"/>
      <c r="F74" s="24"/>
      <c r="G74" s="24"/>
      <c r="H74" s="24"/>
      <c r="I74" s="24"/>
      <c r="J74" s="24"/>
      <c r="K74" s="24"/>
      <c r="L74" s="24"/>
      <c r="M74" s="24"/>
    </row>
    <row r="75" spans="1:13" s="19" customFormat="1" ht="25.5" customHeight="1">
      <c r="A75" s="22"/>
      <c r="B75" s="23"/>
      <c r="C75" s="23"/>
      <c r="D75" s="23"/>
      <c r="E75" s="24"/>
      <c r="F75" s="24"/>
      <c r="G75" s="24"/>
      <c r="H75" s="24"/>
      <c r="I75" s="24"/>
      <c r="J75" s="24"/>
      <c r="K75" s="24"/>
      <c r="L75" s="24"/>
      <c r="M75" s="24"/>
    </row>
    <row r="76" spans="1:13" s="19" customFormat="1" ht="25.5" customHeight="1">
      <c r="A76" s="22"/>
      <c r="B76" s="23"/>
      <c r="C76" s="23"/>
      <c r="D76" s="23"/>
      <c r="E76" s="24"/>
      <c r="F76" s="24"/>
      <c r="G76" s="24"/>
      <c r="H76" s="24"/>
      <c r="I76" s="24"/>
      <c r="J76" s="24"/>
      <c r="K76" s="24"/>
      <c r="L76" s="24"/>
      <c r="M76" s="24"/>
    </row>
    <row r="77" spans="1:13" s="19" customFormat="1" ht="25.5" customHeight="1">
      <c r="A77" s="22"/>
      <c r="B77" s="23"/>
      <c r="C77" s="23"/>
      <c r="D77" s="23"/>
      <c r="E77" s="24"/>
      <c r="F77" s="24"/>
      <c r="G77" s="24"/>
      <c r="H77" s="24"/>
      <c r="I77" s="24"/>
      <c r="J77" s="24"/>
      <c r="K77" s="24"/>
      <c r="L77" s="24"/>
      <c r="M77" s="24"/>
    </row>
    <row r="78" spans="1:13" s="19" customFormat="1" ht="25.5" customHeight="1">
      <c r="A78" s="22"/>
      <c r="B78" s="23"/>
      <c r="C78" s="23"/>
      <c r="D78" s="23"/>
      <c r="E78" s="24"/>
      <c r="F78" s="24"/>
      <c r="G78" s="24"/>
      <c r="H78" s="24"/>
      <c r="I78" s="24"/>
      <c r="J78" s="24"/>
      <c r="K78" s="24"/>
      <c r="L78" s="24"/>
      <c r="M78" s="24"/>
    </row>
    <row r="79" spans="1:13" s="19" customFormat="1" ht="25.5" customHeight="1">
      <c r="A79" s="22"/>
      <c r="B79" s="23"/>
      <c r="C79" s="23"/>
      <c r="D79" s="23"/>
      <c r="E79" s="24"/>
      <c r="F79" s="24"/>
      <c r="G79" s="24"/>
      <c r="H79" s="24"/>
      <c r="I79" s="24"/>
      <c r="J79" s="24"/>
      <c r="K79" s="24"/>
      <c r="L79" s="24"/>
      <c r="M79" s="24"/>
    </row>
    <row r="80" spans="1:13" s="19" customFormat="1" ht="25.5" customHeight="1">
      <c r="A80" s="22"/>
      <c r="B80" s="23"/>
      <c r="C80" s="23"/>
      <c r="D80" s="23"/>
      <c r="E80" s="24"/>
      <c r="F80" s="24"/>
      <c r="G80" s="24"/>
      <c r="H80" s="24"/>
      <c r="I80" s="24"/>
      <c r="J80" s="24"/>
      <c r="K80" s="24"/>
      <c r="L80" s="24"/>
      <c r="M80" s="24"/>
    </row>
    <row r="81" spans="1:13" s="19" customFormat="1" ht="25.5" customHeight="1">
      <c r="A81" s="22"/>
      <c r="B81" s="23"/>
      <c r="C81" s="23"/>
      <c r="D81" s="23"/>
      <c r="E81" s="24"/>
      <c r="F81" s="24"/>
      <c r="G81" s="24"/>
      <c r="H81" s="24"/>
      <c r="I81" s="24"/>
      <c r="J81" s="24"/>
      <c r="K81" s="24"/>
      <c r="L81" s="24"/>
      <c r="M81" s="24"/>
    </row>
    <row r="82" spans="1:13" s="19" customFormat="1" ht="25.5" customHeight="1">
      <c r="A82" s="22"/>
      <c r="B82" s="23"/>
      <c r="C82" s="23"/>
      <c r="D82" s="23"/>
      <c r="E82" s="24"/>
      <c r="F82" s="24"/>
      <c r="G82" s="24"/>
      <c r="H82" s="24"/>
      <c r="I82" s="24"/>
      <c r="J82" s="24"/>
      <c r="K82" s="24"/>
      <c r="L82" s="24"/>
      <c r="M82" s="24"/>
    </row>
    <row r="83" spans="1:13" s="19" customFormat="1" ht="25.5" customHeight="1">
      <c r="A83" s="22"/>
      <c r="B83" s="23"/>
      <c r="C83" s="23"/>
      <c r="D83" s="23"/>
      <c r="E83" s="24"/>
      <c r="F83" s="24"/>
      <c r="G83" s="24"/>
      <c r="H83" s="24"/>
      <c r="I83" s="24"/>
      <c r="J83" s="24"/>
      <c r="K83" s="24"/>
      <c r="L83" s="24"/>
      <c r="M83" s="24"/>
    </row>
    <row r="84" spans="1:13" s="19" customFormat="1" ht="25.5" customHeight="1">
      <c r="A84" s="22"/>
      <c r="B84" s="23"/>
      <c r="C84" s="23"/>
      <c r="D84" s="23"/>
      <c r="E84" s="24"/>
      <c r="F84" s="24"/>
      <c r="G84" s="24"/>
      <c r="H84" s="24"/>
      <c r="I84" s="24"/>
      <c r="J84" s="24"/>
      <c r="K84" s="24"/>
      <c r="L84" s="24"/>
      <c r="M84" s="24"/>
    </row>
    <row r="85" spans="1:13" s="19" customFormat="1" ht="25.5" customHeight="1">
      <c r="A85" s="22"/>
      <c r="B85" s="23"/>
      <c r="C85" s="23"/>
      <c r="D85" s="23"/>
      <c r="E85" s="24"/>
      <c r="F85" s="24"/>
      <c r="G85" s="24"/>
      <c r="H85" s="24"/>
      <c r="I85" s="24"/>
      <c r="J85" s="24"/>
      <c r="K85" s="24"/>
      <c r="L85" s="24"/>
      <c r="M85" s="24"/>
    </row>
    <row r="86" spans="1:13" s="19" customFormat="1" ht="25.5" customHeight="1">
      <c r="A86" s="22"/>
      <c r="B86" s="23"/>
      <c r="C86" s="23"/>
      <c r="D86" s="23"/>
      <c r="E86" s="24"/>
      <c r="F86" s="24"/>
      <c r="G86" s="24"/>
      <c r="H86" s="24"/>
      <c r="I86" s="24"/>
      <c r="J86" s="24"/>
      <c r="K86" s="24"/>
      <c r="L86" s="24"/>
      <c r="M86" s="24"/>
    </row>
    <row r="87" spans="1:13" s="19" customFormat="1" ht="25.5" customHeight="1">
      <c r="A87" s="22"/>
      <c r="B87" s="23"/>
      <c r="C87" s="23"/>
      <c r="D87" s="23"/>
      <c r="E87" s="24"/>
      <c r="F87" s="24"/>
      <c r="G87" s="24"/>
      <c r="H87" s="24"/>
      <c r="I87" s="24"/>
      <c r="J87" s="24"/>
      <c r="K87" s="24"/>
      <c r="L87" s="24"/>
      <c r="M87" s="24"/>
    </row>
    <row r="88" spans="1:13" s="19" customFormat="1" ht="25.5" customHeight="1">
      <c r="A88" s="22"/>
      <c r="B88" s="23"/>
      <c r="C88" s="23"/>
      <c r="D88" s="23"/>
      <c r="E88" s="24"/>
      <c r="F88" s="24"/>
      <c r="G88" s="24"/>
      <c r="H88" s="24"/>
      <c r="I88" s="24"/>
      <c r="J88" s="24"/>
      <c r="K88" s="24"/>
      <c r="L88" s="24"/>
      <c r="M88" s="24"/>
    </row>
    <row r="89" spans="1:13" s="19" customFormat="1" ht="25.5" customHeight="1">
      <c r="A89" s="22"/>
      <c r="B89" s="23"/>
      <c r="C89" s="23"/>
      <c r="D89" s="23"/>
      <c r="E89" s="24"/>
      <c r="F89" s="24"/>
      <c r="G89" s="24"/>
      <c r="H89" s="24"/>
      <c r="I89" s="24"/>
      <c r="J89" s="24"/>
      <c r="K89" s="24"/>
      <c r="L89" s="24"/>
      <c r="M89" s="24"/>
    </row>
    <row r="90" spans="1:13" s="19" customFormat="1" ht="25.5" customHeight="1">
      <c r="A90" s="22"/>
      <c r="B90" s="23"/>
      <c r="C90" s="23"/>
      <c r="D90" s="23"/>
      <c r="E90" s="24"/>
      <c r="F90" s="24"/>
      <c r="G90" s="24"/>
      <c r="H90" s="24"/>
      <c r="I90" s="24"/>
      <c r="J90" s="24"/>
      <c r="K90" s="24"/>
      <c r="L90" s="24"/>
      <c r="M90" s="24"/>
    </row>
    <row r="91" spans="1:13" s="19" customFormat="1" ht="25.5" customHeight="1">
      <c r="A91" s="22"/>
      <c r="B91" s="23"/>
      <c r="C91" s="23"/>
      <c r="D91" s="23"/>
      <c r="E91" s="24"/>
      <c r="F91" s="24"/>
      <c r="G91" s="24"/>
      <c r="H91" s="24"/>
      <c r="I91" s="24"/>
      <c r="J91" s="24"/>
      <c r="K91" s="24"/>
      <c r="L91" s="24"/>
      <c r="M91" s="24"/>
    </row>
    <row r="92" spans="1:13" s="19" customFormat="1" ht="25.5" customHeight="1">
      <c r="A92" s="22"/>
      <c r="B92" s="23"/>
      <c r="C92" s="23"/>
      <c r="D92" s="23"/>
      <c r="E92" s="24"/>
      <c r="F92" s="24"/>
      <c r="G92" s="24"/>
      <c r="H92" s="24"/>
      <c r="I92" s="24"/>
      <c r="J92" s="24"/>
      <c r="K92" s="24"/>
      <c r="L92" s="24"/>
      <c r="M92" s="24"/>
    </row>
    <row r="93" spans="1:13" s="19" customFormat="1" ht="25.5" customHeight="1">
      <c r="A93" s="22"/>
      <c r="B93" s="23"/>
      <c r="C93" s="23"/>
      <c r="D93" s="23"/>
      <c r="E93" s="24"/>
      <c r="F93" s="24"/>
      <c r="G93" s="24"/>
      <c r="H93" s="24"/>
      <c r="I93" s="24"/>
      <c r="J93" s="24"/>
      <c r="K93" s="24"/>
      <c r="L93" s="24"/>
      <c r="M93" s="24"/>
    </row>
    <row r="94" spans="1:13" s="19" customFormat="1" ht="25.5" customHeight="1">
      <c r="A94" s="22"/>
      <c r="B94" s="23"/>
      <c r="C94" s="23"/>
      <c r="D94" s="23"/>
      <c r="E94" s="24"/>
      <c r="F94" s="24"/>
      <c r="G94" s="24"/>
      <c r="H94" s="24"/>
      <c r="I94" s="24"/>
      <c r="J94" s="24"/>
      <c r="K94" s="24"/>
      <c r="L94" s="24"/>
      <c r="M94" s="24"/>
    </row>
    <row r="95" spans="1:13" s="19" customFormat="1" ht="25.5" customHeight="1">
      <c r="A95" s="22"/>
      <c r="B95" s="23"/>
      <c r="C95" s="23"/>
      <c r="D95" s="23"/>
      <c r="E95" s="24"/>
      <c r="F95" s="24"/>
      <c r="G95" s="24"/>
      <c r="H95" s="24"/>
      <c r="I95" s="24"/>
      <c r="J95" s="24"/>
      <c r="K95" s="24"/>
      <c r="L95" s="24"/>
      <c r="M95" s="24"/>
    </row>
    <row r="96" spans="1:13" s="19" customFormat="1" ht="25.5" customHeight="1">
      <c r="A96" s="22"/>
      <c r="B96" s="23"/>
      <c r="C96" s="23"/>
      <c r="D96" s="23"/>
      <c r="E96" s="24"/>
      <c r="F96" s="24"/>
      <c r="G96" s="24"/>
      <c r="H96" s="24"/>
      <c r="I96" s="24"/>
      <c r="J96" s="24"/>
      <c r="K96" s="24"/>
      <c r="L96" s="24"/>
      <c r="M96" s="24"/>
    </row>
    <row r="97" spans="1:13" s="19" customFormat="1" ht="25.5" customHeight="1">
      <c r="A97" s="22"/>
      <c r="B97" s="23"/>
      <c r="C97" s="23"/>
      <c r="D97" s="23"/>
      <c r="E97" s="24"/>
      <c r="F97" s="24"/>
      <c r="G97" s="24"/>
      <c r="H97" s="24"/>
      <c r="I97" s="24"/>
      <c r="J97" s="24"/>
      <c r="K97" s="24"/>
      <c r="L97" s="24"/>
      <c r="M97" s="24"/>
    </row>
    <row r="98" spans="1:13" s="19" customFormat="1" ht="25.5" customHeight="1">
      <c r="A98" s="22"/>
      <c r="B98" s="23"/>
      <c r="C98" s="23"/>
      <c r="D98" s="23"/>
      <c r="E98" s="24"/>
      <c r="F98" s="24"/>
      <c r="G98" s="24"/>
      <c r="H98" s="24"/>
      <c r="I98" s="24"/>
      <c r="J98" s="24"/>
      <c r="K98" s="24"/>
      <c r="L98" s="24"/>
      <c r="M98" s="24"/>
    </row>
    <row r="99" spans="1:13" s="19" customFormat="1" ht="25.5" customHeight="1">
      <c r="A99" s="22"/>
      <c r="B99" s="23"/>
      <c r="C99" s="23"/>
      <c r="D99" s="23"/>
      <c r="E99" s="24"/>
      <c r="F99" s="24"/>
      <c r="G99" s="24"/>
      <c r="H99" s="24"/>
      <c r="I99" s="24"/>
      <c r="J99" s="24"/>
      <c r="K99" s="24"/>
      <c r="L99" s="24"/>
      <c r="M99" s="24"/>
    </row>
    <row r="100" spans="1:13" s="19" customFormat="1" ht="25.5" customHeight="1">
      <c r="A100" s="22"/>
      <c r="B100" s="23"/>
      <c r="C100" s="23"/>
      <c r="D100" s="23"/>
      <c r="E100" s="24"/>
      <c r="F100" s="24"/>
      <c r="G100" s="24"/>
      <c r="H100" s="24"/>
      <c r="I100" s="24"/>
      <c r="J100" s="24"/>
      <c r="K100" s="24"/>
      <c r="L100" s="24"/>
      <c r="M100" s="24"/>
    </row>
    <row r="101" spans="1:13" s="19" customFormat="1" ht="25.5" customHeight="1">
      <c r="A101" s="22"/>
      <c r="B101" s="23"/>
      <c r="C101" s="23"/>
      <c r="D101" s="23"/>
      <c r="E101" s="24"/>
      <c r="F101" s="24"/>
      <c r="G101" s="24"/>
      <c r="H101" s="24"/>
      <c r="I101" s="24"/>
      <c r="J101" s="24"/>
      <c r="K101" s="24"/>
      <c r="L101" s="24"/>
      <c r="M101" s="24"/>
    </row>
    <row r="102" spans="1:13" s="19" customFormat="1" ht="25.5" customHeight="1">
      <c r="A102" s="22"/>
      <c r="B102" s="23"/>
      <c r="C102" s="23"/>
      <c r="D102" s="23"/>
      <c r="E102" s="24"/>
      <c r="F102" s="24"/>
      <c r="G102" s="24"/>
      <c r="H102" s="24"/>
      <c r="I102" s="24"/>
      <c r="J102" s="24"/>
      <c r="K102" s="24"/>
      <c r="L102" s="24"/>
      <c r="M102" s="24"/>
    </row>
    <row r="103" spans="1:13" s="19" customFormat="1" ht="25.5" customHeight="1">
      <c r="A103" s="22"/>
      <c r="B103" s="23"/>
      <c r="C103" s="23"/>
      <c r="D103" s="23"/>
      <c r="E103" s="24"/>
      <c r="F103" s="24"/>
      <c r="G103" s="24"/>
      <c r="H103" s="24"/>
      <c r="I103" s="24"/>
      <c r="J103" s="24"/>
      <c r="K103" s="24"/>
      <c r="L103" s="24"/>
      <c r="M103" s="24"/>
    </row>
    <row r="104" spans="1:13" s="19" customFormat="1" ht="25.5" customHeight="1">
      <c r="A104" s="22"/>
      <c r="B104" s="23"/>
      <c r="C104" s="23"/>
      <c r="D104" s="23"/>
      <c r="E104" s="24"/>
      <c r="F104" s="24"/>
      <c r="G104" s="24"/>
      <c r="H104" s="24"/>
      <c r="I104" s="24"/>
      <c r="J104" s="24"/>
      <c r="K104" s="24"/>
      <c r="L104" s="24"/>
      <c r="M104" s="24"/>
    </row>
    <row r="105" spans="1:13" s="19" customFormat="1" ht="25.5" customHeight="1">
      <c r="A105" s="22"/>
      <c r="B105" s="23"/>
      <c r="C105" s="23"/>
      <c r="D105" s="23"/>
      <c r="E105" s="24"/>
      <c r="F105" s="24"/>
      <c r="G105" s="24"/>
      <c r="H105" s="24"/>
      <c r="I105" s="24"/>
      <c r="J105" s="24"/>
      <c r="K105" s="24"/>
      <c r="L105" s="24"/>
      <c r="M105" s="24"/>
    </row>
    <row r="106" spans="1:13" s="19" customFormat="1" ht="25.5" customHeight="1">
      <c r="A106" s="22"/>
      <c r="B106" s="23"/>
      <c r="C106" s="23"/>
      <c r="D106" s="23"/>
      <c r="E106" s="24"/>
      <c r="F106" s="24"/>
      <c r="G106" s="24"/>
      <c r="H106" s="24"/>
      <c r="I106" s="24"/>
      <c r="J106" s="24"/>
      <c r="K106" s="24"/>
      <c r="L106" s="24"/>
      <c r="M106" s="24"/>
    </row>
    <row r="107" spans="1:13" s="19" customFormat="1" ht="25.5" customHeight="1">
      <c r="A107" s="22"/>
      <c r="B107" s="23"/>
      <c r="C107" s="23"/>
      <c r="D107" s="23"/>
      <c r="E107" s="24"/>
      <c r="F107" s="24"/>
      <c r="G107" s="24"/>
      <c r="H107" s="24"/>
      <c r="I107" s="24"/>
      <c r="J107" s="24"/>
      <c r="K107" s="24"/>
      <c r="L107" s="24"/>
      <c r="M107" s="24"/>
    </row>
    <row r="108" spans="1:13" s="19" customFormat="1" ht="25.5" customHeight="1">
      <c r="A108" s="22"/>
      <c r="B108" s="23"/>
      <c r="C108" s="23"/>
      <c r="D108" s="23"/>
      <c r="E108" s="24"/>
      <c r="F108" s="24"/>
      <c r="G108" s="24"/>
      <c r="H108" s="24"/>
      <c r="I108" s="24"/>
      <c r="J108" s="24"/>
      <c r="K108" s="24"/>
      <c r="L108" s="24"/>
      <c r="M108" s="24"/>
    </row>
    <row r="109" spans="1:13" s="19" customFormat="1" ht="25.5" customHeight="1">
      <c r="A109" s="22"/>
      <c r="B109" s="23"/>
      <c r="C109" s="23"/>
      <c r="D109" s="23"/>
      <c r="E109" s="24"/>
      <c r="F109" s="24"/>
      <c r="G109" s="24"/>
      <c r="H109" s="24"/>
      <c r="I109" s="24"/>
      <c r="J109" s="24"/>
      <c r="K109" s="24"/>
      <c r="L109" s="24"/>
      <c r="M109" s="24"/>
    </row>
    <row r="110" spans="1:13" s="19" customFormat="1" ht="25.5" customHeight="1">
      <c r="A110" s="22"/>
      <c r="B110" s="23"/>
      <c r="C110" s="23"/>
      <c r="D110" s="23"/>
      <c r="E110" s="24"/>
      <c r="F110" s="24"/>
      <c r="G110" s="24"/>
      <c r="H110" s="24"/>
      <c r="I110" s="24"/>
      <c r="J110" s="24"/>
      <c r="K110" s="24"/>
      <c r="L110" s="24"/>
      <c r="M110" s="24"/>
    </row>
    <row r="111" spans="1:13" s="19" customFormat="1" ht="25.5" customHeight="1">
      <c r="A111" s="22"/>
      <c r="B111" s="23"/>
      <c r="C111" s="23"/>
      <c r="D111" s="23"/>
      <c r="E111" s="24"/>
      <c r="F111" s="24"/>
      <c r="G111" s="24"/>
      <c r="H111" s="24"/>
      <c r="I111" s="24"/>
      <c r="J111" s="24"/>
      <c r="K111" s="24"/>
      <c r="L111" s="24"/>
      <c r="M111" s="24"/>
    </row>
    <row r="112" spans="1:13" s="19" customFormat="1" ht="25.5" customHeight="1">
      <c r="A112" s="22"/>
      <c r="B112" s="23"/>
      <c r="C112" s="23"/>
      <c r="D112" s="23"/>
      <c r="E112" s="24"/>
      <c r="F112" s="24"/>
      <c r="G112" s="24"/>
      <c r="H112" s="24"/>
      <c r="I112" s="24"/>
      <c r="J112" s="24"/>
      <c r="K112" s="24"/>
      <c r="L112" s="24"/>
      <c r="M112" s="24"/>
    </row>
    <row r="113" spans="1:13" s="19" customFormat="1" ht="25.5" customHeight="1">
      <c r="A113" s="22"/>
      <c r="B113" s="23"/>
      <c r="C113" s="23"/>
      <c r="D113" s="23"/>
      <c r="E113" s="24"/>
      <c r="F113" s="24"/>
      <c r="G113" s="24"/>
      <c r="H113" s="24"/>
      <c r="I113" s="24"/>
      <c r="J113" s="24"/>
      <c r="K113" s="24"/>
      <c r="L113" s="24"/>
      <c r="M113" s="24"/>
    </row>
    <row r="114" spans="1:13" s="19" customFormat="1" ht="25.5" customHeight="1">
      <c r="A114" s="22"/>
      <c r="B114" s="23"/>
      <c r="C114" s="23"/>
      <c r="D114" s="23"/>
      <c r="E114" s="24"/>
      <c r="F114" s="24"/>
      <c r="G114" s="24"/>
      <c r="H114" s="24"/>
      <c r="I114" s="24"/>
      <c r="J114" s="24"/>
      <c r="K114" s="24"/>
      <c r="L114" s="24"/>
      <c r="M114" s="24"/>
    </row>
    <row r="115" spans="1:13" s="19" customFormat="1" ht="25.5" customHeight="1">
      <c r="A115" s="22"/>
      <c r="B115" s="23"/>
      <c r="C115" s="23"/>
      <c r="D115" s="23"/>
      <c r="E115" s="24"/>
      <c r="F115" s="24"/>
      <c r="G115" s="24"/>
      <c r="H115" s="24"/>
      <c r="I115" s="24"/>
      <c r="J115" s="24"/>
      <c r="K115" s="24"/>
      <c r="L115" s="24"/>
      <c r="M115" s="24"/>
    </row>
    <row r="116" spans="1:13" s="19" customFormat="1" ht="25.5" customHeight="1">
      <c r="A116" s="22"/>
      <c r="B116" s="23"/>
      <c r="C116" s="23"/>
      <c r="D116" s="23"/>
      <c r="E116" s="24"/>
      <c r="F116" s="24"/>
      <c r="G116" s="24"/>
      <c r="H116" s="24"/>
      <c r="I116" s="24"/>
      <c r="J116" s="24"/>
      <c r="K116" s="24"/>
      <c r="L116" s="24"/>
      <c r="M116" s="24"/>
    </row>
    <row r="117" spans="1:13" s="19" customFormat="1" ht="25.5" customHeight="1">
      <c r="A117" s="22"/>
      <c r="B117" s="23"/>
      <c r="C117" s="23"/>
      <c r="D117" s="23"/>
      <c r="E117" s="24"/>
      <c r="F117" s="24"/>
      <c r="G117" s="24"/>
      <c r="H117" s="24"/>
      <c r="I117" s="24"/>
      <c r="J117" s="24"/>
      <c r="K117" s="24"/>
      <c r="L117" s="24"/>
      <c r="M117" s="24"/>
    </row>
    <row r="118" spans="1:13" s="19" customFormat="1" ht="25.5" customHeight="1">
      <c r="A118" s="22"/>
      <c r="B118" s="23"/>
      <c r="C118" s="23"/>
      <c r="D118" s="23"/>
      <c r="E118" s="24"/>
      <c r="F118" s="24"/>
      <c r="G118" s="24"/>
      <c r="H118" s="24"/>
      <c r="I118" s="24"/>
      <c r="J118" s="24"/>
      <c r="K118" s="24"/>
      <c r="L118" s="24"/>
      <c r="M118" s="24"/>
    </row>
    <row r="119" spans="1:13" s="19" customFormat="1" ht="25.5" customHeight="1">
      <c r="A119" s="22"/>
      <c r="B119" s="23"/>
      <c r="C119" s="23"/>
      <c r="D119" s="23"/>
      <c r="E119" s="24"/>
      <c r="F119" s="24"/>
      <c r="G119" s="24"/>
      <c r="H119" s="24"/>
      <c r="I119" s="24"/>
      <c r="J119" s="24"/>
      <c r="K119" s="24"/>
      <c r="L119" s="24"/>
      <c r="M119" s="24"/>
    </row>
    <row r="120" spans="1:13" s="19" customFormat="1" ht="25.5" customHeight="1">
      <c r="A120" s="22"/>
      <c r="B120" s="23"/>
      <c r="C120" s="23"/>
      <c r="D120" s="23"/>
      <c r="E120" s="24"/>
      <c r="F120" s="24"/>
      <c r="G120" s="24"/>
      <c r="H120" s="24"/>
      <c r="I120" s="24"/>
      <c r="J120" s="24"/>
      <c r="K120" s="24"/>
      <c r="L120" s="24"/>
      <c r="M120" s="24"/>
    </row>
    <row r="121" spans="1:13" s="19" customFormat="1" ht="25.5" customHeight="1">
      <c r="A121" s="22"/>
      <c r="B121" s="23"/>
      <c r="C121" s="23"/>
      <c r="D121" s="23"/>
      <c r="E121" s="24"/>
      <c r="F121" s="24"/>
      <c r="G121" s="24"/>
      <c r="H121" s="24"/>
      <c r="I121" s="24"/>
      <c r="J121" s="24"/>
      <c r="K121" s="24"/>
      <c r="L121" s="24"/>
      <c r="M121" s="24"/>
    </row>
    <row r="122" spans="1:13" s="19" customFormat="1" ht="25.5" customHeight="1">
      <c r="A122" s="22"/>
      <c r="B122" s="23"/>
      <c r="C122" s="23"/>
      <c r="D122" s="23"/>
      <c r="E122" s="24"/>
      <c r="F122" s="24"/>
      <c r="G122" s="24"/>
      <c r="H122" s="24"/>
      <c r="I122" s="24"/>
      <c r="J122" s="24"/>
      <c r="K122" s="24"/>
      <c r="L122" s="24"/>
      <c r="M122" s="24"/>
    </row>
    <row r="123" spans="1:13" s="19" customFormat="1" ht="25.5" customHeight="1">
      <c r="A123" s="22"/>
      <c r="B123" s="23"/>
      <c r="C123" s="23"/>
      <c r="D123" s="23"/>
      <c r="E123" s="24"/>
      <c r="F123" s="24"/>
      <c r="G123" s="24"/>
      <c r="H123" s="24"/>
      <c r="I123" s="24"/>
      <c r="J123" s="24"/>
      <c r="K123" s="24"/>
      <c r="L123" s="24"/>
      <c r="M123" s="24"/>
    </row>
    <row r="124" spans="1:13" s="19" customFormat="1" ht="25.5" customHeight="1">
      <c r="A124" s="22"/>
      <c r="B124" s="23"/>
      <c r="C124" s="23"/>
      <c r="D124" s="23"/>
      <c r="E124" s="24"/>
      <c r="F124" s="24"/>
      <c r="G124" s="24"/>
      <c r="H124" s="24"/>
      <c r="I124" s="24"/>
      <c r="J124" s="24"/>
      <c r="K124" s="24"/>
      <c r="L124" s="24"/>
      <c r="M124" s="24"/>
    </row>
    <row r="125" spans="1:13" s="19" customFormat="1" ht="25.5" customHeight="1">
      <c r="A125" s="22"/>
      <c r="B125" s="23"/>
      <c r="C125" s="23"/>
      <c r="D125" s="23"/>
      <c r="E125" s="24"/>
      <c r="F125" s="24"/>
      <c r="G125" s="24"/>
      <c r="H125" s="24"/>
      <c r="I125" s="24"/>
      <c r="J125" s="24"/>
      <c r="K125" s="24"/>
      <c r="L125" s="24"/>
      <c r="M125" s="24"/>
    </row>
    <row r="126" spans="1:13" s="19" customFormat="1" ht="25.5" customHeight="1">
      <c r="A126" s="22"/>
      <c r="B126" s="23"/>
      <c r="C126" s="23"/>
      <c r="D126" s="23"/>
      <c r="E126" s="24"/>
      <c r="F126" s="24"/>
      <c r="G126" s="24"/>
      <c r="H126" s="24"/>
      <c r="I126" s="24"/>
      <c r="J126" s="24"/>
      <c r="K126" s="24"/>
      <c r="L126" s="24"/>
      <c r="M126" s="24"/>
    </row>
    <row r="127" spans="1:13" s="19" customFormat="1" ht="25.5" customHeight="1">
      <c r="A127" s="22"/>
      <c r="B127" s="23"/>
      <c r="C127" s="23"/>
      <c r="D127" s="23"/>
      <c r="E127" s="24"/>
      <c r="F127" s="24"/>
      <c r="G127" s="24"/>
      <c r="H127" s="24"/>
      <c r="I127" s="24"/>
      <c r="J127" s="24"/>
      <c r="K127" s="24"/>
      <c r="L127" s="24"/>
      <c r="M127" s="24"/>
    </row>
    <row r="128" spans="1:13" s="19" customFormat="1" ht="25.5" customHeight="1">
      <c r="A128" s="22"/>
      <c r="B128" s="23"/>
      <c r="C128" s="23"/>
      <c r="D128" s="23"/>
      <c r="E128" s="24"/>
      <c r="F128" s="24"/>
      <c r="G128" s="24"/>
      <c r="H128" s="24"/>
      <c r="I128" s="24"/>
      <c r="J128" s="24"/>
      <c r="K128" s="24"/>
      <c r="L128" s="24"/>
      <c r="M128" s="24"/>
    </row>
    <row r="129" spans="1:13" s="19" customFormat="1" ht="25.5" customHeight="1">
      <c r="A129" s="22"/>
      <c r="B129" s="23"/>
      <c r="C129" s="23"/>
      <c r="D129" s="23"/>
      <c r="E129" s="24"/>
      <c r="F129" s="24"/>
      <c r="G129" s="24"/>
      <c r="H129" s="24"/>
      <c r="I129" s="24"/>
      <c r="J129" s="24"/>
      <c r="K129" s="24"/>
      <c r="L129" s="24"/>
      <c r="M129" s="24"/>
    </row>
    <row r="130" spans="1:13" s="19" customFormat="1" ht="25.5" customHeight="1">
      <c r="A130" s="22"/>
      <c r="B130" s="23"/>
      <c r="C130" s="23"/>
      <c r="D130" s="23"/>
      <c r="E130" s="24"/>
      <c r="F130" s="24"/>
      <c r="G130" s="24"/>
      <c r="H130" s="24"/>
      <c r="I130" s="24"/>
      <c r="J130" s="24"/>
      <c r="K130" s="24"/>
      <c r="L130" s="24"/>
      <c r="M130" s="24"/>
    </row>
    <row r="131" spans="1:13" s="19" customFormat="1" ht="25.5" customHeight="1">
      <c r="A131" s="22"/>
      <c r="B131" s="23"/>
      <c r="C131" s="23"/>
      <c r="D131" s="23"/>
      <c r="E131" s="24"/>
      <c r="F131" s="24"/>
      <c r="G131" s="24"/>
      <c r="H131" s="24"/>
      <c r="I131" s="24"/>
      <c r="J131" s="24"/>
      <c r="K131" s="24"/>
      <c r="L131" s="24"/>
      <c r="M131" s="24"/>
    </row>
    <row r="132" spans="1:13" s="19" customFormat="1" ht="25.5" customHeight="1">
      <c r="A132" s="22"/>
      <c r="B132" s="23"/>
      <c r="C132" s="23"/>
      <c r="D132" s="23"/>
      <c r="E132" s="24"/>
      <c r="F132" s="24"/>
      <c r="G132" s="24"/>
      <c r="H132" s="24"/>
      <c r="I132" s="24"/>
      <c r="J132" s="24"/>
      <c r="K132" s="24"/>
      <c r="L132" s="24"/>
      <c r="M132" s="24"/>
    </row>
    <row r="133" spans="1:13" s="19" customFormat="1" ht="25.5" customHeight="1">
      <c r="A133" s="22"/>
      <c r="B133" s="23"/>
      <c r="C133" s="23"/>
      <c r="D133" s="23"/>
      <c r="E133" s="24"/>
      <c r="F133" s="24"/>
      <c r="G133" s="24"/>
      <c r="H133" s="24"/>
      <c r="I133" s="24"/>
      <c r="J133" s="24"/>
      <c r="K133" s="24"/>
      <c r="L133" s="24"/>
      <c r="M133" s="24"/>
    </row>
    <row r="134" spans="1:13" s="19" customFormat="1" ht="25.5" customHeight="1">
      <c r="A134" s="22"/>
      <c r="B134" s="23"/>
      <c r="C134" s="23"/>
      <c r="D134" s="23"/>
      <c r="E134" s="24"/>
      <c r="F134" s="24"/>
      <c r="G134" s="24"/>
      <c r="H134" s="24"/>
      <c r="I134" s="24"/>
      <c r="J134" s="24"/>
      <c r="K134" s="24"/>
      <c r="L134" s="24"/>
      <c r="M134" s="24"/>
    </row>
    <row r="135" spans="1:13" s="19" customFormat="1" ht="25.5" customHeight="1">
      <c r="A135" s="22"/>
      <c r="B135" s="23"/>
      <c r="C135" s="23"/>
      <c r="D135" s="23"/>
      <c r="E135" s="24"/>
      <c r="F135" s="24"/>
      <c r="G135" s="24"/>
      <c r="H135" s="24"/>
      <c r="I135" s="24"/>
      <c r="J135" s="24"/>
      <c r="K135" s="24"/>
      <c r="L135" s="24"/>
      <c r="M135" s="24"/>
    </row>
    <row r="136" spans="1:13" s="19" customFormat="1" ht="25.5" customHeight="1">
      <c r="A136" s="22"/>
      <c r="B136" s="23"/>
      <c r="C136" s="23"/>
      <c r="D136" s="23"/>
      <c r="E136" s="24"/>
      <c r="F136" s="24"/>
      <c r="G136" s="24"/>
      <c r="H136" s="24"/>
      <c r="I136" s="24"/>
      <c r="J136" s="24"/>
      <c r="K136" s="24"/>
      <c r="L136" s="24"/>
      <c r="M136" s="24"/>
    </row>
    <row r="137" spans="1:13" s="19" customFormat="1" ht="25.5" customHeight="1">
      <c r="A137" s="22"/>
      <c r="B137" s="23"/>
      <c r="C137" s="23"/>
      <c r="D137" s="23"/>
      <c r="E137" s="24"/>
      <c r="F137" s="24"/>
      <c r="G137" s="24"/>
      <c r="H137" s="24"/>
      <c r="I137" s="24"/>
      <c r="J137" s="24"/>
      <c r="K137" s="24"/>
      <c r="L137" s="24"/>
      <c r="M137" s="24"/>
    </row>
    <row r="138" spans="1:13" s="19" customFormat="1" ht="25.5" customHeight="1">
      <c r="A138" s="22"/>
      <c r="B138" s="23"/>
      <c r="C138" s="23"/>
      <c r="D138" s="23"/>
      <c r="E138" s="24"/>
      <c r="F138" s="24"/>
      <c r="G138" s="24"/>
      <c r="H138" s="24"/>
      <c r="I138" s="24"/>
      <c r="J138" s="24"/>
      <c r="K138" s="24"/>
      <c r="L138" s="24"/>
      <c r="M138" s="24"/>
    </row>
    <row r="139" spans="1:13" s="19" customFormat="1" ht="25.5" customHeight="1">
      <c r="A139" s="22"/>
      <c r="B139" s="23"/>
      <c r="C139" s="23"/>
      <c r="D139" s="23"/>
      <c r="E139" s="24"/>
      <c r="F139" s="24"/>
      <c r="G139" s="24"/>
      <c r="H139" s="24"/>
      <c r="I139" s="24"/>
      <c r="J139" s="24"/>
      <c r="K139" s="24"/>
      <c r="L139" s="24"/>
      <c r="M139" s="24"/>
    </row>
    <row r="140" spans="1:13" s="19" customFormat="1" ht="25.5" customHeight="1">
      <c r="A140" s="22"/>
      <c r="B140" s="23"/>
      <c r="C140" s="23"/>
      <c r="D140" s="23"/>
      <c r="E140" s="24"/>
      <c r="F140" s="24"/>
      <c r="G140" s="24"/>
      <c r="H140" s="24"/>
      <c r="I140" s="24"/>
      <c r="J140" s="24"/>
      <c r="K140" s="24"/>
      <c r="L140" s="24"/>
      <c r="M140" s="24"/>
    </row>
    <row r="141" spans="1:13" s="19" customFormat="1" ht="25.5" customHeight="1">
      <c r="A141" s="22"/>
      <c r="B141" s="23"/>
      <c r="C141" s="23"/>
      <c r="D141" s="23"/>
      <c r="E141" s="24"/>
      <c r="F141" s="24"/>
      <c r="G141" s="24"/>
      <c r="H141" s="24"/>
      <c r="I141" s="24"/>
      <c r="J141" s="24"/>
      <c r="K141" s="24"/>
      <c r="L141" s="24"/>
      <c r="M141" s="24"/>
    </row>
    <row r="142" spans="1:13" s="19" customFormat="1" ht="25.5" customHeight="1">
      <c r="A142" s="22"/>
      <c r="B142" s="23"/>
      <c r="C142" s="23"/>
      <c r="D142" s="23"/>
      <c r="E142" s="24"/>
      <c r="F142" s="24"/>
      <c r="G142" s="24"/>
      <c r="H142" s="24"/>
      <c r="I142" s="24"/>
      <c r="J142" s="24"/>
      <c r="K142" s="24"/>
      <c r="L142" s="24"/>
      <c r="M142" s="24"/>
    </row>
    <row r="143" spans="1:13" s="19" customFormat="1" ht="25.5" customHeight="1">
      <c r="A143" s="22"/>
      <c r="B143" s="23"/>
      <c r="C143" s="23"/>
      <c r="D143" s="23"/>
      <c r="E143" s="24"/>
      <c r="F143" s="24"/>
      <c r="G143" s="24"/>
      <c r="H143" s="24"/>
      <c r="I143" s="24"/>
      <c r="J143" s="24"/>
      <c r="K143" s="24"/>
      <c r="L143" s="24"/>
      <c r="M143" s="24"/>
    </row>
    <row r="144" spans="1:13" s="19" customFormat="1" ht="25.5" customHeight="1">
      <c r="A144" s="22"/>
      <c r="B144" s="23"/>
      <c r="C144" s="23"/>
      <c r="D144" s="23"/>
      <c r="E144" s="24"/>
      <c r="F144" s="24"/>
      <c r="G144" s="24"/>
      <c r="H144" s="24"/>
      <c r="I144" s="24"/>
      <c r="J144" s="24"/>
      <c r="K144" s="24"/>
      <c r="L144" s="24"/>
      <c r="M144" s="24"/>
    </row>
    <row r="145" spans="1:13" s="19" customFormat="1" ht="25.5" customHeight="1">
      <c r="A145" s="22"/>
      <c r="B145" s="23"/>
      <c r="C145" s="23"/>
      <c r="D145" s="23"/>
      <c r="E145" s="24"/>
      <c r="F145" s="24"/>
      <c r="G145" s="24"/>
      <c r="H145" s="24"/>
      <c r="I145" s="24"/>
      <c r="J145" s="24"/>
      <c r="K145" s="24"/>
      <c r="L145" s="24"/>
      <c r="M145" s="24"/>
    </row>
    <row r="146" spans="1:13" s="19" customFormat="1" ht="25.5" customHeight="1">
      <c r="A146" s="22"/>
      <c r="B146" s="23"/>
      <c r="C146" s="23"/>
      <c r="D146" s="23"/>
      <c r="E146" s="24"/>
      <c r="F146" s="24"/>
      <c r="G146" s="24"/>
      <c r="H146" s="24"/>
      <c r="I146" s="24"/>
      <c r="J146" s="24"/>
      <c r="K146" s="24"/>
      <c r="L146" s="24"/>
      <c r="M146" s="24"/>
    </row>
    <row r="147" spans="1:13" s="19" customFormat="1" ht="25.5" customHeight="1">
      <c r="A147" s="22"/>
      <c r="B147" s="23"/>
      <c r="C147" s="23"/>
      <c r="D147" s="23"/>
      <c r="E147" s="24"/>
      <c r="F147" s="24"/>
      <c r="G147" s="24"/>
      <c r="H147" s="24"/>
      <c r="I147" s="24"/>
      <c r="J147" s="24"/>
      <c r="K147" s="24"/>
      <c r="L147" s="24"/>
      <c r="M147" s="24"/>
    </row>
    <row r="148" spans="1:13" s="19" customFormat="1" ht="25.5" customHeight="1">
      <c r="A148" s="22"/>
      <c r="B148" s="23"/>
      <c r="C148" s="23"/>
      <c r="D148" s="23"/>
      <c r="E148" s="24"/>
      <c r="F148" s="24"/>
      <c r="G148" s="24"/>
      <c r="H148" s="24"/>
      <c r="I148" s="24"/>
      <c r="J148" s="24"/>
      <c r="K148" s="24"/>
      <c r="L148" s="24"/>
      <c r="M148" s="24"/>
    </row>
    <row r="149" spans="1:13" s="19" customFormat="1" ht="25.5" customHeight="1">
      <c r="A149" s="22"/>
      <c r="B149" s="23"/>
      <c r="C149" s="23"/>
      <c r="D149" s="23"/>
      <c r="E149" s="24"/>
      <c r="F149" s="24"/>
      <c r="G149" s="24"/>
      <c r="H149" s="24"/>
      <c r="I149" s="24"/>
      <c r="J149" s="24"/>
      <c r="K149" s="24"/>
      <c r="L149" s="24"/>
      <c r="M149" s="24"/>
    </row>
    <row r="150" spans="1:13" s="19" customFormat="1" ht="25.5" customHeight="1">
      <c r="A150" s="22"/>
      <c r="B150" s="23"/>
      <c r="C150" s="23"/>
      <c r="D150" s="23"/>
      <c r="E150" s="24"/>
      <c r="F150" s="24"/>
      <c r="G150" s="24"/>
      <c r="H150" s="24"/>
      <c r="I150" s="24"/>
      <c r="J150" s="24"/>
      <c r="K150" s="24"/>
      <c r="L150" s="24"/>
      <c r="M150" s="24"/>
    </row>
    <row r="151" spans="1:13" s="19" customFormat="1" ht="25.5" customHeight="1">
      <c r="A151" s="22"/>
      <c r="B151" s="23"/>
      <c r="C151" s="23"/>
      <c r="D151" s="23"/>
      <c r="E151" s="24"/>
      <c r="F151" s="24"/>
      <c r="G151" s="24"/>
      <c r="H151" s="24"/>
      <c r="I151" s="24"/>
      <c r="J151" s="24"/>
      <c r="K151" s="24"/>
      <c r="L151" s="24"/>
      <c r="M151" s="24"/>
    </row>
    <row r="152" spans="1:13" s="19" customFormat="1" ht="25.5" customHeight="1">
      <c r="A152" s="22"/>
      <c r="B152" s="23"/>
      <c r="C152" s="23"/>
      <c r="D152" s="23"/>
      <c r="E152" s="24"/>
      <c r="F152" s="24"/>
      <c r="G152" s="24"/>
      <c r="H152" s="24"/>
      <c r="I152" s="24"/>
      <c r="J152" s="24"/>
      <c r="K152" s="24"/>
      <c r="L152" s="24"/>
      <c r="M152" s="24"/>
    </row>
    <row r="153" spans="1:13" s="19" customFormat="1" ht="25.5" customHeight="1">
      <c r="A153" s="22"/>
      <c r="B153" s="23"/>
      <c r="C153" s="23"/>
      <c r="D153" s="23"/>
      <c r="E153" s="24"/>
      <c r="F153" s="24"/>
      <c r="G153" s="24"/>
      <c r="H153" s="24"/>
      <c r="I153" s="24"/>
      <c r="J153" s="24"/>
      <c r="K153" s="24"/>
      <c r="L153" s="24"/>
      <c r="M153" s="24"/>
    </row>
    <row r="154" spans="1:13" s="19" customFormat="1" ht="25.5" customHeight="1">
      <c r="A154" s="22"/>
      <c r="B154" s="23"/>
      <c r="C154" s="23"/>
      <c r="D154" s="23"/>
      <c r="E154" s="24"/>
      <c r="F154" s="24"/>
      <c r="G154" s="24"/>
      <c r="H154" s="24"/>
      <c r="I154" s="24"/>
      <c r="J154" s="24"/>
      <c r="K154" s="24"/>
      <c r="L154" s="24"/>
      <c r="M154" s="24"/>
    </row>
    <row r="155" spans="1:13" s="19" customFormat="1" ht="25.5" customHeight="1">
      <c r="A155" s="22"/>
      <c r="B155" s="23"/>
      <c r="C155" s="23"/>
      <c r="D155" s="23"/>
      <c r="E155" s="24"/>
      <c r="F155" s="24"/>
      <c r="G155" s="24"/>
      <c r="H155" s="24"/>
      <c r="I155" s="24"/>
      <c r="J155" s="24"/>
      <c r="K155" s="24"/>
      <c r="L155" s="24"/>
      <c r="M155" s="24"/>
    </row>
    <row r="156" spans="1:13" s="19" customFormat="1" ht="25.5" customHeight="1">
      <c r="A156" s="22"/>
      <c r="B156" s="23"/>
      <c r="C156" s="23"/>
      <c r="D156" s="23"/>
      <c r="E156" s="24"/>
      <c r="F156" s="24"/>
      <c r="G156" s="24"/>
      <c r="H156" s="24"/>
      <c r="I156" s="24"/>
      <c r="J156" s="24"/>
      <c r="K156" s="24"/>
      <c r="L156" s="24"/>
      <c r="M156" s="24"/>
    </row>
    <row r="157" spans="1:13" s="19" customFormat="1" ht="25.5" customHeight="1">
      <c r="A157" s="22"/>
      <c r="B157" s="23"/>
      <c r="C157" s="23"/>
      <c r="D157" s="23"/>
      <c r="E157" s="24"/>
      <c r="F157" s="24"/>
      <c r="G157" s="24"/>
      <c r="H157" s="24"/>
      <c r="I157" s="24"/>
      <c r="J157" s="24"/>
      <c r="K157" s="24"/>
      <c r="L157" s="24"/>
      <c r="M157" s="24"/>
    </row>
    <row r="158" spans="1:13" s="19" customFormat="1" ht="25.5" customHeight="1">
      <c r="A158" s="22"/>
      <c r="B158" s="23"/>
      <c r="C158" s="23"/>
      <c r="D158" s="23"/>
      <c r="E158" s="24"/>
      <c r="F158" s="24"/>
      <c r="G158" s="24"/>
      <c r="H158" s="24"/>
      <c r="I158" s="24"/>
      <c r="J158" s="24"/>
      <c r="K158" s="24"/>
      <c r="L158" s="24"/>
      <c r="M158" s="24"/>
    </row>
    <row r="159" spans="1:13" s="19" customFormat="1" ht="25.5" customHeight="1">
      <c r="A159" s="22"/>
      <c r="B159" s="23"/>
      <c r="C159" s="23"/>
      <c r="D159" s="23"/>
      <c r="E159" s="24"/>
      <c r="F159" s="24"/>
      <c r="G159" s="24"/>
      <c r="H159" s="24"/>
      <c r="I159" s="24"/>
      <c r="J159" s="24"/>
      <c r="K159" s="24"/>
      <c r="L159" s="24"/>
      <c r="M159" s="24"/>
    </row>
    <row r="160" spans="1:13" s="19" customFormat="1" ht="25.5" customHeight="1">
      <c r="A160" s="22"/>
      <c r="B160" s="23"/>
      <c r="C160" s="23"/>
      <c r="D160" s="23"/>
      <c r="E160" s="24"/>
      <c r="F160" s="24"/>
      <c r="G160" s="24"/>
      <c r="H160" s="24"/>
      <c r="I160" s="24"/>
      <c r="J160" s="24"/>
      <c r="K160" s="24"/>
      <c r="L160" s="24"/>
      <c r="M160" s="24"/>
    </row>
    <row r="161" spans="1:13" s="19" customFormat="1" ht="25.5" customHeight="1">
      <c r="A161" s="22"/>
      <c r="B161" s="23"/>
      <c r="C161" s="23"/>
      <c r="D161" s="23"/>
      <c r="E161" s="24"/>
      <c r="F161" s="24"/>
      <c r="G161" s="24"/>
      <c r="H161" s="24"/>
      <c r="I161" s="24"/>
      <c r="J161" s="24"/>
      <c r="K161" s="24"/>
      <c r="L161" s="24"/>
      <c r="M161" s="24"/>
    </row>
    <row r="162" spans="1:13" s="19" customFormat="1" ht="25.5" customHeight="1">
      <c r="A162" s="22"/>
      <c r="B162" s="23"/>
      <c r="C162" s="23"/>
      <c r="D162" s="23"/>
      <c r="E162" s="24"/>
      <c r="F162" s="24"/>
      <c r="G162" s="24"/>
      <c r="H162" s="24"/>
      <c r="I162" s="24"/>
      <c r="J162" s="24"/>
      <c r="K162" s="24"/>
      <c r="L162" s="24"/>
      <c r="M162" s="24"/>
    </row>
    <row r="163" spans="1:13" s="19" customFormat="1" ht="25.5" customHeight="1">
      <c r="A163" s="22"/>
      <c r="B163" s="23"/>
      <c r="C163" s="23"/>
      <c r="D163" s="23"/>
      <c r="E163" s="24"/>
      <c r="F163" s="24"/>
      <c r="G163" s="24"/>
      <c r="H163" s="24"/>
      <c r="I163" s="24"/>
      <c r="J163" s="24"/>
      <c r="K163" s="24"/>
      <c r="L163" s="24"/>
      <c r="M163" s="24"/>
    </row>
    <row r="164" spans="1:13" s="19" customFormat="1" ht="25.5" customHeight="1">
      <c r="A164" s="22"/>
      <c r="B164" s="23"/>
      <c r="C164" s="23"/>
      <c r="D164" s="23"/>
      <c r="E164" s="24"/>
      <c r="F164" s="24"/>
      <c r="G164" s="24"/>
      <c r="H164" s="24"/>
      <c r="I164" s="24"/>
      <c r="J164" s="24"/>
      <c r="K164" s="24"/>
      <c r="L164" s="24"/>
      <c r="M164" s="24"/>
    </row>
    <row r="165" spans="1:13" s="19" customFormat="1" ht="25.5" customHeight="1">
      <c r="A165" s="22"/>
      <c r="B165" s="23"/>
      <c r="C165" s="23"/>
      <c r="D165" s="23"/>
      <c r="E165" s="24"/>
      <c r="F165" s="24"/>
      <c r="G165" s="24"/>
      <c r="H165" s="24"/>
      <c r="I165" s="24"/>
      <c r="J165" s="24"/>
      <c r="K165" s="24"/>
      <c r="L165" s="24"/>
      <c r="M165" s="24"/>
    </row>
    <row r="166" spans="1:13" s="19" customFormat="1" ht="25.5" customHeight="1">
      <c r="A166" s="22"/>
      <c r="B166" s="23"/>
      <c r="C166" s="23"/>
      <c r="D166" s="23"/>
      <c r="E166" s="24"/>
      <c r="F166" s="24"/>
      <c r="G166" s="24"/>
      <c r="H166" s="24"/>
      <c r="I166" s="24"/>
      <c r="J166" s="24"/>
      <c r="K166" s="24"/>
      <c r="L166" s="24"/>
      <c r="M166" s="24"/>
    </row>
    <row r="167" spans="1:13" s="19" customFormat="1" ht="25.5" customHeight="1">
      <c r="A167" s="22"/>
      <c r="B167" s="23"/>
      <c r="C167" s="23"/>
      <c r="D167" s="23"/>
      <c r="E167" s="24"/>
      <c r="F167" s="24"/>
      <c r="G167" s="24"/>
      <c r="H167" s="24"/>
      <c r="I167" s="24"/>
      <c r="J167" s="24"/>
      <c r="K167" s="24"/>
      <c r="L167" s="24"/>
      <c r="M167" s="24"/>
    </row>
    <row r="168" spans="1:13" s="19" customFormat="1" ht="25.5" customHeight="1">
      <c r="A168" s="22"/>
      <c r="B168" s="23"/>
      <c r="C168" s="23"/>
      <c r="D168" s="23"/>
      <c r="E168" s="24"/>
      <c r="F168" s="24"/>
      <c r="G168" s="24"/>
      <c r="H168" s="24"/>
      <c r="I168" s="24"/>
      <c r="J168" s="24"/>
      <c r="K168" s="24"/>
      <c r="L168" s="24"/>
      <c r="M168" s="24"/>
    </row>
    <row r="169" spans="1:13" s="19" customFormat="1" ht="25.5" customHeight="1">
      <c r="A169" s="22"/>
      <c r="B169" s="23"/>
      <c r="C169" s="23"/>
      <c r="D169" s="23"/>
      <c r="E169" s="24"/>
      <c r="F169" s="24"/>
      <c r="G169" s="24"/>
      <c r="H169" s="24"/>
      <c r="I169" s="24"/>
      <c r="J169" s="24"/>
      <c r="K169" s="24"/>
      <c r="L169" s="24"/>
      <c r="M169" s="24"/>
    </row>
    <row r="170" spans="1:13" s="19" customFormat="1" ht="25.5" customHeight="1">
      <c r="A170" s="22"/>
      <c r="B170" s="23"/>
      <c r="C170" s="23"/>
      <c r="D170" s="23"/>
      <c r="E170" s="24"/>
      <c r="F170" s="24"/>
      <c r="G170" s="24"/>
      <c r="H170" s="24"/>
      <c r="I170" s="24"/>
      <c r="J170" s="24"/>
      <c r="K170" s="24"/>
      <c r="L170" s="24"/>
      <c r="M170" s="24"/>
    </row>
    <row r="171" spans="1:13" s="19" customFormat="1" ht="25.5" customHeight="1">
      <c r="A171" s="22"/>
      <c r="B171" s="23"/>
      <c r="C171" s="23"/>
      <c r="D171" s="23"/>
      <c r="E171" s="24"/>
      <c r="F171" s="24"/>
      <c r="G171" s="24"/>
      <c r="H171" s="24"/>
      <c r="I171" s="24"/>
      <c r="J171" s="24"/>
      <c r="K171" s="24"/>
      <c r="L171" s="24"/>
      <c r="M171" s="24"/>
    </row>
    <row r="172" spans="1:13" s="19" customFormat="1" ht="25.5" customHeight="1">
      <c r="A172" s="22"/>
      <c r="B172" s="23"/>
      <c r="C172" s="23"/>
      <c r="D172" s="23"/>
      <c r="E172" s="24"/>
      <c r="F172" s="24"/>
      <c r="G172" s="24"/>
      <c r="H172" s="24"/>
      <c r="I172" s="24"/>
      <c r="J172" s="24"/>
      <c r="K172" s="24"/>
      <c r="L172" s="24"/>
      <c r="M172" s="24"/>
    </row>
    <row r="173" spans="1:13" s="19" customFormat="1" ht="25.5" customHeight="1">
      <c r="A173" s="22"/>
      <c r="B173" s="23"/>
      <c r="C173" s="23"/>
      <c r="D173" s="23"/>
      <c r="E173" s="24"/>
      <c r="F173" s="24"/>
      <c r="G173" s="24"/>
      <c r="H173" s="24"/>
      <c r="I173" s="24"/>
      <c r="J173" s="24"/>
      <c r="K173" s="24"/>
      <c r="L173" s="24"/>
      <c r="M173" s="24"/>
    </row>
    <row r="174" spans="1:13" s="19" customFormat="1" ht="25.5" customHeight="1">
      <c r="A174" s="22"/>
      <c r="B174" s="23"/>
      <c r="C174" s="23"/>
      <c r="D174" s="23"/>
      <c r="E174" s="24"/>
      <c r="F174" s="24"/>
      <c r="G174" s="24"/>
      <c r="H174" s="24"/>
      <c r="I174" s="24"/>
      <c r="J174" s="24"/>
      <c r="K174" s="24"/>
      <c r="L174" s="24"/>
      <c r="M174" s="24"/>
    </row>
    <row r="175" spans="1:13" s="19" customFormat="1" ht="25.5" customHeight="1">
      <c r="A175" s="22"/>
      <c r="B175" s="23"/>
      <c r="C175" s="23"/>
      <c r="D175" s="23"/>
      <c r="E175" s="24"/>
      <c r="F175" s="24"/>
      <c r="G175" s="24"/>
      <c r="H175" s="24"/>
      <c r="I175" s="24"/>
      <c r="J175" s="24"/>
      <c r="K175" s="24"/>
      <c r="L175" s="24"/>
      <c r="M175" s="24"/>
    </row>
    <row r="176" spans="1:13" s="19" customFormat="1" ht="25.5" customHeight="1">
      <c r="A176" s="22"/>
      <c r="B176" s="23"/>
      <c r="C176" s="23"/>
      <c r="D176" s="23"/>
      <c r="E176" s="24"/>
      <c r="F176" s="24"/>
      <c r="G176" s="24"/>
      <c r="H176" s="24"/>
      <c r="I176" s="24"/>
      <c r="J176" s="24"/>
      <c r="K176" s="24"/>
      <c r="L176" s="24"/>
      <c r="M176" s="24"/>
    </row>
    <row r="177" spans="1:13" s="19" customFormat="1" ht="25.5" customHeight="1">
      <c r="A177" s="22"/>
      <c r="B177" s="23"/>
      <c r="C177" s="23"/>
      <c r="D177" s="23"/>
      <c r="E177" s="24"/>
      <c r="F177" s="24"/>
      <c r="G177" s="24"/>
      <c r="H177" s="24"/>
      <c r="I177" s="24"/>
      <c r="J177" s="24"/>
      <c r="K177" s="24"/>
      <c r="L177" s="24"/>
      <c r="M177" s="24"/>
    </row>
    <row r="178" spans="1:13" s="19" customFormat="1" ht="25.5" customHeight="1">
      <c r="A178" s="22"/>
      <c r="B178" s="23"/>
      <c r="C178" s="23"/>
      <c r="D178" s="23"/>
      <c r="E178" s="24"/>
      <c r="F178" s="24"/>
      <c r="G178" s="24"/>
      <c r="H178" s="24"/>
      <c r="I178" s="24"/>
      <c r="J178" s="24"/>
      <c r="K178" s="24"/>
      <c r="L178" s="24"/>
      <c r="M178" s="24"/>
    </row>
    <row r="179" spans="1:13" s="19" customFormat="1" ht="25.5" customHeight="1">
      <c r="A179" s="22"/>
      <c r="B179" s="23"/>
      <c r="C179" s="23"/>
      <c r="D179" s="23"/>
      <c r="E179" s="24"/>
      <c r="F179" s="24"/>
      <c r="G179" s="24"/>
      <c r="H179" s="24"/>
      <c r="I179" s="24"/>
      <c r="J179" s="24"/>
      <c r="K179" s="24"/>
      <c r="L179" s="24"/>
      <c r="M179" s="24"/>
    </row>
    <row r="180" spans="1:13" s="19" customFormat="1" ht="25.5" customHeight="1">
      <c r="A180" s="22"/>
      <c r="B180" s="23"/>
      <c r="C180" s="23"/>
      <c r="D180" s="23"/>
      <c r="E180" s="24"/>
      <c r="F180" s="24"/>
      <c r="G180" s="24"/>
      <c r="H180" s="24"/>
      <c r="I180" s="24"/>
      <c r="J180" s="24"/>
      <c r="K180" s="24"/>
      <c r="L180" s="24"/>
      <c r="M180" s="24"/>
    </row>
    <row r="181" spans="1:13" s="19" customFormat="1" ht="25.5" customHeight="1">
      <c r="A181" s="22"/>
      <c r="B181" s="23"/>
      <c r="C181" s="23"/>
      <c r="D181" s="23"/>
      <c r="E181" s="24"/>
      <c r="F181" s="24"/>
      <c r="G181" s="24"/>
      <c r="H181" s="24"/>
      <c r="I181" s="24"/>
      <c r="J181" s="24"/>
      <c r="K181" s="24"/>
      <c r="L181" s="24"/>
      <c r="M181" s="24"/>
    </row>
    <row r="182" spans="1:13" s="19" customFormat="1" ht="25.5" customHeight="1">
      <c r="A182" s="22"/>
      <c r="B182" s="23"/>
      <c r="C182" s="23"/>
      <c r="D182" s="23"/>
      <c r="E182" s="24"/>
      <c r="F182" s="24"/>
      <c r="G182" s="24"/>
      <c r="H182" s="24"/>
      <c r="I182" s="24"/>
      <c r="J182" s="24"/>
      <c r="K182" s="24"/>
      <c r="L182" s="24"/>
      <c r="M182" s="24"/>
    </row>
    <row r="183" spans="1:13" s="19" customFormat="1" ht="25.5" customHeight="1">
      <c r="A183" s="22"/>
      <c r="B183" s="23"/>
      <c r="C183" s="23"/>
      <c r="D183" s="23"/>
      <c r="E183" s="24"/>
      <c r="F183" s="24"/>
      <c r="G183" s="24"/>
      <c r="H183" s="24"/>
      <c r="I183" s="24"/>
      <c r="J183" s="24"/>
      <c r="K183" s="24"/>
      <c r="L183" s="24"/>
      <c r="M183" s="24"/>
    </row>
    <row r="184" spans="1:13" s="19" customFormat="1" ht="25.5" customHeight="1">
      <c r="A184" s="22"/>
      <c r="B184" s="23"/>
      <c r="C184" s="23"/>
      <c r="D184" s="23"/>
      <c r="E184" s="24"/>
      <c r="F184" s="24"/>
      <c r="G184" s="24"/>
      <c r="H184" s="24"/>
      <c r="I184" s="24"/>
      <c r="J184" s="24"/>
      <c r="K184" s="24"/>
      <c r="L184" s="24"/>
      <c r="M184" s="24"/>
    </row>
    <row r="185" spans="1:13" s="19" customFormat="1" ht="25.5" customHeight="1">
      <c r="A185" s="22"/>
      <c r="B185" s="23"/>
      <c r="C185" s="23"/>
      <c r="D185" s="23"/>
      <c r="E185" s="24"/>
      <c r="F185" s="24"/>
      <c r="G185" s="24"/>
      <c r="H185" s="24"/>
      <c r="I185" s="24"/>
      <c r="J185" s="24"/>
      <c r="K185" s="24"/>
      <c r="L185" s="24"/>
      <c r="M185" s="24"/>
    </row>
    <row r="186" spans="1:13" s="19" customFormat="1" ht="25.5" customHeight="1">
      <c r="A186" s="22"/>
      <c r="B186" s="23"/>
      <c r="C186" s="23"/>
      <c r="D186" s="23"/>
      <c r="E186" s="24"/>
      <c r="F186" s="24"/>
      <c r="G186" s="24"/>
      <c r="H186" s="24"/>
      <c r="I186" s="24"/>
      <c r="J186" s="24"/>
      <c r="K186" s="24"/>
      <c r="L186" s="24"/>
      <c r="M186" s="24"/>
    </row>
    <row r="187" spans="1:13" s="19" customFormat="1" ht="25.5" customHeight="1">
      <c r="A187" s="22"/>
      <c r="B187" s="23"/>
      <c r="C187" s="23"/>
      <c r="D187" s="23"/>
      <c r="E187" s="24"/>
      <c r="F187" s="24"/>
      <c r="G187" s="24"/>
      <c r="H187" s="24"/>
      <c r="I187" s="24"/>
      <c r="J187" s="24"/>
      <c r="K187" s="24"/>
      <c r="L187" s="24"/>
      <c r="M187" s="24"/>
    </row>
    <row r="188" spans="1:13" s="19" customFormat="1" ht="25.5" customHeight="1">
      <c r="A188" s="22"/>
      <c r="B188" s="23"/>
      <c r="C188" s="23"/>
      <c r="D188" s="23"/>
      <c r="E188" s="24"/>
      <c r="F188" s="24"/>
      <c r="G188" s="24"/>
      <c r="H188" s="24"/>
      <c r="I188" s="24"/>
      <c r="J188" s="24"/>
      <c r="K188" s="24"/>
      <c r="L188" s="24"/>
      <c r="M188" s="24"/>
    </row>
    <row r="189" spans="1:13" s="19" customFormat="1" ht="25.5" customHeight="1">
      <c r="A189" s="22"/>
      <c r="B189" s="23"/>
      <c r="C189" s="23"/>
      <c r="D189" s="23"/>
      <c r="E189" s="24"/>
      <c r="F189" s="24"/>
      <c r="G189" s="24"/>
      <c r="H189" s="24"/>
      <c r="I189" s="24"/>
      <c r="J189" s="24"/>
      <c r="K189" s="24"/>
      <c r="L189" s="24"/>
      <c r="M189" s="24"/>
    </row>
    <row r="190" spans="1:13" s="19" customFormat="1" ht="25.5" customHeight="1">
      <c r="A190" s="22"/>
      <c r="B190" s="23"/>
      <c r="C190" s="23"/>
      <c r="D190" s="23"/>
      <c r="E190" s="24"/>
      <c r="F190" s="24"/>
      <c r="G190" s="24"/>
      <c r="H190" s="24"/>
      <c r="I190" s="24"/>
      <c r="J190" s="24"/>
      <c r="K190" s="24"/>
      <c r="L190" s="24"/>
      <c r="M190" s="24"/>
    </row>
    <row r="191" spans="1:13" s="19" customFormat="1" ht="25.5" customHeight="1">
      <c r="A191" s="22"/>
      <c r="B191" s="23"/>
      <c r="C191" s="23"/>
      <c r="D191" s="23"/>
      <c r="E191" s="24"/>
      <c r="F191" s="24"/>
      <c r="G191" s="24"/>
      <c r="H191" s="24"/>
      <c r="I191" s="24"/>
      <c r="J191" s="24"/>
      <c r="K191" s="24"/>
      <c r="L191" s="24"/>
      <c r="M191" s="24"/>
    </row>
    <row r="192" spans="1:13" s="19" customFormat="1" ht="25.5" customHeight="1">
      <c r="A192" s="22"/>
      <c r="B192" s="23"/>
      <c r="C192" s="23"/>
      <c r="D192" s="23"/>
      <c r="E192" s="24"/>
      <c r="F192" s="24"/>
      <c r="G192" s="24"/>
      <c r="H192" s="24"/>
      <c r="I192" s="24"/>
      <c r="J192" s="24"/>
      <c r="K192" s="24"/>
      <c r="L192" s="24"/>
      <c r="M192" s="24"/>
    </row>
    <row r="193" spans="1:13" s="19" customFormat="1" ht="25.5" customHeight="1">
      <c r="A193" s="22"/>
      <c r="B193" s="23"/>
      <c r="C193" s="23"/>
      <c r="D193" s="23"/>
      <c r="E193" s="24"/>
      <c r="F193" s="24"/>
      <c r="G193" s="24"/>
      <c r="H193" s="24"/>
      <c r="I193" s="24"/>
      <c r="J193" s="24"/>
      <c r="K193" s="24"/>
      <c r="L193" s="24"/>
      <c r="M193" s="24"/>
    </row>
    <row r="194" spans="1:13" s="19" customFormat="1" ht="25.5" customHeight="1">
      <c r="A194" s="22"/>
      <c r="B194" s="23"/>
      <c r="C194" s="23"/>
      <c r="D194" s="23"/>
      <c r="E194" s="24"/>
      <c r="F194" s="24"/>
      <c r="G194" s="24"/>
      <c r="H194" s="24"/>
      <c r="I194" s="24"/>
      <c r="J194" s="24"/>
      <c r="K194" s="24"/>
      <c r="L194" s="24"/>
      <c r="M194" s="24"/>
    </row>
    <row r="195" spans="1:13" s="19" customFormat="1" ht="25.5" customHeight="1">
      <c r="A195" s="22"/>
      <c r="B195" s="23"/>
      <c r="C195" s="23"/>
      <c r="D195" s="23"/>
      <c r="E195" s="24"/>
      <c r="F195" s="24"/>
      <c r="G195" s="24"/>
      <c r="H195" s="24"/>
      <c r="I195" s="24"/>
      <c r="J195" s="24"/>
      <c r="K195" s="24"/>
      <c r="L195" s="24"/>
      <c r="M195" s="24"/>
    </row>
    <row r="196" spans="1:13" s="19" customFormat="1" ht="25.5" customHeight="1">
      <c r="A196" s="22"/>
      <c r="B196" s="23"/>
      <c r="C196" s="23"/>
      <c r="D196" s="23"/>
      <c r="E196" s="24"/>
      <c r="F196" s="24"/>
      <c r="G196" s="24"/>
      <c r="H196" s="24"/>
      <c r="I196" s="24"/>
      <c r="J196" s="24"/>
      <c r="K196" s="24"/>
      <c r="L196" s="24"/>
      <c r="M196" s="24"/>
    </row>
    <row r="197" spans="1:13" s="19" customFormat="1" ht="25.5" customHeight="1">
      <c r="A197" s="22"/>
      <c r="B197" s="23"/>
      <c r="C197" s="23"/>
      <c r="D197" s="23"/>
      <c r="E197" s="24"/>
      <c r="F197" s="24"/>
      <c r="G197" s="24"/>
      <c r="H197" s="24"/>
      <c r="I197" s="24"/>
      <c r="J197" s="24"/>
      <c r="K197" s="24"/>
      <c r="L197" s="24"/>
      <c r="M197" s="24"/>
    </row>
    <row r="198" spans="1:13" s="19" customFormat="1" ht="25.5" customHeight="1">
      <c r="A198" s="22"/>
      <c r="B198" s="23"/>
      <c r="C198" s="23"/>
      <c r="D198" s="23"/>
      <c r="E198" s="24"/>
      <c r="F198" s="24"/>
      <c r="G198" s="24"/>
      <c r="H198" s="24"/>
      <c r="I198" s="24"/>
      <c r="J198" s="24"/>
      <c r="K198" s="24"/>
      <c r="L198" s="24"/>
      <c r="M198" s="24"/>
    </row>
    <row r="199" spans="1:13" s="4" customFormat="1" ht="25.5" customHeight="1">
      <c r="A199" s="22"/>
      <c r="B199" s="23"/>
      <c r="C199" s="23"/>
      <c r="D199" s="23"/>
      <c r="E199" s="24"/>
      <c r="F199" s="24"/>
      <c r="G199" s="24"/>
      <c r="H199" s="24"/>
      <c r="I199" s="24"/>
      <c r="J199" s="24"/>
      <c r="K199" s="24"/>
      <c r="L199" s="24"/>
      <c r="M199" s="24"/>
    </row>
    <row r="200" spans="1:13" s="4" customFormat="1" ht="25.5" customHeight="1">
      <c r="A200" s="22"/>
      <c r="B200" s="23"/>
      <c r="C200" s="23"/>
      <c r="D200" s="23"/>
      <c r="E200" s="24"/>
      <c r="F200" s="24"/>
      <c r="G200" s="24"/>
      <c r="H200" s="24"/>
      <c r="I200" s="24"/>
      <c r="J200" s="24"/>
      <c r="K200" s="24"/>
      <c r="L200" s="24"/>
      <c r="M200" s="24"/>
    </row>
    <row r="201" spans="1:13" s="4" customFormat="1" ht="25.5" customHeight="1">
      <c r="A201" s="22"/>
      <c r="B201" s="23"/>
      <c r="C201" s="23"/>
      <c r="D201" s="23"/>
      <c r="E201" s="24"/>
      <c r="F201" s="24"/>
      <c r="G201" s="24"/>
      <c r="H201" s="24"/>
      <c r="I201" s="24"/>
      <c r="J201" s="24"/>
      <c r="K201" s="24"/>
      <c r="L201" s="24"/>
      <c r="M201" s="24"/>
    </row>
    <row r="202" spans="1:13" s="4" customFormat="1" ht="25.5" customHeight="1">
      <c r="A202" s="22"/>
      <c r="B202" s="23"/>
      <c r="C202" s="23"/>
      <c r="D202" s="23"/>
      <c r="E202" s="24"/>
      <c r="F202" s="24"/>
      <c r="G202" s="24"/>
      <c r="H202" s="24"/>
      <c r="I202" s="24"/>
      <c r="J202" s="24"/>
      <c r="K202" s="24"/>
      <c r="L202" s="24"/>
      <c r="M202" s="24"/>
    </row>
    <row r="203" spans="1:13" s="4" customFormat="1" ht="25.5" customHeight="1">
      <c r="A203" s="22"/>
      <c r="B203" s="23"/>
      <c r="C203" s="23"/>
      <c r="D203" s="23"/>
      <c r="E203" s="24"/>
      <c r="F203" s="24"/>
      <c r="G203" s="24"/>
      <c r="H203" s="24"/>
      <c r="I203" s="24"/>
      <c r="J203" s="24"/>
      <c r="K203" s="24"/>
      <c r="L203" s="24"/>
      <c r="M203" s="24"/>
    </row>
    <row r="204" spans="1:13" s="4" customFormat="1" ht="25.5" customHeight="1">
      <c r="A204" s="22"/>
      <c r="B204" s="23"/>
      <c r="C204" s="23"/>
      <c r="D204" s="23"/>
      <c r="E204" s="24"/>
      <c r="F204" s="24"/>
      <c r="G204" s="24"/>
      <c r="H204" s="24"/>
      <c r="I204" s="24"/>
      <c r="J204" s="24"/>
      <c r="K204" s="24"/>
      <c r="L204" s="24"/>
      <c r="M204" s="24"/>
    </row>
    <row r="205" spans="1:13" s="4" customFormat="1" ht="25.5" customHeight="1">
      <c r="A205" s="22"/>
      <c r="B205" s="23"/>
      <c r="C205" s="23"/>
      <c r="D205" s="23"/>
      <c r="E205" s="24"/>
      <c r="F205" s="24"/>
      <c r="G205" s="24"/>
      <c r="H205" s="24"/>
      <c r="I205" s="24"/>
      <c r="J205" s="24"/>
      <c r="K205" s="24"/>
      <c r="L205" s="24"/>
      <c r="M205" s="24"/>
    </row>
    <row r="206" spans="1:13" s="4" customFormat="1" ht="25.5" customHeight="1">
      <c r="A206" s="22"/>
      <c r="B206" s="23"/>
      <c r="C206" s="23"/>
      <c r="D206" s="23"/>
      <c r="E206" s="24"/>
      <c r="F206" s="24"/>
      <c r="G206" s="24"/>
      <c r="H206" s="24"/>
      <c r="I206" s="24"/>
      <c r="J206" s="24"/>
      <c r="K206" s="24"/>
      <c r="L206" s="24"/>
      <c r="M206" s="24"/>
    </row>
    <row r="207" spans="1:13" s="4" customFormat="1" ht="25.5" customHeight="1">
      <c r="A207" s="22"/>
      <c r="B207" s="23"/>
      <c r="C207" s="23"/>
      <c r="D207" s="23"/>
      <c r="E207" s="24"/>
      <c r="F207" s="24"/>
      <c r="G207" s="24"/>
      <c r="H207" s="24"/>
      <c r="I207" s="24"/>
      <c r="J207" s="24"/>
      <c r="K207" s="24"/>
      <c r="L207" s="24"/>
      <c r="M207" s="24"/>
    </row>
    <row r="208" spans="1:13" s="4" customFormat="1" ht="25.5" customHeight="1">
      <c r="A208" s="22"/>
      <c r="B208" s="23"/>
      <c r="C208" s="23"/>
      <c r="D208" s="23"/>
      <c r="E208" s="24"/>
      <c r="F208" s="24"/>
      <c r="G208" s="24"/>
      <c r="H208" s="24"/>
      <c r="I208" s="24"/>
      <c r="J208" s="24"/>
      <c r="K208" s="24"/>
      <c r="L208" s="24"/>
      <c r="M208" s="24"/>
    </row>
    <row r="209" spans="1:13" s="4" customFormat="1" ht="25.5" customHeight="1">
      <c r="A209" s="22"/>
      <c r="B209" s="23"/>
      <c r="C209" s="23"/>
      <c r="D209" s="23"/>
      <c r="E209" s="24"/>
      <c r="F209" s="24"/>
      <c r="G209" s="24"/>
      <c r="H209" s="24"/>
      <c r="I209" s="24"/>
      <c r="J209" s="24"/>
      <c r="K209" s="24"/>
      <c r="L209" s="24"/>
      <c r="M209" s="24"/>
    </row>
    <row r="210" spans="1:13" s="4" customFormat="1" ht="25.5" customHeight="1">
      <c r="A210" s="22"/>
      <c r="B210" s="23"/>
      <c r="C210" s="23"/>
      <c r="D210" s="23"/>
      <c r="E210" s="24"/>
      <c r="F210" s="24"/>
      <c r="G210" s="24"/>
      <c r="H210" s="24"/>
      <c r="I210" s="24"/>
      <c r="J210" s="24"/>
      <c r="K210" s="24"/>
      <c r="L210" s="24"/>
      <c r="M210" s="24"/>
    </row>
    <row r="211" spans="1:13" s="4" customFormat="1" ht="25.5" customHeight="1">
      <c r="A211" s="22"/>
      <c r="B211" s="23"/>
      <c r="C211" s="23"/>
      <c r="D211" s="23"/>
      <c r="E211" s="24"/>
      <c r="F211" s="24"/>
      <c r="G211" s="24"/>
      <c r="H211" s="24"/>
      <c r="I211" s="24"/>
      <c r="J211" s="24"/>
      <c r="K211" s="24"/>
      <c r="L211" s="24"/>
      <c r="M211" s="24"/>
    </row>
    <row r="212" spans="1:13" s="4" customFormat="1" ht="25.5" customHeight="1">
      <c r="A212" s="22"/>
      <c r="B212" s="23"/>
      <c r="C212" s="23"/>
      <c r="D212" s="23"/>
      <c r="E212" s="24"/>
      <c r="F212" s="24"/>
      <c r="G212" s="24"/>
      <c r="H212" s="24"/>
      <c r="I212" s="24"/>
      <c r="J212" s="24"/>
      <c r="K212" s="24"/>
      <c r="L212" s="24"/>
      <c r="M212" s="24"/>
    </row>
    <row r="213" spans="1:13" s="4" customFormat="1" ht="25.5" customHeight="1">
      <c r="A213" s="22"/>
      <c r="B213" s="23"/>
      <c r="C213" s="23"/>
      <c r="D213" s="23"/>
      <c r="E213" s="24"/>
      <c r="F213" s="24"/>
      <c r="G213" s="24"/>
      <c r="H213" s="24"/>
      <c r="I213" s="24"/>
      <c r="J213" s="24"/>
      <c r="K213" s="24"/>
      <c r="L213" s="24"/>
      <c r="M213" s="24"/>
    </row>
    <row r="214" spans="1:13" s="4" customFormat="1" ht="25.5" customHeight="1">
      <c r="A214" s="22"/>
      <c r="B214" s="23"/>
      <c r="C214" s="23"/>
      <c r="D214" s="23"/>
      <c r="E214" s="24"/>
      <c r="F214" s="24"/>
      <c r="G214" s="24"/>
      <c r="H214" s="24"/>
      <c r="I214" s="24"/>
      <c r="J214" s="24"/>
      <c r="K214" s="24"/>
      <c r="L214" s="24"/>
      <c r="M214" s="24"/>
    </row>
    <row r="215" spans="1:13" s="4" customFormat="1" ht="25.5" customHeight="1">
      <c r="A215" s="22"/>
      <c r="B215" s="23"/>
      <c r="C215" s="23"/>
      <c r="D215" s="23"/>
      <c r="E215" s="24"/>
      <c r="F215" s="24"/>
      <c r="G215" s="24"/>
      <c r="H215" s="24"/>
      <c r="I215" s="24"/>
      <c r="J215" s="24"/>
      <c r="K215" s="24"/>
      <c r="L215" s="24"/>
      <c r="M215" s="24"/>
    </row>
    <row r="216" spans="1:13" s="4" customFormat="1" ht="25.5" customHeight="1">
      <c r="A216" s="22"/>
      <c r="B216" s="23"/>
      <c r="C216" s="23"/>
      <c r="D216" s="23"/>
      <c r="E216" s="24"/>
      <c r="F216" s="24"/>
      <c r="G216" s="24"/>
      <c r="H216" s="24"/>
      <c r="I216" s="24"/>
      <c r="J216" s="24"/>
      <c r="K216" s="24"/>
      <c r="L216" s="24"/>
      <c r="M216" s="24"/>
    </row>
    <row r="217" spans="1:13" s="4" customFormat="1" ht="25.5" customHeight="1">
      <c r="A217" s="22"/>
      <c r="B217" s="23"/>
      <c r="C217" s="23"/>
      <c r="D217" s="23"/>
      <c r="E217" s="24"/>
      <c r="F217" s="24"/>
      <c r="G217" s="24"/>
      <c r="H217" s="24"/>
      <c r="I217" s="24"/>
      <c r="J217" s="24"/>
      <c r="K217" s="24"/>
      <c r="L217" s="24"/>
      <c r="M217" s="24"/>
    </row>
    <row r="218" spans="1:13" s="4" customFormat="1" ht="25.5" customHeight="1">
      <c r="A218" s="22"/>
      <c r="B218" s="23"/>
      <c r="C218" s="23"/>
      <c r="D218" s="23"/>
      <c r="E218" s="24"/>
      <c r="F218" s="24"/>
      <c r="G218" s="24"/>
      <c r="H218" s="24"/>
      <c r="I218" s="24"/>
      <c r="J218" s="24"/>
      <c r="K218" s="24"/>
      <c r="L218" s="24"/>
      <c r="M218" s="24"/>
    </row>
    <row r="219" spans="1:13" s="4" customFormat="1" ht="25.5" customHeight="1">
      <c r="A219" s="22"/>
      <c r="B219" s="23"/>
      <c r="C219" s="23"/>
      <c r="D219" s="23"/>
      <c r="E219" s="24"/>
      <c r="F219" s="24"/>
      <c r="G219" s="24"/>
      <c r="H219" s="24"/>
      <c r="I219" s="24"/>
      <c r="J219" s="24"/>
      <c r="K219" s="24"/>
      <c r="L219" s="24"/>
      <c r="M219" s="24"/>
    </row>
    <row r="220" spans="1:13" s="4" customFormat="1" ht="25.5" customHeight="1">
      <c r="A220" s="22"/>
      <c r="B220" s="23"/>
      <c r="C220" s="23"/>
      <c r="D220" s="23"/>
      <c r="E220" s="24"/>
      <c r="F220" s="24"/>
      <c r="G220" s="24"/>
      <c r="H220" s="24"/>
      <c r="I220" s="24"/>
      <c r="J220" s="24"/>
      <c r="K220" s="24"/>
      <c r="L220" s="24"/>
      <c r="M220" s="24"/>
    </row>
    <row r="221" spans="1:13" s="4" customFormat="1" ht="25.5" customHeight="1">
      <c r="A221" s="22"/>
      <c r="B221" s="23"/>
      <c r="C221" s="23"/>
      <c r="D221" s="23"/>
      <c r="E221" s="24"/>
      <c r="F221" s="24"/>
      <c r="G221" s="24"/>
      <c r="H221" s="24"/>
      <c r="I221" s="24"/>
      <c r="J221" s="24"/>
      <c r="K221" s="24"/>
      <c r="L221" s="24"/>
      <c r="M221" s="24"/>
    </row>
    <row r="222" spans="1:13" s="4" customFormat="1" ht="25.5" customHeight="1">
      <c r="A222" s="22"/>
      <c r="B222" s="23"/>
      <c r="C222" s="23"/>
      <c r="D222" s="23"/>
      <c r="E222" s="24"/>
      <c r="F222" s="24"/>
      <c r="G222" s="24"/>
      <c r="H222" s="24"/>
      <c r="I222" s="24"/>
      <c r="J222" s="24"/>
      <c r="K222" s="24"/>
      <c r="L222" s="24"/>
      <c r="M222" s="24"/>
    </row>
    <row r="223" spans="1:13" s="4" customFormat="1" ht="25.5" customHeight="1">
      <c r="A223" s="22"/>
      <c r="B223" s="23"/>
      <c r="C223" s="23"/>
      <c r="D223" s="23"/>
      <c r="E223" s="24"/>
      <c r="F223" s="24"/>
      <c r="G223" s="24"/>
      <c r="H223" s="24"/>
      <c r="I223" s="24"/>
      <c r="J223" s="24"/>
      <c r="K223" s="24"/>
      <c r="L223" s="24"/>
      <c r="M223" s="24"/>
    </row>
    <row r="224" spans="1:13" s="4" customFormat="1" ht="25.5" customHeight="1">
      <c r="A224" s="22"/>
      <c r="B224" s="23"/>
      <c r="C224" s="23"/>
      <c r="D224" s="23"/>
      <c r="E224" s="24"/>
      <c r="F224" s="24"/>
      <c r="G224" s="24"/>
      <c r="H224" s="24"/>
      <c r="I224" s="24"/>
      <c r="J224" s="24"/>
      <c r="K224" s="24"/>
      <c r="L224" s="24"/>
      <c r="M224" s="24"/>
    </row>
    <row r="225" spans="1:13" s="4" customFormat="1" ht="25.5" customHeight="1">
      <c r="A225" s="22"/>
      <c r="B225" s="23"/>
      <c r="C225" s="23"/>
      <c r="D225" s="23"/>
      <c r="E225" s="24"/>
      <c r="F225" s="24"/>
      <c r="G225" s="24"/>
      <c r="H225" s="24"/>
      <c r="I225" s="24"/>
      <c r="J225" s="24"/>
      <c r="K225" s="24"/>
      <c r="L225" s="24"/>
      <c r="M225" s="24"/>
    </row>
    <row r="226" spans="1:13" s="4" customFormat="1" ht="25.5" customHeight="1">
      <c r="A226" s="22"/>
      <c r="B226" s="23"/>
      <c r="C226" s="23"/>
      <c r="D226" s="23"/>
      <c r="E226" s="24"/>
      <c r="F226" s="24"/>
      <c r="G226" s="24"/>
      <c r="H226" s="24"/>
      <c r="I226" s="24"/>
      <c r="J226" s="24"/>
      <c r="K226" s="24"/>
      <c r="L226" s="24"/>
      <c r="M226" s="24"/>
    </row>
    <row r="227" spans="1:13" s="4" customFormat="1" ht="25.5" customHeight="1">
      <c r="A227" s="22"/>
      <c r="B227" s="23"/>
      <c r="C227" s="23"/>
      <c r="D227" s="23"/>
      <c r="E227" s="24"/>
      <c r="F227" s="24"/>
      <c r="G227" s="24"/>
      <c r="H227" s="24"/>
      <c r="I227" s="24"/>
      <c r="J227" s="24"/>
      <c r="K227" s="24"/>
      <c r="L227" s="24"/>
      <c r="M227" s="24"/>
    </row>
    <row r="228" spans="1:13" s="4" customFormat="1" ht="25.5" customHeight="1">
      <c r="A228" s="22"/>
      <c r="B228" s="23"/>
      <c r="C228" s="23"/>
      <c r="D228" s="23"/>
      <c r="E228" s="24"/>
      <c r="F228" s="24"/>
      <c r="G228" s="24"/>
      <c r="H228" s="24"/>
      <c r="I228" s="24"/>
      <c r="J228" s="24"/>
      <c r="K228" s="24"/>
      <c r="L228" s="24"/>
      <c r="M228" s="24"/>
    </row>
    <row r="229" spans="1:13" s="4" customFormat="1" ht="25.5" customHeight="1">
      <c r="A229" s="22"/>
      <c r="B229" s="23"/>
      <c r="C229" s="23"/>
      <c r="D229" s="23"/>
      <c r="E229" s="24"/>
      <c r="F229" s="24"/>
      <c r="G229" s="24"/>
      <c r="H229" s="24"/>
      <c r="I229" s="24"/>
      <c r="J229" s="24"/>
      <c r="K229" s="24"/>
      <c r="L229" s="24"/>
      <c r="M229" s="24"/>
    </row>
    <row r="230" spans="1:13" s="4" customFormat="1" ht="25.5" customHeight="1">
      <c r="A230" s="22"/>
      <c r="B230" s="23"/>
      <c r="C230" s="23"/>
      <c r="D230" s="23"/>
      <c r="E230" s="24"/>
      <c r="F230" s="24"/>
      <c r="G230" s="24"/>
      <c r="H230" s="24"/>
      <c r="I230" s="24"/>
      <c r="J230" s="24"/>
      <c r="K230" s="24"/>
      <c r="L230" s="24"/>
      <c r="M230" s="24"/>
    </row>
    <row r="231" spans="1:13" s="4" customFormat="1" ht="25.5" customHeight="1">
      <c r="A231" s="22"/>
      <c r="B231" s="23"/>
      <c r="C231" s="23"/>
      <c r="D231" s="23"/>
      <c r="E231" s="24"/>
      <c r="F231" s="24"/>
      <c r="G231" s="24"/>
      <c r="H231" s="24"/>
      <c r="I231" s="24"/>
      <c r="J231" s="24"/>
      <c r="K231" s="24"/>
      <c r="L231" s="24"/>
      <c r="M231" s="24"/>
    </row>
    <row r="232" spans="1:13" s="4" customFormat="1" ht="25.5" customHeight="1">
      <c r="A232" s="22"/>
      <c r="B232" s="23"/>
      <c r="C232" s="23"/>
      <c r="D232" s="23"/>
      <c r="E232" s="24"/>
      <c r="F232" s="24"/>
      <c r="G232" s="24"/>
      <c r="H232" s="24"/>
      <c r="I232" s="24"/>
      <c r="J232" s="24"/>
      <c r="K232" s="24"/>
      <c r="L232" s="24"/>
      <c r="M232" s="24"/>
    </row>
    <row r="233" spans="1:13" s="4" customFormat="1" ht="25.5" customHeight="1">
      <c r="A233" s="22"/>
      <c r="B233" s="23"/>
      <c r="C233" s="23"/>
      <c r="D233" s="23"/>
      <c r="E233" s="24"/>
      <c r="F233" s="24"/>
      <c r="G233" s="24"/>
      <c r="H233" s="24"/>
      <c r="I233" s="24"/>
      <c r="J233" s="24"/>
      <c r="K233" s="24"/>
      <c r="L233" s="24"/>
      <c r="M233" s="24"/>
    </row>
    <row r="234" spans="1:13" s="4" customFormat="1" ht="25.5" customHeight="1">
      <c r="A234" s="22"/>
      <c r="B234" s="23"/>
      <c r="C234" s="23"/>
      <c r="D234" s="23"/>
      <c r="E234" s="24"/>
      <c r="F234" s="24"/>
      <c r="G234" s="24"/>
      <c r="H234" s="24"/>
      <c r="I234" s="24"/>
      <c r="J234" s="24"/>
      <c r="K234" s="24"/>
      <c r="L234" s="24"/>
      <c r="M234" s="24"/>
    </row>
    <row r="235" spans="1:13" s="4" customFormat="1" ht="25.5" customHeight="1">
      <c r="A235" s="22"/>
      <c r="B235" s="23"/>
      <c r="C235" s="23"/>
      <c r="D235" s="23"/>
      <c r="E235" s="24"/>
      <c r="F235" s="24"/>
      <c r="G235" s="24"/>
      <c r="H235" s="24"/>
      <c r="I235" s="24"/>
      <c r="J235" s="24"/>
      <c r="K235" s="24"/>
      <c r="L235" s="24"/>
      <c r="M235" s="24"/>
    </row>
    <row r="236" spans="1:13" s="4" customFormat="1" ht="25.5" customHeight="1">
      <c r="A236" s="22"/>
      <c r="B236" s="23"/>
      <c r="C236" s="23"/>
      <c r="D236" s="23"/>
      <c r="E236" s="24"/>
      <c r="F236" s="24"/>
      <c r="G236" s="24"/>
      <c r="H236" s="24"/>
      <c r="I236" s="24"/>
      <c r="J236" s="24"/>
      <c r="K236" s="24"/>
      <c r="L236" s="24"/>
      <c r="M236" s="24"/>
    </row>
    <row r="237" spans="1:13" s="4" customFormat="1" ht="25.5" customHeight="1">
      <c r="A237" s="22"/>
      <c r="B237" s="23"/>
      <c r="C237" s="23"/>
      <c r="D237" s="23"/>
      <c r="E237" s="24"/>
      <c r="F237" s="24"/>
      <c r="G237" s="24"/>
      <c r="H237" s="24"/>
      <c r="I237" s="24"/>
      <c r="J237" s="24"/>
      <c r="K237" s="24"/>
      <c r="L237" s="24"/>
      <c r="M237" s="24"/>
    </row>
    <row r="238" spans="1:13" s="4" customFormat="1" ht="25.5" customHeight="1">
      <c r="A238" s="22"/>
      <c r="B238" s="23"/>
      <c r="C238" s="23"/>
      <c r="D238" s="23"/>
      <c r="E238" s="24"/>
      <c r="F238" s="24"/>
      <c r="G238" s="24"/>
      <c r="H238" s="24"/>
      <c r="I238" s="24"/>
      <c r="J238" s="24"/>
      <c r="K238" s="24"/>
      <c r="L238" s="24"/>
      <c r="M238" s="24"/>
    </row>
    <row r="239" spans="1:13" s="4" customFormat="1" ht="25.5" customHeight="1">
      <c r="A239" s="22"/>
      <c r="B239" s="23"/>
      <c r="C239" s="23"/>
      <c r="D239" s="23"/>
      <c r="E239" s="24"/>
      <c r="F239" s="24"/>
      <c r="G239" s="24"/>
      <c r="H239" s="24"/>
      <c r="I239" s="24"/>
      <c r="J239" s="24"/>
      <c r="K239" s="24"/>
      <c r="L239" s="24"/>
      <c r="M239" s="24"/>
    </row>
    <row r="240" spans="1:13" s="4" customFormat="1" ht="25.5" customHeight="1">
      <c r="A240" s="22"/>
      <c r="B240" s="23"/>
      <c r="C240" s="23"/>
      <c r="D240" s="23"/>
      <c r="E240" s="24"/>
      <c r="F240" s="24"/>
      <c r="G240" s="24"/>
      <c r="H240" s="24"/>
      <c r="I240" s="24"/>
      <c r="J240" s="24"/>
      <c r="K240" s="24"/>
      <c r="L240" s="24"/>
      <c r="M240" s="24"/>
    </row>
    <row r="241" spans="1:13" s="4" customFormat="1" ht="25.5" customHeight="1">
      <c r="A241" s="22"/>
      <c r="B241" s="23"/>
      <c r="C241" s="23"/>
      <c r="D241" s="23"/>
      <c r="E241" s="24"/>
      <c r="F241" s="24"/>
      <c r="G241" s="24"/>
      <c r="H241" s="24"/>
      <c r="I241" s="24"/>
      <c r="J241" s="24"/>
      <c r="K241" s="24"/>
      <c r="L241" s="24"/>
      <c r="M241" s="24"/>
    </row>
    <row r="242" spans="1:13" s="5" customFormat="1" ht="25.5" customHeight="1">
      <c r="A242" s="22"/>
      <c r="B242" s="23"/>
      <c r="C242" s="23"/>
      <c r="D242" s="23"/>
      <c r="E242" s="24"/>
      <c r="F242" s="24"/>
      <c r="G242" s="24"/>
      <c r="H242" s="24"/>
      <c r="I242" s="24"/>
      <c r="J242" s="24"/>
      <c r="K242" s="24"/>
      <c r="L242" s="24"/>
      <c r="M242" s="24"/>
    </row>
    <row r="243" spans="1:13" s="5" customFormat="1" ht="25.5" customHeight="1">
      <c r="A243" s="22"/>
      <c r="B243" s="23"/>
      <c r="C243" s="23"/>
      <c r="D243" s="23"/>
      <c r="E243" s="24"/>
      <c r="F243" s="24"/>
      <c r="G243" s="24"/>
      <c r="H243" s="24"/>
      <c r="I243" s="24"/>
      <c r="J243" s="24"/>
      <c r="K243" s="24"/>
      <c r="L243" s="24"/>
      <c r="M243" s="24"/>
    </row>
    <row r="244" spans="1:13" s="5" customFormat="1" ht="25.5" customHeight="1">
      <c r="A244" s="22"/>
      <c r="B244" s="23"/>
      <c r="C244" s="23"/>
      <c r="D244" s="23"/>
      <c r="E244" s="24"/>
      <c r="F244" s="24"/>
      <c r="G244" s="24"/>
      <c r="H244" s="24"/>
      <c r="I244" s="24"/>
      <c r="J244" s="24"/>
      <c r="K244" s="24"/>
      <c r="L244" s="24"/>
      <c r="M244" s="24"/>
    </row>
    <row r="245" spans="1:13" s="5" customFormat="1" ht="25.5" customHeight="1">
      <c r="A245" s="22"/>
      <c r="B245" s="23"/>
      <c r="C245" s="23"/>
      <c r="D245" s="23"/>
      <c r="E245" s="24"/>
      <c r="F245" s="24"/>
      <c r="G245" s="24"/>
      <c r="H245" s="24"/>
      <c r="I245" s="24"/>
      <c r="J245" s="24"/>
      <c r="K245" s="24"/>
      <c r="L245" s="24"/>
      <c r="M245" s="24"/>
    </row>
    <row r="246" spans="1:13" s="5" customFormat="1" ht="25.5" customHeight="1">
      <c r="A246" s="22"/>
      <c r="B246" s="23"/>
      <c r="C246" s="23"/>
      <c r="D246" s="23"/>
      <c r="E246" s="24"/>
      <c r="F246" s="24"/>
      <c r="G246" s="24"/>
      <c r="H246" s="24"/>
      <c r="I246" s="24"/>
      <c r="J246" s="24"/>
      <c r="K246" s="24"/>
      <c r="L246" s="24"/>
      <c r="M246" s="24"/>
    </row>
    <row r="247" spans="1:13" s="5" customFormat="1" ht="25.5" customHeight="1">
      <c r="A247" s="22"/>
      <c r="B247" s="23"/>
      <c r="C247" s="23"/>
      <c r="D247" s="23"/>
      <c r="E247" s="24"/>
      <c r="F247" s="24"/>
      <c r="G247" s="24"/>
      <c r="H247" s="24"/>
      <c r="I247" s="24"/>
      <c r="J247" s="24"/>
      <c r="K247" s="24"/>
      <c r="L247" s="24"/>
      <c r="M247" s="24"/>
    </row>
    <row r="248" spans="1:13" s="5" customFormat="1" ht="25.5" customHeight="1">
      <c r="A248" s="22"/>
      <c r="B248" s="23"/>
      <c r="C248" s="23"/>
      <c r="D248" s="23"/>
      <c r="E248" s="24"/>
      <c r="F248" s="24"/>
      <c r="G248" s="24"/>
      <c r="H248" s="24"/>
      <c r="I248" s="24"/>
      <c r="J248" s="24"/>
      <c r="K248" s="24"/>
      <c r="L248" s="24"/>
      <c r="M248" s="24"/>
    </row>
    <row r="249" spans="1:13" s="5" customFormat="1" ht="25.5" customHeight="1">
      <c r="A249" s="22"/>
      <c r="B249" s="23"/>
      <c r="C249" s="23"/>
      <c r="D249" s="23"/>
      <c r="E249" s="24"/>
      <c r="F249" s="24"/>
      <c r="G249" s="24"/>
      <c r="H249" s="24"/>
      <c r="I249" s="24"/>
      <c r="J249" s="24"/>
      <c r="K249" s="24"/>
      <c r="L249" s="24"/>
      <c r="M249" s="24"/>
    </row>
    <row r="250" spans="1:13" s="5" customFormat="1" ht="25.5" customHeight="1">
      <c r="A250" s="22"/>
      <c r="B250" s="23"/>
      <c r="C250" s="23"/>
      <c r="D250" s="23"/>
      <c r="E250" s="24"/>
      <c r="F250" s="24"/>
      <c r="G250" s="24"/>
      <c r="H250" s="24"/>
      <c r="I250" s="24"/>
      <c r="J250" s="24"/>
      <c r="K250" s="24"/>
      <c r="L250" s="24"/>
      <c r="M250" s="24"/>
    </row>
    <row r="251" spans="1:13" s="5" customFormat="1" ht="25.5" customHeight="1">
      <c r="A251" s="22"/>
      <c r="B251" s="23"/>
      <c r="C251" s="23"/>
      <c r="D251" s="23"/>
      <c r="E251" s="24"/>
      <c r="F251" s="24"/>
      <c r="G251" s="24"/>
      <c r="H251" s="24"/>
      <c r="I251" s="24"/>
      <c r="J251" s="24"/>
      <c r="K251" s="24"/>
      <c r="L251" s="24"/>
      <c r="M251" s="24"/>
    </row>
    <row r="252" spans="1:13" s="5" customFormat="1" ht="25.5" customHeight="1">
      <c r="A252" s="22"/>
      <c r="B252" s="23"/>
      <c r="C252" s="23"/>
      <c r="D252" s="23"/>
      <c r="E252" s="24"/>
      <c r="F252" s="24"/>
      <c r="G252" s="24"/>
      <c r="H252" s="24"/>
      <c r="I252" s="24"/>
      <c r="J252" s="24"/>
      <c r="K252" s="24"/>
      <c r="L252" s="24"/>
      <c r="M252" s="24"/>
    </row>
    <row r="253" spans="1:13" s="5" customFormat="1" ht="25.5" customHeight="1">
      <c r="A253" s="22"/>
      <c r="B253" s="23"/>
      <c r="C253" s="23"/>
      <c r="D253" s="23"/>
      <c r="E253" s="24"/>
      <c r="F253" s="24"/>
      <c r="G253" s="24"/>
      <c r="H253" s="24"/>
      <c r="I253" s="24"/>
      <c r="J253" s="24"/>
      <c r="K253" s="24"/>
      <c r="L253" s="24"/>
      <c r="M253" s="24"/>
    </row>
    <row r="254" spans="1:13" s="5" customFormat="1" ht="25.5" customHeight="1">
      <c r="A254" s="22"/>
      <c r="B254" s="23"/>
      <c r="C254" s="23"/>
      <c r="D254" s="23"/>
      <c r="E254" s="24"/>
      <c r="F254" s="24"/>
      <c r="G254" s="24"/>
      <c r="H254" s="24"/>
      <c r="I254" s="24"/>
      <c r="J254" s="24"/>
      <c r="K254" s="24"/>
      <c r="L254" s="24"/>
      <c r="M254" s="24"/>
    </row>
    <row r="255" spans="1:13" s="5" customFormat="1" ht="25.5" customHeight="1">
      <c r="A255" s="22"/>
      <c r="B255" s="23"/>
      <c r="C255" s="23"/>
      <c r="D255" s="23"/>
      <c r="E255" s="24"/>
      <c r="F255" s="24"/>
      <c r="G255" s="24"/>
      <c r="H255" s="24"/>
      <c r="I255" s="24"/>
      <c r="J255" s="24"/>
      <c r="K255" s="24"/>
      <c r="L255" s="24"/>
      <c r="M255" s="24"/>
    </row>
    <row r="256" spans="1:13" s="5" customFormat="1" ht="25.5" customHeight="1">
      <c r="A256" s="22"/>
      <c r="B256" s="23"/>
      <c r="C256" s="23"/>
      <c r="D256" s="23"/>
      <c r="E256" s="24"/>
      <c r="F256" s="24"/>
      <c r="G256" s="24"/>
      <c r="H256" s="24"/>
      <c r="I256" s="24"/>
      <c r="J256" s="24"/>
      <c r="K256" s="24"/>
      <c r="L256" s="24"/>
      <c r="M256" s="24"/>
    </row>
    <row r="257" spans="1:13" s="5" customFormat="1" ht="25.5" customHeight="1">
      <c r="A257" s="22"/>
      <c r="B257" s="23"/>
      <c r="C257" s="23"/>
      <c r="D257" s="23"/>
      <c r="E257" s="24"/>
      <c r="F257" s="24"/>
      <c r="G257" s="24"/>
      <c r="H257" s="24"/>
      <c r="I257" s="24"/>
      <c r="J257" s="24"/>
      <c r="K257" s="24"/>
      <c r="L257" s="24"/>
      <c r="M257" s="24"/>
    </row>
    <row r="258" spans="1:13" s="5" customFormat="1" ht="25.5" customHeight="1">
      <c r="A258" s="22"/>
      <c r="B258" s="23"/>
      <c r="C258" s="23"/>
      <c r="D258" s="23"/>
      <c r="E258" s="24"/>
      <c r="F258" s="24"/>
      <c r="G258" s="24"/>
      <c r="H258" s="24"/>
      <c r="I258" s="24"/>
      <c r="J258" s="24"/>
      <c r="K258" s="24"/>
      <c r="L258" s="24"/>
      <c r="M258" s="24"/>
    </row>
    <row r="259" spans="1:13" s="5" customFormat="1" ht="25.5" customHeight="1">
      <c r="A259" s="22"/>
      <c r="B259" s="23"/>
      <c r="C259" s="23"/>
      <c r="D259" s="23"/>
      <c r="E259" s="24"/>
      <c r="F259" s="24"/>
      <c r="G259" s="24"/>
      <c r="H259" s="24"/>
      <c r="I259" s="24"/>
      <c r="J259" s="24"/>
      <c r="K259" s="24"/>
      <c r="L259" s="24"/>
      <c r="M259" s="24"/>
    </row>
    <row r="260" spans="1:13" s="5" customFormat="1" ht="25.5" customHeight="1">
      <c r="A260" s="22"/>
      <c r="B260" s="23"/>
      <c r="C260" s="23"/>
      <c r="D260" s="23"/>
      <c r="E260" s="24"/>
      <c r="F260" s="24"/>
      <c r="G260" s="24"/>
      <c r="H260" s="24"/>
      <c r="I260" s="24"/>
      <c r="J260" s="24"/>
      <c r="K260" s="24"/>
      <c r="L260" s="24"/>
      <c r="M260" s="24"/>
    </row>
    <row r="261" spans="1:13" s="5" customFormat="1" ht="25.5" customHeight="1">
      <c r="A261" s="22"/>
      <c r="B261" s="23"/>
      <c r="C261" s="23"/>
      <c r="D261" s="23"/>
      <c r="E261" s="24"/>
      <c r="F261" s="24"/>
      <c r="G261" s="24"/>
      <c r="H261" s="24"/>
      <c r="I261" s="24"/>
      <c r="J261" s="24"/>
      <c r="K261" s="24"/>
      <c r="L261" s="24"/>
      <c r="M261" s="24"/>
    </row>
    <row r="262" spans="1:13" s="5" customFormat="1" ht="25.5" customHeight="1">
      <c r="A262" s="22"/>
      <c r="B262" s="23"/>
      <c r="C262" s="23"/>
      <c r="D262" s="23"/>
      <c r="E262" s="24"/>
      <c r="F262" s="24"/>
      <c r="G262" s="24"/>
      <c r="H262" s="24"/>
      <c r="I262" s="24"/>
      <c r="J262" s="24"/>
      <c r="K262" s="24"/>
      <c r="L262" s="24"/>
      <c r="M262" s="24"/>
    </row>
    <row r="263" spans="1:13" s="5" customFormat="1" ht="25.5" customHeight="1">
      <c r="A263" s="22"/>
      <c r="B263" s="23"/>
      <c r="C263" s="23"/>
      <c r="D263" s="23"/>
      <c r="E263" s="24"/>
      <c r="F263" s="24"/>
      <c r="G263" s="24"/>
      <c r="H263" s="24"/>
      <c r="I263" s="24"/>
      <c r="J263" s="24"/>
      <c r="K263" s="24"/>
      <c r="L263" s="24"/>
      <c r="M263" s="24"/>
    </row>
    <row r="264" spans="1:13" s="5" customFormat="1" ht="25.5" customHeight="1">
      <c r="A264" s="22"/>
      <c r="B264" s="23"/>
      <c r="C264" s="23"/>
      <c r="D264" s="23"/>
      <c r="E264" s="24"/>
      <c r="F264" s="24"/>
      <c r="G264" s="24"/>
      <c r="H264" s="24"/>
      <c r="I264" s="24"/>
      <c r="J264" s="24"/>
      <c r="K264" s="24"/>
      <c r="L264" s="24"/>
      <c r="M264" s="24"/>
    </row>
    <row r="265" spans="1:13" s="5" customFormat="1" ht="25.5" customHeight="1">
      <c r="A265" s="22"/>
      <c r="B265" s="23"/>
      <c r="C265" s="23"/>
      <c r="D265" s="23"/>
      <c r="E265" s="24"/>
      <c r="F265" s="24"/>
      <c r="G265" s="24"/>
      <c r="H265" s="24"/>
      <c r="I265" s="24"/>
      <c r="J265" s="24"/>
      <c r="K265" s="24"/>
      <c r="L265" s="24"/>
      <c r="M265" s="24"/>
    </row>
    <row r="266" spans="1:13" s="5" customFormat="1" ht="25.5" customHeight="1">
      <c r="A266" s="22"/>
      <c r="B266" s="23"/>
      <c r="C266" s="23"/>
      <c r="D266" s="23"/>
      <c r="E266" s="24"/>
      <c r="F266" s="24"/>
      <c r="G266" s="24"/>
      <c r="H266" s="24"/>
      <c r="I266" s="24"/>
      <c r="J266" s="24"/>
      <c r="K266" s="24"/>
      <c r="L266" s="24"/>
      <c r="M266" s="24"/>
    </row>
    <row r="267" spans="1:13" s="5" customFormat="1" ht="25.5" customHeight="1">
      <c r="A267" s="22"/>
      <c r="B267" s="23"/>
      <c r="C267" s="23"/>
      <c r="D267" s="23"/>
      <c r="E267" s="24"/>
      <c r="F267" s="24"/>
      <c r="G267" s="24"/>
      <c r="H267" s="24"/>
      <c r="I267" s="24"/>
      <c r="J267" s="24"/>
      <c r="K267" s="24"/>
      <c r="L267" s="24"/>
      <c r="M267" s="24"/>
    </row>
    <row r="268" spans="1:13" s="5" customFormat="1" ht="25.5" customHeight="1">
      <c r="A268" s="22"/>
      <c r="B268" s="23"/>
      <c r="C268" s="23"/>
      <c r="D268" s="23"/>
      <c r="E268" s="24"/>
      <c r="F268" s="24"/>
      <c r="G268" s="24"/>
      <c r="H268" s="24"/>
      <c r="I268" s="24"/>
      <c r="J268" s="24"/>
      <c r="K268" s="24"/>
      <c r="L268" s="24"/>
      <c r="M268" s="24"/>
    </row>
    <row r="269" spans="1:13" s="5" customFormat="1" ht="25.5" customHeight="1">
      <c r="A269" s="22"/>
      <c r="B269" s="23"/>
      <c r="C269" s="23"/>
      <c r="D269" s="23"/>
      <c r="E269" s="24"/>
      <c r="F269" s="24"/>
      <c r="G269" s="24"/>
      <c r="H269" s="24"/>
      <c r="I269" s="24"/>
      <c r="J269" s="24"/>
      <c r="K269" s="24"/>
      <c r="L269" s="24"/>
      <c r="M269" s="24"/>
    </row>
    <row r="270" spans="1:13" s="5" customFormat="1" ht="25.5" customHeight="1">
      <c r="A270" s="22"/>
      <c r="B270" s="23"/>
      <c r="C270" s="23"/>
      <c r="D270" s="23"/>
      <c r="E270" s="24"/>
      <c r="F270" s="24"/>
      <c r="G270" s="24"/>
      <c r="H270" s="24"/>
      <c r="I270" s="24"/>
      <c r="J270" s="24"/>
      <c r="K270" s="24"/>
      <c r="L270" s="24"/>
      <c r="M270" s="24"/>
    </row>
    <row r="271" spans="1:13" s="5" customFormat="1" ht="25.5" customHeight="1">
      <c r="A271" s="22"/>
      <c r="B271" s="23"/>
      <c r="C271" s="23"/>
      <c r="D271" s="23"/>
      <c r="E271" s="24"/>
      <c r="F271" s="24"/>
      <c r="G271" s="24"/>
      <c r="H271" s="24"/>
      <c r="I271" s="24"/>
      <c r="J271" s="24"/>
      <c r="K271" s="24"/>
      <c r="L271" s="24"/>
      <c r="M271" s="24"/>
    </row>
    <row r="272" spans="1:13" s="5" customFormat="1" ht="25.5" customHeight="1">
      <c r="A272" s="22"/>
      <c r="B272" s="23"/>
      <c r="C272" s="23"/>
      <c r="D272" s="23"/>
      <c r="E272" s="24"/>
      <c r="F272" s="24"/>
      <c r="G272" s="24"/>
      <c r="H272" s="24"/>
      <c r="I272" s="24"/>
      <c r="J272" s="24"/>
      <c r="K272" s="24"/>
      <c r="L272" s="24"/>
      <c r="M272" s="24"/>
    </row>
    <row r="273" spans="1:13" s="5" customFormat="1" ht="25.5" customHeight="1">
      <c r="A273" s="22"/>
      <c r="B273" s="23"/>
      <c r="C273" s="23"/>
      <c r="D273" s="23"/>
      <c r="E273" s="24"/>
      <c r="F273" s="24"/>
      <c r="G273" s="24"/>
      <c r="H273" s="24"/>
      <c r="I273" s="24"/>
      <c r="J273" s="24"/>
      <c r="K273" s="24"/>
      <c r="L273" s="24"/>
      <c r="M273" s="24"/>
    </row>
    <row r="274" spans="1:13" s="5" customFormat="1" ht="25.5" customHeight="1">
      <c r="A274" s="22"/>
      <c r="B274" s="23"/>
      <c r="C274" s="23"/>
      <c r="D274" s="23"/>
      <c r="E274" s="24"/>
      <c r="F274" s="24"/>
      <c r="G274" s="24"/>
      <c r="H274" s="24"/>
      <c r="I274" s="24"/>
      <c r="J274" s="24"/>
      <c r="K274" s="24"/>
      <c r="L274" s="24"/>
      <c r="M274" s="24"/>
    </row>
    <row r="275" spans="1:13" s="5" customFormat="1" ht="25.5" customHeight="1">
      <c r="A275" s="22"/>
      <c r="B275" s="23"/>
      <c r="C275" s="23"/>
      <c r="D275" s="23"/>
      <c r="E275" s="24"/>
      <c r="F275" s="24"/>
      <c r="G275" s="24"/>
      <c r="H275" s="24"/>
      <c r="I275" s="24"/>
      <c r="J275" s="24"/>
      <c r="K275" s="24"/>
      <c r="L275" s="24"/>
      <c r="M275" s="24"/>
    </row>
    <row r="276" spans="1:13" s="5" customFormat="1" ht="25.5" customHeight="1">
      <c r="A276" s="22"/>
      <c r="B276" s="23"/>
      <c r="C276" s="23"/>
      <c r="D276" s="23"/>
      <c r="E276" s="24"/>
      <c r="F276" s="24"/>
      <c r="G276" s="24"/>
      <c r="H276" s="24"/>
      <c r="I276" s="24"/>
      <c r="J276" s="24"/>
      <c r="K276" s="24"/>
      <c r="L276" s="24"/>
      <c r="M276" s="24"/>
    </row>
    <row r="277" spans="1:13" s="5" customFormat="1" ht="25.5" customHeight="1">
      <c r="A277" s="22"/>
      <c r="B277" s="23"/>
      <c r="C277" s="23"/>
      <c r="D277" s="23"/>
      <c r="E277" s="24"/>
      <c r="F277" s="24"/>
      <c r="G277" s="24"/>
      <c r="H277" s="24"/>
      <c r="I277" s="24"/>
      <c r="J277" s="24"/>
      <c r="K277" s="24"/>
      <c r="L277" s="24"/>
      <c r="M277" s="24"/>
    </row>
    <row r="278" spans="1:13" s="5" customFormat="1" ht="25.5" customHeight="1">
      <c r="A278" s="22"/>
      <c r="B278" s="23"/>
      <c r="C278" s="23"/>
      <c r="D278" s="23"/>
      <c r="E278" s="24"/>
      <c r="F278" s="24"/>
      <c r="G278" s="24"/>
      <c r="H278" s="24"/>
      <c r="I278" s="24"/>
      <c r="J278" s="24"/>
      <c r="K278" s="24"/>
      <c r="L278" s="24"/>
      <c r="M278" s="24"/>
    </row>
    <row r="279" spans="1:13" s="5" customFormat="1" ht="25.5" customHeight="1">
      <c r="A279" s="22"/>
      <c r="B279" s="23"/>
      <c r="C279" s="23"/>
      <c r="D279" s="23"/>
      <c r="E279" s="24"/>
      <c r="F279" s="24"/>
      <c r="G279" s="24"/>
      <c r="H279" s="24"/>
      <c r="I279" s="24"/>
      <c r="J279" s="24"/>
      <c r="K279" s="24"/>
      <c r="L279" s="24"/>
      <c r="M279" s="24"/>
    </row>
    <row r="280" spans="1:13" s="5" customFormat="1" ht="25.5" customHeight="1">
      <c r="A280" s="22"/>
      <c r="B280" s="23"/>
      <c r="C280" s="23"/>
      <c r="D280" s="23"/>
      <c r="E280" s="24"/>
      <c r="F280" s="24"/>
      <c r="G280" s="24"/>
      <c r="H280" s="24"/>
      <c r="I280" s="24"/>
      <c r="J280" s="24"/>
      <c r="K280" s="24"/>
      <c r="L280" s="24"/>
      <c r="M280" s="24"/>
    </row>
    <row r="281" spans="1:13" s="5" customFormat="1" ht="25.5" customHeight="1">
      <c r="A281" s="22"/>
      <c r="B281" s="23"/>
      <c r="C281" s="23"/>
      <c r="D281" s="23"/>
      <c r="E281" s="24"/>
      <c r="F281" s="24"/>
      <c r="G281" s="24"/>
      <c r="H281" s="24"/>
      <c r="I281" s="24"/>
      <c r="J281" s="24"/>
      <c r="K281" s="24"/>
      <c r="L281" s="24"/>
      <c r="M281" s="24"/>
    </row>
    <row r="282" spans="1:13" s="5" customFormat="1" ht="25.5" customHeight="1">
      <c r="A282" s="22"/>
      <c r="B282" s="23"/>
      <c r="C282" s="23"/>
      <c r="D282" s="23"/>
      <c r="E282" s="24"/>
      <c r="F282" s="24"/>
      <c r="G282" s="24"/>
      <c r="H282" s="24"/>
      <c r="I282" s="24"/>
      <c r="J282" s="24"/>
      <c r="K282" s="24"/>
      <c r="L282" s="24"/>
      <c r="M282" s="24"/>
    </row>
    <row r="283" spans="1:13" s="5" customFormat="1" ht="25.5" customHeight="1">
      <c r="A283" s="22"/>
      <c r="B283" s="23"/>
      <c r="C283" s="23"/>
      <c r="D283" s="23"/>
      <c r="E283" s="24"/>
      <c r="F283" s="24"/>
      <c r="G283" s="24"/>
      <c r="H283" s="24"/>
      <c r="I283" s="24"/>
      <c r="J283" s="24"/>
      <c r="K283" s="24"/>
      <c r="L283" s="24"/>
      <c r="M283" s="24"/>
    </row>
    <row r="284" spans="1:13" s="5" customFormat="1" ht="25.5" customHeight="1">
      <c r="A284" s="22"/>
      <c r="B284" s="23"/>
      <c r="C284" s="23"/>
      <c r="D284" s="23"/>
      <c r="E284" s="24"/>
      <c r="F284" s="24"/>
      <c r="G284" s="24"/>
      <c r="H284" s="24"/>
      <c r="I284" s="24"/>
      <c r="J284" s="24"/>
      <c r="K284" s="24"/>
      <c r="L284" s="24"/>
      <c r="M284" s="24"/>
    </row>
    <row r="285" spans="1:13" s="5" customFormat="1" ht="25.5" customHeight="1">
      <c r="A285" s="22"/>
      <c r="B285" s="23"/>
      <c r="C285" s="23"/>
      <c r="D285" s="23"/>
      <c r="E285" s="24"/>
      <c r="F285" s="24"/>
      <c r="G285" s="24"/>
      <c r="H285" s="24"/>
      <c r="I285" s="24"/>
      <c r="J285" s="24"/>
      <c r="K285" s="24"/>
      <c r="L285" s="24"/>
      <c r="M285" s="24"/>
    </row>
    <row r="286" spans="1:13" s="5" customFormat="1" ht="25.5" customHeight="1">
      <c r="A286" s="22"/>
      <c r="B286" s="23"/>
      <c r="C286" s="23"/>
      <c r="D286" s="23"/>
      <c r="E286" s="24"/>
      <c r="F286" s="24"/>
      <c r="G286" s="24"/>
      <c r="H286" s="24"/>
      <c r="I286" s="24"/>
      <c r="J286" s="24"/>
      <c r="K286" s="24"/>
      <c r="L286" s="24"/>
      <c r="M286" s="24"/>
    </row>
    <row r="287" spans="1:13" s="5" customFormat="1" ht="25.5" customHeight="1">
      <c r="A287" s="22"/>
      <c r="B287" s="23"/>
      <c r="C287" s="23"/>
      <c r="D287" s="23"/>
      <c r="E287" s="24"/>
      <c r="F287" s="24"/>
      <c r="G287" s="24"/>
      <c r="H287" s="24"/>
      <c r="I287" s="24"/>
      <c r="J287" s="24"/>
      <c r="K287" s="24"/>
      <c r="L287" s="24"/>
      <c r="M287" s="24"/>
    </row>
    <row r="288" spans="1:13" s="5" customFormat="1" ht="25.5" customHeight="1">
      <c r="A288" s="22"/>
      <c r="B288" s="23"/>
      <c r="C288" s="23"/>
      <c r="D288" s="23"/>
      <c r="E288" s="24"/>
      <c r="F288" s="24"/>
      <c r="G288" s="24"/>
      <c r="H288" s="24"/>
      <c r="I288" s="24"/>
      <c r="J288" s="24"/>
      <c r="K288" s="24"/>
      <c r="L288" s="24"/>
      <c r="M288" s="24"/>
    </row>
    <row r="289" spans="1:13" s="5" customFormat="1" ht="25.5" customHeight="1">
      <c r="A289" s="22"/>
      <c r="B289" s="23"/>
      <c r="C289" s="23"/>
      <c r="D289" s="23"/>
      <c r="E289" s="24"/>
      <c r="F289" s="24"/>
      <c r="G289" s="24"/>
      <c r="H289" s="24"/>
      <c r="I289" s="24"/>
      <c r="J289" s="24"/>
      <c r="K289" s="24"/>
      <c r="L289" s="24"/>
      <c r="M289" s="24"/>
    </row>
    <row r="290" spans="1:13" s="5" customFormat="1" ht="25.5" customHeight="1">
      <c r="A290" s="22"/>
      <c r="B290" s="23"/>
      <c r="C290" s="23"/>
      <c r="D290" s="23"/>
      <c r="E290" s="24"/>
      <c r="F290" s="24"/>
      <c r="G290" s="24"/>
      <c r="H290" s="24"/>
      <c r="I290" s="24"/>
      <c r="J290" s="24"/>
      <c r="K290" s="24"/>
      <c r="L290" s="24"/>
      <c r="M290" s="24"/>
    </row>
    <row r="291" spans="1:13" s="5" customFormat="1" ht="25.5" customHeight="1">
      <c r="A291" s="22"/>
      <c r="B291" s="23"/>
      <c r="C291" s="23"/>
      <c r="D291" s="23"/>
      <c r="E291" s="24"/>
      <c r="F291" s="24"/>
      <c r="G291" s="24"/>
      <c r="H291" s="24"/>
      <c r="I291" s="24"/>
      <c r="J291" s="24"/>
      <c r="K291" s="24"/>
      <c r="L291" s="24"/>
      <c r="M291" s="24"/>
    </row>
    <row r="292" spans="1:13" s="5" customFormat="1" ht="25.5" customHeight="1">
      <c r="A292" s="22"/>
      <c r="B292" s="23"/>
      <c r="C292" s="23"/>
      <c r="D292" s="23"/>
      <c r="E292" s="24"/>
      <c r="F292" s="24"/>
      <c r="G292" s="24"/>
      <c r="H292" s="24"/>
      <c r="I292" s="24"/>
      <c r="J292" s="24"/>
      <c r="K292" s="24"/>
      <c r="L292" s="24"/>
      <c r="M292" s="24"/>
    </row>
    <row r="293" spans="1:13" s="5" customFormat="1" ht="25.5" customHeight="1">
      <c r="A293" s="22"/>
      <c r="B293" s="23"/>
      <c r="C293" s="23"/>
      <c r="D293" s="23"/>
      <c r="E293" s="24"/>
      <c r="F293" s="24"/>
      <c r="G293" s="24"/>
      <c r="H293" s="24"/>
      <c r="I293" s="24"/>
      <c r="J293" s="24"/>
      <c r="K293" s="24"/>
      <c r="L293" s="24"/>
      <c r="M293" s="24"/>
    </row>
    <row r="294" spans="1:13" s="5" customFormat="1" ht="25.5" customHeight="1">
      <c r="A294" s="22"/>
      <c r="B294" s="23"/>
      <c r="C294" s="23"/>
      <c r="D294" s="23"/>
      <c r="E294" s="24"/>
      <c r="F294" s="24"/>
      <c r="G294" s="24"/>
      <c r="H294" s="24"/>
      <c r="I294" s="24"/>
      <c r="J294" s="24"/>
      <c r="K294" s="24"/>
      <c r="L294" s="24"/>
      <c r="M294" s="24"/>
    </row>
    <row r="295" spans="1:13" s="5" customFormat="1" ht="25.5" customHeight="1">
      <c r="A295" s="22"/>
      <c r="B295" s="23"/>
      <c r="C295" s="23"/>
      <c r="D295" s="23"/>
      <c r="E295" s="24"/>
      <c r="F295" s="24"/>
      <c r="G295" s="24"/>
      <c r="H295" s="24"/>
      <c r="I295" s="24"/>
      <c r="J295" s="24"/>
      <c r="K295" s="24"/>
      <c r="L295" s="24"/>
      <c r="M295" s="24"/>
    </row>
    <row r="296" spans="1:13" s="5" customFormat="1" ht="25.5" customHeight="1">
      <c r="A296" s="22"/>
      <c r="B296" s="23"/>
      <c r="C296" s="23"/>
      <c r="D296" s="23"/>
      <c r="E296" s="24"/>
      <c r="F296" s="24"/>
      <c r="G296" s="24"/>
      <c r="H296" s="24"/>
      <c r="I296" s="24"/>
      <c r="J296" s="24"/>
      <c r="K296" s="24"/>
      <c r="L296" s="24"/>
      <c r="M296" s="24"/>
    </row>
    <row r="297" spans="1:13" s="5" customFormat="1" ht="25.5" customHeight="1">
      <c r="A297" s="22"/>
      <c r="B297" s="23"/>
      <c r="C297" s="23"/>
      <c r="D297" s="23"/>
      <c r="E297" s="24"/>
      <c r="F297" s="24"/>
      <c r="G297" s="24"/>
      <c r="H297" s="24"/>
      <c r="I297" s="24"/>
      <c r="J297" s="24"/>
      <c r="K297" s="24"/>
      <c r="L297" s="24"/>
      <c r="M297" s="24"/>
    </row>
    <row r="298" spans="1:13" s="5" customFormat="1" ht="25.5" customHeight="1">
      <c r="A298" s="22"/>
      <c r="B298" s="23"/>
      <c r="C298" s="23"/>
      <c r="D298" s="23"/>
      <c r="E298" s="24"/>
      <c r="F298" s="24"/>
      <c r="G298" s="24"/>
      <c r="H298" s="24"/>
      <c r="I298" s="24"/>
      <c r="J298" s="24"/>
      <c r="K298" s="24"/>
      <c r="L298" s="24"/>
      <c r="M298" s="24"/>
    </row>
    <row r="299" spans="1:13" s="5" customFormat="1" ht="25.5" customHeight="1">
      <c r="A299" s="22"/>
      <c r="B299" s="23"/>
      <c r="C299" s="23"/>
      <c r="D299" s="23"/>
      <c r="E299" s="24"/>
      <c r="F299" s="24"/>
      <c r="G299" s="24"/>
      <c r="H299" s="24"/>
      <c r="I299" s="24"/>
      <c r="J299" s="24"/>
      <c r="K299" s="24"/>
      <c r="L299" s="24"/>
      <c r="M299" s="24"/>
    </row>
    <row r="300" spans="1:13" s="5" customFormat="1" ht="25.5" customHeight="1">
      <c r="A300" s="22"/>
      <c r="B300" s="23"/>
      <c r="C300" s="23"/>
      <c r="D300" s="23"/>
      <c r="E300" s="24"/>
      <c r="F300" s="24"/>
      <c r="G300" s="24"/>
      <c r="H300" s="24"/>
      <c r="I300" s="24"/>
      <c r="J300" s="24"/>
      <c r="K300" s="24"/>
      <c r="L300" s="24"/>
      <c r="M300" s="24"/>
    </row>
    <row r="301" spans="1:13" s="5" customFormat="1" ht="25.5" customHeight="1">
      <c r="A301" s="22"/>
      <c r="B301" s="23"/>
      <c r="C301" s="23"/>
      <c r="D301" s="23"/>
      <c r="E301" s="24"/>
      <c r="F301" s="24"/>
      <c r="G301" s="24"/>
      <c r="H301" s="24"/>
      <c r="I301" s="24"/>
      <c r="J301" s="24"/>
      <c r="K301" s="24"/>
      <c r="L301" s="24"/>
      <c r="M301" s="24"/>
    </row>
    <row r="302" spans="1:13" s="5" customFormat="1" ht="25.5" customHeight="1">
      <c r="A302" s="22"/>
      <c r="B302" s="23"/>
      <c r="C302" s="23"/>
      <c r="D302" s="23"/>
      <c r="E302" s="24"/>
      <c r="F302" s="24"/>
      <c r="G302" s="24"/>
      <c r="H302" s="24"/>
      <c r="I302" s="24"/>
      <c r="J302" s="24"/>
      <c r="K302" s="24"/>
      <c r="L302" s="24"/>
      <c r="M302" s="24"/>
    </row>
    <row r="303" spans="1:13" s="5" customFormat="1" ht="25.5" customHeight="1">
      <c r="A303" s="22"/>
      <c r="B303" s="23"/>
      <c r="C303" s="23"/>
      <c r="D303" s="23"/>
      <c r="E303" s="24"/>
      <c r="F303" s="24"/>
      <c r="G303" s="24"/>
      <c r="H303" s="24"/>
      <c r="I303" s="24"/>
      <c r="J303" s="24"/>
      <c r="K303" s="24"/>
      <c r="L303" s="24"/>
      <c r="M303" s="24"/>
    </row>
    <row r="304" spans="1:13" s="5" customFormat="1" ht="25.5" customHeight="1">
      <c r="A304" s="22"/>
      <c r="B304" s="23"/>
      <c r="C304" s="23"/>
      <c r="D304" s="23"/>
      <c r="E304" s="24"/>
      <c r="F304" s="24"/>
      <c r="G304" s="24"/>
      <c r="H304" s="24"/>
      <c r="I304" s="24"/>
      <c r="J304" s="24"/>
      <c r="K304" s="24"/>
      <c r="L304" s="24"/>
      <c r="M304" s="24"/>
    </row>
    <row r="305" spans="1:13" s="5" customFormat="1" ht="25.5" customHeight="1">
      <c r="A305" s="22"/>
      <c r="B305" s="23"/>
      <c r="C305" s="23"/>
      <c r="D305" s="23"/>
      <c r="E305" s="24"/>
      <c r="F305" s="24"/>
      <c r="G305" s="24"/>
      <c r="H305" s="24"/>
      <c r="I305" s="24"/>
      <c r="J305" s="24"/>
      <c r="K305" s="24"/>
      <c r="L305" s="24"/>
      <c r="M305" s="24"/>
    </row>
    <row r="306" spans="1:13" s="5" customFormat="1" ht="25.5" customHeight="1">
      <c r="A306" s="22"/>
      <c r="B306" s="23"/>
      <c r="C306" s="23"/>
      <c r="D306" s="23"/>
      <c r="E306" s="24"/>
      <c r="F306" s="24"/>
      <c r="G306" s="24"/>
      <c r="H306" s="24"/>
      <c r="I306" s="24"/>
      <c r="J306" s="24"/>
      <c r="K306" s="24"/>
      <c r="L306" s="24"/>
      <c r="M306" s="24"/>
    </row>
    <row r="307" spans="1:13" s="5" customFormat="1" ht="25.5" customHeight="1">
      <c r="A307" s="22"/>
      <c r="B307" s="23"/>
      <c r="C307" s="23"/>
      <c r="D307" s="23"/>
      <c r="E307" s="24"/>
      <c r="F307" s="24"/>
      <c r="G307" s="24"/>
      <c r="H307" s="24"/>
      <c r="I307" s="24"/>
      <c r="J307" s="24"/>
      <c r="K307" s="24"/>
      <c r="L307" s="24"/>
      <c r="M307" s="24"/>
    </row>
    <row r="308" spans="1:13" s="5" customFormat="1" ht="25.5" customHeight="1">
      <c r="A308" s="22"/>
      <c r="B308" s="23"/>
      <c r="C308" s="23"/>
      <c r="D308" s="23"/>
      <c r="E308" s="24"/>
      <c r="F308" s="24"/>
      <c r="G308" s="24"/>
      <c r="H308" s="24"/>
      <c r="I308" s="24"/>
      <c r="J308" s="24"/>
      <c r="K308" s="24"/>
      <c r="L308" s="24"/>
      <c r="M308" s="24"/>
    </row>
    <row r="309" spans="1:13" s="5" customFormat="1" ht="25.5" customHeight="1">
      <c r="A309" s="22"/>
      <c r="B309" s="23"/>
      <c r="C309" s="23"/>
      <c r="D309" s="23"/>
      <c r="E309" s="24"/>
      <c r="F309" s="24"/>
      <c r="G309" s="24"/>
      <c r="H309" s="24"/>
      <c r="I309" s="24"/>
      <c r="J309" s="24"/>
      <c r="K309" s="24"/>
      <c r="L309" s="24"/>
      <c r="M309" s="24"/>
    </row>
    <row r="310" spans="1:13" s="5" customFormat="1" ht="25.5" customHeight="1">
      <c r="A310" s="22"/>
      <c r="B310" s="23"/>
      <c r="C310" s="23"/>
      <c r="D310" s="23"/>
      <c r="E310" s="24"/>
      <c r="F310" s="24"/>
      <c r="G310" s="24"/>
      <c r="H310" s="24"/>
      <c r="I310" s="24"/>
      <c r="J310" s="24"/>
      <c r="K310" s="24"/>
      <c r="L310" s="24"/>
      <c r="M310" s="24"/>
    </row>
    <row r="311" spans="1:13" s="5" customFormat="1" ht="25.5" customHeight="1">
      <c r="A311" s="22"/>
      <c r="B311" s="23"/>
      <c r="C311" s="23"/>
      <c r="D311" s="23"/>
      <c r="E311" s="24"/>
      <c r="F311" s="24"/>
      <c r="G311" s="24"/>
      <c r="H311" s="24"/>
      <c r="I311" s="24"/>
      <c r="J311" s="24"/>
      <c r="K311" s="24"/>
      <c r="L311" s="24"/>
      <c r="M311" s="24"/>
    </row>
    <row r="312" spans="1:13" s="5" customFormat="1" ht="25.5" customHeight="1">
      <c r="A312" s="22"/>
      <c r="B312" s="23"/>
      <c r="C312" s="23"/>
      <c r="D312" s="23"/>
      <c r="E312" s="24"/>
      <c r="F312" s="24"/>
      <c r="G312" s="24"/>
      <c r="H312" s="24"/>
      <c r="I312" s="24"/>
      <c r="J312" s="24"/>
      <c r="K312" s="24"/>
      <c r="L312" s="24"/>
      <c r="M312" s="24"/>
    </row>
    <row r="313" spans="1:13" s="5" customFormat="1" ht="25.5" customHeight="1">
      <c r="A313" s="22"/>
      <c r="B313" s="23"/>
      <c r="C313" s="23"/>
      <c r="D313" s="23"/>
      <c r="E313" s="24"/>
      <c r="F313" s="24"/>
      <c r="G313" s="24"/>
      <c r="H313" s="24"/>
      <c r="I313" s="24"/>
      <c r="J313" s="24"/>
      <c r="K313" s="24"/>
      <c r="L313" s="24"/>
      <c r="M313" s="24"/>
    </row>
    <row r="314" spans="1:13" s="5" customFormat="1" ht="25.5" customHeight="1">
      <c r="A314" s="22"/>
      <c r="B314" s="23"/>
      <c r="C314" s="23"/>
      <c r="D314" s="23"/>
      <c r="E314" s="24"/>
      <c r="F314" s="24"/>
      <c r="G314" s="24"/>
      <c r="H314" s="24"/>
      <c r="I314" s="24"/>
      <c r="J314" s="24"/>
      <c r="K314" s="24"/>
      <c r="L314" s="24"/>
      <c r="M314" s="24"/>
    </row>
    <row r="315" spans="1:13" s="5" customFormat="1" ht="25.5" customHeight="1">
      <c r="A315" s="22"/>
      <c r="B315" s="23"/>
      <c r="C315" s="23"/>
      <c r="D315" s="23"/>
      <c r="E315" s="24"/>
      <c r="F315" s="24"/>
      <c r="G315" s="24"/>
      <c r="H315" s="24"/>
      <c r="I315" s="24"/>
      <c r="J315" s="24"/>
      <c r="K315" s="24"/>
      <c r="L315" s="24"/>
      <c r="M315" s="24"/>
    </row>
    <row r="316" spans="1:13" s="5" customFormat="1" ht="25.5" customHeight="1">
      <c r="A316" s="22"/>
      <c r="B316" s="23"/>
      <c r="C316" s="23"/>
      <c r="D316" s="23"/>
      <c r="E316" s="24"/>
      <c r="F316" s="24"/>
      <c r="G316" s="24"/>
      <c r="H316" s="24"/>
      <c r="I316" s="24"/>
      <c r="J316" s="24"/>
      <c r="K316" s="24"/>
      <c r="L316" s="24"/>
      <c r="M316" s="24"/>
    </row>
    <row r="317" spans="1:13" s="5" customFormat="1" ht="25.5" customHeight="1">
      <c r="A317" s="22"/>
      <c r="B317" s="23"/>
      <c r="C317" s="23"/>
      <c r="D317" s="23"/>
      <c r="E317" s="24"/>
      <c r="F317" s="24"/>
      <c r="G317" s="24"/>
      <c r="H317" s="24"/>
      <c r="I317" s="24"/>
      <c r="J317" s="24"/>
      <c r="K317" s="24"/>
      <c r="L317" s="24"/>
      <c r="M317" s="24"/>
    </row>
    <row r="318" spans="1:13" s="5" customFormat="1" ht="25.5" customHeight="1">
      <c r="A318" s="22"/>
      <c r="B318" s="23"/>
      <c r="C318" s="23"/>
      <c r="D318" s="23"/>
      <c r="E318" s="24"/>
      <c r="F318" s="24"/>
      <c r="G318" s="24"/>
      <c r="H318" s="24"/>
      <c r="I318" s="24"/>
      <c r="J318" s="24"/>
      <c r="K318" s="24"/>
      <c r="L318" s="24"/>
      <c r="M318" s="24"/>
    </row>
    <row r="319" spans="1:13" s="5" customFormat="1" ht="25.5" customHeight="1">
      <c r="A319" s="22"/>
      <c r="B319" s="23"/>
      <c r="C319" s="23"/>
      <c r="D319" s="23"/>
      <c r="E319" s="24"/>
      <c r="F319" s="24"/>
      <c r="G319" s="24"/>
      <c r="H319" s="24"/>
      <c r="I319" s="24"/>
      <c r="J319" s="24"/>
      <c r="K319" s="24"/>
      <c r="L319" s="24"/>
      <c r="M319" s="24"/>
    </row>
    <row r="320" spans="1:13" s="5" customFormat="1" ht="25.5" customHeight="1">
      <c r="A320" s="22"/>
      <c r="B320" s="23"/>
      <c r="C320" s="23"/>
      <c r="D320" s="23"/>
      <c r="E320" s="24"/>
      <c r="F320" s="24"/>
      <c r="G320" s="24"/>
      <c r="H320" s="24"/>
      <c r="I320" s="24"/>
      <c r="J320" s="24"/>
      <c r="K320" s="24"/>
      <c r="L320" s="24"/>
      <c r="M320" s="24"/>
    </row>
    <row r="321" spans="1:13" s="5" customFormat="1" ht="25.5" customHeight="1">
      <c r="A321" s="22"/>
      <c r="B321" s="23"/>
      <c r="C321" s="23"/>
      <c r="D321" s="23"/>
      <c r="E321" s="24"/>
      <c r="F321" s="24"/>
      <c r="G321" s="24"/>
      <c r="H321" s="24"/>
      <c r="I321" s="24"/>
      <c r="J321" s="24"/>
      <c r="K321" s="24"/>
      <c r="L321" s="24"/>
      <c r="M321" s="24"/>
    </row>
    <row r="322" spans="1:13" s="5" customFormat="1" ht="25.5" customHeight="1">
      <c r="A322" s="22"/>
      <c r="B322" s="23"/>
      <c r="C322" s="23"/>
      <c r="D322" s="23"/>
      <c r="E322" s="24"/>
      <c r="F322" s="24"/>
      <c r="G322" s="24"/>
      <c r="H322" s="24"/>
      <c r="I322" s="24"/>
      <c r="J322" s="24"/>
      <c r="K322" s="24"/>
      <c r="L322" s="24"/>
      <c r="M322" s="24"/>
    </row>
    <row r="323" spans="1:13" s="5" customFormat="1" ht="25.5" customHeight="1">
      <c r="A323" s="22"/>
      <c r="B323" s="23"/>
      <c r="C323" s="23"/>
      <c r="D323" s="23"/>
      <c r="E323" s="24"/>
      <c r="F323" s="24"/>
      <c r="G323" s="24"/>
      <c r="H323" s="24"/>
      <c r="I323" s="24"/>
      <c r="J323" s="24"/>
      <c r="K323" s="24"/>
      <c r="L323" s="24"/>
      <c r="M323" s="24"/>
    </row>
    <row r="324" spans="1:13" s="5" customFormat="1" ht="25.5" customHeight="1">
      <c r="A324" s="22"/>
      <c r="B324" s="23"/>
      <c r="C324" s="23"/>
      <c r="D324" s="23"/>
      <c r="E324" s="24"/>
      <c r="F324" s="24"/>
      <c r="G324" s="24"/>
      <c r="H324" s="24"/>
      <c r="I324" s="24"/>
      <c r="J324" s="24"/>
      <c r="K324" s="24"/>
      <c r="L324" s="24"/>
      <c r="M324" s="24"/>
    </row>
    <row r="325" spans="1:13" s="5" customFormat="1" ht="25.5" customHeight="1">
      <c r="A325" s="22"/>
      <c r="B325" s="23"/>
      <c r="C325" s="23"/>
      <c r="D325" s="23"/>
      <c r="E325" s="24"/>
      <c r="F325" s="24"/>
      <c r="G325" s="24"/>
      <c r="H325" s="24"/>
      <c r="I325" s="24"/>
      <c r="J325" s="24"/>
      <c r="K325" s="24"/>
      <c r="L325" s="24"/>
      <c r="M325" s="24"/>
    </row>
    <row r="326" spans="1:13" s="5" customFormat="1" ht="25.5" customHeight="1">
      <c r="A326" s="22"/>
      <c r="B326" s="23"/>
      <c r="C326" s="23"/>
      <c r="D326" s="23"/>
      <c r="E326" s="24"/>
      <c r="F326" s="24"/>
      <c r="G326" s="24"/>
      <c r="H326" s="24"/>
      <c r="I326" s="24"/>
      <c r="J326" s="24"/>
      <c r="K326" s="24"/>
      <c r="L326" s="24"/>
      <c r="M326" s="24"/>
    </row>
    <row r="327" spans="1:13" s="5" customFormat="1" ht="25.5" customHeight="1">
      <c r="A327" s="22"/>
      <c r="B327" s="23"/>
      <c r="C327" s="23"/>
      <c r="D327" s="23"/>
      <c r="E327" s="24"/>
      <c r="F327" s="24"/>
      <c r="G327" s="24"/>
      <c r="H327" s="24"/>
      <c r="I327" s="24"/>
      <c r="J327" s="24"/>
      <c r="K327" s="24"/>
      <c r="L327" s="24"/>
      <c r="M327" s="24"/>
    </row>
    <row r="328" spans="1:13" s="5" customFormat="1" ht="25.5" customHeight="1">
      <c r="A328" s="22"/>
      <c r="B328" s="23"/>
      <c r="C328" s="23"/>
      <c r="D328" s="23"/>
      <c r="E328" s="24"/>
      <c r="F328" s="24"/>
      <c r="G328" s="24"/>
      <c r="H328" s="24"/>
      <c r="I328" s="24"/>
      <c r="J328" s="24"/>
      <c r="K328" s="24"/>
      <c r="L328" s="24"/>
      <c r="M328" s="24"/>
    </row>
    <row r="329" spans="1:13" s="5" customFormat="1" ht="25.5" customHeight="1">
      <c r="A329" s="22"/>
      <c r="B329" s="23"/>
      <c r="C329" s="23"/>
      <c r="D329" s="23"/>
      <c r="E329" s="24"/>
      <c r="F329" s="24"/>
      <c r="G329" s="24"/>
      <c r="H329" s="24"/>
      <c r="I329" s="24"/>
      <c r="J329" s="24"/>
      <c r="K329" s="24"/>
      <c r="L329" s="24"/>
      <c r="M329" s="24"/>
    </row>
    <row r="330" spans="1:13" s="5" customFormat="1" ht="25.5" customHeight="1">
      <c r="A330" s="22"/>
      <c r="B330" s="23"/>
      <c r="C330" s="23"/>
      <c r="D330" s="23"/>
      <c r="E330" s="24"/>
      <c r="F330" s="24"/>
      <c r="G330" s="24"/>
      <c r="H330" s="24"/>
      <c r="I330" s="24"/>
      <c r="J330" s="24"/>
      <c r="K330" s="24"/>
      <c r="L330" s="24"/>
      <c r="M330" s="24"/>
    </row>
    <row r="331" spans="1:13" s="5" customFormat="1" ht="25.5" customHeight="1">
      <c r="A331" s="22"/>
      <c r="B331" s="23"/>
      <c r="C331" s="23"/>
      <c r="D331" s="23"/>
      <c r="E331" s="24"/>
      <c r="F331" s="24"/>
      <c r="G331" s="24"/>
      <c r="H331" s="24"/>
      <c r="I331" s="24"/>
      <c r="J331" s="24"/>
      <c r="K331" s="24"/>
      <c r="L331" s="24"/>
      <c r="M331" s="24"/>
    </row>
    <row r="332" spans="1:13" s="5" customFormat="1" ht="25.5" customHeight="1">
      <c r="A332" s="22"/>
      <c r="B332" s="23"/>
      <c r="C332" s="23"/>
      <c r="D332" s="23"/>
      <c r="E332" s="24"/>
      <c r="F332" s="24"/>
      <c r="G332" s="24"/>
      <c r="H332" s="24"/>
      <c r="I332" s="24"/>
      <c r="J332" s="24"/>
      <c r="K332" s="24"/>
      <c r="L332" s="24"/>
      <c r="M332" s="24"/>
    </row>
    <row r="333" spans="1:13" s="5" customFormat="1" ht="25.5" customHeight="1">
      <c r="A333" s="22"/>
      <c r="B333" s="23"/>
      <c r="C333" s="23"/>
      <c r="D333" s="23"/>
      <c r="E333" s="24"/>
      <c r="F333" s="24"/>
      <c r="G333" s="24"/>
      <c r="H333" s="24"/>
      <c r="I333" s="24"/>
      <c r="J333" s="24"/>
      <c r="K333" s="24"/>
      <c r="L333" s="24"/>
      <c r="M333" s="24"/>
    </row>
    <row r="334" spans="1:13" s="5" customFormat="1" ht="25.5" customHeight="1">
      <c r="A334" s="22"/>
      <c r="B334" s="23"/>
      <c r="C334" s="23"/>
      <c r="D334" s="23"/>
      <c r="E334" s="24"/>
      <c r="F334" s="24"/>
      <c r="G334" s="24"/>
      <c r="H334" s="24"/>
      <c r="I334" s="24"/>
      <c r="J334" s="24"/>
      <c r="K334" s="24"/>
      <c r="L334" s="24"/>
      <c r="M334" s="24"/>
    </row>
    <row r="335" spans="1:13" s="5" customFormat="1" ht="25.5" customHeight="1">
      <c r="A335" s="22"/>
      <c r="B335" s="23"/>
      <c r="C335" s="23"/>
      <c r="D335" s="23"/>
      <c r="E335" s="24"/>
      <c r="F335" s="24"/>
      <c r="G335" s="24"/>
      <c r="H335" s="24"/>
      <c r="I335" s="24"/>
      <c r="J335" s="24"/>
      <c r="K335" s="24"/>
      <c r="L335" s="24"/>
      <c r="M335" s="24"/>
    </row>
    <row r="336" spans="1:13" s="5" customFormat="1" ht="25.5" customHeight="1">
      <c r="A336" s="22"/>
      <c r="B336" s="23"/>
      <c r="C336" s="23"/>
      <c r="D336" s="23"/>
      <c r="E336" s="24"/>
      <c r="F336" s="24"/>
      <c r="G336" s="24"/>
      <c r="H336" s="24"/>
      <c r="I336" s="24"/>
      <c r="J336" s="24"/>
      <c r="K336" s="24"/>
      <c r="L336" s="24"/>
      <c r="M336" s="24"/>
    </row>
    <row r="337" spans="1:13" s="5" customFormat="1" ht="25.5" customHeight="1">
      <c r="A337" s="22"/>
      <c r="B337" s="23"/>
      <c r="C337" s="23"/>
      <c r="D337" s="23"/>
      <c r="E337" s="24"/>
      <c r="F337" s="24"/>
      <c r="G337" s="24"/>
      <c r="H337" s="24"/>
      <c r="I337" s="24"/>
      <c r="J337" s="24"/>
      <c r="K337" s="24"/>
      <c r="L337" s="24"/>
      <c r="M337" s="24"/>
    </row>
    <row r="338" spans="1:13" s="5" customFormat="1" ht="25.5" customHeight="1">
      <c r="A338" s="22"/>
      <c r="B338" s="23"/>
      <c r="C338" s="23"/>
      <c r="D338" s="23"/>
      <c r="E338" s="24"/>
      <c r="F338" s="24"/>
      <c r="G338" s="24"/>
      <c r="H338" s="24"/>
      <c r="I338" s="24"/>
      <c r="J338" s="24"/>
      <c r="K338" s="24"/>
      <c r="L338" s="24"/>
      <c r="M338" s="24"/>
    </row>
    <row r="339" spans="1:13" s="5" customFormat="1" ht="25.5" customHeight="1">
      <c r="A339" s="22"/>
      <c r="B339" s="23"/>
      <c r="C339" s="23"/>
      <c r="D339" s="23"/>
      <c r="E339" s="24"/>
      <c r="F339" s="24"/>
      <c r="G339" s="24"/>
      <c r="H339" s="24"/>
      <c r="I339" s="24"/>
      <c r="J339" s="24"/>
      <c r="K339" s="24"/>
      <c r="L339" s="24"/>
      <c r="M339" s="24"/>
    </row>
    <row r="340" spans="1:13" s="5" customFormat="1" ht="25.5" customHeight="1">
      <c r="A340" s="22"/>
      <c r="B340" s="23"/>
      <c r="C340" s="23"/>
      <c r="D340" s="23"/>
      <c r="E340" s="24"/>
      <c r="F340" s="24"/>
      <c r="G340" s="24"/>
      <c r="H340" s="24"/>
      <c r="I340" s="24"/>
      <c r="J340" s="24"/>
      <c r="K340" s="24"/>
      <c r="L340" s="24"/>
      <c r="M340" s="24"/>
    </row>
    <row r="341" spans="1:13" s="5" customFormat="1" ht="25.5" customHeight="1">
      <c r="A341" s="22"/>
      <c r="B341" s="23"/>
      <c r="C341" s="23"/>
      <c r="D341" s="23"/>
      <c r="E341" s="24"/>
      <c r="F341" s="24"/>
      <c r="G341" s="24"/>
      <c r="H341" s="24"/>
      <c r="I341" s="24"/>
      <c r="J341" s="24"/>
      <c r="K341" s="24"/>
      <c r="L341" s="24"/>
      <c r="M341" s="24"/>
    </row>
    <row r="342" spans="1:13" s="5" customFormat="1" ht="25.5" customHeight="1">
      <c r="A342" s="22"/>
      <c r="B342" s="23"/>
      <c r="C342" s="23"/>
      <c r="D342" s="23"/>
      <c r="E342" s="24"/>
      <c r="F342" s="24"/>
      <c r="G342" s="24"/>
      <c r="H342" s="24"/>
      <c r="I342" s="24"/>
      <c r="J342" s="24"/>
      <c r="K342" s="24"/>
      <c r="L342" s="24"/>
      <c r="M342" s="24"/>
    </row>
    <row r="343" spans="1:13" s="5" customFormat="1" ht="25.5" customHeight="1">
      <c r="A343" s="22"/>
      <c r="B343" s="23"/>
      <c r="C343" s="23"/>
      <c r="D343" s="23"/>
      <c r="E343" s="24"/>
      <c r="F343" s="24"/>
      <c r="G343" s="24"/>
      <c r="H343" s="24"/>
      <c r="I343" s="24"/>
      <c r="J343" s="24"/>
      <c r="K343" s="24"/>
      <c r="L343" s="24"/>
      <c r="M343" s="24"/>
    </row>
    <row r="344" spans="1:13" s="5" customFormat="1" ht="25.5" customHeight="1">
      <c r="A344" s="22"/>
      <c r="B344" s="23"/>
      <c r="C344" s="23"/>
      <c r="D344" s="23"/>
      <c r="E344" s="24"/>
      <c r="F344" s="24"/>
      <c r="G344" s="24"/>
      <c r="H344" s="24"/>
      <c r="I344" s="24"/>
      <c r="J344" s="24"/>
      <c r="K344" s="24"/>
      <c r="L344" s="24"/>
      <c r="M344" s="24"/>
    </row>
    <row r="345" spans="1:13" s="5" customFormat="1" ht="25.5" customHeight="1">
      <c r="A345" s="22"/>
      <c r="B345" s="23"/>
      <c r="C345" s="23"/>
      <c r="D345" s="23"/>
      <c r="E345" s="24"/>
      <c r="F345" s="24"/>
      <c r="G345" s="24"/>
      <c r="H345" s="24"/>
      <c r="I345" s="24"/>
      <c r="J345" s="24"/>
      <c r="K345" s="24"/>
      <c r="L345" s="24"/>
      <c r="M345" s="24"/>
    </row>
    <row r="346" spans="1:13" s="5" customFormat="1" ht="25.5" customHeight="1">
      <c r="A346" s="22"/>
      <c r="B346" s="23"/>
      <c r="C346" s="23"/>
      <c r="D346" s="23"/>
      <c r="E346" s="24"/>
      <c r="F346" s="24"/>
      <c r="G346" s="24"/>
      <c r="H346" s="24"/>
      <c r="I346" s="24"/>
      <c r="J346" s="24"/>
      <c r="K346" s="24"/>
      <c r="L346" s="24"/>
      <c r="M346" s="24"/>
    </row>
    <row r="347" spans="1:13" s="5" customFormat="1" ht="25.5" customHeight="1">
      <c r="A347" s="22"/>
      <c r="B347" s="23"/>
      <c r="C347" s="23"/>
      <c r="D347" s="23"/>
      <c r="E347" s="24"/>
      <c r="F347" s="24"/>
      <c r="G347" s="24"/>
      <c r="H347" s="24"/>
      <c r="I347" s="24"/>
      <c r="J347" s="24"/>
      <c r="K347" s="24"/>
      <c r="L347" s="24"/>
      <c r="M347" s="24"/>
    </row>
    <row r="348" spans="1:13" s="5" customFormat="1" ht="25.5" customHeight="1">
      <c r="A348" s="22"/>
      <c r="B348" s="23"/>
      <c r="C348" s="23"/>
      <c r="D348" s="23"/>
      <c r="E348" s="24"/>
      <c r="F348" s="24"/>
      <c r="G348" s="24"/>
      <c r="H348" s="24"/>
      <c r="I348" s="24"/>
      <c r="J348" s="24"/>
      <c r="K348" s="24"/>
      <c r="L348" s="24"/>
      <c r="M348" s="24"/>
    </row>
    <row r="349" spans="1:13" s="5" customFormat="1" ht="25.5" customHeight="1">
      <c r="A349" s="22"/>
      <c r="B349" s="23"/>
      <c r="C349" s="23"/>
      <c r="D349" s="23"/>
      <c r="E349" s="24"/>
      <c r="F349" s="24"/>
      <c r="G349" s="24"/>
      <c r="H349" s="24"/>
      <c r="I349" s="24"/>
      <c r="J349" s="24"/>
      <c r="K349" s="24"/>
      <c r="L349" s="24"/>
      <c r="M349" s="24"/>
    </row>
    <row r="350" spans="1:13" s="5" customFormat="1" ht="25.5" customHeight="1">
      <c r="A350" s="22"/>
      <c r="B350" s="23"/>
      <c r="C350" s="23"/>
      <c r="D350" s="23"/>
      <c r="E350" s="24"/>
      <c r="F350" s="24"/>
      <c r="G350" s="24"/>
      <c r="H350" s="24"/>
      <c r="I350" s="24"/>
      <c r="J350" s="24"/>
      <c r="K350" s="24"/>
      <c r="L350" s="24"/>
      <c r="M350" s="24"/>
    </row>
    <row r="351" spans="1:13" s="5" customFormat="1" ht="25.5" customHeight="1">
      <c r="A351" s="22"/>
      <c r="B351" s="23"/>
      <c r="C351" s="23"/>
      <c r="D351" s="23"/>
      <c r="E351" s="24"/>
      <c r="F351" s="24"/>
      <c r="G351" s="24"/>
      <c r="H351" s="24"/>
      <c r="I351" s="24"/>
      <c r="J351" s="24"/>
      <c r="K351" s="24"/>
      <c r="L351" s="24"/>
      <c r="M351" s="24"/>
    </row>
    <row r="352" spans="1:13" s="5" customFormat="1" ht="25.5" customHeight="1">
      <c r="A352" s="22"/>
      <c r="B352" s="23"/>
      <c r="C352" s="23"/>
      <c r="D352" s="23"/>
      <c r="E352" s="24"/>
      <c r="F352" s="24"/>
      <c r="G352" s="24"/>
      <c r="H352" s="24"/>
      <c r="I352" s="24"/>
      <c r="J352" s="24"/>
      <c r="K352" s="24"/>
      <c r="L352" s="24"/>
      <c r="M352" s="24"/>
    </row>
    <row r="353" spans="1:13" s="5" customFormat="1" ht="25.5" customHeight="1">
      <c r="A353" s="22"/>
      <c r="B353" s="23"/>
      <c r="C353" s="23"/>
      <c r="D353" s="23"/>
      <c r="E353" s="24"/>
      <c r="F353" s="24"/>
      <c r="G353" s="24"/>
      <c r="H353" s="24"/>
      <c r="I353" s="24"/>
      <c r="J353" s="24"/>
      <c r="K353" s="24"/>
      <c r="L353" s="24"/>
      <c r="M353" s="24"/>
    </row>
    <row r="354" spans="1:13" s="5" customFormat="1" ht="25.5" customHeight="1">
      <c r="A354" s="22"/>
      <c r="B354" s="23"/>
      <c r="C354" s="23"/>
      <c r="D354" s="23"/>
      <c r="E354" s="24"/>
      <c r="F354" s="24"/>
      <c r="G354" s="24"/>
      <c r="H354" s="24"/>
      <c r="I354" s="24"/>
      <c r="J354" s="24"/>
      <c r="K354" s="24"/>
      <c r="L354" s="24"/>
      <c r="M354" s="24"/>
    </row>
    <row r="355" spans="1:13" s="5" customFormat="1" ht="25.5" customHeight="1">
      <c r="A355" s="22"/>
      <c r="B355" s="23"/>
      <c r="C355" s="23"/>
      <c r="D355" s="23"/>
      <c r="E355" s="24"/>
      <c r="F355" s="24"/>
      <c r="G355" s="24"/>
      <c r="H355" s="24"/>
      <c r="I355" s="24"/>
      <c r="J355" s="24"/>
      <c r="K355" s="24"/>
      <c r="L355" s="24"/>
      <c r="M355" s="24"/>
    </row>
    <row r="356" spans="1:13" s="5" customFormat="1" ht="25.5" customHeight="1">
      <c r="A356" s="22"/>
      <c r="B356" s="23"/>
      <c r="C356" s="23"/>
      <c r="D356" s="23"/>
      <c r="E356" s="24"/>
      <c r="F356" s="24"/>
      <c r="G356" s="24"/>
      <c r="H356" s="24"/>
      <c r="I356" s="24"/>
      <c r="J356" s="24"/>
      <c r="K356" s="24"/>
      <c r="L356" s="24"/>
      <c r="M356" s="24"/>
    </row>
    <row r="357" spans="1:13" s="5" customFormat="1" ht="25.5" customHeight="1">
      <c r="A357" s="22"/>
      <c r="B357" s="23"/>
      <c r="C357" s="23"/>
      <c r="D357" s="23"/>
      <c r="E357" s="24"/>
      <c r="F357" s="24"/>
      <c r="G357" s="24"/>
      <c r="H357" s="24"/>
      <c r="I357" s="24"/>
      <c r="J357" s="24"/>
      <c r="K357" s="24"/>
      <c r="L357" s="24"/>
      <c r="M357" s="24"/>
    </row>
    <row r="358" spans="1:13" s="5" customFormat="1" ht="25.5" customHeight="1">
      <c r="A358" s="22"/>
      <c r="B358" s="23"/>
      <c r="C358" s="23"/>
      <c r="D358" s="23"/>
      <c r="E358" s="24"/>
      <c r="F358" s="24"/>
      <c r="G358" s="24"/>
      <c r="H358" s="24"/>
      <c r="I358" s="24"/>
      <c r="J358" s="24"/>
      <c r="K358" s="24"/>
      <c r="L358" s="24"/>
      <c r="M358" s="24"/>
    </row>
    <row r="359" spans="1:13" s="5" customFormat="1" ht="25.5" customHeight="1">
      <c r="A359" s="22"/>
      <c r="B359" s="23"/>
      <c r="C359" s="23"/>
      <c r="D359" s="23"/>
      <c r="E359" s="24"/>
      <c r="F359" s="24"/>
      <c r="G359" s="24"/>
      <c r="H359" s="24"/>
      <c r="I359" s="24"/>
      <c r="J359" s="24"/>
      <c r="K359" s="24"/>
      <c r="L359" s="24"/>
      <c r="M359" s="24"/>
    </row>
    <row r="360" spans="1:13" s="5" customFormat="1" ht="25.5" customHeight="1">
      <c r="A360" s="22"/>
      <c r="B360" s="23"/>
      <c r="C360" s="23"/>
      <c r="D360" s="23"/>
      <c r="E360" s="24"/>
      <c r="F360" s="24"/>
      <c r="G360" s="24"/>
      <c r="H360" s="24"/>
      <c r="I360" s="24"/>
      <c r="J360" s="24"/>
      <c r="K360" s="24"/>
      <c r="L360" s="24"/>
      <c r="M360" s="24"/>
    </row>
    <row r="361" spans="1:13" s="5" customFormat="1" ht="25.5" customHeight="1">
      <c r="A361" s="22"/>
      <c r="B361" s="23"/>
      <c r="C361" s="23"/>
      <c r="D361" s="23"/>
      <c r="E361" s="24"/>
      <c r="F361" s="24"/>
      <c r="G361" s="24"/>
      <c r="H361" s="24"/>
      <c r="I361" s="24"/>
      <c r="J361" s="24"/>
      <c r="K361" s="24"/>
      <c r="L361" s="24"/>
      <c r="M361" s="24"/>
    </row>
    <row r="362" spans="1:13" s="5" customFormat="1" ht="25.5" customHeight="1">
      <c r="A362" s="22"/>
      <c r="B362" s="23"/>
      <c r="C362" s="23"/>
      <c r="D362" s="23"/>
      <c r="E362" s="24"/>
      <c r="F362" s="24"/>
      <c r="G362" s="24"/>
      <c r="H362" s="24"/>
      <c r="I362" s="24"/>
      <c r="J362" s="24"/>
      <c r="K362" s="24"/>
      <c r="L362" s="24"/>
      <c r="M362" s="24"/>
    </row>
    <row r="363" spans="1:13" s="5" customFormat="1" ht="25.5" customHeight="1">
      <c r="A363" s="22"/>
      <c r="B363" s="23"/>
      <c r="C363" s="23"/>
      <c r="D363" s="23"/>
      <c r="E363" s="24"/>
      <c r="F363" s="24"/>
      <c r="G363" s="24"/>
      <c r="H363" s="24"/>
      <c r="I363" s="24"/>
      <c r="J363" s="24"/>
      <c r="K363" s="24"/>
      <c r="L363" s="24"/>
      <c r="M363" s="24"/>
    </row>
    <row r="364" spans="1:13" s="5" customFormat="1" ht="25.5" customHeight="1">
      <c r="A364" s="22"/>
      <c r="B364" s="23"/>
      <c r="C364" s="23"/>
      <c r="D364" s="23"/>
      <c r="E364" s="24"/>
      <c r="F364" s="24"/>
      <c r="G364" s="24"/>
      <c r="H364" s="24"/>
      <c r="I364" s="24"/>
      <c r="J364" s="24"/>
      <c r="K364" s="24"/>
      <c r="L364" s="24"/>
      <c r="M364" s="24"/>
    </row>
    <row r="365" spans="1:13" s="5" customFormat="1" ht="25.5" customHeight="1">
      <c r="A365" s="22"/>
      <c r="B365" s="23"/>
      <c r="C365" s="23"/>
      <c r="D365" s="23"/>
      <c r="E365" s="24"/>
      <c r="F365" s="24"/>
      <c r="G365" s="24"/>
      <c r="H365" s="24"/>
      <c r="I365" s="24"/>
      <c r="J365" s="24"/>
      <c r="K365" s="24"/>
      <c r="L365" s="24"/>
      <c r="M365" s="24"/>
    </row>
    <row r="366" spans="1:13" s="5" customFormat="1" ht="25.5" customHeight="1">
      <c r="A366" s="22"/>
      <c r="B366" s="23"/>
      <c r="C366" s="23"/>
      <c r="D366" s="23"/>
      <c r="E366" s="24"/>
      <c r="F366" s="24"/>
      <c r="G366" s="24"/>
      <c r="H366" s="24"/>
      <c r="I366" s="24"/>
      <c r="J366" s="24"/>
      <c r="K366" s="24"/>
      <c r="L366" s="24"/>
      <c r="M366" s="24"/>
    </row>
    <row r="367" spans="1:13" s="5" customFormat="1" ht="25.5" customHeight="1">
      <c r="A367" s="22"/>
      <c r="B367" s="23"/>
      <c r="C367" s="23"/>
      <c r="D367" s="23"/>
      <c r="E367" s="24"/>
      <c r="F367" s="24"/>
      <c r="G367" s="24"/>
      <c r="H367" s="24"/>
      <c r="I367" s="24"/>
      <c r="J367" s="24"/>
      <c r="K367" s="24"/>
      <c r="L367" s="24"/>
      <c r="M367" s="24"/>
    </row>
    <row r="368" spans="1:13" s="5" customFormat="1" ht="25.5" customHeight="1">
      <c r="A368" s="22"/>
      <c r="B368" s="23"/>
      <c r="C368" s="23"/>
      <c r="D368" s="23"/>
      <c r="E368" s="24"/>
      <c r="F368" s="24"/>
      <c r="G368" s="24"/>
      <c r="H368" s="24"/>
      <c r="I368" s="24"/>
      <c r="J368" s="24"/>
      <c r="K368" s="24"/>
      <c r="L368" s="24"/>
      <c r="M368" s="24"/>
    </row>
    <row r="369" spans="1:13" s="5" customFormat="1" ht="25.5" customHeight="1">
      <c r="A369" s="22"/>
      <c r="B369" s="23"/>
      <c r="C369" s="23"/>
      <c r="D369" s="23"/>
      <c r="E369" s="24"/>
      <c r="F369" s="24"/>
      <c r="G369" s="24"/>
      <c r="H369" s="24"/>
      <c r="I369" s="24"/>
      <c r="J369" s="24"/>
      <c r="K369" s="24"/>
      <c r="L369" s="24"/>
      <c r="M369" s="24"/>
    </row>
    <row r="370" spans="1:13" s="5" customFormat="1" ht="25.5" customHeight="1">
      <c r="A370" s="22"/>
      <c r="B370" s="23"/>
      <c r="C370" s="23"/>
      <c r="D370" s="23"/>
      <c r="E370" s="24"/>
      <c r="F370" s="24"/>
      <c r="G370" s="24"/>
      <c r="H370" s="24"/>
      <c r="I370" s="24"/>
      <c r="J370" s="24"/>
      <c r="K370" s="24"/>
      <c r="L370" s="24"/>
      <c r="M370" s="24"/>
    </row>
    <row r="371" spans="1:13" s="5" customFormat="1" ht="25.5" customHeight="1">
      <c r="A371" s="22"/>
      <c r="B371" s="23"/>
      <c r="C371" s="23"/>
      <c r="D371" s="23"/>
      <c r="E371" s="24"/>
      <c r="F371" s="24"/>
      <c r="G371" s="24"/>
      <c r="H371" s="24"/>
      <c r="I371" s="24"/>
      <c r="J371" s="24"/>
      <c r="K371" s="24"/>
      <c r="L371" s="24"/>
      <c r="M371" s="24"/>
    </row>
    <row r="372" spans="1:13" s="5" customFormat="1" ht="25.5" customHeight="1">
      <c r="A372" s="22"/>
      <c r="B372" s="23"/>
      <c r="C372" s="23"/>
      <c r="D372" s="23"/>
      <c r="E372" s="24"/>
      <c r="F372" s="24"/>
      <c r="G372" s="24"/>
      <c r="H372" s="24"/>
      <c r="I372" s="24"/>
      <c r="J372" s="24"/>
      <c r="K372" s="24"/>
      <c r="L372" s="24"/>
      <c r="M372" s="24"/>
    </row>
    <row r="373" spans="1:13" s="5" customFormat="1" ht="25.5" customHeight="1">
      <c r="A373" s="22"/>
      <c r="B373" s="23"/>
      <c r="C373" s="23"/>
      <c r="D373" s="23"/>
      <c r="E373" s="24"/>
      <c r="F373" s="24"/>
      <c r="G373" s="24"/>
      <c r="H373" s="24"/>
      <c r="I373" s="24"/>
      <c r="J373" s="24"/>
      <c r="K373" s="24"/>
      <c r="L373" s="24"/>
      <c r="M373" s="24"/>
    </row>
    <row r="374" spans="1:13" s="5" customFormat="1" ht="25.5" customHeight="1">
      <c r="A374" s="22"/>
      <c r="B374" s="23"/>
      <c r="C374" s="23"/>
      <c r="D374" s="23"/>
      <c r="E374" s="24"/>
      <c r="F374" s="24"/>
      <c r="G374" s="24"/>
      <c r="H374" s="24"/>
      <c r="I374" s="24"/>
      <c r="J374" s="24"/>
      <c r="K374" s="24"/>
      <c r="L374" s="24"/>
      <c r="M374" s="24"/>
    </row>
    <row r="375" spans="1:13" s="5" customFormat="1" ht="25.5" customHeight="1">
      <c r="A375" s="22"/>
      <c r="B375" s="23"/>
      <c r="C375" s="23"/>
      <c r="D375" s="23"/>
      <c r="E375" s="24"/>
      <c r="F375" s="24"/>
      <c r="G375" s="24"/>
      <c r="H375" s="24"/>
      <c r="I375" s="24"/>
      <c r="J375" s="24"/>
      <c r="K375" s="24"/>
      <c r="L375" s="24"/>
      <c r="M375" s="24"/>
    </row>
    <row r="376" spans="1:13" s="5" customFormat="1" ht="25.5" customHeight="1">
      <c r="A376" s="22"/>
      <c r="B376" s="23"/>
      <c r="C376" s="23"/>
      <c r="D376" s="23"/>
      <c r="E376" s="24"/>
      <c r="F376" s="24"/>
      <c r="G376" s="24"/>
      <c r="H376" s="24"/>
      <c r="I376" s="24"/>
      <c r="J376" s="24"/>
      <c r="K376" s="24"/>
      <c r="L376" s="24"/>
      <c r="M376" s="24"/>
    </row>
    <row r="377" spans="1:13" s="5" customFormat="1" ht="25.5" customHeight="1">
      <c r="A377" s="22"/>
      <c r="B377" s="23"/>
      <c r="C377" s="23"/>
      <c r="D377" s="23"/>
      <c r="E377" s="24"/>
      <c r="F377" s="24"/>
      <c r="G377" s="24"/>
      <c r="H377" s="24"/>
      <c r="I377" s="24"/>
      <c r="J377" s="24"/>
      <c r="K377" s="24"/>
      <c r="L377" s="24"/>
      <c r="M377" s="24"/>
    </row>
    <row r="378" spans="1:13" s="5" customFormat="1" ht="25.5" customHeight="1">
      <c r="A378" s="22"/>
      <c r="B378" s="23"/>
      <c r="C378" s="23"/>
      <c r="D378" s="23"/>
      <c r="E378" s="24"/>
      <c r="F378" s="24"/>
      <c r="G378" s="24"/>
      <c r="H378" s="24"/>
      <c r="I378" s="24"/>
      <c r="J378" s="24"/>
      <c r="K378" s="24"/>
      <c r="L378" s="24"/>
      <c r="M378" s="24"/>
    </row>
    <row r="379" spans="1:13" s="5" customFormat="1" ht="25.5" customHeight="1">
      <c r="A379" s="22"/>
      <c r="B379" s="23"/>
      <c r="C379" s="23"/>
      <c r="D379" s="23"/>
      <c r="E379" s="24"/>
      <c r="F379" s="24"/>
      <c r="G379" s="24"/>
      <c r="H379" s="24"/>
      <c r="I379" s="24"/>
      <c r="J379" s="24"/>
      <c r="K379" s="24"/>
      <c r="L379" s="24"/>
      <c r="M379" s="24"/>
    </row>
    <row r="380" spans="1:13" s="5" customFormat="1" ht="25.5" customHeight="1">
      <c r="A380" s="22"/>
      <c r="B380" s="23"/>
      <c r="C380" s="23"/>
      <c r="D380" s="23"/>
      <c r="E380" s="24"/>
      <c r="F380" s="24"/>
      <c r="G380" s="24"/>
      <c r="H380" s="24"/>
      <c r="I380" s="24"/>
      <c r="J380" s="24"/>
      <c r="K380" s="24"/>
      <c r="L380" s="24"/>
      <c r="M380" s="24"/>
    </row>
    <row r="381" spans="1:13" s="5" customFormat="1" ht="25.5" customHeight="1">
      <c r="A381" s="22"/>
      <c r="B381" s="23"/>
      <c r="C381" s="23"/>
      <c r="D381" s="23"/>
      <c r="E381" s="24"/>
      <c r="F381" s="24"/>
      <c r="G381" s="24"/>
      <c r="H381" s="24"/>
      <c r="I381" s="24"/>
      <c r="J381" s="24"/>
      <c r="K381" s="24"/>
      <c r="L381" s="24"/>
      <c r="M381" s="24"/>
    </row>
    <row r="382" spans="1:13" s="5" customFormat="1" ht="25.5" customHeight="1">
      <c r="A382" s="22"/>
      <c r="B382" s="23"/>
      <c r="C382" s="23"/>
      <c r="D382" s="23"/>
      <c r="E382" s="24"/>
      <c r="F382" s="24"/>
      <c r="G382" s="24"/>
      <c r="H382" s="24"/>
      <c r="I382" s="24"/>
      <c r="J382" s="24"/>
      <c r="K382" s="24"/>
      <c r="L382" s="24"/>
      <c r="M382" s="24"/>
    </row>
    <row r="383" spans="1:13" s="5" customFormat="1" ht="25.5" customHeight="1">
      <c r="A383" s="22"/>
      <c r="B383" s="23"/>
      <c r="C383" s="23"/>
      <c r="D383" s="23"/>
      <c r="E383" s="24"/>
      <c r="F383" s="24"/>
      <c r="G383" s="24"/>
      <c r="H383" s="24"/>
      <c r="I383" s="24"/>
      <c r="J383" s="24"/>
      <c r="K383" s="24"/>
      <c r="L383" s="24"/>
      <c r="M383" s="24"/>
    </row>
    <row r="384" spans="1:13" s="5" customFormat="1" ht="25.5" customHeight="1">
      <c r="A384" s="22"/>
      <c r="B384" s="23"/>
      <c r="C384" s="23"/>
      <c r="D384" s="23"/>
      <c r="E384" s="24"/>
      <c r="F384" s="24"/>
      <c r="G384" s="24"/>
      <c r="H384" s="24"/>
      <c r="I384" s="24"/>
      <c r="J384" s="24"/>
      <c r="K384" s="24"/>
      <c r="L384" s="24"/>
      <c r="M384" s="24"/>
    </row>
    <row r="385" spans="1:13" s="5" customFormat="1" ht="25.5" customHeight="1">
      <c r="A385" s="22"/>
      <c r="B385" s="23"/>
      <c r="C385" s="23"/>
      <c r="D385" s="23"/>
      <c r="E385" s="24"/>
      <c r="F385" s="24"/>
      <c r="G385" s="24"/>
      <c r="H385" s="24"/>
      <c r="I385" s="24"/>
      <c r="J385" s="24"/>
      <c r="K385" s="24"/>
      <c r="L385" s="24"/>
      <c r="M385" s="24"/>
    </row>
    <row r="386" spans="1:13" s="5" customFormat="1" ht="25.5" customHeight="1">
      <c r="A386" s="22"/>
      <c r="B386" s="23"/>
      <c r="C386" s="23"/>
      <c r="D386" s="23"/>
      <c r="E386" s="24"/>
      <c r="F386" s="24"/>
      <c r="G386" s="24"/>
      <c r="H386" s="24"/>
      <c r="I386" s="24"/>
      <c r="J386" s="24"/>
      <c r="K386" s="24"/>
      <c r="L386" s="24"/>
      <c r="M386" s="24"/>
    </row>
    <row r="387" spans="1:13" s="5" customFormat="1" ht="25.5" customHeight="1">
      <c r="A387" s="22"/>
      <c r="B387" s="23"/>
      <c r="C387" s="23"/>
      <c r="D387" s="23"/>
      <c r="E387" s="24"/>
      <c r="F387" s="24"/>
      <c r="G387" s="24"/>
      <c r="H387" s="24"/>
      <c r="I387" s="24"/>
      <c r="J387" s="24"/>
      <c r="K387" s="24"/>
      <c r="L387" s="24"/>
      <c r="M387" s="24"/>
    </row>
    <row r="388" spans="1:13" s="5" customFormat="1" ht="25.5" customHeight="1">
      <c r="A388" s="22"/>
      <c r="B388" s="23"/>
      <c r="C388" s="23"/>
      <c r="D388" s="23"/>
      <c r="E388" s="24"/>
      <c r="F388" s="24"/>
      <c r="G388" s="24"/>
      <c r="H388" s="24"/>
      <c r="I388" s="24"/>
      <c r="J388" s="24"/>
      <c r="K388" s="24"/>
      <c r="L388" s="24"/>
      <c r="M388" s="24"/>
    </row>
    <row r="389" spans="1:13" s="5" customFormat="1" ht="25.5" customHeight="1">
      <c r="A389" s="22"/>
      <c r="B389" s="23"/>
      <c r="C389" s="23"/>
      <c r="D389" s="23"/>
      <c r="E389" s="24"/>
      <c r="F389" s="24"/>
      <c r="G389" s="24"/>
      <c r="H389" s="24"/>
      <c r="I389" s="24"/>
      <c r="J389" s="24"/>
      <c r="K389" s="24"/>
      <c r="L389" s="24"/>
      <c r="M389" s="24"/>
    </row>
    <row r="390" spans="1:13" s="5" customFormat="1" ht="25.5" customHeight="1">
      <c r="A390" s="22"/>
      <c r="B390" s="23"/>
      <c r="C390" s="23"/>
      <c r="D390" s="23"/>
      <c r="E390" s="24"/>
      <c r="F390" s="24"/>
      <c r="G390" s="24"/>
      <c r="H390" s="24"/>
      <c r="I390" s="24"/>
      <c r="J390" s="24"/>
      <c r="K390" s="24"/>
      <c r="L390" s="24"/>
      <c r="M390" s="24"/>
    </row>
    <row r="391" spans="1:13" s="5" customFormat="1" ht="25.5" customHeight="1">
      <c r="A391" s="22"/>
      <c r="B391" s="23"/>
      <c r="C391" s="23"/>
      <c r="D391" s="23"/>
      <c r="E391" s="24"/>
      <c r="F391" s="24"/>
      <c r="G391" s="24"/>
      <c r="H391" s="24"/>
      <c r="I391" s="24"/>
      <c r="J391" s="24"/>
      <c r="K391" s="24"/>
      <c r="L391" s="24"/>
      <c r="M391" s="24"/>
    </row>
    <row r="392" spans="1:13" s="5" customFormat="1" ht="25.5" customHeight="1">
      <c r="A392" s="22"/>
      <c r="B392" s="23"/>
      <c r="C392" s="23"/>
      <c r="D392" s="23"/>
      <c r="E392" s="24"/>
      <c r="F392" s="24"/>
      <c r="G392" s="24"/>
      <c r="H392" s="24"/>
      <c r="I392" s="24"/>
      <c r="J392" s="24"/>
      <c r="K392" s="24"/>
      <c r="L392" s="24"/>
      <c r="M392" s="24"/>
    </row>
    <row r="393" spans="1:13" s="5" customFormat="1" ht="25.5" customHeight="1">
      <c r="A393" s="22"/>
      <c r="B393" s="23"/>
      <c r="C393" s="23"/>
      <c r="D393" s="23"/>
      <c r="E393" s="24"/>
      <c r="F393" s="24"/>
      <c r="G393" s="24"/>
      <c r="H393" s="24"/>
      <c r="I393" s="24"/>
      <c r="J393" s="24"/>
      <c r="K393" s="24"/>
      <c r="L393" s="24"/>
      <c r="M393" s="24"/>
    </row>
    <row r="394" spans="1:13" s="5" customFormat="1" ht="25.5" customHeight="1">
      <c r="A394" s="22"/>
      <c r="B394" s="23"/>
      <c r="C394" s="23"/>
      <c r="D394" s="23"/>
      <c r="E394" s="24"/>
      <c r="F394" s="24"/>
      <c r="G394" s="24"/>
      <c r="H394" s="24"/>
      <c r="I394" s="24"/>
      <c r="J394" s="24"/>
      <c r="K394" s="24"/>
      <c r="L394" s="24"/>
      <c r="M394" s="24"/>
    </row>
    <row r="395" spans="1:13" s="5" customFormat="1" ht="25.5" customHeight="1">
      <c r="A395" s="22"/>
      <c r="B395" s="23"/>
      <c r="C395" s="23"/>
      <c r="D395" s="23"/>
      <c r="E395" s="24"/>
      <c r="F395" s="24"/>
      <c r="G395" s="24"/>
      <c r="H395" s="24"/>
      <c r="I395" s="24"/>
      <c r="J395" s="24"/>
      <c r="K395" s="24"/>
      <c r="L395" s="24"/>
      <c r="M395" s="24"/>
    </row>
    <row r="396" spans="1:13" s="5" customFormat="1" ht="25.5" customHeight="1">
      <c r="A396" s="22"/>
      <c r="B396" s="23"/>
      <c r="C396" s="23"/>
      <c r="D396" s="23"/>
      <c r="E396" s="24"/>
      <c r="F396" s="24"/>
      <c r="G396" s="24"/>
      <c r="H396" s="24"/>
      <c r="I396" s="24"/>
      <c r="J396" s="24"/>
      <c r="K396" s="24"/>
      <c r="L396" s="24"/>
      <c r="M396" s="24"/>
    </row>
    <row r="397" spans="1:13" s="5" customFormat="1" ht="25.5" customHeight="1">
      <c r="A397" s="22"/>
      <c r="B397" s="23"/>
      <c r="C397" s="23"/>
      <c r="D397" s="23"/>
      <c r="E397" s="24"/>
      <c r="F397" s="24"/>
      <c r="G397" s="24"/>
      <c r="H397" s="24"/>
      <c r="I397" s="24"/>
      <c r="J397" s="24"/>
      <c r="K397" s="24"/>
      <c r="L397" s="24"/>
      <c r="M397" s="24"/>
    </row>
    <row r="398" spans="1:13" s="5" customFormat="1" ht="25.5" customHeight="1">
      <c r="A398" s="22"/>
      <c r="B398" s="23"/>
      <c r="C398" s="23"/>
      <c r="D398" s="23"/>
      <c r="E398" s="24"/>
      <c r="F398" s="24"/>
      <c r="G398" s="24"/>
      <c r="H398" s="24"/>
      <c r="I398" s="24"/>
      <c r="J398" s="24"/>
      <c r="K398" s="24"/>
      <c r="L398" s="24"/>
      <c r="M398" s="24"/>
    </row>
    <row r="399" spans="1:13" s="5" customFormat="1" ht="25.5" customHeight="1">
      <c r="A399" s="22"/>
      <c r="B399" s="23"/>
      <c r="C399" s="23"/>
      <c r="D399" s="23"/>
      <c r="E399" s="24"/>
      <c r="F399" s="24"/>
      <c r="G399" s="24"/>
      <c r="H399" s="24"/>
      <c r="I399" s="24"/>
      <c r="J399" s="24"/>
      <c r="K399" s="24"/>
      <c r="L399" s="24"/>
      <c r="M399" s="24"/>
    </row>
    <row r="400" spans="1:13" s="5" customFormat="1" ht="25.5" customHeight="1">
      <c r="A400" s="22"/>
      <c r="B400" s="23"/>
      <c r="C400" s="23"/>
      <c r="D400" s="23"/>
      <c r="E400" s="24"/>
      <c r="F400" s="24"/>
      <c r="G400" s="24"/>
      <c r="H400" s="24"/>
      <c r="I400" s="24"/>
      <c r="J400" s="24"/>
      <c r="K400" s="24"/>
      <c r="L400" s="24"/>
      <c r="M400" s="24"/>
    </row>
    <row r="401" spans="1:13" s="5" customFormat="1" ht="25.5" customHeight="1">
      <c r="A401" s="22"/>
      <c r="B401" s="23"/>
      <c r="C401" s="23"/>
      <c r="D401" s="23"/>
      <c r="E401" s="24"/>
      <c r="F401" s="24"/>
      <c r="G401" s="24"/>
      <c r="H401" s="24"/>
      <c r="I401" s="24"/>
      <c r="J401" s="24"/>
      <c r="K401" s="24"/>
      <c r="L401" s="24"/>
      <c r="M401" s="24"/>
    </row>
    <row r="402" spans="1:13" s="5" customFormat="1" ht="25.5" customHeight="1">
      <c r="A402" s="22"/>
      <c r="B402" s="23"/>
      <c r="C402" s="23"/>
      <c r="D402" s="23"/>
      <c r="E402" s="24"/>
      <c r="F402" s="24"/>
      <c r="G402" s="24"/>
      <c r="H402" s="24"/>
      <c r="I402" s="24"/>
      <c r="J402" s="24"/>
      <c r="K402" s="24"/>
      <c r="L402" s="24"/>
      <c r="M402" s="24"/>
    </row>
    <row r="403" spans="1:13" s="5" customFormat="1" ht="25.5" customHeight="1">
      <c r="A403" s="22"/>
      <c r="B403" s="23"/>
      <c r="C403" s="23"/>
      <c r="D403" s="23"/>
      <c r="E403" s="24"/>
      <c r="F403" s="24"/>
      <c r="G403" s="24"/>
      <c r="H403" s="24"/>
      <c r="I403" s="24"/>
      <c r="J403" s="24"/>
      <c r="K403" s="24"/>
      <c r="L403" s="24"/>
      <c r="M403" s="24"/>
    </row>
    <row r="404" spans="1:13" s="5" customFormat="1" ht="25.5" customHeight="1">
      <c r="A404" s="22"/>
      <c r="B404" s="23"/>
      <c r="C404" s="23"/>
      <c r="D404" s="23"/>
      <c r="E404" s="24"/>
      <c r="F404" s="24"/>
      <c r="G404" s="24"/>
      <c r="H404" s="24"/>
      <c r="I404" s="24"/>
      <c r="J404" s="24"/>
      <c r="K404" s="24"/>
      <c r="L404" s="24"/>
      <c r="M404" s="24"/>
    </row>
    <row r="405" spans="1:13" s="5" customFormat="1" ht="25.5" customHeight="1">
      <c r="A405" s="22"/>
      <c r="B405" s="23"/>
      <c r="C405" s="23"/>
      <c r="D405" s="23"/>
      <c r="E405" s="24"/>
      <c r="F405" s="24"/>
      <c r="G405" s="24"/>
      <c r="H405" s="24"/>
      <c r="I405" s="24"/>
      <c r="J405" s="24"/>
      <c r="K405" s="24"/>
      <c r="L405" s="24"/>
      <c r="M405" s="24"/>
    </row>
    <row r="406" spans="1:13" s="5" customFormat="1" ht="25.5" customHeight="1">
      <c r="A406" s="22"/>
      <c r="B406" s="23"/>
      <c r="C406" s="23"/>
      <c r="D406" s="23"/>
      <c r="E406" s="24"/>
      <c r="F406" s="24"/>
      <c r="G406" s="24"/>
      <c r="H406" s="24"/>
      <c r="I406" s="24"/>
      <c r="J406" s="24"/>
      <c r="K406" s="24"/>
      <c r="L406" s="24"/>
      <c r="M406" s="24"/>
    </row>
    <row r="407" spans="1:13" s="5" customFormat="1" ht="25.5" customHeight="1">
      <c r="A407" s="22"/>
      <c r="B407" s="23"/>
      <c r="C407" s="23"/>
      <c r="D407" s="23"/>
      <c r="E407" s="24"/>
      <c r="F407" s="24"/>
      <c r="G407" s="24"/>
      <c r="H407" s="24"/>
      <c r="I407" s="24"/>
      <c r="J407" s="24"/>
      <c r="K407" s="24"/>
      <c r="L407" s="24"/>
      <c r="M407" s="24"/>
    </row>
    <row r="408" spans="1:13" s="5" customFormat="1" ht="25.5" customHeight="1">
      <c r="A408" s="22"/>
      <c r="B408" s="23"/>
      <c r="C408" s="23"/>
      <c r="D408" s="23"/>
      <c r="E408" s="24"/>
      <c r="F408" s="24"/>
      <c r="G408" s="24"/>
      <c r="H408" s="24"/>
      <c r="I408" s="24"/>
      <c r="J408" s="24"/>
      <c r="K408" s="24"/>
      <c r="L408" s="24"/>
      <c r="M408" s="24"/>
    </row>
    <row r="409" spans="1:13" s="5" customFormat="1" ht="25.5" customHeight="1">
      <c r="A409" s="22"/>
      <c r="B409" s="23"/>
      <c r="C409" s="23"/>
      <c r="D409" s="23"/>
      <c r="E409" s="24"/>
      <c r="F409" s="24"/>
      <c r="G409" s="24"/>
      <c r="H409" s="24"/>
      <c r="I409" s="24"/>
      <c r="J409" s="24"/>
      <c r="K409" s="24"/>
      <c r="L409" s="24"/>
      <c r="M409" s="24"/>
    </row>
    <row r="410" spans="1:13" s="5" customFormat="1" ht="25.5" customHeight="1">
      <c r="A410" s="22"/>
      <c r="B410" s="23"/>
      <c r="C410" s="23"/>
      <c r="D410" s="23"/>
      <c r="E410" s="24"/>
      <c r="F410" s="24"/>
      <c r="G410" s="24"/>
      <c r="H410" s="24"/>
      <c r="I410" s="24"/>
      <c r="J410" s="24"/>
      <c r="K410" s="24"/>
      <c r="L410" s="24"/>
      <c r="M410" s="24"/>
    </row>
    <row r="411" spans="1:13" s="5" customFormat="1" ht="25.5" customHeight="1">
      <c r="A411" s="22"/>
      <c r="B411" s="23"/>
      <c r="C411" s="23"/>
      <c r="D411" s="23"/>
      <c r="E411" s="24"/>
      <c r="F411" s="24"/>
      <c r="G411" s="24"/>
      <c r="H411" s="24"/>
      <c r="I411" s="24"/>
      <c r="J411" s="24"/>
      <c r="K411" s="24"/>
      <c r="L411" s="24"/>
      <c r="M411" s="24"/>
    </row>
    <row r="412" spans="1:13" s="5" customFormat="1" ht="25.5" customHeight="1">
      <c r="A412" s="22"/>
      <c r="B412" s="23"/>
      <c r="C412" s="23"/>
      <c r="D412" s="23"/>
      <c r="E412" s="24"/>
      <c r="F412" s="24"/>
      <c r="G412" s="24"/>
      <c r="H412" s="24"/>
      <c r="I412" s="24"/>
      <c r="J412" s="24"/>
      <c r="K412" s="24"/>
      <c r="L412" s="24"/>
      <c r="M412" s="24"/>
    </row>
    <row r="413" spans="1:13" s="5" customFormat="1" ht="25.5" customHeight="1">
      <c r="A413" s="22"/>
      <c r="B413" s="23"/>
      <c r="C413" s="23"/>
      <c r="D413" s="23"/>
      <c r="E413" s="24"/>
      <c r="F413" s="24"/>
      <c r="G413" s="24"/>
      <c r="H413" s="24"/>
      <c r="I413" s="24"/>
      <c r="J413" s="24"/>
      <c r="K413" s="24"/>
      <c r="L413" s="24"/>
      <c r="M413" s="24"/>
    </row>
    <row r="414" spans="1:13" s="5" customFormat="1" ht="25.5" customHeight="1">
      <c r="A414" s="22"/>
      <c r="B414" s="23"/>
      <c r="C414" s="23"/>
      <c r="D414" s="23"/>
      <c r="E414" s="24"/>
      <c r="F414" s="24"/>
      <c r="G414" s="24"/>
      <c r="H414" s="24"/>
      <c r="I414" s="24"/>
      <c r="J414" s="24"/>
      <c r="K414" s="24"/>
      <c r="L414" s="24"/>
      <c r="M414" s="24"/>
    </row>
    <row r="415" spans="1:13" s="5" customFormat="1" ht="25.5" customHeight="1">
      <c r="A415" s="22"/>
      <c r="B415" s="23"/>
      <c r="C415" s="23"/>
      <c r="D415" s="23"/>
      <c r="E415" s="24"/>
      <c r="F415" s="24"/>
      <c r="G415" s="24"/>
      <c r="H415" s="24"/>
      <c r="I415" s="24"/>
      <c r="J415" s="24"/>
      <c r="K415" s="24"/>
      <c r="L415" s="24"/>
      <c r="M415" s="24"/>
    </row>
    <row r="416" spans="1:13" s="5" customFormat="1" ht="25.5" customHeight="1">
      <c r="A416" s="22"/>
      <c r="B416" s="23"/>
      <c r="C416" s="23"/>
      <c r="D416" s="23"/>
      <c r="E416" s="24"/>
      <c r="F416" s="24"/>
      <c r="G416" s="24"/>
      <c r="H416" s="24"/>
      <c r="I416" s="24"/>
      <c r="J416" s="24"/>
      <c r="K416" s="24"/>
      <c r="L416" s="24"/>
      <c r="M416" s="24"/>
    </row>
    <row r="417" spans="1:13" s="5" customFormat="1" ht="25.5" customHeight="1">
      <c r="A417" s="22"/>
      <c r="B417" s="23"/>
      <c r="C417" s="23"/>
      <c r="D417" s="23"/>
      <c r="E417" s="24"/>
      <c r="F417" s="24"/>
      <c r="G417" s="24"/>
      <c r="H417" s="24"/>
      <c r="I417" s="24"/>
      <c r="J417" s="24"/>
      <c r="K417" s="24"/>
      <c r="L417" s="24"/>
      <c r="M417" s="24"/>
    </row>
    <row r="418" spans="1:13" s="5" customFormat="1" ht="25.5" customHeight="1">
      <c r="A418" s="22"/>
      <c r="B418" s="23"/>
      <c r="C418" s="23"/>
      <c r="D418" s="23"/>
      <c r="E418" s="24"/>
      <c r="F418" s="24"/>
      <c r="G418" s="24"/>
      <c r="H418" s="24"/>
      <c r="I418" s="24"/>
      <c r="J418" s="24"/>
      <c r="K418" s="24"/>
      <c r="L418" s="24"/>
      <c r="M418" s="24"/>
    </row>
    <row r="419" spans="1:13" s="5" customFormat="1" ht="25.5" customHeight="1">
      <c r="A419" s="22"/>
      <c r="B419" s="23"/>
      <c r="C419" s="23"/>
      <c r="D419" s="23"/>
      <c r="E419" s="24"/>
      <c r="F419" s="24"/>
      <c r="G419" s="24"/>
      <c r="H419" s="24"/>
      <c r="I419" s="24"/>
      <c r="J419" s="24"/>
      <c r="K419" s="24"/>
      <c r="L419" s="24"/>
      <c r="M419" s="24"/>
    </row>
    <row r="420" spans="1:13" s="5" customFormat="1" ht="25.5" customHeight="1">
      <c r="A420" s="22"/>
      <c r="B420" s="23"/>
      <c r="C420" s="23"/>
      <c r="D420" s="23"/>
      <c r="E420" s="24"/>
      <c r="F420" s="24"/>
      <c r="G420" s="24"/>
      <c r="H420" s="24"/>
      <c r="I420" s="24"/>
      <c r="J420" s="24"/>
      <c r="K420" s="24"/>
      <c r="L420" s="24"/>
      <c r="M420" s="24"/>
    </row>
    <row r="421" spans="1:13" s="5" customFormat="1" ht="25.5" customHeight="1">
      <c r="A421" s="22"/>
      <c r="B421" s="23"/>
      <c r="C421" s="23"/>
      <c r="D421" s="23"/>
      <c r="E421" s="24"/>
      <c r="F421" s="24"/>
      <c r="G421" s="24"/>
      <c r="H421" s="24"/>
      <c r="I421" s="24"/>
      <c r="J421" s="24"/>
      <c r="K421" s="24"/>
      <c r="L421" s="24"/>
      <c r="M421" s="24"/>
    </row>
    <row r="422" spans="1:13" s="5" customFormat="1" ht="25.5" customHeight="1">
      <c r="A422" s="22"/>
      <c r="B422" s="23"/>
      <c r="C422" s="23"/>
      <c r="D422" s="23"/>
      <c r="E422" s="24"/>
      <c r="F422" s="24"/>
      <c r="G422" s="24"/>
      <c r="H422" s="24"/>
      <c r="I422" s="24"/>
      <c r="J422" s="24"/>
      <c r="K422" s="24"/>
      <c r="L422" s="24"/>
      <c r="M422" s="24"/>
    </row>
    <row r="423" spans="1:13" s="5" customFormat="1" ht="25.5" customHeight="1">
      <c r="A423" s="22"/>
      <c r="B423" s="23"/>
      <c r="C423" s="23"/>
      <c r="D423" s="23"/>
      <c r="E423" s="24"/>
      <c r="F423" s="24"/>
      <c r="G423" s="24"/>
      <c r="H423" s="24"/>
      <c r="I423" s="24"/>
      <c r="J423" s="24"/>
      <c r="K423" s="24"/>
      <c r="L423" s="24"/>
      <c r="M423" s="24"/>
    </row>
    <row r="424" spans="1:13" s="5" customFormat="1" ht="25.5" customHeight="1">
      <c r="A424" s="22"/>
      <c r="B424" s="23"/>
      <c r="C424" s="23"/>
      <c r="D424" s="23"/>
      <c r="E424" s="24"/>
      <c r="F424" s="24"/>
      <c r="G424" s="24"/>
      <c r="H424" s="24"/>
      <c r="I424" s="24"/>
      <c r="J424" s="24"/>
      <c r="K424" s="24"/>
      <c r="L424" s="24"/>
      <c r="M424" s="24"/>
    </row>
    <row r="425" spans="1:13" s="5" customFormat="1" ht="25.5" customHeight="1">
      <c r="A425" s="22"/>
      <c r="B425" s="23"/>
      <c r="C425" s="23"/>
      <c r="D425" s="23"/>
      <c r="E425" s="24"/>
      <c r="F425" s="24"/>
      <c r="G425" s="24"/>
      <c r="H425" s="24"/>
      <c r="I425" s="24"/>
      <c r="J425" s="24"/>
      <c r="K425" s="24"/>
      <c r="L425" s="24"/>
      <c r="M425" s="24"/>
    </row>
    <row r="426" spans="1:13" s="5" customFormat="1" ht="25.5" customHeight="1">
      <c r="A426" s="22"/>
      <c r="B426" s="23"/>
      <c r="C426" s="23"/>
      <c r="D426" s="23"/>
      <c r="E426" s="24"/>
      <c r="F426" s="24"/>
      <c r="G426" s="24"/>
      <c r="H426" s="24"/>
      <c r="I426" s="24"/>
      <c r="J426" s="24"/>
      <c r="K426" s="24"/>
      <c r="L426" s="24"/>
      <c r="M426" s="24"/>
    </row>
    <row r="427" spans="1:13" s="5" customFormat="1" ht="25.5" customHeight="1">
      <c r="A427" s="22"/>
      <c r="B427" s="23"/>
      <c r="C427" s="23"/>
      <c r="D427" s="23"/>
      <c r="E427" s="24"/>
      <c r="F427" s="24"/>
      <c r="G427" s="24"/>
      <c r="H427" s="24"/>
      <c r="I427" s="24"/>
      <c r="J427" s="24"/>
      <c r="K427" s="24"/>
      <c r="L427" s="24"/>
      <c r="M427" s="24"/>
    </row>
    <row r="428" spans="1:13" s="5" customFormat="1" ht="25.5" customHeight="1">
      <c r="A428" s="22"/>
      <c r="B428" s="23"/>
      <c r="C428" s="23"/>
      <c r="D428" s="23"/>
      <c r="E428" s="24"/>
      <c r="F428" s="24"/>
      <c r="G428" s="24"/>
      <c r="H428" s="24"/>
      <c r="I428" s="24"/>
      <c r="J428" s="24"/>
      <c r="K428" s="24"/>
      <c r="L428" s="24"/>
      <c r="M428" s="24"/>
    </row>
    <row r="429" spans="1:13" s="5" customFormat="1" ht="25.5" customHeight="1">
      <c r="A429" s="22"/>
      <c r="B429" s="23"/>
      <c r="C429" s="23"/>
      <c r="D429" s="23"/>
      <c r="E429" s="24"/>
      <c r="F429" s="24"/>
      <c r="G429" s="24"/>
      <c r="H429" s="24"/>
      <c r="I429" s="24"/>
      <c r="J429" s="24"/>
      <c r="K429" s="24"/>
      <c r="L429" s="24"/>
      <c r="M429" s="24"/>
    </row>
    <row r="430" spans="1:13" s="5" customFormat="1" ht="25.5" customHeight="1">
      <c r="A430" s="22"/>
      <c r="B430" s="23"/>
      <c r="C430" s="23"/>
      <c r="D430" s="23"/>
      <c r="E430" s="24"/>
      <c r="F430" s="24"/>
      <c r="G430" s="24"/>
      <c r="H430" s="24"/>
      <c r="I430" s="24"/>
      <c r="J430" s="24"/>
      <c r="K430" s="24"/>
      <c r="L430" s="24"/>
      <c r="M430" s="24"/>
    </row>
    <row r="431" spans="1:13" s="5" customFormat="1" ht="25.5" customHeight="1">
      <c r="A431" s="22"/>
      <c r="B431" s="23"/>
      <c r="C431" s="23"/>
      <c r="D431" s="23"/>
      <c r="E431" s="24"/>
      <c r="F431" s="24"/>
      <c r="G431" s="24"/>
      <c r="H431" s="24"/>
      <c r="I431" s="24"/>
      <c r="J431" s="24"/>
      <c r="K431" s="24"/>
      <c r="L431" s="24"/>
      <c r="M431" s="24"/>
    </row>
    <row r="432" spans="1:13" s="5" customFormat="1" ht="25.5" customHeight="1">
      <c r="A432" s="22"/>
      <c r="B432" s="23"/>
      <c r="C432" s="23"/>
      <c r="D432" s="23"/>
      <c r="E432" s="24"/>
      <c r="F432" s="24"/>
      <c r="G432" s="24"/>
      <c r="H432" s="24"/>
      <c r="I432" s="24"/>
      <c r="J432" s="24"/>
      <c r="K432" s="24"/>
      <c r="L432" s="24"/>
      <c r="M432" s="24"/>
    </row>
    <row r="433" spans="1:13" s="5" customFormat="1" ht="25.5" customHeight="1">
      <c r="A433" s="22"/>
      <c r="B433" s="23"/>
      <c r="C433" s="23"/>
      <c r="D433" s="23"/>
      <c r="E433" s="24"/>
      <c r="F433" s="24"/>
      <c r="G433" s="24"/>
      <c r="H433" s="24"/>
      <c r="I433" s="24"/>
      <c r="J433" s="24"/>
      <c r="K433" s="24"/>
      <c r="L433" s="24"/>
      <c r="M433" s="24"/>
    </row>
    <row r="434" spans="1:13" s="5" customFormat="1" ht="25.5" customHeight="1">
      <c r="A434" s="22"/>
      <c r="B434" s="23"/>
      <c r="C434" s="23"/>
      <c r="D434" s="23"/>
      <c r="E434" s="24"/>
      <c r="F434" s="24"/>
      <c r="G434" s="24"/>
      <c r="H434" s="24"/>
      <c r="I434" s="24"/>
      <c r="J434" s="24"/>
      <c r="K434" s="24"/>
      <c r="L434" s="24"/>
      <c r="M434" s="24"/>
    </row>
    <row r="435" spans="1:13" s="5" customFormat="1" ht="25.5" customHeight="1">
      <c r="A435" s="22"/>
      <c r="B435" s="23"/>
      <c r="C435" s="23"/>
      <c r="D435" s="23"/>
      <c r="E435" s="24"/>
      <c r="F435" s="24"/>
      <c r="G435" s="24"/>
      <c r="H435" s="24"/>
      <c r="I435" s="24"/>
      <c r="J435" s="24"/>
      <c r="K435" s="24"/>
      <c r="L435" s="24"/>
      <c r="M435" s="24"/>
    </row>
    <row r="436" spans="1:13" s="5" customFormat="1" ht="25.5" customHeight="1">
      <c r="A436" s="22"/>
      <c r="B436" s="23"/>
      <c r="C436" s="23"/>
      <c r="D436" s="23"/>
      <c r="E436" s="24"/>
      <c r="F436" s="24"/>
      <c r="G436" s="24"/>
      <c r="H436" s="24"/>
      <c r="I436" s="24"/>
      <c r="J436" s="24"/>
      <c r="K436" s="24"/>
      <c r="L436" s="24"/>
      <c r="M436" s="24"/>
    </row>
    <row r="437" spans="1:13" s="5" customFormat="1" ht="25.5" customHeight="1">
      <c r="A437" s="22"/>
      <c r="B437" s="23"/>
      <c r="C437" s="23"/>
      <c r="D437" s="23"/>
      <c r="E437" s="24"/>
      <c r="F437" s="24"/>
      <c r="G437" s="24"/>
      <c r="H437" s="24"/>
      <c r="I437" s="24"/>
      <c r="J437" s="24"/>
      <c r="K437" s="24"/>
      <c r="L437" s="24"/>
      <c r="M437" s="24"/>
    </row>
    <row r="438" spans="1:13" s="5" customFormat="1" ht="25.5" customHeight="1">
      <c r="A438" s="22"/>
      <c r="B438" s="23"/>
      <c r="C438" s="23"/>
      <c r="D438" s="23"/>
      <c r="E438" s="24"/>
      <c r="F438" s="24"/>
      <c r="G438" s="24"/>
      <c r="H438" s="24"/>
      <c r="I438" s="24"/>
      <c r="J438" s="24"/>
      <c r="K438" s="24"/>
      <c r="L438" s="24"/>
      <c r="M438" s="24"/>
    </row>
    <row r="439" spans="1:13" s="5" customFormat="1" ht="25.5" customHeight="1">
      <c r="A439" s="22"/>
      <c r="B439" s="23"/>
      <c r="C439" s="23"/>
      <c r="D439" s="23"/>
      <c r="E439" s="24"/>
      <c r="F439" s="24"/>
      <c r="G439" s="24"/>
      <c r="H439" s="24"/>
      <c r="I439" s="24"/>
      <c r="J439" s="24"/>
      <c r="K439" s="24"/>
      <c r="L439" s="24"/>
      <c r="M439" s="24"/>
    </row>
    <row r="440" spans="1:13" s="5" customFormat="1" ht="25.5" customHeight="1">
      <c r="A440" s="22"/>
      <c r="B440" s="23"/>
      <c r="C440" s="23"/>
      <c r="D440" s="23"/>
      <c r="E440" s="24"/>
      <c r="F440" s="24"/>
      <c r="G440" s="24"/>
      <c r="H440" s="24"/>
      <c r="I440" s="24"/>
      <c r="J440" s="24"/>
      <c r="K440" s="24"/>
      <c r="L440" s="24"/>
      <c r="M440" s="24"/>
    </row>
    <row r="441" spans="1:13" s="5" customFormat="1" ht="25.5" customHeight="1">
      <c r="A441" s="22"/>
      <c r="B441" s="23"/>
      <c r="C441" s="23"/>
      <c r="D441" s="23"/>
      <c r="E441" s="24"/>
      <c r="F441" s="24"/>
      <c r="G441" s="24"/>
      <c r="H441" s="24"/>
      <c r="I441" s="24"/>
      <c r="J441" s="24"/>
      <c r="K441" s="24"/>
      <c r="L441" s="24"/>
      <c r="M441" s="24"/>
    </row>
    <row r="442" spans="1:13" s="5" customFormat="1" ht="25.5" customHeight="1">
      <c r="A442" s="22"/>
      <c r="B442" s="23"/>
      <c r="C442" s="23"/>
      <c r="D442" s="23"/>
      <c r="E442" s="24"/>
      <c r="F442" s="24"/>
      <c r="G442" s="24"/>
      <c r="H442" s="24"/>
      <c r="I442" s="24"/>
      <c r="J442" s="24"/>
      <c r="K442" s="24"/>
      <c r="L442" s="24"/>
      <c r="M442" s="24"/>
    </row>
    <row r="443" spans="1:13" s="5" customFormat="1" ht="25.5" customHeight="1">
      <c r="A443" s="22"/>
      <c r="B443" s="23"/>
      <c r="C443" s="23"/>
      <c r="D443" s="23"/>
      <c r="E443" s="24"/>
      <c r="F443" s="24"/>
      <c r="G443" s="24"/>
      <c r="H443" s="24"/>
      <c r="I443" s="24"/>
      <c r="J443" s="24"/>
      <c r="K443" s="24"/>
      <c r="L443" s="24"/>
      <c r="M443" s="24"/>
    </row>
    <row r="444" spans="1:13" s="5" customFormat="1" ht="25.5" customHeight="1">
      <c r="A444" s="22"/>
      <c r="B444" s="23"/>
      <c r="C444" s="23"/>
      <c r="D444" s="23"/>
      <c r="E444" s="24"/>
      <c r="F444" s="24"/>
      <c r="G444" s="24"/>
      <c r="H444" s="24"/>
      <c r="I444" s="24"/>
      <c r="J444" s="24"/>
      <c r="K444" s="24"/>
      <c r="L444" s="24"/>
      <c r="M444" s="24"/>
    </row>
    <row r="445" spans="1:13" s="5" customFormat="1" ht="25.5" customHeight="1">
      <c r="A445" s="22"/>
      <c r="B445" s="23"/>
      <c r="C445" s="23"/>
      <c r="D445" s="23"/>
      <c r="E445" s="24"/>
      <c r="F445" s="24"/>
      <c r="G445" s="24"/>
      <c r="H445" s="24"/>
      <c r="I445" s="24"/>
      <c r="J445" s="24"/>
      <c r="K445" s="24"/>
      <c r="L445" s="24"/>
      <c r="M445" s="24"/>
    </row>
    <row r="446" spans="1:13" s="5" customFormat="1" ht="25.5" customHeight="1">
      <c r="A446" s="22"/>
      <c r="B446" s="23"/>
      <c r="C446" s="23"/>
      <c r="D446" s="23"/>
      <c r="E446" s="24"/>
      <c r="F446" s="24"/>
      <c r="G446" s="24"/>
      <c r="H446" s="24"/>
      <c r="I446" s="24"/>
      <c r="J446" s="24"/>
      <c r="K446" s="24"/>
      <c r="L446" s="24"/>
      <c r="M446" s="24"/>
    </row>
    <row r="447" spans="1:13" s="5" customFormat="1" ht="25.5" customHeight="1">
      <c r="A447" s="22"/>
      <c r="B447" s="23"/>
      <c r="C447" s="23"/>
      <c r="D447" s="23"/>
      <c r="E447" s="24"/>
      <c r="F447" s="24"/>
      <c r="G447" s="24"/>
      <c r="H447" s="24"/>
      <c r="I447" s="24"/>
      <c r="J447" s="24"/>
      <c r="K447" s="24"/>
      <c r="L447" s="24"/>
      <c r="M447" s="24"/>
    </row>
    <row r="448" spans="1:13" s="5" customFormat="1" ht="25.5" customHeight="1">
      <c r="A448" s="22"/>
      <c r="B448" s="23"/>
      <c r="C448" s="23"/>
      <c r="D448" s="23"/>
      <c r="E448" s="24"/>
      <c r="F448" s="24"/>
      <c r="G448" s="24"/>
      <c r="H448" s="24"/>
      <c r="I448" s="24"/>
      <c r="J448" s="24"/>
      <c r="K448" s="24"/>
      <c r="L448" s="24"/>
      <c r="M448" s="24"/>
    </row>
    <row r="449" spans="1:13" s="5" customFormat="1" ht="25.5" customHeight="1">
      <c r="A449" s="22"/>
      <c r="B449" s="23"/>
      <c r="C449" s="23"/>
      <c r="D449" s="23"/>
      <c r="E449" s="24"/>
      <c r="F449" s="24"/>
      <c r="G449" s="24"/>
      <c r="H449" s="24"/>
      <c r="I449" s="24"/>
      <c r="J449" s="24"/>
      <c r="K449" s="24"/>
      <c r="L449" s="24"/>
      <c r="M449" s="24"/>
    </row>
    <row r="450" spans="1:13" s="5" customFormat="1" ht="25.5" customHeight="1">
      <c r="A450" s="22"/>
      <c r="B450" s="23"/>
      <c r="C450" s="23"/>
      <c r="D450" s="23"/>
      <c r="E450" s="24"/>
      <c r="F450" s="24"/>
      <c r="G450" s="24"/>
      <c r="H450" s="24"/>
      <c r="I450" s="24"/>
      <c r="J450" s="24"/>
      <c r="K450" s="24"/>
      <c r="L450" s="24"/>
      <c r="M450" s="24"/>
    </row>
    <row r="451" spans="1:13" s="5" customFormat="1" ht="25.5" customHeight="1">
      <c r="A451" s="22"/>
      <c r="B451" s="23"/>
      <c r="C451" s="23"/>
      <c r="D451" s="23"/>
      <c r="E451" s="24"/>
      <c r="F451" s="24"/>
      <c r="G451" s="24"/>
      <c r="H451" s="24"/>
      <c r="I451" s="24"/>
      <c r="J451" s="24"/>
      <c r="K451" s="24"/>
      <c r="L451" s="24"/>
      <c r="M451" s="24"/>
    </row>
    <row r="452" spans="1:13" s="5" customFormat="1" ht="25.5" customHeight="1">
      <c r="A452" s="22"/>
      <c r="B452" s="23"/>
      <c r="C452" s="23"/>
      <c r="D452" s="23"/>
      <c r="E452" s="24"/>
      <c r="F452" s="24"/>
      <c r="G452" s="24"/>
      <c r="H452" s="24"/>
      <c r="I452" s="24"/>
      <c r="J452" s="24"/>
      <c r="K452" s="24"/>
      <c r="L452" s="24"/>
      <c r="M452" s="24"/>
    </row>
    <row r="453" spans="1:13" s="5" customFormat="1" ht="25.5" customHeight="1">
      <c r="A453" s="22"/>
      <c r="B453" s="23"/>
      <c r="C453" s="23"/>
      <c r="D453" s="23"/>
      <c r="E453" s="24"/>
      <c r="F453" s="24"/>
      <c r="G453" s="24"/>
      <c r="H453" s="24"/>
      <c r="I453" s="24"/>
      <c r="J453" s="24"/>
      <c r="K453" s="24"/>
      <c r="L453" s="24"/>
      <c r="M453" s="24"/>
    </row>
    <row r="454" spans="1:13" s="5" customFormat="1" ht="25.5" customHeight="1">
      <c r="A454" s="22"/>
      <c r="B454" s="23"/>
      <c r="C454" s="23"/>
      <c r="D454" s="23"/>
      <c r="E454" s="24"/>
      <c r="F454" s="24"/>
      <c r="G454" s="24"/>
      <c r="H454" s="24"/>
      <c r="I454" s="24"/>
      <c r="J454" s="24"/>
      <c r="K454" s="24"/>
      <c r="L454" s="24"/>
      <c r="M454" s="24"/>
    </row>
    <row r="455" spans="1:13" s="5" customFormat="1" ht="25.5" customHeight="1">
      <c r="A455" s="22"/>
      <c r="B455" s="23"/>
      <c r="C455" s="23"/>
      <c r="D455" s="23"/>
      <c r="E455" s="24"/>
      <c r="F455" s="24"/>
      <c r="G455" s="24"/>
      <c r="H455" s="24"/>
      <c r="I455" s="24"/>
      <c r="J455" s="24"/>
      <c r="K455" s="24"/>
      <c r="L455" s="24"/>
      <c r="M455" s="24"/>
    </row>
    <row r="456" spans="1:13" s="5" customFormat="1" ht="25.5" customHeight="1">
      <c r="A456" s="22"/>
      <c r="B456" s="23"/>
      <c r="C456" s="23"/>
      <c r="D456" s="23"/>
      <c r="E456" s="24"/>
      <c r="F456" s="24"/>
      <c r="G456" s="24"/>
      <c r="H456" s="24"/>
      <c r="I456" s="24"/>
      <c r="J456" s="24"/>
      <c r="K456" s="24"/>
      <c r="L456" s="24"/>
      <c r="M456" s="24"/>
    </row>
    <row r="457" spans="1:13" s="5" customFormat="1" ht="25.5" customHeight="1">
      <c r="A457" s="22"/>
      <c r="B457" s="23"/>
      <c r="C457" s="23"/>
      <c r="D457" s="23"/>
      <c r="E457" s="24"/>
      <c r="F457" s="24"/>
      <c r="G457" s="24"/>
      <c r="H457" s="24"/>
      <c r="I457" s="24"/>
      <c r="J457" s="24"/>
      <c r="K457" s="24"/>
      <c r="L457" s="24"/>
      <c r="M457" s="24"/>
    </row>
    <row r="458" spans="1:13" s="5" customFormat="1" ht="25.5" customHeight="1">
      <c r="A458" s="22"/>
      <c r="B458" s="23"/>
      <c r="C458" s="23"/>
      <c r="D458" s="23"/>
      <c r="E458" s="24"/>
      <c r="F458" s="24"/>
      <c r="G458" s="24"/>
      <c r="H458" s="24"/>
      <c r="I458" s="24"/>
      <c r="J458" s="24"/>
      <c r="K458" s="24"/>
      <c r="L458" s="24"/>
      <c r="M458" s="24"/>
    </row>
    <row r="459" spans="1:13" s="5" customFormat="1" ht="25.5" customHeight="1">
      <c r="A459" s="22"/>
      <c r="B459" s="23"/>
      <c r="C459" s="23"/>
      <c r="D459" s="23"/>
      <c r="E459" s="24"/>
      <c r="F459" s="24"/>
      <c r="G459" s="24"/>
      <c r="H459" s="24"/>
      <c r="I459" s="24"/>
      <c r="J459" s="24"/>
      <c r="K459" s="24"/>
      <c r="L459" s="24"/>
      <c r="M459" s="24"/>
    </row>
    <row r="460" spans="1:13" s="5" customFormat="1" ht="25.5" customHeight="1">
      <c r="A460" s="22"/>
      <c r="B460" s="23"/>
      <c r="C460" s="23"/>
      <c r="D460" s="23"/>
      <c r="E460" s="24"/>
      <c r="F460" s="24"/>
      <c r="G460" s="24"/>
      <c r="H460" s="24"/>
      <c r="I460" s="24"/>
      <c r="J460" s="24"/>
      <c r="K460" s="24"/>
      <c r="L460" s="24"/>
      <c r="M460" s="24"/>
    </row>
    <row r="461" spans="1:13" s="5" customFormat="1" ht="25.5" customHeight="1">
      <c r="A461" s="22"/>
      <c r="B461" s="23"/>
      <c r="C461" s="23"/>
      <c r="D461" s="23"/>
      <c r="E461" s="24"/>
      <c r="F461" s="24"/>
      <c r="G461" s="24"/>
      <c r="H461" s="24"/>
      <c r="I461" s="24"/>
      <c r="J461" s="24"/>
      <c r="K461" s="24"/>
      <c r="L461" s="24"/>
      <c r="M461" s="24"/>
    </row>
    <row r="462" spans="1:13" s="5" customFormat="1" ht="25.5" customHeight="1">
      <c r="A462" s="22"/>
      <c r="B462" s="23"/>
      <c r="C462" s="23"/>
      <c r="D462" s="23"/>
      <c r="E462" s="24"/>
      <c r="F462" s="24"/>
      <c r="G462" s="24"/>
      <c r="H462" s="24"/>
      <c r="I462" s="24"/>
      <c r="J462" s="24"/>
      <c r="K462" s="24"/>
      <c r="L462" s="24"/>
      <c r="M462" s="24"/>
    </row>
    <row r="463" spans="1:13" s="5" customFormat="1" ht="25.5" customHeight="1">
      <c r="A463" s="22"/>
      <c r="B463" s="23"/>
      <c r="C463" s="23"/>
      <c r="D463" s="23"/>
      <c r="E463" s="24"/>
      <c r="F463" s="24"/>
      <c r="G463" s="24"/>
      <c r="H463" s="24"/>
      <c r="I463" s="24"/>
      <c r="J463" s="24"/>
      <c r="K463" s="24"/>
      <c r="L463" s="24"/>
      <c r="M463" s="24"/>
    </row>
    <row r="464" spans="1:13" s="5" customFormat="1" ht="25.5" customHeight="1">
      <c r="A464" s="22"/>
      <c r="B464" s="23"/>
      <c r="C464" s="23"/>
      <c r="D464" s="23"/>
      <c r="E464" s="24"/>
      <c r="F464" s="24"/>
      <c r="G464" s="24"/>
      <c r="H464" s="24"/>
      <c r="I464" s="24"/>
      <c r="J464" s="24"/>
      <c r="K464" s="24"/>
      <c r="L464" s="24"/>
      <c r="M464" s="24"/>
    </row>
    <row r="465" spans="1:13" s="5" customFormat="1" ht="25.5" customHeight="1">
      <c r="A465" s="22"/>
      <c r="B465" s="23"/>
      <c r="C465" s="23"/>
      <c r="D465" s="23"/>
      <c r="E465" s="24"/>
      <c r="F465" s="24"/>
      <c r="G465" s="24"/>
      <c r="H465" s="24"/>
      <c r="I465" s="24"/>
      <c r="J465" s="24"/>
      <c r="K465" s="24"/>
      <c r="L465" s="24"/>
      <c r="M465" s="24"/>
    </row>
    <row r="466" spans="1:13" s="5" customFormat="1" ht="25.5" customHeight="1">
      <c r="A466" s="22"/>
      <c r="B466" s="23"/>
      <c r="C466" s="23"/>
      <c r="D466" s="23"/>
      <c r="E466" s="24"/>
      <c r="F466" s="24"/>
      <c r="G466" s="24"/>
      <c r="H466" s="24"/>
      <c r="I466" s="24"/>
      <c r="J466" s="24"/>
      <c r="K466" s="24"/>
      <c r="L466" s="24"/>
      <c r="M466" s="24"/>
    </row>
    <row r="467" spans="1:13" s="5" customFormat="1" ht="25.5" customHeight="1">
      <c r="A467" s="22"/>
      <c r="B467" s="23"/>
      <c r="C467" s="23"/>
      <c r="D467" s="23"/>
      <c r="E467" s="24"/>
      <c r="F467" s="24"/>
      <c r="G467" s="24"/>
      <c r="H467" s="24"/>
      <c r="I467" s="24"/>
      <c r="J467" s="24"/>
      <c r="K467" s="24"/>
      <c r="L467" s="24"/>
      <c r="M467" s="24"/>
    </row>
    <row r="468" spans="1:13" s="5" customFormat="1" ht="25.5" customHeight="1">
      <c r="A468" s="22"/>
      <c r="B468" s="23"/>
      <c r="C468" s="23"/>
      <c r="D468" s="23"/>
      <c r="E468" s="24"/>
      <c r="F468" s="24"/>
      <c r="G468" s="24"/>
      <c r="H468" s="24"/>
      <c r="I468" s="24"/>
      <c r="J468" s="24"/>
      <c r="K468" s="24"/>
      <c r="L468" s="24"/>
      <c r="M468" s="24"/>
    </row>
    <row r="469" spans="1:13" s="5" customFormat="1" ht="25.5" customHeight="1">
      <c r="A469" s="22"/>
      <c r="B469" s="23"/>
      <c r="C469" s="23"/>
      <c r="D469" s="23"/>
      <c r="E469" s="24"/>
      <c r="F469" s="24"/>
      <c r="G469" s="24"/>
      <c r="H469" s="24"/>
      <c r="I469" s="24"/>
      <c r="J469" s="24"/>
      <c r="K469" s="24"/>
      <c r="L469" s="24"/>
      <c r="M469" s="24"/>
    </row>
    <row r="470" spans="1:13" s="5" customFormat="1" ht="25.5" customHeight="1">
      <c r="A470" s="22"/>
      <c r="B470" s="23"/>
      <c r="C470" s="23"/>
      <c r="D470" s="23"/>
      <c r="E470" s="24"/>
      <c r="F470" s="24"/>
      <c r="G470" s="24"/>
      <c r="H470" s="24"/>
      <c r="I470" s="24"/>
      <c r="J470" s="24"/>
      <c r="K470" s="24"/>
      <c r="L470" s="24"/>
      <c r="M470" s="24"/>
    </row>
    <row r="471" spans="1:13" s="5" customFormat="1" ht="25.5" customHeight="1">
      <c r="A471" s="22"/>
      <c r="B471" s="23"/>
      <c r="C471" s="23"/>
      <c r="D471" s="23"/>
      <c r="E471" s="24"/>
      <c r="F471" s="24"/>
      <c r="G471" s="24"/>
      <c r="H471" s="24"/>
      <c r="I471" s="24"/>
      <c r="J471" s="24"/>
      <c r="K471" s="24"/>
      <c r="L471" s="24"/>
      <c r="M471" s="24"/>
    </row>
    <row r="472" spans="1:13" s="5" customFormat="1" ht="25.5" customHeight="1">
      <c r="A472" s="22"/>
      <c r="B472" s="23"/>
      <c r="C472" s="23"/>
      <c r="D472" s="23"/>
      <c r="E472" s="24"/>
      <c r="F472" s="24"/>
      <c r="G472" s="24"/>
      <c r="H472" s="24"/>
      <c r="I472" s="24"/>
      <c r="J472" s="24"/>
      <c r="K472" s="24"/>
      <c r="L472" s="24"/>
      <c r="M472" s="24"/>
    </row>
    <row r="473" spans="1:13" s="5" customFormat="1" ht="25.5" customHeight="1">
      <c r="A473" s="22"/>
      <c r="B473" s="23"/>
      <c r="C473" s="23"/>
      <c r="D473" s="23"/>
      <c r="E473" s="24"/>
      <c r="F473" s="24"/>
      <c r="G473" s="24"/>
      <c r="H473" s="24"/>
      <c r="I473" s="24"/>
      <c r="J473" s="24"/>
      <c r="K473" s="24"/>
      <c r="L473" s="24"/>
      <c r="M473" s="24"/>
    </row>
    <row r="474" spans="1:13" s="5" customFormat="1" ht="25.5" customHeight="1">
      <c r="A474" s="22"/>
      <c r="B474" s="23"/>
      <c r="C474" s="23"/>
      <c r="D474" s="23"/>
      <c r="E474" s="24"/>
      <c r="F474" s="24"/>
      <c r="G474" s="24"/>
      <c r="H474" s="24"/>
      <c r="I474" s="24"/>
      <c r="J474" s="24"/>
      <c r="K474" s="24"/>
      <c r="L474" s="24"/>
      <c r="M474" s="24"/>
    </row>
    <row r="475" spans="1:13" s="5" customFormat="1" ht="25.5" customHeight="1">
      <c r="A475" s="22"/>
      <c r="B475" s="23"/>
      <c r="C475" s="23"/>
      <c r="D475" s="23"/>
      <c r="E475" s="24"/>
      <c r="F475" s="24"/>
      <c r="G475" s="24"/>
      <c r="H475" s="24"/>
      <c r="I475" s="24"/>
      <c r="J475" s="24"/>
      <c r="K475" s="24"/>
      <c r="L475" s="24"/>
      <c r="M475" s="24"/>
    </row>
    <row r="476" spans="1:13" s="5" customFormat="1" ht="25.5" customHeight="1">
      <c r="A476" s="22"/>
      <c r="B476" s="23"/>
      <c r="C476" s="23"/>
      <c r="D476" s="23"/>
      <c r="E476" s="24"/>
      <c r="F476" s="24"/>
      <c r="G476" s="24"/>
      <c r="H476" s="24"/>
      <c r="I476" s="24"/>
      <c r="J476" s="24"/>
      <c r="K476" s="24"/>
      <c r="L476" s="24"/>
      <c r="M476" s="24"/>
    </row>
    <row r="477" spans="1:13" s="5" customFormat="1" ht="25.5" customHeight="1">
      <c r="A477" s="22"/>
      <c r="B477" s="23"/>
      <c r="C477" s="23"/>
      <c r="D477" s="23"/>
      <c r="E477" s="24"/>
      <c r="F477" s="24"/>
      <c r="G477" s="24"/>
      <c r="H477" s="24"/>
      <c r="I477" s="24"/>
      <c r="J477" s="24"/>
      <c r="K477" s="24"/>
      <c r="L477" s="24"/>
      <c r="M477" s="24"/>
    </row>
    <row r="478" spans="1:13" s="5" customFormat="1" ht="25.5" customHeight="1">
      <c r="A478" s="22"/>
      <c r="B478" s="23"/>
      <c r="C478" s="23"/>
      <c r="D478" s="23"/>
      <c r="E478" s="24"/>
      <c r="F478" s="24"/>
      <c r="G478" s="24"/>
      <c r="H478" s="24"/>
      <c r="I478" s="24"/>
      <c r="J478" s="24"/>
      <c r="K478" s="24"/>
      <c r="L478" s="24"/>
      <c r="M478" s="24"/>
    </row>
    <row r="479" spans="1:13" s="5" customFormat="1" ht="25.5" customHeight="1">
      <c r="A479" s="22"/>
      <c r="B479" s="23"/>
      <c r="C479" s="23"/>
      <c r="D479" s="23"/>
      <c r="E479" s="24"/>
      <c r="F479" s="24"/>
      <c r="G479" s="24"/>
      <c r="H479" s="24"/>
      <c r="I479" s="24"/>
      <c r="J479" s="24"/>
      <c r="K479" s="24"/>
      <c r="L479" s="24"/>
      <c r="M479" s="24"/>
    </row>
    <row r="480" spans="1:13" s="5" customFormat="1" ht="25.5" customHeight="1">
      <c r="A480" s="22"/>
      <c r="B480" s="23"/>
      <c r="C480" s="23"/>
      <c r="D480" s="23"/>
      <c r="E480" s="24"/>
      <c r="F480" s="24"/>
      <c r="G480" s="24"/>
      <c r="H480" s="24"/>
      <c r="I480" s="24"/>
      <c r="J480" s="24"/>
      <c r="K480" s="24"/>
      <c r="L480" s="24"/>
      <c r="M480" s="24"/>
    </row>
    <row r="481" spans="1:13" s="5" customFormat="1" ht="25.5" customHeight="1">
      <c r="A481" s="22"/>
      <c r="B481" s="23"/>
      <c r="C481" s="23"/>
      <c r="D481" s="23"/>
      <c r="E481" s="24"/>
      <c r="F481" s="24"/>
      <c r="G481" s="24"/>
      <c r="H481" s="24"/>
      <c r="I481" s="24"/>
      <c r="J481" s="24"/>
      <c r="K481" s="24"/>
      <c r="L481" s="24"/>
      <c r="M481" s="24"/>
    </row>
    <row r="482" spans="1:13" s="5" customFormat="1" ht="25.5" customHeight="1">
      <c r="A482" s="22"/>
      <c r="B482" s="23"/>
      <c r="C482" s="23"/>
      <c r="D482" s="23"/>
      <c r="E482" s="24"/>
      <c r="F482" s="24"/>
      <c r="G482" s="24"/>
      <c r="H482" s="24"/>
      <c r="I482" s="24"/>
      <c r="J482" s="24"/>
      <c r="K482" s="24"/>
      <c r="L482" s="24"/>
      <c r="M482" s="24"/>
    </row>
    <row r="483" spans="1:13" s="5" customFormat="1" ht="25.5" customHeight="1">
      <c r="A483" s="22"/>
      <c r="B483" s="23"/>
      <c r="C483" s="23"/>
      <c r="D483" s="23"/>
      <c r="E483" s="24"/>
      <c r="F483" s="24"/>
      <c r="G483" s="24"/>
      <c r="H483" s="24"/>
      <c r="I483" s="24"/>
      <c r="J483" s="24"/>
      <c r="K483" s="24"/>
      <c r="L483" s="24"/>
      <c r="M483" s="24"/>
    </row>
    <row r="484" spans="1:13" s="5" customFormat="1" ht="25.5" customHeight="1">
      <c r="A484" s="22"/>
      <c r="B484" s="23"/>
      <c r="C484" s="23"/>
      <c r="D484" s="23"/>
      <c r="E484" s="24"/>
      <c r="F484" s="24"/>
      <c r="G484" s="24"/>
      <c r="H484" s="24"/>
      <c r="I484" s="24"/>
      <c r="J484" s="24"/>
      <c r="K484" s="24"/>
      <c r="L484" s="24"/>
      <c r="M484" s="24"/>
    </row>
    <row r="485" spans="1:13" s="5" customFormat="1" ht="25.5" customHeight="1">
      <c r="A485" s="22"/>
      <c r="B485" s="23"/>
      <c r="C485" s="23"/>
      <c r="D485" s="23"/>
      <c r="E485" s="24"/>
      <c r="F485" s="24"/>
      <c r="G485" s="24"/>
      <c r="H485" s="24"/>
      <c r="I485" s="24"/>
      <c r="J485" s="24"/>
      <c r="K485" s="24"/>
      <c r="L485" s="24"/>
      <c r="M485" s="24"/>
    </row>
    <row r="486" spans="1:13" s="5" customFormat="1" ht="25.5" customHeight="1">
      <c r="A486" s="22"/>
      <c r="B486" s="23"/>
      <c r="C486" s="23"/>
      <c r="D486" s="23"/>
      <c r="E486" s="24"/>
      <c r="F486" s="24"/>
      <c r="G486" s="24"/>
      <c r="H486" s="24"/>
      <c r="I486" s="24"/>
      <c r="J486" s="24"/>
      <c r="K486" s="24"/>
      <c r="L486" s="24"/>
      <c r="M486" s="24"/>
    </row>
    <row r="487" spans="1:13" s="5" customFormat="1" ht="25.5" customHeight="1">
      <c r="A487" s="22"/>
      <c r="B487" s="23"/>
      <c r="C487" s="23"/>
      <c r="D487" s="23"/>
      <c r="E487" s="24"/>
      <c r="F487" s="24"/>
      <c r="G487" s="24"/>
      <c r="H487" s="24"/>
      <c r="I487" s="24"/>
      <c r="J487" s="24"/>
      <c r="K487" s="24"/>
      <c r="L487" s="24"/>
      <c r="M487" s="24"/>
    </row>
    <row r="488" spans="1:13" s="5" customFormat="1" ht="25.5" customHeight="1">
      <c r="A488" s="22"/>
      <c r="B488" s="23"/>
      <c r="C488" s="23"/>
      <c r="D488" s="23"/>
      <c r="E488" s="24"/>
      <c r="F488" s="24"/>
      <c r="G488" s="24"/>
      <c r="H488" s="24"/>
      <c r="I488" s="24"/>
      <c r="J488" s="24"/>
      <c r="K488" s="24"/>
      <c r="L488" s="24"/>
      <c r="M488" s="24"/>
    </row>
    <row r="489" spans="1:13" s="5" customFormat="1" ht="25.5" customHeight="1">
      <c r="A489" s="22"/>
      <c r="B489" s="23"/>
      <c r="C489" s="23"/>
      <c r="D489" s="23"/>
      <c r="E489" s="24"/>
      <c r="F489" s="24"/>
      <c r="G489" s="24"/>
      <c r="H489" s="24"/>
      <c r="I489" s="24"/>
      <c r="J489" s="24"/>
      <c r="K489" s="24"/>
      <c r="L489" s="24"/>
      <c r="M489" s="24"/>
    </row>
    <row r="490" spans="1:13" s="5" customFormat="1" ht="25.5" customHeight="1">
      <c r="A490" s="22"/>
      <c r="B490" s="23"/>
      <c r="C490" s="23"/>
      <c r="D490" s="23"/>
      <c r="E490" s="24"/>
      <c r="F490" s="24"/>
      <c r="G490" s="24"/>
      <c r="H490" s="24"/>
      <c r="I490" s="24"/>
      <c r="J490" s="24"/>
      <c r="K490" s="24"/>
      <c r="L490" s="24"/>
      <c r="M490" s="24"/>
    </row>
    <row r="491" spans="1:13" s="5" customFormat="1" ht="25.5" customHeight="1">
      <c r="A491" s="22"/>
      <c r="B491" s="23"/>
      <c r="C491" s="23"/>
      <c r="D491" s="23"/>
      <c r="E491" s="24"/>
      <c r="F491" s="24"/>
      <c r="G491" s="24"/>
      <c r="H491" s="24"/>
      <c r="I491" s="24"/>
      <c r="J491" s="24"/>
      <c r="K491" s="24"/>
      <c r="L491" s="24"/>
      <c r="M491" s="24"/>
    </row>
    <row r="492" spans="1:13" s="5" customFormat="1" ht="25.5" customHeight="1">
      <c r="A492" s="22"/>
      <c r="B492" s="23"/>
      <c r="C492" s="23"/>
      <c r="D492" s="23"/>
      <c r="E492" s="24"/>
      <c r="F492" s="24"/>
      <c r="G492" s="24"/>
      <c r="H492" s="24"/>
      <c r="I492" s="24"/>
      <c r="J492" s="24"/>
      <c r="K492" s="24"/>
      <c r="L492" s="24"/>
      <c r="M492" s="24"/>
    </row>
    <row r="493" spans="1:13" s="5" customFormat="1" ht="25.5" customHeight="1">
      <c r="A493" s="22"/>
      <c r="B493" s="23"/>
      <c r="C493" s="23"/>
      <c r="D493" s="23"/>
      <c r="E493" s="24"/>
      <c r="F493" s="24"/>
      <c r="G493" s="24"/>
      <c r="H493" s="24"/>
      <c r="I493" s="24"/>
      <c r="J493" s="24"/>
      <c r="K493" s="24"/>
      <c r="L493" s="24"/>
      <c r="M493" s="24"/>
    </row>
    <row r="494" spans="1:13" s="5" customFormat="1" ht="25.5" customHeight="1">
      <c r="A494" s="22"/>
      <c r="B494" s="23"/>
      <c r="C494" s="23"/>
      <c r="D494" s="23"/>
      <c r="E494" s="24"/>
      <c r="F494" s="24"/>
      <c r="G494" s="24"/>
      <c r="H494" s="24"/>
      <c r="I494" s="24"/>
      <c r="J494" s="24"/>
      <c r="K494" s="24"/>
      <c r="L494" s="24"/>
      <c r="M494" s="24"/>
    </row>
    <row r="495" spans="1:13" s="5" customFormat="1" ht="25.5" customHeight="1">
      <c r="A495" s="22"/>
      <c r="B495" s="23"/>
      <c r="C495" s="23"/>
      <c r="D495" s="23"/>
      <c r="E495" s="24"/>
      <c r="F495" s="24"/>
      <c r="G495" s="24"/>
      <c r="H495" s="24"/>
      <c r="I495" s="24"/>
      <c r="J495" s="24"/>
      <c r="K495" s="24"/>
      <c r="L495" s="24"/>
      <c r="M495" s="24"/>
    </row>
    <row r="496" spans="1:13" s="5" customFormat="1" ht="25.5" customHeight="1">
      <c r="A496" s="22"/>
      <c r="B496" s="23"/>
      <c r="C496" s="23"/>
      <c r="D496" s="23"/>
      <c r="E496" s="24"/>
      <c r="F496" s="24"/>
      <c r="G496" s="24"/>
      <c r="H496" s="24"/>
      <c r="I496" s="24"/>
      <c r="J496" s="24"/>
      <c r="K496" s="24"/>
      <c r="L496" s="24"/>
      <c r="M496" s="24"/>
    </row>
    <row r="497" spans="1:13" s="5" customFormat="1" ht="25.5" customHeight="1">
      <c r="A497" s="22"/>
      <c r="B497" s="23"/>
      <c r="C497" s="23"/>
      <c r="D497" s="23"/>
      <c r="E497" s="24"/>
      <c r="F497" s="24"/>
      <c r="G497" s="24"/>
      <c r="H497" s="24"/>
      <c r="I497" s="24"/>
      <c r="J497" s="24"/>
      <c r="K497" s="24"/>
      <c r="L497" s="24"/>
      <c r="M497" s="24"/>
    </row>
    <row r="498" spans="1:13" s="5" customFormat="1" ht="25.5" customHeight="1">
      <c r="A498" s="22"/>
      <c r="B498" s="23"/>
      <c r="C498" s="23"/>
      <c r="D498" s="23"/>
      <c r="E498" s="24"/>
      <c r="F498" s="24"/>
      <c r="G498" s="24"/>
      <c r="H498" s="24"/>
      <c r="I498" s="24"/>
      <c r="J498" s="24"/>
      <c r="K498" s="24"/>
      <c r="L498" s="24"/>
      <c r="M498" s="24"/>
    </row>
    <row r="499" spans="1:13" s="5" customFormat="1" ht="25.5" customHeight="1">
      <c r="A499" s="22"/>
      <c r="B499" s="23"/>
      <c r="C499" s="23"/>
      <c r="D499" s="23"/>
      <c r="E499" s="24"/>
      <c r="F499" s="24"/>
      <c r="G499" s="24"/>
      <c r="H499" s="24"/>
      <c r="I499" s="24"/>
      <c r="J499" s="24"/>
      <c r="K499" s="24"/>
      <c r="L499" s="24"/>
      <c r="M499" s="24"/>
    </row>
    <row r="500" spans="1:13" s="5" customFormat="1" ht="25.5" customHeight="1">
      <c r="A500" s="22"/>
      <c r="B500" s="23"/>
      <c r="C500" s="23"/>
      <c r="D500" s="23"/>
      <c r="E500" s="24"/>
      <c r="F500" s="24"/>
      <c r="G500" s="24"/>
      <c r="H500" s="24"/>
      <c r="I500" s="24"/>
      <c r="J500" s="24"/>
      <c r="K500" s="24"/>
      <c r="L500" s="24"/>
      <c r="M500" s="24"/>
    </row>
    <row r="501" spans="1:13" s="5" customFormat="1" ht="25.5" customHeight="1">
      <c r="A501" s="22"/>
      <c r="B501" s="23"/>
      <c r="C501" s="23"/>
      <c r="D501" s="23"/>
      <c r="E501" s="24"/>
      <c r="F501" s="24"/>
      <c r="G501" s="24"/>
      <c r="H501" s="24"/>
      <c r="I501" s="24"/>
      <c r="J501" s="24"/>
      <c r="K501" s="24"/>
      <c r="L501" s="24"/>
      <c r="M501" s="24"/>
    </row>
    <row r="502" spans="1:13" s="5" customFormat="1" ht="25.5" customHeight="1">
      <c r="A502" s="22"/>
      <c r="B502" s="23"/>
      <c r="C502" s="23"/>
      <c r="D502" s="23"/>
      <c r="E502" s="24"/>
      <c r="F502" s="24"/>
      <c r="G502" s="24"/>
      <c r="H502" s="24"/>
      <c r="I502" s="24"/>
      <c r="J502" s="24"/>
      <c r="K502" s="24"/>
      <c r="L502" s="24"/>
      <c r="M502" s="24"/>
    </row>
    <row r="503" spans="1:13" s="5" customFormat="1" ht="25.5" customHeight="1">
      <c r="A503" s="22"/>
      <c r="B503" s="23"/>
      <c r="C503" s="23"/>
      <c r="D503" s="23"/>
      <c r="E503" s="24"/>
      <c r="F503" s="24"/>
      <c r="G503" s="24"/>
      <c r="H503" s="24"/>
      <c r="I503" s="24"/>
      <c r="J503" s="24"/>
      <c r="K503" s="24"/>
      <c r="L503" s="24"/>
      <c r="M503" s="24"/>
    </row>
    <row r="504" spans="1:13" s="5" customFormat="1" ht="25.5" customHeight="1">
      <c r="A504" s="22"/>
      <c r="B504" s="23"/>
      <c r="C504" s="23"/>
      <c r="D504" s="23"/>
      <c r="E504" s="24"/>
      <c r="F504" s="24"/>
      <c r="G504" s="24"/>
      <c r="H504" s="24"/>
      <c r="I504" s="24"/>
      <c r="J504" s="24"/>
      <c r="K504" s="24"/>
      <c r="L504" s="24"/>
      <c r="M504" s="24"/>
    </row>
    <row r="505" spans="1:13" s="5" customFormat="1" ht="25.5" customHeight="1">
      <c r="A505" s="22"/>
      <c r="B505" s="23"/>
      <c r="C505" s="23"/>
      <c r="D505" s="23"/>
      <c r="E505" s="24"/>
      <c r="F505" s="24"/>
      <c r="G505" s="24"/>
      <c r="H505" s="24"/>
      <c r="I505" s="24"/>
      <c r="J505" s="24"/>
      <c r="K505" s="24"/>
      <c r="L505" s="24"/>
      <c r="M505" s="24"/>
    </row>
    <row r="506" spans="1:13" s="5" customFormat="1" ht="25.5" customHeight="1">
      <c r="A506" s="22"/>
      <c r="B506" s="23"/>
      <c r="C506" s="23"/>
      <c r="D506" s="23"/>
      <c r="E506" s="24"/>
      <c r="F506" s="24"/>
      <c r="G506" s="24"/>
      <c r="H506" s="24"/>
      <c r="I506" s="24"/>
      <c r="J506" s="24"/>
      <c r="K506" s="24"/>
      <c r="L506" s="24"/>
      <c r="M506" s="24"/>
    </row>
    <row r="507" spans="1:13" s="5" customFormat="1" ht="25.5" customHeight="1">
      <c r="A507" s="22"/>
      <c r="B507" s="23"/>
      <c r="C507" s="23"/>
      <c r="D507" s="23"/>
      <c r="E507" s="24"/>
      <c r="F507" s="24"/>
      <c r="G507" s="24"/>
      <c r="H507" s="24"/>
      <c r="I507" s="24"/>
      <c r="J507" s="24"/>
      <c r="K507" s="24"/>
      <c r="L507" s="24"/>
      <c r="M507" s="24"/>
    </row>
    <row r="508" spans="1:13" s="5" customFormat="1" ht="25.5" customHeight="1">
      <c r="A508" s="22"/>
      <c r="B508" s="23"/>
      <c r="C508" s="23"/>
      <c r="D508" s="23"/>
      <c r="E508" s="24"/>
      <c r="F508" s="24"/>
      <c r="G508" s="24"/>
      <c r="H508" s="24"/>
      <c r="I508" s="24"/>
      <c r="J508" s="24"/>
      <c r="K508" s="24"/>
      <c r="L508" s="24"/>
      <c r="M508" s="24"/>
    </row>
    <row r="509" spans="1:13" s="5" customFormat="1" ht="25.5" customHeight="1">
      <c r="A509" s="22"/>
      <c r="B509" s="23"/>
      <c r="C509" s="23"/>
      <c r="D509" s="23"/>
      <c r="E509" s="24"/>
      <c r="F509" s="24"/>
      <c r="G509" s="24"/>
      <c r="H509" s="24"/>
      <c r="I509" s="24"/>
      <c r="J509" s="24"/>
      <c r="K509" s="24"/>
      <c r="L509" s="24"/>
      <c r="M509" s="24"/>
    </row>
    <row r="510" spans="1:13" s="5" customFormat="1" ht="25.5" customHeight="1">
      <c r="A510" s="22"/>
      <c r="B510" s="23"/>
      <c r="C510" s="23"/>
      <c r="D510" s="23"/>
      <c r="E510" s="24"/>
      <c r="F510" s="24"/>
      <c r="G510" s="24"/>
      <c r="H510" s="24"/>
      <c r="I510" s="24"/>
      <c r="J510" s="24"/>
      <c r="K510" s="24"/>
      <c r="L510" s="24"/>
      <c r="M510" s="24"/>
    </row>
    <row r="511" spans="1:13" s="5" customFormat="1" ht="25.5" customHeight="1">
      <c r="A511" s="22"/>
      <c r="B511" s="23"/>
      <c r="C511" s="23"/>
      <c r="D511" s="23"/>
      <c r="E511" s="24"/>
      <c r="F511" s="24"/>
      <c r="G511" s="24"/>
      <c r="H511" s="24"/>
      <c r="I511" s="24"/>
      <c r="J511" s="24"/>
      <c r="K511" s="24"/>
      <c r="L511" s="24"/>
      <c r="M511" s="24"/>
    </row>
    <row r="512" spans="1:13" s="5" customFormat="1" ht="25.5" customHeight="1">
      <c r="A512" s="22"/>
      <c r="B512" s="23"/>
      <c r="C512" s="23"/>
      <c r="D512" s="23"/>
      <c r="E512" s="24"/>
      <c r="F512" s="24"/>
      <c r="G512" s="24"/>
      <c r="H512" s="24"/>
      <c r="I512" s="24"/>
      <c r="J512" s="24"/>
      <c r="K512" s="24"/>
      <c r="L512" s="24"/>
      <c r="M512" s="24"/>
    </row>
    <row r="513" spans="1:13" s="5" customFormat="1" ht="25.5" customHeight="1">
      <c r="A513" s="22"/>
      <c r="B513" s="23"/>
      <c r="C513" s="23"/>
      <c r="D513" s="23"/>
      <c r="E513" s="24"/>
      <c r="F513" s="24"/>
      <c r="G513" s="24"/>
      <c r="H513" s="24"/>
      <c r="I513" s="24"/>
      <c r="J513" s="24"/>
      <c r="K513" s="24"/>
      <c r="L513" s="24"/>
      <c r="M513" s="24"/>
    </row>
    <row r="514" spans="1:13" s="5" customFormat="1" ht="25.5" customHeight="1">
      <c r="A514" s="22"/>
      <c r="B514" s="23"/>
      <c r="C514" s="23"/>
      <c r="D514" s="23"/>
      <c r="E514" s="24"/>
      <c r="F514" s="24"/>
      <c r="G514" s="24"/>
      <c r="H514" s="24"/>
      <c r="I514" s="24"/>
      <c r="J514" s="24"/>
      <c r="K514" s="24"/>
      <c r="L514" s="24"/>
      <c r="M514" s="24"/>
    </row>
    <row r="515" spans="1:13" s="5" customFormat="1" ht="25.5" customHeight="1">
      <c r="A515" s="22"/>
      <c r="B515" s="23"/>
      <c r="C515" s="23"/>
      <c r="D515" s="23"/>
      <c r="E515" s="24"/>
      <c r="F515" s="24"/>
      <c r="G515" s="24"/>
      <c r="H515" s="24"/>
      <c r="I515" s="24"/>
      <c r="J515" s="24"/>
      <c r="K515" s="24"/>
      <c r="L515" s="24"/>
      <c r="M515" s="24"/>
    </row>
    <row r="516" spans="1:13" s="5" customFormat="1" ht="25.5" customHeight="1">
      <c r="A516" s="22"/>
      <c r="B516" s="23"/>
      <c r="C516" s="23"/>
      <c r="D516" s="23"/>
      <c r="E516" s="24"/>
      <c r="F516" s="24"/>
      <c r="G516" s="24"/>
      <c r="H516" s="24"/>
      <c r="I516" s="24"/>
      <c r="J516" s="24"/>
      <c r="K516" s="24"/>
      <c r="L516" s="24"/>
      <c r="M516" s="24"/>
    </row>
    <row r="517" spans="1:13" s="5" customFormat="1" ht="25.5" customHeight="1">
      <c r="A517" s="22"/>
      <c r="B517" s="23"/>
      <c r="C517" s="23"/>
      <c r="D517" s="23"/>
      <c r="E517" s="24"/>
      <c r="F517" s="24"/>
      <c r="G517" s="24"/>
      <c r="H517" s="24"/>
      <c r="I517" s="24"/>
      <c r="J517" s="24"/>
      <c r="K517" s="24"/>
      <c r="L517" s="24"/>
      <c r="M517" s="24"/>
    </row>
    <row r="518" spans="1:13" s="5" customFormat="1" ht="25.5" customHeight="1">
      <c r="A518" s="22"/>
      <c r="B518" s="23"/>
      <c r="C518" s="23"/>
      <c r="D518" s="23"/>
      <c r="E518" s="24"/>
      <c r="F518" s="24"/>
      <c r="G518" s="24"/>
      <c r="H518" s="24"/>
      <c r="I518" s="24"/>
      <c r="J518" s="24"/>
      <c r="K518" s="24"/>
      <c r="L518" s="24"/>
      <c r="M518" s="24"/>
    </row>
    <row r="519" spans="1:13" s="5" customFormat="1" ht="25.5" customHeight="1">
      <c r="A519" s="22"/>
      <c r="B519" s="23"/>
      <c r="C519" s="23"/>
      <c r="D519" s="23"/>
      <c r="E519" s="24"/>
      <c r="F519" s="24"/>
      <c r="G519" s="24"/>
      <c r="H519" s="24"/>
      <c r="I519" s="24"/>
      <c r="J519" s="24"/>
      <c r="K519" s="24"/>
      <c r="L519" s="24"/>
      <c r="M519" s="24"/>
    </row>
    <row r="520" spans="1:13" s="5" customFormat="1" ht="25.5" customHeight="1">
      <c r="A520" s="22"/>
      <c r="B520" s="23"/>
      <c r="C520" s="23"/>
      <c r="D520" s="23"/>
      <c r="E520" s="24"/>
      <c r="F520" s="24"/>
      <c r="G520" s="24"/>
      <c r="H520" s="24"/>
      <c r="I520" s="24"/>
      <c r="J520" s="24"/>
      <c r="K520" s="24"/>
      <c r="L520" s="24"/>
      <c r="M520" s="24"/>
    </row>
    <row r="521" spans="1:13" s="5" customFormat="1" ht="25.5" customHeight="1">
      <c r="A521" s="22"/>
      <c r="B521" s="23"/>
      <c r="C521" s="23"/>
      <c r="D521" s="23"/>
      <c r="E521" s="24"/>
      <c r="F521" s="24"/>
      <c r="G521" s="24"/>
      <c r="H521" s="24"/>
      <c r="I521" s="24"/>
      <c r="J521" s="24"/>
      <c r="K521" s="24"/>
      <c r="L521" s="24"/>
      <c r="M521" s="24"/>
    </row>
    <row r="522" spans="1:13" s="5" customFormat="1" ht="25.5" customHeight="1">
      <c r="A522" s="22"/>
      <c r="B522" s="23"/>
      <c r="C522" s="23"/>
      <c r="D522" s="23"/>
      <c r="E522" s="24"/>
      <c r="F522" s="24"/>
      <c r="G522" s="24"/>
      <c r="H522" s="24"/>
      <c r="I522" s="24"/>
      <c r="J522" s="24"/>
      <c r="K522" s="24"/>
      <c r="L522" s="24"/>
      <c r="M522" s="24"/>
    </row>
    <row r="523" spans="1:13" s="5" customFormat="1" ht="25.5" customHeight="1">
      <c r="A523" s="22"/>
      <c r="B523" s="23"/>
      <c r="C523" s="23"/>
      <c r="D523" s="23"/>
      <c r="E523" s="24"/>
      <c r="F523" s="24"/>
      <c r="G523" s="24"/>
      <c r="H523" s="24"/>
      <c r="I523" s="24"/>
      <c r="J523" s="24"/>
      <c r="K523" s="24"/>
      <c r="L523" s="24"/>
      <c r="M523" s="24"/>
    </row>
    <row r="524" spans="1:13" s="5" customFormat="1" ht="25.5" customHeight="1">
      <c r="A524" s="22"/>
      <c r="B524" s="23"/>
      <c r="C524" s="23"/>
      <c r="D524" s="23"/>
      <c r="E524" s="24"/>
      <c r="F524" s="24"/>
      <c r="G524" s="24"/>
      <c r="H524" s="24"/>
      <c r="I524" s="24"/>
      <c r="J524" s="24"/>
      <c r="K524" s="24"/>
      <c r="L524" s="24"/>
      <c r="M524" s="24"/>
    </row>
    <row r="525" spans="1:13" s="5" customFormat="1" ht="25.5" customHeight="1">
      <c r="A525" s="22"/>
      <c r="B525" s="23"/>
      <c r="C525" s="23"/>
      <c r="D525" s="23"/>
      <c r="E525" s="24"/>
      <c r="F525" s="24"/>
      <c r="G525" s="24"/>
      <c r="H525" s="24"/>
      <c r="I525" s="24"/>
      <c r="J525" s="24"/>
      <c r="K525" s="24"/>
      <c r="L525" s="24"/>
      <c r="M525" s="24"/>
    </row>
    <row r="526" spans="1:13" s="5" customFormat="1" ht="25.5" customHeight="1">
      <c r="A526" s="22"/>
      <c r="B526" s="23"/>
      <c r="C526" s="23"/>
      <c r="D526" s="23"/>
      <c r="E526" s="24"/>
      <c r="F526" s="24"/>
      <c r="G526" s="24"/>
      <c r="H526" s="24"/>
      <c r="I526" s="24"/>
      <c r="J526" s="24"/>
      <c r="K526" s="24"/>
      <c r="L526" s="24"/>
      <c r="M526" s="24"/>
    </row>
    <row r="527" spans="1:13" s="5" customFormat="1" ht="25.5" customHeight="1">
      <c r="A527" s="22"/>
      <c r="B527" s="23"/>
      <c r="C527" s="23"/>
      <c r="D527" s="23"/>
      <c r="E527" s="24"/>
      <c r="F527" s="24"/>
      <c r="G527" s="24"/>
      <c r="H527" s="24"/>
      <c r="I527" s="24"/>
      <c r="J527" s="24"/>
      <c r="K527" s="24"/>
      <c r="L527" s="24"/>
      <c r="M527" s="24"/>
    </row>
    <row r="528" spans="1:13" s="5" customFormat="1" ht="25.5" customHeight="1">
      <c r="A528" s="22"/>
      <c r="B528" s="23"/>
      <c r="C528" s="23"/>
      <c r="D528" s="23"/>
      <c r="E528" s="24"/>
      <c r="F528" s="24"/>
      <c r="G528" s="24"/>
      <c r="H528" s="24"/>
      <c r="I528" s="24"/>
      <c r="J528" s="24"/>
      <c r="K528" s="24"/>
      <c r="L528" s="24"/>
      <c r="M528" s="24"/>
    </row>
    <row r="529" spans="1:13" s="5" customFormat="1" ht="25.5" customHeight="1">
      <c r="A529" s="22"/>
      <c r="B529" s="23"/>
      <c r="C529" s="23"/>
      <c r="D529" s="23"/>
      <c r="E529" s="24"/>
      <c r="F529" s="24"/>
      <c r="G529" s="24"/>
      <c r="H529" s="24"/>
      <c r="I529" s="24"/>
      <c r="J529" s="24"/>
      <c r="K529" s="24"/>
      <c r="L529" s="24"/>
      <c r="M529" s="24"/>
    </row>
    <row r="530" spans="1:13" s="5" customFormat="1" ht="25.5" customHeight="1">
      <c r="A530" s="22"/>
      <c r="B530" s="23"/>
      <c r="C530" s="23"/>
      <c r="D530" s="23"/>
      <c r="E530" s="24"/>
      <c r="F530" s="24"/>
      <c r="G530" s="24"/>
      <c r="H530" s="24"/>
      <c r="I530" s="24"/>
      <c r="J530" s="24"/>
      <c r="K530" s="24"/>
      <c r="L530" s="24"/>
      <c r="M530" s="24"/>
    </row>
    <row r="531" spans="1:13" s="5" customFormat="1" ht="25.5" customHeight="1">
      <c r="A531" s="22"/>
      <c r="B531" s="23"/>
      <c r="C531" s="23"/>
      <c r="D531" s="23"/>
      <c r="E531" s="24"/>
      <c r="F531" s="24"/>
      <c r="G531" s="24"/>
      <c r="H531" s="24"/>
      <c r="I531" s="24"/>
      <c r="J531" s="24"/>
      <c r="K531" s="24"/>
      <c r="L531" s="24"/>
      <c r="M531" s="24"/>
    </row>
    <row r="532" spans="1:13" s="5" customFormat="1" ht="25.5" customHeight="1">
      <c r="A532" s="22"/>
      <c r="B532" s="23"/>
      <c r="C532" s="23"/>
      <c r="D532" s="23"/>
      <c r="E532" s="24"/>
      <c r="F532" s="24"/>
      <c r="G532" s="24"/>
      <c r="H532" s="24"/>
      <c r="I532" s="24"/>
      <c r="J532" s="24"/>
      <c r="K532" s="24"/>
      <c r="L532" s="24"/>
      <c r="M532" s="24"/>
    </row>
    <row r="533" spans="1:13" s="5" customFormat="1" ht="25.5" customHeight="1">
      <c r="A533" s="22"/>
      <c r="B533" s="23"/>
      <c r="C533" s="23"/>
      <c r="D533" s="23"/>
      <c r="E533" s="24"/>
      <c r="F533" s="24"/>
      <c r="G533" s="24"/>
      <c r="H533" s="24"/>
      <c r="I533" s="24"/>
      <c r="J533" s="24"/>
      <c r="K533" s="24"/>
      <c r="L533" s="24"/>
      <c r="M533" s="24"/>
    </row>
    <row r="534" spans="1:13" s="5" customFormat="1" ht="25.5" customHeight="1">
      <c r="A534" s="22"/>
      <c r="B534" s="23"/>
      <c r="C534" s="23"/>
      <c r="D534" s="23"/>
      <c r="E534" s="24"/>
      <c r="F534" s="24"/>
      <c r="G534" s="24"/>
      <c r="H534" s="24"/>
      <c r="I534" s="24"/>
      <c r="J534" s="24"/>
      <c r="K534" s="24"/>
      <c r="L534" s="24"/>
      <c r="M534" s="24"/>
    </row>
    <row r="535" spans="1:13" s="5" customFormat="1" ht="25.5" customHeight="1">
      <c r="A535" s="22"/>
      <c r="B535" s="23"/>
      <c r="C535" s="23"/>
      <c r="D535" s="23"/>
      <c r="E535" s="24"/>
      <c r="F535" s="24"/>
      <c r="G535" s="24"/>
      <c r="H535" s="24"/>
      <c r="I535" s="24"/>
      <c r="J535" s="24"/>
      <c r="K535" s="24"/>
      <c r="L535" s="24"/>
      <c r="M535" s="24"/>
    </row>
    <row r="536" spans="1:13" s="5" customFormat="1" ht="25.5" customHeight="1">
      <c r="A536" s="22"/>
      <c r="B536" s="23"/>
      <c r="C536" s="23"/>
      <c r="D536" s="23"/>
      <c r="E536" s="24"/>
      <c r="F536" s="24"/>
      <c r="G536" s="24"/>
      <c r="H536" s="24"/>
      <c r="I536" s="24"/>
      <c r="J536" s="24"/>
      <c r="K536" s="24"/>
      <c r="L536" s="24"/>
      <c r="M536" s="24"/>
    </row>
    <row r="537" spans="1:13" s="5" customFormat="1" ht="25.5" customHeight="1">
      <c r="A537" s="22"/>
      <c r="B537" s="23"/>
      <c r="C537" s="23"/>
      <c r="D537" s="23"/>
      <c r="E537" s="24"/>
      <c r="F537" s="24"/>
      <c r="G537" s="24"/>
      <c r="H537" s="24"/>
      <c r="I537" s="24"/>
      <c r="J537" s="24"/>
      <c r="K537" s="24"/>
      <c r="L537" s="24"/>
      <c r="M537" s="24"/>
    </row>
    <row r="538" spans="1:13" s="5" customFormat="1" ht="25.5" customHeight="1">
      <c r="A538" s="22"/>
      <c r="B538" s="23"/>
      <c r="C538" s="23"/>
      <c r="D538" s="23"/>
      <c r="E538" s="24"/>
      <c r="F538" s="24"/>
      <c r="G538" s="24"/>
      <c r="H538" s="24"/>
      <c r="I538" s="24"/>
      <c r="J538" s="24"/>
      <c r="K538" s="24"/>
      <c r="L538" s="24"/>
      <c r="M538" s="24"/>
    </row>
    <row r="539" spans="1:13" s="5" customFormat="1" ht="25.5" customHeight="1">
      <c r="A539" s="22"/>
      <c r="B539" s="23"/>
      <c r="C539" s="23"/>
      <c r="D539" s="23"/>
      <c r="E539" s="24"/>
      <c r="F539" s="24"/>
      <c r="G539" s="24"/>
      <c r="H539" s="24"/>
      <c r="I539" s="24"/>
      <c r="J539" s="24"/>
      <c r="K539" s="24"/>
      <c r="L539" s="24"/>
      <c r="M539" s="24"/>
    </row>
    <row r="540" spans="1:13" s="5" customFormat="1" ht="25.5" customHeight="1">
      <c r="A540" s="22"/>
      <c r="B540" s="23"/>
      <c r="C540" s="23"/>
      <c r="D540" s="23"/>
      <c r="E540" s="24"/>
      <c r="F540" s="24"/>
      <c r="G540" s="24"/>
      <c r="H540" s="24"/>
      <c r="I540" s="24"/>
      <c r="J540" s="24"/>
      <c r="K540" s="24"/>
      <c r="L540" s="24"/>
      <c r="M540" s="24"/>
    </row>
    <row r="541" spans="1:13" s="5" customFormat="1" ht="25.5" customHeight="1">
      <c r="A541" s="22"/>
      <c r="B541" s="23"/>
      <c r="C541" s="23"/>
      <c r="D541" s="23"/>
      <c r="E541" s="24"/>
      <c r="F541" s="24"/>
      <c r="G541" s="24"/>
      <c r="H541" s="24"/>
      <c r="I541" s="24"/>
      <c r="J541" s="24"/>
      <c r="K541" s="24"/>
      <c r="L541" s="24"/>
      <c r="M541" s="24"/>
    </row>
    <row r="542" spans="1:13" s="5" customFormat="1" ht="25.5" customHeight="1">
      <c r="A542" s="22"/>
      <c r="B542" s="23"/>
      <c r="C542" s="23"/>
      <c r="D542" s="23"/>
      <c r="E542" s="24"/>
      <c r="F542" s="24"/>
      <c r="G542" s="24"/>
      <c r="H542" s="24"/>
      <c r="I542" s="24"/>
      <c r="J542" s="24"/>
      <c r="K542" s="24"/>
      <c r="L542" s="24"/>
      <c r="M542" s="24"/>
    </row>
    <row r="543" spans="1:13" s="5" customFormat="1" ht="25.5" customHeight="1">
      <c r="A543" s="22"/>
      <c r="B543" s="23"/>
      <c r="C543" s="23"/>
      <c r="D543" s="23"/>
      <c r="E543" s="24"/>
      <c r="F543" s="24"/>
      <c r="G543" s="24"/>
      <c r="H543" s="24"/>
      <c r="I543" s="24"/>
      <c r="J543" s="24"/>
      <c r="K543" s="24"/>
      <c r="L543" s="24"/>
      <c r="M543" s="24"/>
    </row>
    <row r="544" spans="1:13" s="5" customFormat="1" ht="25.5" customHeight="1">
      <c r="A544" s="22"/>
      <c r="B544" s="23"/>
      <c r="C544" s="23"/>
      <c r="D544" s="23"/>
      <c r="E544" s="24"/>
      <c r="F544" s="24"/>
      <c r="G544" s="24"/>
      <c r="H544" s="24"/>
      <c r="I544" s="24"/>
      <c r="J544" s="24"/>
      <c r="K544" s="24"/>
      <c r="L544" s="24"/>
      <c r="M544" s="24"/>
    </row>
    <row r="545" spans="1:13" s="5" customFormat="1" ht="25.5" customHeight="1">
      <c r="A545" s="22"/>
      <c r="B545" s="23"/>
      <c r="C545" s="23"/>
      <c r="D545" s="23"/>
      <c r="E545" s="24"/>
      <c r="F545" s="24"/>
      <c r="G545" s="24"/>
      <c r="H545" s="24"/>
      <c r="I545" s="24"/>
      <c r="J545" s="24"/>
      <c r="K545" s="24"/>
      <c r="L545" s="24"/>
      <c r="M545" s="24"/>
    </row>
    <row r="546" spans="1:13" s="5" customFormat="1" ht="25.5" customHeight="1">
      <c r="A546" s="22"/>
      <c r="B546" s="23"/>
      <c r="C546" s="23"/>
      <c r="D546" s="23"/>
      <c r="E546" s="24"/>
      <c r="F546" s="24"/>
      <c r="G546" s="24"/>
      <c r="H546" s="24"/>
      <c r="I546" s="24"/>
      <c r="J546" s="24"/>
      <c r="K546" s="24"/>
      <c r="L546" s="24"/>
      <c r="M546" s="24"/>
    </row>
    <row r="547" spans="1:13" s="5" customFormat="1" ht="25.5" customHeight="1">
      <c r="A547" s="22"/>
      <c r="B547" s="23"/>
      <c r="C547" s="23"/>
      <c r="D547" s="23"/>
      <c r="E547" s="24"/>
      <c r="F547" s="24"/>
      <c r="G547" s="24"/>
      <c r="H547" s="24"/>
      <c r="I547" s="24"/>
      <c r="J547" s="24"/>
      <c r="K547" s="24"/>
      <c r="L547" s="24"/>
      <c r="M547" s="24"/>
    </row>
    <row r="548" spans="1:13" s="5" customFormat="1" ht="25.5" customHeight="1">
      <c r="A548" s="22"/>
      <c r="B548" s="23"/>
      <c r="C548" s="23"/>
      <c r="D548" s="23"/>
      <c r="E548" s="24"/>
      <c r="F548" s="24"/>
      <c r="G548" s="24"/>
      <c r="H548" s="24"/>
      <c r="I548" s="24"/>
      <c r="J548" s="24"/>
      <c r="K548" s="24"/>
      <c r="L548" s="24"/>
      <c r="M548" s="24"/>
    </row>
    <row r="549" spans="1:13" s="5" customFormat="1" ht="25.5" customHeight="1">
      <c r="A549" s="22"/>
      <c r="B549" s="23"/>
      <c r="C549" s="23"/>
      <c r="D549" s="23"/>
      <c r="E549" s="24"/>
      <c r="F549" s="24"/>
      <c r="G549" s="24"/>
      <c r="H549" s="24"/>
      <c r="I549" s="24"/>
      <c r="J549" s="24"/>
      <c r="K549" s="24"/>
      <c r="L549" s="24"/>
      <c r="M549" s="24"/>
    </row>
    <row r="550" spans="1:13" s="5" customFormat="1" ht="25.5" customHeight="1">
      <c r="A550" s="22"/>
      <c r="B550" s="23"/>
      <c r="C550" s="23"/>
      <c r="D550" s="23"/>
      <c r="E550" s="24"/>
      <c r="F550" s="24"/>
      <c r="G550" s="24"/>
      <c r="H550" s="24"/>
      <c r="I550" s="24"/>
      <c r="J550" s="24"/>
      <c r="K550" s="24"/>
      <c r="L550" s="24"/>
      <c r="M550" s="24"/>
    </row>
    <row r="551" spans="1:13" s="5" customFormat="1" ht="25.5" customHeight="1">
      <c r="A551" s="22"/>
      <c r="B551" s="23"/>
      <c r="C551" s="23"/>
      <c r="D551" s="23"/>
      <c r="E551" s="24"/>
      <c r="F551" s="24"/>
      <c r="G551" s="24"/>
      <c r="H551" s="24"/>
      <c r="I551" s="24"/>
      <c r="J551" s="24"/>
      <c r="K551" s="24"/>
      <c r="L551" s="24"/>
      <c r="M551" s="24"/>
    </row>
    <row r="552" spans="1:13" s="5" customFormat="1" ht="25.5" customHeight="1">
      <c r="A552" s="22"/>
      <c r="B552" s="23"/>
      <c r="C552" s="23"/>
      <c r="D552" s="23"/>
      <c r="E552" s="24"/>
      <c r="F552" s="24"/>
      <c r="G552" s="24"/>
      <c r="H552" s="24"/>
      <c r="I552" s="24"/>
      <c r="J552" s="24"/>
      <c r="K552" s="24"/>
      <c r="L552" s="24"/>
      <c r="M552" s="24"/>
    </row>
    <row r="553" spans="1:13" s="5" customFormat="1" ht="25.5" customHeight="1">
      <c r="A553" s="22"/>
      <c r="B553" s="23"/>
      <c r="C553" s="23"/>
      <c r="D553" s="23"/>
      <c r="E553" s="24"/>
      <c r="F553" s="24"/>
      <c r="G553" s="24"/>
      <c r="H553" s="24"/>
      <c r="I553" s="24"/>
      <c r="J553" s="24"/>
      <c r="K553" s="24"/>
      <c r="L553" s="24"/>
      <c r="M553" s="24"/>
    </row>
    <row r="554" spans="1:13" s="5" customFormat="1" ht="25.5" customHeight="1">
      <c r="A554" s="22"/>
      <c r="B554" s="23"/>
      <c r="C554" s="23"/>
      <c r="D554" s="23"/>
      <c r="E554" s="24"/>
      <c r="F554" s="24"/>
      <c r="G554" s="24"/>
      <c r="H554" s="24"/>
      <c r="I554" s="24"/>
      <c r="J554" s="24"/>
      <c r="K554" s="24"/>
      <c r="L554" s="24"/>
      <c r="M554" s="24"/>
    </row>
    <row r="555" spans="1:13" s="5" customFormat="1" ht="25.5" customHeight="1">
      <c r="A555" s="22"/>
      <c r="B555" s="23"/>
      <c r="C555" s="23"/>
      <c r="D555" s="23"/>
      <c r="E555" s="24"/>
      <c r="F555" s="24"/>
      <c r="G555" s="24"/>
      <c r="H555" s="24"/>
      <c r="I555" s="24"/>
      <c r="J555" s="24"/>
      <c r="K555" s="24"/>
      <c r="L555" s="24"/>
      <c r="M555" s="24"/>
    </row>
    <row r="556" spans="1:13" s="5" customFormat="1" ht="25.5" customHeight="1">
      <c r="A556" s="22"/>
      <c r="B556" s="23"/>
      <c r="C556" s="23"/>
      <c r="D556" s="23"/>
      <c r="E556" s="24"/>
      <c r="F556" s="24"/>
      <c r="G556" s="24"/>
      <c r="H556" s="24"/>
      <c r="I556" s="24"/>
      <c r="J556" s="24"/>
      <c r="K556" s="24"/>
      <c r="L556" s="24"/>
      <c r="M556" s="24"/>
    </row>
    <row r="557" spans="1:13" s="5" customFormat="1" ht="25.5" customHeight="1">
      <c r="A557" s="22"/>
      <c r="B557" s="23"/>
      <c r="C557" s="23"/>
      <c r="D557" s="23"/>
      <c r="E557" s="24"/>
      <c r="F557" s="24"/>
      <c r="G557" s="24"/>
      <c r="H557" s="24"/>
      <c r="I557" s="24"/>
      <c r="J557" s="24"/>
      <c r="K557" s="24"/>
      <c r="L557" s="24"/>
      <c r="M557" s="24"/>
    </row>
    <row r="558" spans="1:13" s="5" customFormat="1" ht="25.5" customHeight="1">
      <c r="A558" s="22"/>
      <c r="B558" s="23"/>
      <c r="C558" s="23"/>
      <c r="D558" s="23"/>
      <c r="E558" s="24"/>
      <c r="F558" s="24"/>
      <c r="G558" s="24"/>
      <c r="H558" s="24"/>
      <c r="I558" s="24"/>
      <c r="J558" s="24"/>
      <c r="K558" s="24"/>
      <c r="L558" s="24"/>
      <c r="M558" s="24"/>
    </row>
    <row r="559" spans="1:13" s="5" customFormat="1" ht="25.5" customHeight="1">
      <c r="A559" s="22"/>
      <c r="B559" s="23"/>
      <c r="C559" s="23"/>
      <c r="D559" s="23"/>
      <c r="E559" s="24"/>
      <c r="F559" s="24"/>
      <c r="G559" s="24"/>
      <c r="H559" s="24"/>
      <c r="I559" s="24"/>
      <c r="J559" s="24"/>
      <c r="K559" s="24"/>
      <c r="L559" s="24"/>
      <c r="M559" s="24"/>
    </row>
    <row r="560" spans="1:13" s="5" customFormat="1" ht="25.5" customHeight="1">
      <c r="A560" s="22"/>
      <c r="B560" s="23"/>
      <c r="C560" s="23"/>
      <c r="D560" s="23"/>
      <c r="E560" s="24"/>
      <c r="F560" s="24"/>
      <c r="G560" s="24"/>
      <c r="H560" s="24"/>
      <c r="I560" s="24"/>
      <c r="J560" s="24"/>
      <c r="K560" s="24"/>
      <c r="L560" s="24"/>
      <c r="M560" s="24"/>
    </row>
    <row r="561" spans="1:13" s="5" customFormat="1" ht="25.5" customHeight="1">
      <c r="A561" s="22"/>
      <c r="B561" s="23"/>
      <c r="C561" s="23"/>
      <c r="D561" s="23"/>
      <c r="E561" s="24"/>
      <c r="F561" s="24"/>
      <c r="G561" s="24"/>
      <c r="H561" s="24"/>
      <c r="I561" s="24"/>
      <c r="J561" s="24"/>
      <c r="K561" s="24"/>
      <c r="L561" s="24"/>
      <c r="M561" s="24"/>
    </row>
    <row r="562" spans="1:13" s="5" customFormat="1" ht="25.5" customHeight="1">
      <c r="A562" s="22"/>
      <c r="B562" s="23"/>
      <c r="C562" s="23"/>
      <c r="D562" s="23"/>
      <c r="E562" s="24"/>
      <c r="F562" s="24"/>
      <c r="G562" s="24"/>
      <c r="H562" s="24"/>
      <c r="I562" s="24"/>
      <c r="J562" s="24"/>
      <c r="K562" s="24"/>
      <c r="L562" s="24"/>
      <c r="M562" s="24"/>
    </row>
    <row r="563" spans="1:13" s="5" customFormat="1" ht="25.5" customHeight="1">
      <c r="A563" s="22"/>
      <c r="B563" s="23"/>
      <c r="C563" s="23"/>
      <c r="D563" s="23"/>
      <c r="E563" s="24"/>
      <c r="F563" s="24"/>
      <c r="G563" s="24"/>
      <c r="H563" s="24"/>
      <c r="I563" s="24"/>
      <c r="J563" s="24"/>
      <c r="K563" s="24"/>
      <c r="L563" s="24"/>
      <c r="M563" s="24"/>
    </row>
    <row r="564" spans="1:13" s="5" customFormat="1" ht="25.5" customHeight="1">
      <c r="A564" s="22"/>
      <c r="B564" s="23"/>
      <c r="C564" s="23"/>
      <c r="D564" s="23"/>
      <c r="E564" s="24"/>
      <c r="F564" s="24"/>
      <c r="G564" s="24"/>
      <c r="H564" s="24"/>
      <c r="I564" s="24"/>
      <c r="J564" s="24"/>
      <c r="K564" s="24"/>
      <c r="L564" s="24"/>
      <c r="M564" s="24"/>
    </row>
    <row r="565" spans="1:13" s="5" customFormat="1" ht="25.5" customHeight="1">
      <c r="A565" s="22"/>
      <c r="B565" s="23"/>
      <c r="C565" s="23"/>
      <c r="D565" s="23"/>
      <c r="E565" s="24"/>
      <c r="F565" s="24"/>
      <c r="G565" s="24"/>
      <c r="H565" s="24"/>
      <c r="I565" s="24"/>
      <c r="J565" s="24"/>
      <c r="K565" s="24"/>
      <c r="L565" s="24"/>
      <c r="M565" s="24"/>
    </row>
    <row r="566" spans="1:13" s="5" customFormat="1" ht="25.5" customHeight="1">
      <c r="A566" s="22"/>
      <c r="B566" s="23"/>
      <c r="C566" s="23"/>
      <c r="D566" s="23"/>
      <c r="E566" s="24"/>
      <c r="F566" s="24"/>
      <c r="G566" s="24"/>
      <c r="H566" s="24"/>
      <c r="I566" s="24"/>
      <c r="J566" s="24"/>
      <c r="K566" s="24"/>
      <c r="L566" s="24"/>
      <c r="M566" s="24"/>
    </row>
    <row r="567" spans="1:13" s="5" customFormat="1" ht="25.5" customHeight="1">
      <c r="A567" s="22"/>
      <c r="B567" s="23"/>
      <c r="C567" s="23"/>
      <c r="D567" s="23"/>
      <c r="E567" s="24"/>
      <c r="F567" s="24"/>
      <c r="G567" s="24"/>
      <c r="H567" s="24"/>
      <c r="I567" s="24"/>
      <c r="J567" s="24"/>
      <c r="K567" s="24"/>
      <c r="L567" s="24"/>
      <c r="M567" s="24"/>
    </row>
    <row r="568" spans="1:13" s="5" customFormat="1" ht="25.5" customHeight="1">
      <c r="A568" s="22"/>
      <c r="B568" s="23"/>
      <c r="C568" s="23"/>
      <c r="D568" s="23"/>
      <c r="E568" s="24"/>
      <c r="F568" s="24"/>
      <c r="G568" s="24"/>
      <c r="H568" s="24"/>
      <c r="I568" s="24"/>
      <c r="J568" s="24"/>
      <c r="K568" s="24"/>
      <c r="L568" s="24"/>
      <c r="M568" s="24"/>
    </row>
    <row r="569" spans="1:13" s="5" customFormat="1" ht="25.5" customHeight="1">
      <c r="A569" s="22"/>
      <c r="B569" s="23"/>
      <c r="C569" s="23"/>
      <c r="D569" s="23"/>
      <c r="E569" s="24"/>
      <c r="F569" s="24"/>
      <c r="G569" s="24"/>
      <c r="H569" s="24"/>
      <c r="I569" s="24"/>
      <c r="J569" s="24"/>
      <c r="K569" s="24"/>
      <c r="L569" s="24"/>
      <c r="M569" s="24"/>
    </row>
    <row r="570" spans="1:13" s="5" customFormat="1" ht="25.5" customHeight="1">
      <c r="A570" s="22"/>
      <c r="B570" s="23"/>
      <c r="C570" s="23"/>
      <c r="D570" s="23"/>
      <c r="E570" s="24"/>
      <c r="F570" s="24"/>
      <c r="G570" s="24"/>
      <c r="H570" s="24"/>
      <c r="I570" s="24"/>
      <c r="J570" s="24"/>
      <c r="K570" s="24"/>
      <c r="L570" s="24"/>
      <c r="M570" s="24"/>
    </row>
    <row r="571" spans="1:13" s="5" customFormat="1" ht="25.5" customHeight="1">
      <c r="A571" s="22"/>
      <c r="B571" s="23"/>
      <c r="C571" s="23"/>
      <c r="D571" s="23"/>
      <c r="E571" s="24"/>
      <c r="F571" s="24"/>
      <c r="G571" s="24"/>
      <c r="H571" s="24"/>
      <c r="I571" s="24"/>
      <c r="J571" s="24"/>
      <c r="K571" s="24"/>
      <c r="L571" s="24"/>
      <c r="M571" s="24"/>
    </row>
    <row r="572" spans="1:13" s="5" customFormat="1" ht="25.5" customHeight="1">
      <c r="A572" s="22"/>
      <c r="B572" s="23"/>
      <c r="C572" s="23"/>
      <c r="D572" s="23"/>
      <c r="E572" s="24"/>
      <c r="F572" s="24"/>
      <c r="G572" s="24"/>
      <c r="H572" s="24"/>
      <c r="I572" s="24"/>
      <c r="J572" s="24"/>
      <c r="K572" s="24"/>
      <c r="L572" s="24"/>
      <c r="M572" s="24"/>
    </row>
    <row r="573" spans="1:13" s="5" customFormat="1" ht="25.5" customHeight="1">
      <c r="A573" s="22"/>
      <c r="B573" s="23"/>
      <c r="C573" s="23"/>
      <c r="D573" s="23"/>
      <c r="E573" s="24"/>
      <c r="F573" s="24"/>
      <c r="G573" s="24"/>
      <c r="H573" s="24"/>
      <c r="I573" s="24"/>
      <c r="J573" s="24"/>
      <c r="K573" s="24"/>
      <c r="L573" s="24"/>
      <c r="M573" s="24"/>
    </row>
    <row r="574" spans="1:13" s="5" customFormat="1" ht="25.5" customHeight="1">
      <c r="A574" s="22"/>
      <c r="B574" s="23"/>
      <c r="C574" s="23"/>
      <c r="D574" s="23"/>
      <c r="E574" s="24"/>
      <c r="F574" s="24"/>
      <c r="G574" s="24"/>
      <c r="H574" s="24"/>
      <c r="I574" s="24"/>
      <c r="J574" s="24"/>
      <c r="K574" s="24"/>
      <c r="L574" s="24"/>
      <c r="M574" s="24"/>
    </row>
    <row r="575" spans="1:13" s="5" customFormat="1" ht="25.5" customHeight="1">
      <c r="A575" s="22"/>
      <c r="B575" s="23"/>
      <c r="C575" s="23"/>
      <c r="D575" s="23"/>
      <c r="E575" s="24"/>
      <c r="F575" s="24"/>
      <c r="G575" s="24"/>
      <c r="H575" s="24"/>
      <c r="I575" s="24"/>
      <c r="J575" s="24"/>
      <c r="K575" s="24"/>
      <c r="L575" s="24"/>
      <c r="M575" s="24"/>
    </row>
    <row r="576" spans="1:13" s="5" customFormat="1" ht="25.5" customHeight="1">
      <c r="A576" s="22"/>
      <c r="B576" s="23"/>
      <c r="C576" s="23"/>
      <c r="D576" s="23"/>
      <c r="E576" s="24"/>
      <c r="F576" s="24"/>
      <c r="G576" s="24"/>
      <c r="H576" s="24"/>
      <c r="I576" s="24"/>
      <c r="J576" s="24"/>
      <c r="K576" s="24"/>
      <c r="L576" s="24"/>
      <c r="M576" s="24"/>
    </row>
    <row r="577" spans="1:13" s="5" customFormat="1" ht="25.5" customHeight="1">
      <c r="A577" s="22"/>
      <c r="B577" s="23"/>
      <c r="C577" s="23"/>
      <c r="D577" s="23"/>
      <c r="E577" s="24"/>
      <c r="F577" s="24"/>
      <c r="G577" s="24"/>
      <c r="H577" s="24"/>
      <c r="I577" s="24"/>
      <c r="J577" s="24"/>
      <c r="K577" s="24"/>
      <c r="L577" s="24"/>
      <c r="M577" s="24"/>
    </row>
    <row r="578" spans="1:13" s="5" customFormat="1" ht="25.5" customHeight="1">
      <c r="A578" s="22"/>
      <c r="B578" s="23"/>
      <c r="C578" s="23"/>
      <c r="D578" s="23"/>
      <c r="E578" s="24"/>
      <c r="F578" s="24"/>
      <c r="G578" s="24"/>
      <c r="H578" s="24"/>
      <c r="I578" s="24"/>
      <c r="J578" s="24"/>
      <c r="K578" s="24"/>
      <c r="L578" s="24"/>
      <c r="M578" s="24"/>
    </row>
    <row r="579" spans="1:13" s="5" customFormat="1" ht="25.5" customHeight="1">
      <c r="A579" s="22"/>
      <c r="B579" s="23"/>
      <c r="C579" s="23"/>
      <c r="D579" s="23"/>
      <c r="E579" s="24"/>
      <c r="F579" s="24"/>
      <c r="G579" s="24"/>
      <c r="H579" s="24"/>
      <c r="I579" s="24"/>
      <c r="J579" s="24"/>
      <c r="K579" s="24"/>
      <c r="L579" s="24"/>
      <c r="M579" s="24"/>
    </row>
    <row r="580" spans="1:13" s="5" customFormat="1" ht="25.5" customHeight="1">
      <c r="A580" s="22"/>
      <c r="B580" s="23"/>
      <c r="C580" s="23"/>
      <c r="D580" s="23"/>
      <c r="E580" s="24"/>
      <c r="F580" s="24"/>
      <c r="G580" s="24"/>
      <c r="H580" s="24"/>
      <c r="I580" s="24"/>
      <c r="J580" s="24"/>
      <c r="K580" s="24"/>
      <c r="L580" s="24"/>
      <c r="M580" s="24"/>
    </row>
    <row r="581" spans="1:13" s="5" customFormat="1" ht="25.5" customHeight="1">
      <c r="A581" s="22"/>
      <c r="B581" s="23"/>
      <c r="C581" s="23"/>
      <c r="D581" s="23"/>
      <c r="E581" s="24"/>
      <c r="F581" s="24"/>
      <c r="G581" s="24"/>
      <c r="H581" s="24"/>
      <c r="I581" s="24"/>
      <c r="J581" s="24"/>
      <c r="K581" s="24"/>
      <c r="L581" s="24"/>
      <c r="M581" s="24"/>
    </row>
    <row r="582" spans="1:13" s="5" customFormat="1" ht="25.5" customHeight="1">
      <c r="A582" s="22"/>
      <c r="B582" s="23"/>
      <c r="C582" s="23"/>
      <c r="D582" s="23"/>
      <c r="E582" s="24"/>
      <c r="F582" s="24"/>
      <c r="G582" s="24"/>
      <c r="H582" s="24"/>
      <c r="I582" s="24"/>
      <c r="J582" s="24"/>
      <c r="K582" s="24"/>
      <c r="L582" s="24"/>
      <c r="M582" s="24"/>
    </row>
    <row r="583" spans="1:13" s="5" customFormat="1" ht="25.5" customHeight="1">
      <c r="A583" s="22"/>
      <c r="B583" s="23"/>
      <c r="C583" s="23"/>
      <c r="D583" s="23"/>
      <c r="E583" s="24"/>
      <c r="F583" s="24"/>
      <c r="G583" s="24"/>
      <c r="H583" s="24"/>
      <c r="I583" s="24"/>
      <c r="J583" s="24"/>
      <c r="K583" s="24"/>
      <c r="L583" s="24"/>
      <c r="M583" s="24"/>
    </row>
    <row r="584" spans="1:13" s="5" customFormat="1" ht="25.5" customHeight="1">
      <c r="A584" s="22"/>
      <c r="B584" s="23"/>
      <c r="C584" s="23"/>
      <c r="D584" s="23"/>
      <c r="E584" s="24"/>
      <c r="F584" s="24"/>
      <c r="G584" s="24"/>
      <c r="H584" s="24"/>
      <c r="I584" s="24"/>
      <c r="J584" s="24"/>
      <c r="K584" s="24"/>
      <c r="L584" s="24"/>
      <c r="M584" s="24"/>
    </row>
    <row r="585" spans="1:13" s="5" customFormat="1" ht="25.5" customHeight="1">
      <c r="A585" s="22"/>
      <c r="B585" s="23"/>
      <c r="C585" s="23"/>
      <c r="D585" s="23"/>
      <c r="E585" s="24"/>
      <c r="F585" s="24"/>
      <c r="G585" s="24"/>
      <c r="H585" s="24"/>
      <c r="I585" s="24"/>
      <c r="J585" s="24"/>
      <c r="K585" s="24"/>
      <c r="L585" s="24"/>
      <c r="M585" s="24"/>
    </row>
    <row r="586" spans="1:13" s="5" customFormat="1" ht="25.5" customHeight="1">
      <c r="A586" s="22"/>
      <c r="B586" s="23"/>
      <c r="C586" s="23"/>
      <c r="D586" s="23"/>
      <c r="E586" s="24"/>
      <c r="F586" s="24"/>
      <c r="G586" s="24"/>
      <c r="H586" s="24"/>
      <c r="I586" s="24"/>
      <c r="J586" s="24"/>
      <c r="K586" s="24"/>
      <c r="L586" s="24"/>
      <c r="M586" s="24"/>
    </row>
    <row r="587" spans="1:13" s="5" customFormat="1" ht="25.5" customHeight="1">
      <c r="A587" s="22"/>
      <c r="B587" s="23"/>
      <c r="C587" s="23"/>
      <c r="D587" s="23"/>
      <c r="E587" s="24"/>
      <c r="F587" s="24"/>
      <c r="G587" s="24"/>
      <c r="H587" s="24"/>
      <c r="I587" s="24"/>
      <c r="J587" s="24"/>
      <c r="K587" s="24"/>
      <c r="L587" s="24"/>
      <c r="M587" s="24"/>
    </row>
    <row r="588" spans="1:13" s="5" customFormat="1" ht="25.5" customHeight="1">
      <c r="A588" s="22"/>
      <c r="B588" s="23"/>
      <c r="C588" s="23"/>
      <c r="D588" s="23"/>
      <c r="E588" s="24"/>
      <c r="F588" s="24"/>
      <c r="G588" s="24"/>
      <c r="H588" s="24"/>
      <c r="I588" s="24"/>
      <c r="J588" s="24"/>
      <c r="K588" s="24"/>
      <c r="L588" s="24"/>
      <c r="M588" s="24"/>
    </row>
    <row r="589" spans="1:13" s="5" customFormat="1" ht="25.5" customHeight="1">
      <c r="A589" s="22"/>
      <c r="B589" s="23"/>
      <c r="C589" s="23"/>
      <c r="D589" s="23"/>
      <c r="E589" s="24"/>
      <c r="F589" s="24"/>
      <c r="G589" s="24"/>
      <c r="H589" s="24"/>
      <c r="I589" s="24"/>
      <c r="J589" s="24"/>
      <c r="K589" s="24"/>
      <c r="L589" s="24"/>
      <c r="M589" s="24"/>
    </row>
    <row r="590" spans="1:13" s="5" customFormat="1" ht="25.5" customHeight="1">
      <c r="A590" s="22"/>
      <c r="B590" s="23"/>
      <c r="C590" s="23"/>
      <c r="D590" s="23"/>
      <c r="E590" s="24"/>
      <c r="F590" s="24"/>
      <c r="G590" s="24"/>
      <c r="H590" s="24"/>
      <c r="I590" s="24"/>
      <c r="J590" s="24"/>
      <c r="K590" s="24"/>
      <c r="L590" s="24"/>
      <c r="M590" s="24"/>
    </row>
    <row r="591" spans="1:13" s="5" customFormat="1" ht="25.5" customHeight="1">
      <c r="A591" s="22"/>
      <c r="B591" s="23"/>
      <c r="C591" s="23"/>
      <c r="D591" s="23"/>
      <c r="E591" s="24"/>
      <c r="F591" s="24"/>
      <c r="G591" s="24"/>
      <c r="H591" s="24"/>
      <c r="I591" s="24"/>
      <c r="J591" s="24"/>
      <c r="K591" s="24"/>
      <c r="L591" s="24"/>
      <c r="M591" s="24"/>
    </row>
    <row r="592" spans="1:13" s="5" customFormat="1" ht="25.5" customHeight="1">
      <c r="A592" s="22"/>
      <c r="B592" s="23"/>
      <c r="C592" s="23"/>
      <c r="D592" s="23"/>
      <c r="E592" s="24"/>
      <c r="F592" s="24"/>
      <c r="G592" s="24"/>
      <c r="H592" s="24"/>
      <c r="I592" s="24"/>
      <c r="J592" s="24"/>
      <c r="K592" s="24"/>
      <c r="L592" s="24"/>
      <c r="M592" s="24"/>
    </row>
    <row r="593" spans="1:13" s="5" customFormat="1" ht="25.5" customHeight="1">
      <c r="A593" s="22"/>
      <c r="B593" s="23"/>
      <c r="C593" s="23"/>
      <c r="D593" s="23"/>
      <c r="E593" s="24"/>
      <c r="F593" s="24"/>
      <c r="G593" s="24"/>
      <c r="H593" s="24"/>
      <c r="I593" s="24"/>
      <c r="J593" s="24"/>
      <c r="K593" s="24"/>
      <c r="L593" s="24"/>
      <c r="M593" s="24"/>
    </row>
    <row r="594" spans="1:13" s="5" customFormat="1" ht="25.5" customHeight="1">
      <c r="A594" s="22"/>
      <c r="B594" s="23"/>
      <c r="C594" s="23"/>
      <c r="D594" s="23"/>
      <c r="E594" s="24"/>
      <c r="F594" s="24"/>
      <c r="G594" s="24"/>
      <c r="H594" s="24"/>
      <c r="I594" s="24"/>
      <c r="J594" s="24"/>
      <c r="K594" s="24"/>
      <c r="L594" s="24"/>
      <c r="M594" s="24"/>
    </row>
    <row r="595" spans="1:13" s="5" customFormat="1" ht="25.5" customHeight="1">
      <c r="A595" s="22"/>
      <c r="B595" s="23"/>
      <c r="C595" s="23"/>
      <c r="D595" s="23"/>
      <c r="E595" s="24"/>
      <c r="F595" s="24"/>
      <c r="G595" s="24"/>
      <c r="H595" s="24"/>
      <c r="I595" s="24"/>
      <c r="J595" s="24"/>
      <c r="K595" s="24"/>
      <c r="L595" s="24"/>
      <c r="M595" s="24"/>
    </row>
    <row r="596" spans="1:13" s="5" customFormat="1" ht="25.5" customHeight="1">
      <c r="A596" s="22"/>
      <c r="B596" s="23"/>
      <c r="C596" s="23"/>
      <c r="D596" s="23"/>
      <c r="E596" s="24"/>
      <c r="F596" s="24"/>
      <c r="G596" s="24"/>
      <c r="H596" s="24"/>
      <c r="I596" s="24"/>
      <c r="J596" s="24"/>
      <c r="K596" s="24"/>
      <c r="L596" s="24"/>
      <c r="M596" s="24"/>
    </row>
    <row r="597" spans="1:13" s="5" customFormat="1" ht="25.5" customHeight="1">
      <c r="A597" s="22"/>
      <c r="B597" s="23"/>
      <c r="C597" s="23"/>
      <c r="D597" s="23"/>
      <c r="E597" s="24"/>
      <c r="F597" s="24"/>
      <c r="G597" s="24"/>
      <c r="H597" s="24"/>
      <c r="I597" s="24"/>
      <c r="J597" s="24"/>
      <c r="K597" s="24"/>
      <c r="L597" s="24"/>
      <c r="M597" s="24"/>
    </row>
    <row r="598" spans="1:13" s="5" customFormat="1" ht="25.5" customHeight="1">
      <c r="A598" s="22"/>
      <c r="B598" s="23"/>
      <c r="C598" s="23"/>
      <c r="D598" s="23"/>
      <c r="E598" s="24"/>
      <c r="F598" s="24"/>
      <c r="G598" s="24"/>
      <c r="H598" s="24"/>
      <c r="I598" s="24"/>
      <c r="J598" s="24"/>
      <c r="K598" s="24"/>
      <c r="L598" s="24"/>
      <c r="M598" s="24"/>
    </row>
    <row r="599" spans="1:13" s="5" customFormat="1" ht="25.5" customHeight="1">
      <c r="A599" s="22"/>
      <c r="B599" s="23"/>
      <c r="C599" s="23"/>
      <c r="D599" s="23"/>
      <c r="E599" s="24"/>
      <c r="F599" s="24"/>
      <c r="G599" s="24"/>
      <c r="H599" s="24"/>
      <c r="I599" s="24"/>
      <c r="J599" s="24"/>
      <c r="K599" s="24"/>
      <c r="L599" s="24"/>
      <c r="M599" s="24"/>
    </row>
    <row r="600" spans="1:13" s="5" customFormat="1" ht="25.5" customHeight="1">
      <c r="A600" s="22"/>
      <c r="B600" s="23"/>
      <c r="C600" s="23"/>
      <c r="D600" s="23"/>
      <c r="E600" s="24"/>
      <c r="F600" s="24"/>
      <c r="G600" s="24"/>
      <c r="H600" s="24"/>
      <c r="I600" s="24"/>
      <c r="J600" s="24"/>
      <c r="K600" s="24"/>
      <c r="L600" s="24"/>
      <c r="M600" s="24"/>
    </row>
    <row r="601" spans="1:13" s="5" customFormat="1" ht="25.5" customHeight="1">
      <c r="A601" s="22"/>
      <c r="B601" s="23"/>
      <c r="C601" s="23"/>
      <c r="D601" s="23"/>
      <c r="E601" s="24"/>
      <c r="F601" s="24"/>
      <c r="G601" s="24"/>
      <c r="H601" s="24"/>
      <c r="I601" s="24"/>
      <c r="J601" s="24"/>
      <c r="K601" s="24"/>
      <c r="L601" s="24"/>
      <c r="M601" s="24"/>
    </row>
    <row r="602" spans="1:13" s="5" customFormat="1" ht="25.5" customHeight="1">
      <c r="A602" s="22"/>
      <c r="B602" s="23"/>
      <c r="C602" s="23"/>
      <c r="D602" s="23"/>
      <c r="E602" s="24"/>
      <c r="F602" s="24"/>
      <c r="G602" s="24"/>
      <c r="H602" s="24"/>
      <c r="I602" s="24"/>
      <c r="J602" s="24"/>
      <c r="K602" s="24"/>
      <c r="L602" s="24"/>
      <c r="M602" s="24"/>
    </row>
    <row r="603" spans="1:13" s="5" customFormat="1" ht="25.5" customHeight="1">
      <c r="A603" s="22"/>
      <c r="B603" s="23"/>
      <c r="C603" s="23"/>
      <c r="D603" s="23"/>
      <c r="E603" s="24"/>
      <c r="F603" s="24"/>
      <c r="G603" s="24"/>
      <c r="H603" s="24"/>
      <c r="I603" s="24"/>
      <c r="J603" s="24"/>
      <c r="K603" s="24"/>
      <c r="L603" s="24"/>
      <c r="M603" s="24"/>
    </row>
    <row r="604" spans="1:13" s="5" customFormat="1" ht="25.5" customHeight="1">
      <c r="A604" s="22"/>
      <c r="B604" s="23"/>
      <c r="C604" s="23"/>
      <c r="D604" s="23"/>
      <c r="E604" s="24"/>
      <c r="F604" s="24"/>
      <c r="G604" s="24"/>
      <c r="H604" s="24"/>
      <c r="I604" s="24"/>
      <c r="J604" s="24"/>
      <c r="K604" s="24"/>
      <c r="L604" s="24"/>
      <c r="M604" s="24"/>
    </row>
    <row r="605" spans="1:13" s="5" customFormat="1" ht="25.5" customHeight="1">
      <c r="A605" s="22"/>
      <c r="B605" s="23"/>
      <c r="C605" s="23"/>
      <c r="D605" s="23"/>
      <c r="E605" s="24"/>
      <c r="F605" s="24"/>
      <c r="G605" s="24"/>
      <c r="H605" s="24"/>
      <c r="I605" s="24"/>
      <c r="J605" s="24"/>
      <c r="K605" s="24"/>
      <c r="L605" s="24"/>
      <c r="M605" s="24"/>
    </row>
    <row r="606" spans="1:13" s="5" customFormat="1" ht="25.5" customHeight="1">
      <c r="A606" s="22"/>
      <c r="B606" s="23"/>
      <c r="C606" s="23"/>
      <c r="D606" s="23"/>
      <c r="E606" s="24"/>
      <c r="F606" s="24"/>
      <c r="G606" s="24"/>
      <c r="H606" s="24"/>
      <c r="I606" s="24"/>
      <c r="J606" s="24"/>
      <c r="K606" s="24"/>
      <c r="L606" s="24"/>
      <c r="M606" s="24"/>
    </row>
    <row r="607" spans="1:13" s="5" customFormat="1" ht="25.5" customHeight="1">
      <c r="A607" s="22"/>
      <c r="B607" s="23"/>
      <c r="C607" s="23"/>
      <c r="D607" s="23"/>
      <c r="E607" s="24"/>
      <c r="F607" s="24"/>
      <c r="G607" s="24"/>
      <c r="H607" s="24"/>
      <c r="I607" s="24"/>
      <c r="J607" s="24"/>
      <c r="K607" s="24"/>
      <c r="L607" s="24"/>
      <c r="M607" s="24"/>
    </row>
    <row r="608" spans="1:13" s="5" customFormat="1" ht="25.5" customHeight="1">
      <c r="A608" s="22"/>
      <c r="B608" s="23"/>
      <c r="C608" s="23"/>
      <c r="D608" s="23"/>
      <c r="E608" s="24"/>
      <c r="F608" s="24"/>
      <c r="G608" s="24"/>
      <c r="H608" s="24"/>
      <c r="I608" s="24"/>
      <c r="J608" s="24"/>
      <c r="K608" s="24"/>
      <c r="L608" s="24"/>
      <c r="M608" s="24"/>
    </row>
    <row r="609" spans="1:13" s="5" customFormat="1" ht="25.5" customHeight="1">
      <c r="A609" s="22"/>
      <c r="B609" s="23"/>
      <c r="C609" s="23"/>
      <c r="D609" s="23"/>
      <c r="E609" s="24"/>
      <c r="F609" s="24"/>
      <c r="G609" s="24"/>
      <c r="H609" s="24"/>
      <c r="I609" s="24"/>
      <c r="J609" s="24"/>
      <c r="K609" s="24"/>
      <c r="L609" s="24"/>
      <c r="M609" s="24"/>
    </row>
    <row r="610" spans="1:13" s="5" customFormat="1" ht="25.5" customHeight="1">
      <c r="A610" s="22"/>
      <c r="B610" s="23"/>
      <c r="C610" s="23"/>
      <c r="D610" s="23"/>
      <c r="E610" s="24"/>
      <c r="F610" s="24"/>
      <c r="G610" s="24"/>
      <c r="H610" s="24"/>
      <c r="I610" s="24"/>
      <c r="J610" s="24"/>
      <c r="K610" s="24"/>
      <c r="L610" s="24"/>
      <c r="M610" s="24"/>
    </row>
    <row r="611" spans="1:13" s="5" customFormat="1" ht="25.5" customHeight="1">
      <c r="A611" s="22"/>
      <c r="B611" s="23"/>
      <c r="C611" s="23"/>
      <c r="D611" s="23"/>
      <c r="E611" s="24"/>
      <c r="F611" s="24"/>
      <c r="G611" s="24"/>
      <c r="H611" s="24"/>
      <c r="I611" s="24"/>
      <c r="J611" s="24"/>
      <c r="K611" s="24"/>
      <c r="L611" s="24"/>
      <c r="M611" s="24"/>
    </row>
    <row r="612" spans="1:13" s="5" customFormat="1" ht="25.5" customHeight="1">
      <c r="A612" s="22"/>
      <c r="B612" s="23"/>
      <c r="C612" s="23"/>
      <c r="D612" s="23"/>
      <c r="E612" s="24"/>
      <c r="F612" s="24"/>
      <c r="G612" s="24"/>
      <c r="H612" s="24"/>
      <c r="I612" s="24"/>
      <c r="J612" s="24"/>
      <c r="K612" s="24"/>
      <c r="L612" s="24"/>
      <c r="M612" s="24"/>
    </row>
    <row r="613" spans="1:13" s="5" customFormat="1" ht="25.5" customHeight="1">
      <c r="A613" s="22"/>
      <c r="B613" s="23"/>
      <c r="C613" s="23"/>
      <c r="D613" s="23"/>
      <c r="E613" s="24"/>
      <c r="F613" s="24"/>
      <c r="G613" s="24"/>
      <c r="H613" s="24"/>
      <c r="I613" s="24"/>
      <c r="J613" s="24"/>
      <c r="K613" s="24"/>
      <c r="L613" s="24"/>
      <c r="M613" s="24"/>
    </row>
    <row r="614" spans="1:13" s="5" customFormat="1" ht="25.5" customHeight="1">
      <c r="A614" s="22"/>
      <c r="B614" s="23"/>
      <c r="C614" s="23"/>
      <c r="D614" s="23"/>
      <c r="E614" s="24"/>
      <c r="F614" s="24"/>
      <c r="G614" s="24"/>
      <c r="H614" s="24"/>
      <c r="I614" s="24"/>
      <c r="J614" s="24"/>
      <c r="K614" s="24"/>
      <c r="L614" s="24"/>
      <c r="M614" s="24"/>
    </row>
    <row r="615" spans="1:13" s="5" customFormat="1" ht="25.5" customHeight="1">
      <c r="A615" s="22"/>
      <c r="B615" s="23"/>
      <c r="C615" s="23"/>
      <c r="D615" s="23"/>
      <c r="E615" s="24"/>
      <c r="F615" s="24"/>
      <c r="G615" s="24"/>
      <c r="H615" s="24"/>
      <c r="I615" s="24"/>
      <c r="J615" s="24"/>
      <c r="K615" s="24"/>
      <c r="L615" s="24"/>
      <c r="M615" s="24"/>
    </row>
    <row r="616" spans="1:13" s="5" customFormat="1" ht="25.5" customHeight="1">
      <c r="A616" s="22"/>
      <c r="B616" s="23"/>
      <c r="C616" s="23"/>
      <c r="D616" s="23"/>
      <c r="E616" s="24"/>
      <c r="F616" s="24"/>
      <c r="G616" s="24"/>
      <c r="H616" s="24"/>
      <c r="I616" s="24"/>
      <c r="J616" s="24"/>
      <c r="K616" s="24"/>
      <c r="L616" s="24"/>
      <c r="M616" s="24"/>
    </row>
    <row r="617" spans="1:13" s="5" customFormat="1" ht="25.5" customHeight="1">
      <c r="A617" s="22"/>
      <c r="B617" s="23"/>
      <c r="C617" s="23"/>
      <c r="D617" s="23"/>
      <c r="E617" s="24"/>
      <c r="F617" s="24"/>
      <c r="G617" s="24"/>
      <c r="H617" s="24"/>
      <c r="I617" s="24"/>
      <c r="J617" s="24"/>
      <c r="K617" s="24"/>
      <c r="L617" s="24"/>
      <c r="M617" s="24"/>
    </row>
    <row r="618" spans="1:13" s="5" customFormat="1" ht="25.5" customHeight="1">
      <c r="A618" s="22"/>
      <c r="B618" s="23"/>
      <c r="C618" s="23"/>
      <c r="D618" s="23"/>
      <c r="E618" s="24"/>
      <c r="F618" s="24"/>
      <c r="G618" s="24"/>
      <c r="H618" s="24"/>
      <c r="I618" s="24"/>
      <c r="J618" s="24"/>
      <c r="K618" s="24"/>
      <c r="L618" s="24"/>
      <c r="M618" s="24"/>
    </row>
    <row r="619" spans="1:13" s="5" customFormat="1" ht="25.5" customHeight="1">
      <c r="A619" s="22"/>
      <c r="B619" s="23"/>
      <c r="C619" s="23"/>
      <c r="D619" s="23"/>
      <c r="E619" s="24"/>
      <c r="F619" s="24"/>
      <c r="G619" s="24"/>
      <c r="H619" s="24"/>
      <c r="I619" s="24"/>
      <c r="J619" s="24"/>
      <c r="K619" s="24"/>
      <c r="L619" s="24"/>
      <c r="M619" s="24"/>
    </row>
    <row r="620" spans="1:13" s="5" customFormat="1" ht="25.5" customHeight="1">
      <c r="A620" s="22"/>
      <c r="B620" s="23"/>
      <c r="C620" s="23"/>
      <c r="D620" s="23"/>
      <c r="E620" s="24"/>
      <c r="F620" s="24"/>
      <c r="G620" s="24"/>
      <c r="H620" s="24"/>
      <c r="I620" s="24"/>
      <c r="J620" s="24"/>
      <c r="K620" s="24"/>
      <c r="L620" s="24"/>
      <c r="M620" s="24"/>
    </row>
    <row r="621" spans="1:13" s="5" customFormat="1" ht="25.5" customHeight="1">
      <c r="A621" s="22"/>
      <c r="B621" s="23"/>
      <c r="C621" s="23"/>
      <c r="D621" s="23"/>
      <c r="E621" s="24"/>
      <c r="F621" s="24"/>
      <c r="G621" s="24"/>
      <c r="H621" s="24"/>
      <c r="I621" s="24"/>
      <c r="J621" s="24"/>
      <c r="K621" s="24"/>
      <c r="L621" s="24"/>
      <c r="M621" s="24"/>
    </row>
    <row r="622" spans="1:13" s="5" customFormat="1" ht="25.5" customHeight="1">
      <c r="A622" s="22"/>
      <c r="B622" s="23"/>
      <c r="C622" s="23"/>
      <c r="D622" s="23"/>
      <c r="E622" s="24"/>
      <c r="F622" s="24"/>
      <c r="G622" s="24"/>
      <c r="H622" s="24"/>
      <c r="I622" s="24"/>
      <c r="J622" s="24"/>
      <c r="K622" s="24"/>
      <c r="L622" s="24"/>
      <c r="M622" s="24"/>
    </row>
    <row r="623" spans="1:13" s="5" customFormat="1" ht="25.5" customHeight="1">
      <c r="A623" s="22"/>
      <c r="B623" s="23"/>
      <c r="C623" s="23"/>
      <c r="D623" s="23"/>
      <c r="E623" s="24"/>
      <c r="F623" s="24"/>
      <c r="G623" s="24"/>
      <c r="H623" s="24"/>
      <c r="I623" s="24"/>
      <c r="J623" s="24"/>
      <c r="K623" s="24"/>
      <c r="L623" s="24"/>
      <c r="M623" s="24"/>
    </row>
    <row r="624" spans="1:13" s="5" customFormat="1" ht="25.5" customHeight="1">
      <c r="A624" s="22"/>
      <c r="B624" s="23"/>
      <c r="C624" s="23"/>
      <c r="D624" s="23"/>
      <c r="E624" s="24"/>
      <c r="F624" s="24"/>
      <c r="G624" s="24"/>
      <c r="H624" s="24"/>
      <c r="I624" s="24"/>
      <c r="J624" s="24"/>
      <c r="K624" s="24"/>
      <c r="L624" s="24"/>
      <c r="M624" s="24"/>
    </row>
    <row r="625" spans="1:13" s="5" customFormat="1" ht="25.5" customHeight="1">
      <c r="A625" s="22"/>
      <c r="B625" s="23"/>
      <c r="C625" s="23"/>
      <c r="D625" s="23"/>
      <c r="E625" s="24"/>
      <c r="F625" s="24"/>
      <c r="G625" s="24"/>
      <c r="H625" s="24"/>
      <c r="I625" s="24"/>
      <c r="J625" s="24"/>
      <c r="K625" s="24"/>
      <c r="L625" s="24"/>
      <c r="M625" s="24"/>
    </row>
    <row r="626" spans="1:13" s="5" customFormat="1" ht="25.5" customHeight="1">
      <c r="A626" s="22"/>
      <c r="B626" s="23"/>
      <c r="C626" s="23"/>
      <c r="D626" s="23"/>
      <c r="E626" s="24"/>
      <c r="F626" s="24"/>
      <c r="G626" s="24"/>
      <c r="H626" s="24"/>
      <c r="I626" s="24"/>
      <c r="J626" s="24"/>
      <c r="K626" s="24"/>
      <c r="L626" s="24"/>
      <c r="M626" s="24"/>
    </row>
    <row r="627" spans="1:13" s="5" customFormat="1" ht="25.5" customHeight="1">
      <c r="A627" s="22"/>
      <c r="B627" s="23"/>
      <c r="C627" s="23"/>
      <c r="D627" s="23"/>
      <c r="E627" s="24"/>
      <c r="F627" s="24"/>
      <c r="G627" s="24"/>
      <c r="H627" s="24"/>
      <c r="I627" s="24"/>
      <c r="J627" s="24"/>
      <c r="K627" s="24"/>
      <c r="L627" s="24"/>
      <c r="M627" s="24"/>
    </row>
    <row r="628" spans="1:13" s="5" customFormat="1" ht="25.5" customHeight="1">
      <c r="A628" s="22"/>
      <c r="B628" s="23"/>
      <c r="C628" s="23"/>
      <c r="D628" s="23"/>
      <c r="E628" s="24"/>
      <c r="F628" s="24"/>
      <c r="G628" s="24"/>
      <c r="H628" s="24"/>
      <c r="I628" s="24"/>
      <c r="J628" s="24"/>
      <c r="K628" s="24"/>
      <c r="L628" s="24"/>
      <c r="M628" s="24"/>
    </row>
    <row r="629" spans="1:13" s="5" customFormat="1" ht="25.5" customHeight="1">
      <c r="A629" s="22"/>
      <c r="B629" s="23"/>
      <c r="C629" s="23"/>
      <c r="D629" s="23"/>
      <c r="E629" s="24"/>
      <c r="F629" s="24"/>
      <c r="G629" s="24"/>
      <c r="H629" s="24"/>
      <c r="I629" s="24"/>
      <c r="J629" s="24"/>
      <c r="K629" s="24"/>
      <c r="L629" s="24"/>
      <c r="M629" s="24"/>
    </row>
    <row r="630" spans="1:13" s="5" customFormat="1" ht="25.5" customHeight="1">
      <c r="A630" s="22"/>
      <c r="B630" s="23"/>
      <c r="C630" s="23"/>
      <c r="D630" s="23"/>
      <c r="E630" s="24"/>
      <c r="F630" s="24"/>
      <c r="G630" s="24"/>
      <c r="H630" s="24"/>
      <c r="I630" s="24"/>
      <c r="J630" s="24"/>
      <c r="K630" s="24"/>
      <c r="L630" s="24"/>
      <c r="M630" s="24"/>
    </row>
    <row r="631" spans="1:13" s="5" customFormat="1" ht="25.5" customHeight="1">
      <c r="A631" s="22"/>
      <c r="B631" s="23"/>
      <c r="C631" s="23"/>
      <c r="D631" s="23"/>
      <c r="E631" s="24"/>
      <c r="F631" s="24"/>
      <c r="G631" s="24"/>
      <c r="H631" s="24"/>
      <c r="I631" s="24"/>
      <c r="J631" s="24"/>
      <c r="K631" s="24"/>
      <c r="L631" s="24"/>
      <c r="M631" s="24"/>
    </row>
    <row r="632" spans="1:13" s="5" customFormat="1" ht="25.5" customHeight="1">
      <c r="A632" s="22"/>
      <c r="B632" s="23"/>
      <c r="C632" s="23"/>
      <c r="D632" s="23"/>
      <c r="E632" s="24"/>
      <c r="F632" s="24"/>
      <c r="G632" s="24"/>
      <c r="H632" s="24"/>
      <c r="I632" s="24"/>
      <c r="J632" s="24"/>
      <c r="K632" s="24"/>
      <c r="L632" s="24"/>
      <c r="M632" s="24"/>
    </row>
    <row r="633" spans="1:13" s="5" customFormat="1" ht="25.5" customHeight="1">
      <c r="A633" s="22"/>
      <c r="B633" s="23"/>
      <c r="C633" s="23"/>
      <c r="D633" s="23"/>
      <c r="E633" s="24"/>
      <c r="F633" s="24"/>
      <c r="G633" s="24"/>
      <c r="H633" s="24"/>
      <c r="I633" s="24"/>
      <c r="J633" s="24"/>
      <c r="K633" s="24"/>
      <c r="L633" s="24"/>
      <c r="M633" s="24"/>
    </row>
    <row r="634" spans="1:13" s="5" customFormat="1" ht="25.5" customHeight="1">
      <c r="A634" s="22"/>
      <c r="B634" s="23"/>
      <c r="C634" s="23"/>
      <c r="D634" s="23"/>
      <c r="E634" s="24"/>
      <c r="F634" s="24"/>
      <c r="G634" s="24"/>
      <c r="H634" s="24"/>
      <c r="I634" s="24"/>
      <c r="J634" s="24"/>
      <c r="K634" s="24"/>
      <c r="L634" s="24"/>
      <c r="M634" s="24"/>
    </row>
    <row r="635" spans="1:13" s="5" customFormat="1" ht="25.5" customHeight="1">
      <c r="A635" s="22"/>
      <c r="B635" s="23"/>
      <c r="C635" s="23"/>
      <c r="D635" s="23"/>
      <c r="E635" s="24"/>
      <c r="F635" s="24"/>
      <c r="G635" s="24"/>
      <c r="H635" s="24"/>
      <c r="I635" s="24"/>
      <c r="J635" s="24"/>
      <c r="K635" s="24"/>
      <c r="L635" s="24"/>
      <c r="M635" s="24"/>
    </row>
    <row r="636" spans="1:13" s="5" customFormat="1" ht="25.5" customHeight="1">
      <c r="A636" s="22"/>
      <c r="B636" s="23"/>
      <c r="C636" s="23"/>
      <c r="D636" s="23"/>
      <c r="E636" s="24"/>
      <c r="F636" s="24"/>
      <c r="G636" s="24"/>
      <c r="H636" s="24"/>
      <c r="I636" s="24"/>
      <c r="J636" s="24"/>
      <c r="K636" s="24"/>
      <c r="L636" s="24"/>
      <c r="M636" s="24"/>
    </row>
    <row r="637" spans="1:13" s="5" customFormat="1" ht="25.5" customHeight="1">
      <c r="A637" s="22"/>
      <c r="B637" s="23"/>
      <c r="C637" s="23"/>
      <c r="D637" s="23"/>
      <c r="E637" s="24"/>
      <c r="F637" s="24"/>
      <c r="G637" s="24"/>
      <c r="H637" s="24"/>
      <c r="I637" s="24"/>
      <c r="J637" s="24"/>
      <c r="K637" s="24"/>
      <c r="L637" s="24"/>
      <c r="M637" s="24"/>
    </row>
    <row r="638" spans="1:13" s="5" customFormat="1" ht="25.5" customHeight="1">
      <c r="A638" s="22"/>
      <c r="B638" s="23"/>
      <c r="C638" s="23"/>
      <c r="D638" s="23"/>
      <c r="E638" s="24"/>
      <c r="F638" s="24"/>
      <c r="G638" s="24"/>
      <c r="H638" s="24"/>
      <c r="I638" s="24"/>
      <c r="J638" s="24"/>
      <c r="K638" s="24"/>
      <c r="L638" s="24"/>
      <c r="M638" s="24"/>
    </row>
    <row r="639" spans="1:13" s="5" customFormat="1" ht="25.5" customHeight="1">
      <c r="A639" s="22"/>
      <c r="B639" s="23"/>
      <c r="C639" s="23"/>
      <c r="D639" s="23"/>
      <c r="E639" s="24"/>
      <c r="F639" s="24"/>
      <c r="G639" s="24"/>
      <c r="H639" s="24"/>
      <c r="I639" s="24"/>
      <c r="J639" s="24"/>
      <c r="K639" s="24"/>
      <c r="L639" s="24"/>
      <c r="M639" s="24"/>
    </row>
    <row r="640" spans="1:13" s="5" customFormat="1" ht="25.5" customHeight="1">
      <c r="A640" s="22"/>
      <c r="B640" s="23"/>
      <c r="C640" s="23"/>
      <c r="D640" s="23"/>
      <c r="E640" s="24"/>
      <c r="F640" s="24"/>
      <c r="G640" s="24"/>
      <c r="H640" s="24"/>
      <c r="I640" s="24"/>
      <c r="J640" s="24"/>
      <c r="K640" s="24"/>
      <c r="L640" s="24"/>
      <c r="M640" s="24"/>
    </row>
    <row r="641" spans="1:13" s="5" customFormat="1" ht="25.5" customHeight="1">
      <c r="A641" s="22"/>
      <c r="B641" s="23"/>
      <c r="C641" s="23"/>
      <c r="D641" s="23"/>
      <c r="E641" s="24"/>
      <c r="F641" s="24"/>
      <c r="G641" s="24"/>
      <c r="H641" s="24"/>
      <c r="I641" s="24"/>
      <c r="J641" s="24"/>
      <c r="K641" s="24"/>
      <c r="L641" s="24"/>
      <c r="M641" s="24"/>
    </row>
    <row r="642" spans="1:13" s="5" customFormat="1" ht="25.5" customHeight="1">
      <c r="A642" s="22"/>
      <c r="B642" s="23"/>
      <c r="C642" s="23"/>
      <c r="D642" s="23"/>
      <c r="E642" s="24"/>
      <c r="F642" s="24"/>
      <c r="G642" s="24"/>
      <c r="H642" s="24"/>
      <c r="I642" s="24"/>
      <c r="J642" s="24"/>
      <c r="K642" s="24"/>
      <c r="L642" s="24"/>
      <c r="M642" s="24"/>
    </row>
    <row r="643" spans="1:13" s="5" customFormat="1" ht="25.5" customHeight="1">
      <c r="A643" s="22"/>
      <c r="B643" s="23"/>
      <c r="C643" s="23"/>
      <c r="D643" s="23"/>
      <c r="E643" s="24"/>
      <c r="F643" s="24"/>
      <c r="G643" s="24"/>
      <c r="H643" s="24"/>
      <c r="I643" s="24"/>
      <c r="J643" s="24"/>
      <c r="K643" s="24"/>
      <c r="L643" s="24"/>
      <c r="M643" s="24"/>
    </row>
    <row r="644" spans="1:13" s="5" customFormat="1" ht="25.5" customHeight="1">
      <c r="A644" s="22"/>
      <c r="B644" s="23"/>
      <c r="C644" s="23"/>
      <c r="D644" s="23"/>
      <c r="E644" s="24"/>
      <c r="F644" s="24"/>
      <c r="G644" s="24"/>
      <c r="H644" s="24"/>
      <c r="I644" s="24"/>
      <c r="J644" s="24"/>
      <c r="K644" s="24"/>
      <c r="L644" s="24"/>
      <c r="M644" s="24"/>
    </row>
    <row r="645" spans="1:13" s="5" customFormat="1" ht="25.5" customHeight="1">
      <c r="A645" s="22"/>
      <c r="B645" s="23"/>
      <c r="C645" s="23"/>
      <c r="D645" s="23"/>
      <c r="E645" s="24"/>
      <c r="F645" s="24"/>
      <c r="G645" s="24"/>
      <c r="H645" s="24"/>
      <c r="I645" s="24"/>
      <c r="J645" s="24"/>
      <c r="K645" s="24"/>
      <c r="L645" s="24"/>
      <c r="M645" s="24"/>
    </row>
    <row r="646" spans="1:13" s="5" customFormat="1" ht="25.5" customHeight="1">
      <c r="A646" s="22"/>
      <c r="B646" s="23"/>
      <c r="C646" s="23"/>
      <c r="D646" s="23"/>
      <c r="E646" s="24"/>
      <c r="F646" s="24"/>
      <c r="G646" s="24"/>
      <c r="H646" s="24"/>
      <c r="I646" s="24"/>
      <c r="J646" s="24"/>
      <c r="K646" s="24"/>
      <c r="L646" s="24"/>
      <c r="M646" s="24"/>
    </row>
    <row r="647" spans="1:13" s="5" customFormat="1" ht="25.5" customHeight="1">
      <c r="A647" s="22"/>
      <c r="B647" s="23"/>
      <c r="C647" s="23"/>
      <c r="D647" s="23"/>
      <c r="E647" s="24"/>
      <c r="F647" s="24"/>
      <c r="G647" s="24"/>
      <c r="H647" s="24"/>
      <c r="I647" s="24"/>
      <c r="J647" s="24"/>
      <c r="K647" s="24"/>
      <c r="L647" s="24"/>
      <c r="M647" s="24"/>
    </row>
    <row r="648" spans="1:13" s="5" customFormat="1" ht="25.5" customHeight="1">
      <c r="A648" s="22"/>
      <c r="B648" s="23"/>
      <c r="C648" s="23"/>
      <c r="D648" s="23"/>
      <c r="E648" s="24"/>
      <c r="F648" s="24"/>
      <c r="G648" s="24"/>
      <c r="H648" s="24"/>
      <c r="I648" s="24"/>
      <c r="J648" s="24"/>
      <c r="K648" s="24"/>
      <c r="L648" s="24"/>
      <c r="M648" s="24"/>
    </row>
    <row r="649" spans="1:13" s="5" customFormat="1" ht="25.5" customHeight="1">
      <c r="A649" s="22"/>
      <c r="B649" s="23"/>
      <c r="C649" s="23"/>
      <c r="D649" s="23"/>
      <c r="E649" s="24"/>
      <c r="F649" s="24"/>
      <c r="G649" s="24"/>
      <c r="H649" s="24"/>
      <c r="I649" s="24"/>
      <c r="J649" s="24"/>
      <c r="K649" s="24"/>
      <c r="L649" s="24"/>
      <c r="M649" s="24"/>
    </row>
    <row r="650" spans="1:13" s="5" customFormat="1" ht="25.5" customHeight="1">
      <c r="A650" s="22"/>
      <c r="B650" s="23"/>
      <c r="C650" s="23"/>
      <c r="D650" s="23"/>
      <c r="E650" s="24"/>
      <c r="F650" s="24"/>
      <c r="G650" s="24"/>
      <c r="H650" s="24"/>
      <c r="I650" s="24"/>
      <c r="J650" s="24"/>
      <c r="K650" s="24"/>
      <c r="L650" s="24"/>
      <c r="M650" s="24"/>
    </row>
    <row r="651" spans="1:13" s="5" customFormat="1" ht="25.5" customHeight="1">
      <c r="A651" s="22"/>
      <c r="B651" s="23"/>
      <c r="C651" s="23"/>
      <c r="D651" s="23"/>
      <c r="E651" s="24"/>
      <c r="F651" s="24"/>
      <c r="G651" s="24"/>
      <c r="H651" s="24"/>
      <c r="I651" s="24"/>
      <c r="J651" s="24"/>
      <c r="K651" s="24"/>
      <c r="L651" s="24"/>
      <c r="M651" s="24"/>
    </row>
    <row r="652" spans="1:13" s="5" customFormat="1" ht="25.5" customHeight="1">
      <c r="A652" s="22"/>
      <c r="B652" s="23"/>
      <c r="C652" s="23"/>
      <c r="D652" s="23"/>
      <c r="E652" s="24"/>
      <c r="F652" s="24"/>
      <c r="G652" s="24"/>
      <c r="H652" s="24"/>
      <c r="I652" s="24"/>
      <c r="J652" s="24"/>
      <c r="K652" s="24"/>
      <c r="L652" s="24"/>
      <c r="M652" s="24"/>
    </row>
    <row r="653" spans="1:13" s="5" customFormat="1" ht="25.5" customHeight="1">
      <c r="A653" s="22"/>
      <c r="B653" s="23"/>
      <c r="C653" s="23"/>
      <c r="D653" s="23"/>
      <c r="E653" s="24"/>
      <c r="F653" s="24"/>
      <c r="G653" s="24"/>
      <c r="H653" s="24"/>
      <c r="I653" s="24"/>
      <c r="J653" s="24"/>
      <c r="K653" s="24"/>
      <c r="L653" s="24"/>
      <c r="M653" s="24"/>
    </row>
    <row r="654" spans="1:13" s="5" customFormat="1" ht="25.5" customHeight="1">
      <c r="A654" s="22"/>
      <c r="B654" s="23"/>
      <c r="C654" s="23"/>
      <c r="D654" s="23"/>
      <c r="E654" s="24"/>
      <c r="F654" s="24"/>
      <c r="G654" s="24"/>
      <c r="H654" s="24"/>
      <c r="I654" s="24"/>
      <c r="J654" s="24"/>
      <c r="K654" s="24"/>
      <c r="L654" s="24"/>
      <c r="M654" s="24"/>
    </row>
    <row r="655" spans="1:13" s="5" customFormat="1" ht="25.5" customHeight="1">
      <c r="A655" s="22"/>
      <c r="B655" s="23"/>
      <c r="C655" s="23"/>
      <c r="D655" s="23"/>
      <c r="E655" s="24"/>
      <c r="F655" s="24"/>
      <c r="G655" s="24"/>
      <c r="H655" s="24"/>
      <c r="I655" s="24"/>
      <c r="J655" s="24"/>
      <c r="K655" s="24"/>
      <c r="L655" s="24"/>
      <c r="M655" s="24"/>
    </row>
    <row r="656" spans="1:13" s="5" customFormat="1" ht="25.5" customHeight="1">
      <c r="A656" s="22"/>
      <c r="B656" s="23"/>
      <c r="C656" s="23"/>
      <c r="D656" s="23"/>
      <c r="E656" s="24"/>
      <c r="F656" s="24"/>
      <c r="G656" s="24"/>
      <c r="H656" s="24"/>
      <c r="I656" s="24"/>
      <c r="J656" s="24"/>
      <c r="K656" s="24"/>
      <c r="L656" s="24"/>
      <c r="M656" s="24"/>
    </row>
    <row r="657" spans="1:13" s="5" customFormat="1" ht="25.5" customHeight="1">
      <c r="A657" s="22"/>
      <c r="B657" s="23"/>
      <c r="C657" s="23"/>
      <c r="D657" s="23"/>
      <c r="E657" s="24"/>
      <c r="F657" s="24"/>
      <c r="G657" s="24"/>
      <c r="H657" s="24"/>
      <c r="I657" s="24"/>
      <c r="J657" s="24"/>
      <c r="K657" s="24"/>
      <c r="L657" s="24"/>
      <c r="M657" s="24"/>
    </row>
    <row r="658" spans="1:13" s="5" customFormat="1" ht="25.5" customHeight="1">
      <c r="A658" s="22"/>
      <c r="B658" s="23"/>
      <c r="C658" s="23"/>
      <c r="D658" s="23"/>
      <c r="E658" s="24"/>
      <c r="F658" s="24"/>
      <c r="G658" s="24"/>
      <c r="H658" s="24"/>
      <c r="I658" s="24"/>
      <c r="J658" s="24"/>
      <c r="K658" s="24"/>
      <c r="L658" s="24"/>
      <c r="M658" s="24"/>
    </row>
    <row r="659" spans="1:13" s="5" customFormat="1" ht="25.5" customHeight="1">
      <c r="A659" s="22"/>
      <c r="B659" s="23"/>
      <c r="C659" s="23"/>
      <c r="D659" s="23"/>
      <c r="E659" s="24"/>
      <c r="F659" s="24"/>
      <c r="G659" s="24"/>
      <c r="H659" s="24"/>
      <c r="I659" s="24"/>
      <c r="J659" s="24"/>
      <c r="K659" s="24"/>
      <c r="L659" s="24"/>
      <c r="M659" s="24"/>
    </row>
    <row r="660" spans="1:13" s="5" customFormat="1" ht="25.5" customHeight="1">
      <c r="A660" s="22"/>
      <c r="B660" s="23"/>
      <c r="C660" s="23"/>
      <c r="D660" s="23"/>
      <c r="E660" s="24"/>
      <c r="F660" s="24"/>
      <c r="G660" s="24"/>
      <c r="H660" s="24"/>
      <c r="I660" s="24"/>
      <c r="J660" s="24"/>
      <c r="K660" s="24"/>
      <c r="L660" s="24"/>
      <c r="M660" s="24"/>
    </row>
    <row r="661" spans="1:13" s="5" customFormat="1" ht="25.5" customHeight="1">
      <c r="A661" s="22"/>
      <c r="B661" s="23"/>
      <c r="C661" s="23"/>
      <c r="D661" s="23"/>
      <c r="E661" s="24"/>
      <c r="F661" s="24"/>
      <c r="G661" s="24"/>
      <c r="H661" s="24"/>
      <c r="I661" s="24"/>
      <c r="J661" s="24"/>
      <c r="K661" s="24"/>
      <c r="L661" s="24"/>
      <c r="M661" s="24"/>
    </row>
    <row r="662" spans="1:13" s="5" customFormat="1" ht="25.5" customHeight="1">
      <c r="A662" s="22"/>
      <c r="B662" s="23"/>
      <c r="C662" s="23"/>
      <c r="D662" s="23"/>
      <c r="E662" s="24"/>
      <c r="F662" s="24"/>
      <c r="G662" s="24"/>
      <c r="H662" s="24"/>
      <c r="I662" s="24"/>
      <c r="J662" s="24"/>
      <c r="K662" s="24"/>
      <c r="L662" s="24"/>
      <c r="M662" s="24"/>
    </row>
    <row r="663" spans="1:13" s="5" customFormat="1" ht="25.5" customHeight="1">
      <c r="A663" s="22"/>
      <c r="B663" s="23"/>
      <c r="C663" s="23"/>
      <c r="D663" s="23"/>
      <c r="E663" s="24"/>
      <c r="F663" s="24"/>
      <c r="G663" s="24"/>
      <c r="H663" s="24"/>
      <c r="I663" s="24"/>
      <c r="J663" s="24"/>
      <c r="K663" s="24"/>
      <c r="L663" s="24"/>
      <c r="M663" s="24"/>
    </row>
    <row r="664" spans="1:13" s="5" customFormat="1" ht="25.5" customHeight="1">
      <c r="A664" s="22"/>
      <c r="B664" s="23"/>
      <c r="C664" s="23"/>
      <c r="D664" s="23"/>
      <c r="E664" s="24"/>
      <c r="F664" s="24"/>
      <c r="G664" s="24"/>
      <c r="H664" s="24"/>
      <c r="I664" s="24"/>
      <c r="J664" s="24"/>
      <c r="K664" s="24"/>
      <c r="L664" s="24"/>
      <c r="M664" s="24"/>
    </row>
    <row r="665" spans="1:13" s="5" customFormat="1" ht="25.5" customHeight="1">
      <c r="A665" s="22"/>
      <c r="B665" s="23"/>
      <c r="C665" s="23"/>
      <c r="D665" s="23"/>
      <c r="E665" s="24"/>
      <c r="F665" s="24"/>
      <c r="G665" s="24"/>
      <c r="H665" s="24"/>
      <c r="I665" s="24"/>
      <c r="J665" s="24"/>
      <c r="K665" s="24"/>
      <c r="L665" s="24"/>
      <c r="M665" s="24"/>
    </row>
    <row r="666" spans="1:13" s="5" customFormat="1" ht="25.5" customHeight="1">
      <c r="A666" s="22"/>
      <c r="B666" s="23"/>
      <c r="C666" s="23"/>
      <c r="D666" s="23"/>
      <c r="E666" s="24"/>
      <c r="F666" s="24"/>
      <c r="G666" s="24"/>
      <c r="H666" s="24"/>
      <c r="I666" s="24"/>
      <c r="J666" s="24"/>
      <c r="K666" s="24"/>
      <c r="L666" s="24"/>
      <c r="M666" s="24"/>
    </row>
    <row r="667" spans="1:13" s="5" customFormat="1" ht="25.5" customHeight="1">
      <c r="A667" s="22"/>
      <c r="B667" s="23"/>
      <c r="C667" s="23"/>
      <c r="D667" s="23"/>
      <c r="E667" s="24"/>
      <c r="F667" s="24"/>
      <c r="G667" s="24"/>
      <c r="H667" s="24"/>
      <c r="I667" s="24"/>
      <c r="J667" s="24"/>
      <c r="K667" s="24"/>
      <c r="L667" s="24"/>
      <c r="M667" s="24"/>
    </row>
    <row r="668" spans="1:13" s="5" customFormat="1" ht="25.5" customHeight="1">
      <c r="A668" s="22"/>
      <c r="B668" s="23"/>
      <c r="C668" s="23"/>
      <c r="D668" s="23"/>
      <c r="E668" s="24"/>
      <c r="F668" s="24"/>
      <c r="G668" s="24"/>
      <c r="H668" s="24"/>
      <c r="I668" s="24"/>
      <c r="J668" s="24"/>
      <c r="K668" s="24"/>
      <c r="L668" s="24"/>
      <c r="M668" s="24"/>
    </row>
    <row r="669" spans="1:13" s="5" customFormat="1" ht="25.5" customHeight="1">
      <c r="A669" s="22"/>
      <c r="B669" s="23"/>
      <c r="C669" s="23"/>
      <c r="D669" s="23"/>
      <c r="E669" s="24"/>
      <c r="F669" s="24"/>
      <c r="G669" s="24"/>
      <c r="H669" s="24"/>
      <c r="I669" s="24"/>
      <c r="J669" s="24"/>
      <c r="K669" s="24"/>
      <c r="L669" s="24"/>
      <c r="M669" s="24"/>
    </row>
    <row r="670" spans="1:13" s="5" customFormat="1" ht="25.5" customHeight="1">
      <c r="A670" s="22"/>
      <c r="B670" s="23"/>
      <c r="C670" s="23"/>
      <c r="D670" s="23"/>
      <c r="E670" s="24"/>
      <c r="F670" s="24"/>
      <c r="G670" s="24"/>
      <c r="H670" s="24"/>
      <c r="I670" s="24"/>
      <c r="J670" s="24"/>
      <c r="K670" s="24"/>
      <c r="L670" s="24"/>
      <c r="M670" s="24"/>
    </row>
    <row r="671" spans="1:13" s="5" customFormat="1" ht="25.5" customHeight="1">
      <c r="A671" s="22"/>
      <c r="B671" s="23"/>
      <c r="C671" s="23"/>
      <c r="D671" s="23"/>
      <c r="E671" s="24"/>
      <c r="F671" s="24"/>
      <c r="G671" s="24"/>
      <c r="H671" s="24"/>
      <c r="I671" s="24"/>
      <c r="J671" s="24"/>
      <c r="K671" s="24"/>
      <c r="L671" s="24"/>
      <c r="M671" s="24"/>
    </row>
    <row r="672" spans="1:13" s="5" customFormat="1" ht="25.5" customHeight="1">
      <c r="A672" s="22"/>
      <c r="B672" s="23"/>
      <c r="C672" s="23"/>
      <c r="D672" s="23"/>
      <c r="E672" s="24"/>
      <c r="F672" s="24"/>
      <c r="G672" s="24"/>
      <c r="H672" s="24"/>
      <c r="I672" s="24"/>
      <c r="J672" s="24"/>
      <c r="K672" s="24"/>
      <c r="L672" s="24"/>
      <c r="M672" s="24"/>
    </row>
    <row r="673" spans="1:13" s="5" customFormat="1" ht="25.5" customHeight="1">
      <c r="A673" s="22"/>
      <c r="B673" s="23"/>
      <c r="C673" s="23"/>
      <c r="D673" s="23"/>
      <c r="E673" s="24"/>
      <c r="F673" s="24"/>
      <c r="G673" s="24"/>
      <c r="H673" s="24"/>
      <c r="I673" s="24"/>
      <c r="J673" s="24"/>
      <c r="K673" s="24"/>
      <c r="L673" s="24"/>
      <c r="M673" s="24"/>
    </row>
    <row r="674" spans="1:13" s="5" customFormat="1" ht="25.5" customHeight="1">
      <c r="A674" s="22"/>
      <c r="B674" s="23"/>
      <c r="C674" s="23"/>
      <c r="D674" s="23"/>
      <c r="E674" s="24"/>
      <c r="F674" s="24"/>
      <c r="G674" s="24"/>
      <c r="H674" s="24"/>
      <c r="I674" s="24"/>
      <c r="J674" s="24"/>
      <c r="K674" s="24"/>
      <c r="L674" s="24"/>
      <c r="M674" s="24"/>
    </row>
    <row r="675" spans="1:13" s="5" customFormat="1" ht="25.5" customHeight="1">
      <c r="A675" s="22"/>
      <c r="B675" s="23"/>
      <c r="C675" s="23"/>
      <c r="D675" s="23"/>
      <c r="E675" s="24"/>
      <c r="F675" s="24"/>
      <c r="G675" s="24"/>
      <c r="H675" s="24"/>
      <c r="I675" s="24"/>
      <c r="J675" s="24"/>
      <c r="K675" s="24"/>
      <c r="L675" s="24"/>
      <c r="M675" s="24"/>
    </row>
    <row r="676" spans="1:13" s="5" customFormat="1" ht="25.5" customHeight="1">
      <c r="A676" s="22"/>
      <c r="B676" s="23"/>
      <c r="C676" s="23"/>
      <c r="D676" s="23"/>
      <c r="E676" s="24"/>
      <c r="F676" s="24"/>
      <c r="G676" s="24"/>
      <c r="H676" s="24"/>
      <c r="I676" s="24"/>
      <c r="J676" s="24"/>
      <c r="K676" s="24"/>
      <c r="L676" s="24"/>
      <c r="M676" s="24"/>
    </row>
    <row r="677" spans="1:13" s="5" customFormat="1" ht="25.5" customHeight="1">
      <c r="A677" s="22"/>
      <c r="B677" s="23"/>
      <c r="C677" s="23"/>
      <c r="D677" s="23"/>
      <c r="E677" s="24"/>
      <c r="F677" s="24"/>
      <c r="G677" s="24"/>
      <c r="H677" s="24"/>
      <c r="I677" s="24"/>
      <c r="J677" s="24"/>
      <c r="K677" s="24"/>
      <c r="L677" s="24"/>
      <c r="M677" s="24"/>
    </row>
    <row r="678" spans="1:13" s="5" customFormat="1" ht="25.5" customHeight="1">
      <c r="A678" s="22"/>
      <c r="B678" s="23"/>
      <c r="C678" s="23"/>
      <c r="D678" s="23"/>
      <c r="E678" s="24"/>
      <c r="F678" s="24"/>
      <c r="G678" s="24"/>
      <c r="H678" s="24"/>
      <c r="I678" s="24"/>
      <c r="J678" s="24"/>
      <c r="K678" s="24"/>
      <c r="L678" s="24"/>
      <c r="M678" s="24"/>
    </row>
    <row r="679" spans="1:13" s="5" customFormat="1" ht="25.5" customHeight="1">
      <c r="A679" s="22"/>
      <c r="B679" s="23"/>
      <c r="C679" s="23"/>
      <c r="D679" s="23"/>
      <c r="E679" s="24"/>
      <c r="F679" s="24"/>
      <c r="G679" s="24"/>
      <c r="H679" s="24"/>
      <c r="I679" s="24"/>
      <c r="J679" s="24"/>
      <c r="K679" s="24"/>
      <c r="L679" s="24"/>
      <c r="M679" s="24"/>
    </row>
    <row r="680" spans="1:13" s="5" customFormat="1" ht="25.5" customHeight="1">
      <c r="A680" s="22"/>
      <c r="B680" s="23"/>
      <c r="C680" s="23"/>
      <c r="D680" s="23"/>
      <c r="E680" s="24"/>
      <c r="F680" s="24"/>
      <c r="G680" s="24"/>
      <c r="H680" s="24"/>
      <c r="I680" s="24"/>
      <c r="J680" s="24"/>
      <c r="K680" s="24"/>
      <c r="L680" s="24"/>
      <c r="M680" s="24"/>
    </row>
    <row r="681" spans="1:13" s="5" customFormat="1" ht="25.5" customHeight="1">
      <c r="A681" s="22"/>
      <c r="B681" s="23"/>
      <c r="C681" s="23"/>
      <c r="D681" s="23"/>
      <c r="E681" s="24"/>
      <c r="F681" s="24"/>
      <c r="G681" s="24"/>
      <c r="H681" s="24"/>
      <c r="I681" s="24"/>
      <c r="J681" s="24"/>
      <c r="K681" s="24"/>
      <c r="L681" s="24"/>
      <c r="M681" s="24"/>
    </row>
    <row r="682" spans="1:13" s="5" customFormat="1" ht="25.5" customHeight="1">
      <c r="A682" s="22"/>
      <c r="B682" s="23"/>
      <c r="C682" s="23"/>
      <c r="D682" s="23"/>
      <c r="E682" s="24"/>
      <c r="F682" s="24"/>
      <c r="G682" s="24"/>
      <c r="H682" s="24"/>
      <c r="I682" s="24"/>
      <c r="J682" s="24"/>
      <c r="K682" s="24"/>
      <c r="L682" s="24"/>
      <c r="M682" s="24"/>
    </row>
    <row r="683" spans="1:13" s="5" customFormat="1" ht="25.5" customHeight="1">
      <c r="A683" s="22"/>
      <c r="B683" s="23"/>
      <c r="C683" s="23"/>
      <c r="D683" s="23"/>
      <c r="E683" s="24"/>
      <c r="F683" s="24"/>
      <c r="G683" s="24"/>
      <c r="H683" s="24"/>
      <c r="I683" s="24"/>
      <c r="J683" s="24"/>
      <c r="K683" s="24"/>
      <c r="L683" s="24"/>
      <c r="M683" s="24"/>
    </row>
    <row r="684" spans="1:13" s="5" customFormat="1" ht="25.5" customHeight="1">
      <c r="A684" s="22"/>
      <c r="B684" s="23"/>
      <c r="C684" s="23"/>
      <c r="D684" s="23"/>
      <c r="E684" s="24"/>
      <c r="F684" s="24"/>
      <c r="G684" s="24"/>
      <c r="H684" s="24"/>
      <c r="I684" s="24"/>
      <c r="J684" s="24"/>
      <c r="K684" s="24"/>
      <c r="L684" s="24"/>
      <c r="M684" s="24"/>
    </row>
    <row r="685" spans="1:13" s="5" customFormat="1" ht="25.5" customHeight="1">
      <c r="A685" s="22"/>
      <c r="B685" s="23"/>
      <c r="C685" s="23"/>
      <c r="D685" s="23"/>
      <c r="E685" s="24"/>
      <c r="F685" s="24"/>
      <c r="G685" s="24"/>
      <c r="H685" s="24"/>
      <c r="I685" s="24"/>
      <c r="J685" s="24"/>
      <c r="K685" s="24"/>
      <c r="L685" s="24"/>
      <c r="M685" s="24"/>
    </row>
    <row r="686" spans="1:13" s="5" customFormat="1" ht="25.5" customHeight="1">
      <c r="A686" s="22"/>
      <c r="B686" s="23"/>
      <c r="C686" s="23"/>
      <c r="D686" s="23"/>
      <c r="E686" s="24"/>
      <c r="F686" s="24"/>
      <c r="G686" s="24"/>
      <c r="H686" s="24"/>
      <c r="I686" s="24"/>
      <c r="J686" s="24"/>
      <c r="K686" s="24"/>
      <c r="L686" s="24"/>
      <c r="M686" s="24"/>
    </row>
    <row r="687" spans="1:13" s="5" customFormat="1" ht="25.5" customHeight="1">
      <c r="A687" s="22"/>
      <c r="B687" s="23"/>
      <c r="C687" s="23"/>
      <c r="D687" s="23"/>
      <c r="E687" s="24"/>
      <c r="F687" s="24"/>
      <c r="G687" s="24"/>
      <c r="H687" s="24"/>
      <c r="I687" s="24"/>
      <c r="J687" s="24"/>
      <c r="K687" s="24"/>
      <c r="L687" s="24"/>
      <c r="M687" s="24"/>
    </row>
    <row r="688" spans="1:13" s="5" customFormat="1" ht="25.5" customHeight="1">
      <c r="A688" s="22"/>
      <c r="B688" s="23"/>
      <c r="C688" s="23"/>
      <c r="D688" s="23"/>
      <c r="E688" s="24"/>
      <c r="F688" s="24"/>
      <c r="G688" s="24"/>
      <c r="H688" s="24"/>
      <c r="I688" s="24"/>
      <c r="J688" s="24"/>
      <c r="K688" s="24"/>
      <c r="L688" s="24"/>
      <c r="M688" s="24"/>
    </row>
    <row r="689" spans="1:13" s="5" customFormat="1" ht="25.5" customHeight="1">
      <c r="A689" s="22"/>
      <c r="B689" s="23"/>
      <c r="C689" s="23"/>
      <c r="D689" s="23"/>
      <c r="E689" s="24"/>
      <c r="F689" s="24"/>
      <c r="G689" s="24"/>
      <c r="H689" s="24"/>
      <c r="I689" s="24"/>
      <c r="J689" s="24"/>
      <c r="K689" s="24"/>
      <c r="L689" s="24"/>
      <c r="M689" s="24"/>
    </row>
    <row r="690" spans="1:13" s="5" customFormat="1" ht="25.5" customHeight="1">
      <c r="A690" s="22"/>
      <c r="B690" s="23"/>
      <c r="C690" s="23"/>
      <c r="D690" s="23"/>
      <c r="E690" s="24"/>
      <c r="F690" s="24"/>
      <c r="G690" s="24"/>
      <c r="H690" s="24"/>
      <c r="I690" s="24"/>
      <c r="J690" s="24"/>
      <c r="K690" s="24"/>
      <c r="L690" s="24"/>
      <c r="M690" s="24"/>
    </row>
    <row r="691" spans="1:13" s="5" customFormat="1" ht="25.5" customHeight="1">
      <c r="A691" s="22"/>
      <c r="B691" s="23"/>
      <c r="C691" s="23"/>
      <c r="D691" s="23"/>
      <c r="E691" s="24"/>
      <c r="F691" s="24"/>
      <c r="G691" s="24"/>
      <c r="H691" s="24"/>
      <c r="I691" s="24"/>
      <c r="J691" s="24"/>
      <c r="K691" s="24"/>
      <c r="L691" s="24"/>
      <c r="M691" s="24"/>
    </row>
    <row r="692" spans="1:13" s="5" customFormat="1" ht="25.5" customHeight="1">
      <c r="A692" s="22"/>
      <c r="B692" s="23"/>
      <c r="C692" s="23"/>
      <c r="D692" s="23"/>
      <c r="E692" s="24"/>
      <c r="F692" s="24"/>
      <c r="G692" s="24"/>
      <c r="H692" s="24"/>
      <c r="I692" s="24"/>
      <c r="J692" s="24"/>
      <c r="K692" s="24"/>
      <c r="L692" s="24"/>
      <c r="M692" s="24"/>
    </row>
    <row r="693" spans="1:13" s="5" customFormat="1" ht="25.5" customHeight="1">
      <c r="A693" s="22"/>
      <c r="B693" s="23"/>
      <c r="C693" s="23"/>
      <c r="D693" s="23"/>
      <c r="E693" s="24"/>
      <c r="F693" s="24"/>
      <c r="G693" s="24"/>
      <c r="H693" s="24"/>
      <c r="I693" s="24"/>
      <c r="J693" s="24"/>
      <c r="K693" s="24"/>
      <c r="L693" s="24"/>
      <c r="M693" s="24"/>
    </row>
    <row r="694" spans="1:13" s="5" customFormat="1" ht="25.5" customHeight="1">
      <c r="A694" s="22"/>
      <c r="B694" s="23"/>
      <c r="C694" s="23"/>
      <c r="D694" s="23"/>
      <c r="E694" s="24"/>
      <c r="F694" s="24"/>
      <c r="G694" s="24"/>
      <c r="H694" s="24"/>
      <c r="I694" s="24"/>
      <c r="J694" s="24"/>
      <c r="K694" s="24"/>
      <c r="L694" s="24"/>
      <c r="M694" s="24"/>
    </row>
    <row r="695" spans="1:13" s="5" customFormat="1" ht="25.5" customHeight="1">
      <c r="A695" s="22"/>
      <c r="B695" s="23"/>
      <c r="C695" s="23"/>
      <c r="D695" s="23"/>
      <c r="E695" s="24"/>
      <c r="F695" s="24"/>
      <c r="G695" s="24"/>
      <c r="H695" s="24"/>
      <c r="I695" s="24"/>
      <c r="J695" s="24"/>
      <c r="K695" s="24"/>
      <c r="L695" s="24"/>
      <c r="M695" s="24"/>
    </row>
    <row r="696" spans="1:13" s="5" customFormat="1" ht="25.5" customHeight="1">
      <c r="A696" s="22"/>
      <c r="B696" s="23"/>
      <c r="C696" s="23"/>
      <c r="D696" s="23"/>
      <c r="E696" s="24"/>
      <c r="F696" s="24"/>
      <c r="G696" s="24"/>
      <c r="H696" s="24"/>
      <c r="I696" s="24"/>
      <c r="J696" s="24"/>
      <c r="K696" s="24"/>
      <c r="L696" s="24"/>
      <c r="M696" s="24"/>
    </row>
    <row r="697" spans="1:13" s="5" customFormat="1" ht="25.5" customHeight="1">
      <c r="A697" s="22"/>
      <c r="B697" s="23"/>
      <c r="C697" s="23"/>
      <c r="D697" s="23"/>
      <c r="E697" s="24"/>
      <c r="F697" s="24"/>
      <c r="G697" s="24"/>
      <c r="H697" s="24"/>
      <c r="I697" s="24"/>
      <c r="J697" s="24"/>
      <c r="K697" s="24"/>
      <c r="L697" s="24"/>
      <c r="M697" s="24"/>
    </row>
    <row r="698" spans="1:13" s="5" customFormat="1" ht="25.5" customHeight="1">
      <c r="A698" s="22"/>
      <c r="B698" s="23"/>
      <c r="C698" s="23"/>
      <c r="D698" s="23"/>
      <c r="E698" s="24"/>
      <c r="F698" s="24"/>
      <c r="G698" s="24"/>
      <c r="H698" s="24"/>
      <c r="I698" s="24"/>
      <c r="J698" s="24"/>
      <c r="K698" s="24"/>
      <c r="L698" s="24"/>
      <c r="M698" s="24"/>
    </row>
    <row r="699" spans="1:13" s="5" customFormat="1" ht="25.5" customHeight="1">
      <c r="A699" s="22"/>
      <c r="B699" s="23"/>
      <c r="C699" s="23"/>
      <c r="D699" s="23"/>
      <c r="E699" s="24"/>
      <c r="F699" s="24"/>
      <c r="G699" s="24"/>
      <c r="H699" s="24"/>
      <c r="I699" s="24"/>
      <c r="J699" s="24"/>
      <c r="K699" s="24"/>
      <c r="L699" s="24"/>
      <c r="M699" s="24"/>
    </row>
    <row r="700" spans="1:13" s="5" customFormat="1" ht="25.5" customHeight="1">
      <c r="A700" s="22"/>
      <c r="B700" s="23"/>
      <c r="C700" s="23"/>
      <c r="D700" s="23"/>
      <c r="E700" s="24"/>
      <c r="F700" s="24"/>
      <c r="G700" s="24"/>
      <c r="H700" s="24"/>
      <c r="I700" s="24"/>
      <c r="J700" s="24"/>
      <c r="K700" s="24"/>
      <c r="L700" s="24"/>
      <c r="M700" s="24"/>
    </row>
    <row r="701" spans="1:13" s="5" customFormat="1" ht="25.5" customHeight="1">
      <c r="A701" s="22"/>
      <c r="B701" s="23"/>
      <c r="C701" s="23"/>
      <c r="D701" s="23"/>
      <c r="E701" s="24"/>
      <c r="F701" s="24"/>
      <c r="G701" s="24"/>
      <c r="H701" s="24"/>
      <c r="I701" s="24"/>
      <c r="J701" s="24"/>
      <c r="K701" s="24"/>
      <c r="L701" s="24"/>
      <c r="M701" s="24"/>
    </row>
    <row r="702" spans="1:13" s="5" customFormat="1" ht="25.5" customHeight="1">
      <c r="A702" s="22"/>
      <c r="B702" s="23"/>
      <c r="C702" s="23"/>
      <c r="D702" s="23"/>
      <c r="E702" s="24"/>
      <c r="F702" s="24"/>
      <c r="G702" s="24"/>
      <c r="H702" s="24"/>
      <c r="I702" s="24"/>
      <c r="J702" s="24"/>
      <c r="K702" s="24"/>
      <c r="L702" s="24"/>
      <c r="M702" s="24"/>
    </row>
    <row r="703" spans="1:13" s="5" customFormat="1" ht="25.5" customHeight="1">
      <c r="A703" s="22"/>
      <c r="B703" s="23"/>
      <c r="C703" s="23"/>
      <c r="D703" s="23"/>
      <c r="E703" s="24"/>
      <c r="F703" s="24"/>
      <c r="G703" s="24"/>
      <c r="H703" s="24"/>
      <c r="I703" s="24"/>
      <c r="J703" s="24"/>
      <c r="K703" s="24"/>
      <c r="L703" s="24"/>
      <c r="M703" s="24"/>
    </row>
    <row r="704" spans="1:13" s="5" customFormat="1" ht="25.5" customHeight="1">
      <c r="A704" s="22"/>
      <c r="B704" s="23"/>
      <c r="C704" s="23"/>
      <c r="D704" s="23"/>
      <c r="E704" s="24"/>
      <c r="F704" s="24"/>
      <c r="G704" s="24"/>
      <c r="H704" s="24"/>
      <c r="I704" s="24"/>
      <c r="J704" s="24"/>
      <c r="K704" s="24"/>
      <c r="L704" s="24"/>
      <c r="M704" s="24"/>
    </row>
    <row r="705" spans="1:13" s="5" customFormat="1" ht="25.5" customHeight="1">
      <c r="A705" s="22"/>
      <c r="B705" s="23"/>
      <c r="C705" s="23"/>
      <c r="D705" s="23"/>
      <c r="E705" s="24"/>
      <c r="F705" s="24"/>
      <c r="G705" s="24"/>
      <c r="H705" s="24"/>
      <c r="I705" s="24"/>
      <c r="J705" s="24"/>
      <c r="K705" s="24"/>
      <c r="L705" s="24"/>
      <c r="M705" s="24"/>
    </row>
    <row r="706" spans="1:13" s="5" customFormat="1" ht="25.5" customHeight="1">
      <c r="A706" s="22"/>
      <c r="B706" s="23"/>
      <c r="C706" s="23"/>
      <c r="D706" s="23"/>
      <c r="E706" s="24"/>
      <c r="F706" s="24"/>
      <c r="G706" s="24"/>
      <c r="H706" s="24"/>
      <c r="I706" s="24"/>
      <c r="J706" s="24"/>
      <c r="K706" s="24"/>
      <c r="L706" s="24"/>
      <c r="M706" s="24"/>
    </row>
    <row r="707" spans="1:13" s="5" customFormat="1" ht="25.5" customHeight="1">
      <c r="A707" s="22"/>
      <c r="B707" s="23"/>
      <c r="C707" s="23"/>
      <c r="D707" s="23"/>
      <c r="E707" s="24"/>
      <c r="F707" s="24"/>
      <c r="G707" s="24"/>
      <c r="H707" s="24"/>
      <c r="I707" s="24"/>
      <c r="J707" s="24"/>
      <c r="K707" s="24"/>
      <c r="L707" s="24"/>
      <c r="M707" s="24"/>
    </row>
    <row r="708" spans="1:13" s="5" customFormat="1" ht="25.5" customHeight="1">
      <c r="A708" s="22"/>
      <c r="B708" s="23"/>
      <c r="C708" s="23"/>
      <c r="D708" s="23"/>
      <c r="E708" s="24"/>
      <c r="F708" s="24"/>
      <c r="G708" s="24"/>
      <c r="H708" s="24"/>
      <c r="I708" s="24"/>
      <c r="J708" s="24"/>
      <c r="K708" s="24"/>
      <c r="L708" s="24"/>
      <c r="M708" s="24"/>
    </row>
    <row r="709" spans="1:13" s="5" customFormat="1" ht="25.5" customHeight="1">
      <c r="A709" s="22"/>
      <c r="B709" s="23"/>
      <c r="C709" s="23"/>
      <c r="D709" s="23"/>
      <c r="E709" s="24"/>
      <c r="F709" s="24"/>
      <c r="G709" s="24"/>
      <c r="H709" s="24"/>
      <c r="I709" s="24"/>
      <c r="J709" s="24"/>
      <c r="K709" s="24"/>
      <c r="L709" s="24"/>
      <c r="M709" s="24"/>
    </row>
    <row r="710" spans="1:13" s="5" customFormat="1" ht="25.5" customHeight="1">
      <c r="A710" s="22"/>
      <c r="B710" s="23"/>
      <c r="C710" s="23"/>
      <c r="D710" s="23"/>
      <c r="E710" s="24"/>
      <c r="F710" s="24"/>
      <c r="G710" s="24"/>
      <c r="H710" s="24"/>
      <c r="I710" s="24"/>
      <c r="J710" s="24"/>
      <c r="K710" s="24"/>
      <c r="L710" s="24"/>
      <c r="M710" s="24"/>
    </row>
    <row r="711" spans="1:13" s="5" customFormat="1" ht="25.5" customHeight="1">
      <c r="A711" s="22"/>
      <c r="B711" s="23"/>
      <c r="C711" s="23"/>
      <c r="D711" s="23"/>
      <c r="E711" s="24"/>
      <c r="F711" s="24"/>
      <c r="G711" s="24"/>
      <c r="H711" s="24"/>
      <c r="I711" s="24"/>
      <c r="J711" s="24"/>
      <c r="K711" s="24"/>
      <c r="L711" s="24"/>
      <c r="M711" s="24"/>
    </row>
    <row r="712" spans="1:13" s="5" customFormat="1" ht="25.5" customHeight="1">
      <c r="A712" s="22"/>
      <c r="B712" s="23"/>
      <c r="C712" s="23"/>
      <c r="D712" s="23"/>
      <c r="E712" s="24"/>
      <c r="F712" s="24"/>
      <c r="G712" s="24"/>
      <c r="H712" s="24"/>
      <c r="I712" s="24"/>
      <c r="J712" s="24"/>
      <c r="K712" s="24"/>
      <c r="L712" s="24"/>
      <c r="M712" s="24"/>
    </row>
    <row r="713" spans="1:13" s="5" customFormat="1" ht="25.5" customHeight="1">
      <c r="A713" s="22"/>
      <c r="B713" s="23"/>
      <c r="C713" s="23"/>
      <c r="D713" s="23"/>
      <c r="E713" s="24"/>
      <c r="F713" s="24"/>
      <c r="G713" s="24"/>
      <c r="H713" s="24"/>
      <c r="I713" s="24"/>
      <c r="J713" s="24"/>
      <c r="K713" s="24"/>
      <c r="L713" s="24"/>
      <c r="M713" s="24"/>
    </row>
    <row r="714" spans="1:13" s="5" customFormat="1" ht="25.5" customHeight="1">
      <c r="A714" s="22"/>
      <c r="B714" s="23"/>
      <c r="C714" s="23"/>
      <c r="D714" s="23"/>
      <c r="E714" s="24"/>
      <c r="F714" s="24"/>
      <c r="G714" s="24"/>
      <c r="H714" s="24"/>
      <c r="I714" s="24"/>
      <c r="J714" s="24"/>
      <c r="K714" s="24"/>
      <c r="L714" s="24"/>
      <c r="M714" s="24"/>
    </row>
    <row r="715" spans="1:13" s="5" customFormat="1" ht="25.5" customHeight="1">
      <c r="A715" s="22"/>
      <c r="B715" s="23"/>
      <c r="C715" s="23"/>
      <c r="D715" s="23"/>
      <c r="E715" s="24"/>
      <c r="F715" s="24"/>
      <c r="G715" s="24"/>
      <c r="H715" s="24"/>
      <c r="I715" s="24"/>
      <c r="J715" s="24"/>
      <c r="K715" s="24"/>
      <c r="L715" s="24"/>
      <c r="M715" s="24"/>
    </row>
    <row r="716" spans="1:13" s="5" customFormat="1" ht="25.5" customHeight="1">
      <c r="A716" s="22"/>
      <c r="B716" s="23"/>
      <c r="C716" s="23"/>
      <c r="D716" s="23"/>
      <c r="E716" s="24"/>
      <c r="F716" s="24"/>
      <c r="G716" s="24"/>
      <c r="H716" s="24"/>
      <c r="I716" s="24"/>
      <c r="J716" s="24"/>
      <c r="K716" s="24"/>
      <c r="L716" s="24"/>
      <c r="M716" s="24"/>
    </row>
    <row r="717" spans="1:13" s="5" customFormat="1" ht="25.5" customHeight="1">
      <c r="A717" s="22"/>
      <c r="B717" s="23"/>
      <c r="C717" s="23"/>
      <c r="D717" s="23"/>
      <c r="E717" s="24"/>
      <c r="F717" s="24"/>
      <c r="G717" s="24"/>
      <c r="H717" s="24"/>
      <c r="I717" s="24"/>
      <c r="J717" s="24"/>
      <c r="K717" s="24"/>
      <c r="L717" s="24"/>
      <c r="M717" s="24"/>
    </row>
    <row r="718" spans="1:13" s="5" customFormat="1" ht="25.5" customHeight="1">
      <c r="A718" s="22"/>
      <c r="B718" s="23"/>
      <c r="C718" s="23"/>
      <c r="D718" s="23"/>
      <c r="E718" s="24"/>
      <c r="F718" s="24"/>
      <c r="G718" s="24"/>
      <c r="H718" s="24"/>
      <c r="I718" s="24"/>
      <c r="J718" s="24"/>
      <c r="K718" s="24"/>
      <c r="L718" s="24"/>
      <c r="M718" s="24"/>
    </row>
    <row r="719" spans="1:13" s="5" customFormat="1" ht="25.5" customHeight="1">
      <c r="A719" s="22"/>
      <c r="B719" s="23"/>
      <c r="C719" s="23"/>
      <c r="D719" s="23"/>
      <c r="E719" s="24"/>
      <c r="F719" s="24"/>
      <c r="G719" s="24"/>
      <c r="H719" s="24"/>
      <c r="I719" s="24"/>
      <c r="J719" s="24"/>
      <c r="K719" s="24"/>
      <c r="L719" s="24"/>
      <c r="M719" s="24"/>
    </row>
    <row r="720" spans="1:13" s="5" customFormat="1" ht="25.5" customHeight="1">
      <c r="A720" s="22"/>
      <c r="B720" s="23"/>
      <c r="C720" s="23"/>
      <c r="D720" s="23"/>
      <c r="E720" s="24"/>
      <c r="F720" s="24"/>
      <c r="G720" s="24"/>
      <c r="H720" s="24"/>
      <c r="I720" s="24"/>
      <c r="J720" s="24"/>
      <c r="K720" s="24"/>
      <c r="L720" s="24"/>
      <c r="M720" s="24"/>
    </row>
    <row r="721" spans="1:13" s="5" customFormat="1" ht="25.5" customHeight="1">
      <c r="A721" s="22"/>
      <c r="B721" s="23"/>
      <c r="C721" s="23"/>
      <c r="D721" s="23"/>
      <c r="E721" s="24"/>
      <c r="F721" s="24"/>
      <c r="G721" s="24"/>
      <c r="H721" s="24"/>
      <c r="I721" s="24"/>
      <c r="J721" s="24"/>
      <c r="K721" s="24"/>
      <c r="L721" s="24"/>
      <c r="M721" s="24"/>
    </row>
    <row r="722" spans="1:13" s="5" customFormat="1" ht="25.5" customHeight="1">
      <c r="A722" s="22"/>
      <c r="B722" s="23"/>
      <c r="C722" s="23"/>
      <c r="D722" s="23"/>
      <c r="E722" s="24"/>
      <c r="F722" s="24"/>
      <c r="G722" s="24"/>
      <c r="H722" s="24"/>
      <c r="I722" s="24"/>
      <c r="J722" s="24"/>
      <c r="K722" s="24"/>
      <c r="L722" s="24"/>
      <c r="M722" s="24"/>
    </row>
    <row r="723" spans="1:13" s="5" customFormat="1" ht="25.5" customHeight="1">
      <c r="A723" s="22"/>
      <c r="B723" s="23"/>
      <c r="C723" s="23"/>
      <c r="D723" s="23"/>
      <c r="E723" s="24"/>
      <c r="F723" s="24"/>
      <c r="G723" s="24"/>
      <c r="H723" s="24"/>
      <c r="I723" s="24"/>
      <c r="J723" s="24"/>
      <c r="K723" s="24"/>
      <c r="L723" s="24"/>
      <c r="M723" s="24"/>
    </row>
    <row r="724" spans="1:13" s="5" customFormat="1" ht="25.5" customHeight="1">
      <c r="A724" s="22"/>
      <c r="B724" s="23"/>
      <c r="C724" s="23"/>
      <c r="D724" s="23"/>
      <c r="E724" s="24"/>
      <c r="F724" s="24"/>
      <c r="G724" s="24"/>
      <c r="H724" s="24"/>
      <c r="I724" s="24"/>
      <c r="J724" s="24"/>
      <c r="K724" s="24"/>
      <c r="L724" s="24"/>
      <c r="M724" s="24"/>
    </row>
    <row r="725" spans="1:13" s="5" customFormat="1" ht="25.5" customHeight="1">
      <c r="A725" s="22"/>
      <c r="B725" s="23"/>
      <c r="C725" s="23"/>
      <c r="D725" s="23"/>
      <c r="E725" s="24"/>
      <c r="F725" s="24"/>
      <c r="G725" s="24"/>
      <c r="H725" s="24"/>
      <c r="I725" s="24"/>
      <c r="J725" s="24"/>
      <c r="K725" s="24"/>
      <c r="L725" s="24"/>
      <c r="M725" s="24"/>
    </row>
    <row r="726" spans="1:13" s="5" customFormat="1" ht="25.5" customHeight="1">
      <c r="A726" s="22"/>
      <c r="B726" s="23"/>
      <c r="C726" s="23"/>
      <c r="D726" s="23"/>
      <c r="E726" s="24"/>
      <c r="F726" s="24"/>
      <c r="G726" s="24"/>
      <c r="H726" s="24"/>
      <c r="I726" s="24"/>
      <c r="J726" s="24"/>
      <c r="K726" s="24"/>
      <c r="L726" s="24"/>
      <c r="M726" s="24"/>
    </row>
    <row r="727" spans="1:13" s="5" customFormat="1" ht="25.5" customHeight="1">
      <c r="A727" s="22"/>
      <c r="B727" s="23"/>
      <c r="C727" s="23"/>
      <c r="D727" s="23"/>
      <c r="E727" s="24"/>
      <c r="F727" s="24"/>
      <c r="G727" s="24"/>
      <c r="H727" s="24"/>
      <c r="I727" s="24"/>
      <c r="J727" s="24"/>
      <c r="K727" s="24"/>
      <c r="L727" s="24"/>
      <c r="M727" s="24"/>
    </row>
    <row r="728" spans="1:13" s="5" customFormat="1" ht="25.5" customHeight="1">
      <c r="A728" s="22"/>
      <c r="B728" s="23"/>
      <c r="C728" s="23"/>
      <c r="D728" s="23"/>
      <c r="E728" s="24"/>
      <c r="F728" s="24"/>
      <c r="G728" s="24"/>
      <c r="H728" s="24"/>
      <c r="I728" s="24"/>
      <c r="J728" s="24"/>
      <c r="K728" s="24"/>
      <c r="L728" s="24"/>
      <c r="M728" s="24"/>
    </row>
    <row r="729" spans="1:13" s="5" customFormat="1" ht="25.5" customHeight="1">
      <c r="A729" s="22"/>
      <c r="B729" s="23"/>
      <c r="C729" s="23"/>
      <c r="D729" s="23"/>
      <c r="E729" s="24"/>
      <c r="F729" s="24"/>
      <c r="G729" s="24"/>
      <c r="H729" s="24"/>
      <c r="I729" s="24"/>
      <c r="J729" s="24"/>
      <c r="K729" s="24"/>
      <c r="L729" s="24"/>
      <c r="M729" s="24"/>
    </row>
    <row r="730" spans="1:13" s="5" customFormat="1" ht="25.5" customHeight="1">
      <c r="A730" s="22"/>
      <c r="B730" s="23"/>
      <c r="C730" s="23"/>
      <c r="D730" s="23"/>
      <c r="E730" s="24"/>
      <c r="F730" s="24"/>
      <c r="G730" s="24"/>
      <c r="H730" s="24"/>
      <c r="I730" s="24"/>
      <c r="J730" s="24"/>
      <c r="K730" s="24"/>
      <c r="L730" s="24"/>
      <c r="M730" s="24"/>
    </row>
    <row r="731" spans="1:13" s="5" customFormat="1" ht="25.5" customHeight="1">
      <c r="A731" s="22"/>
      <c r="B731" s="23"/>
      <c r="C731" s="23"/>
      <c r="D731" s="23"/>
      <c r="E731" s="24"/>
      <c r="F731" s="24"/>
      <c r="G731" s="24"/>
      <c r="H731" s="24"/>
      <c r="I731" s="24"/>
      <c r="J731" s="24"/>
      <c r="K731" s="24"/>
      <c r="L731" s="24"/>
      <c r="M731" s="24"/>
    </row>
    <row r="732" spans="1:13" s="5" customFormat="1" ht="25.5" customHeight="1">
      <c r="A732" s="22"/>
      <c r="B732" s="23"/>
      <c r="C732" s="23"/>
      <c r="D732" s="23"/>
      <c r="E732" s="24"/>
      <c r="F732" s="24"/>
      <c r="G732" s="24"/>
      <c r="H732" s="24"/>
      <c r="I732" s="24"/>
      <c r="J732" s="24"/>
      <c r="K732" s="24"/>
      <c r="L732" s="24"/>
      <c r="M732" s="24"/>
    </row>
    <row r="733" spans="1:13" s="5" customFormat="1" ht="25.5" customHeight="1">
      <c r="A733" s="22"/>
      <c r="B733" s="23"/>
      <c r="C733" s="23"/>
      <c r="D733" s="23"/>
      <c r="E733" s="24"/>
      <c r="F733" s="24"/>
      <c r="G733" s="24"/>
      <c r="H733" s="24"/>
      <c r="I733" s="24"/>
      <c r="J733" s="24"/>
      <c r="K733" s="24"/>
      <c r="L733" s="24"/>
      <c r="M733" s="24"/>
    </row>
    <row r="734" spans="1:13" s="5" customFormat="1" ht="25.5" customHeight="1">
      <c r="A734" s="22"/>
      <c r="B734" s="23"/>
      <c r="C734" s="23"/>
      <c r="D734" s="23"/>
      <c r="E734" s="24"/>
      <c r="F734" s="24"/>
      <c r="G734" s="24"/>
      <c r="H734" s="24"/>
      <c r="I734" s="24"/>
      <c r="J734" s="24"/>
      <c r="K734" s="24"/>
      <c r="L734" s="24"/>
      <c r="M734" s="24"/>
    </row>
    <row r="735" spans="1:13" s="5" customFormat="1" ht="25.5" customHeight="1">
      <c r="A735" s="22"/>
      <c r="B735" s="23"/>
      <c r="C735" s="23"/>
      <c r="D735" s="23"/>
      <c r="E735" s="24"/>
      <c r="F735" s="24"/>
      <c r="G735" s="24"/>
      <c r="H735" s="24"/>
      <c r="I735" s="24"/>
      <c r="J735" s="24"/>
      <c r="K735" s="24"/>
      <c r="L735" s="24"/>
      <c r="M735" s="24"/>
    </row>
    <row r="736" spans="1:13" s="5" customFormat="1" ht="25.5" customHeight="1">
      <c r="A736" s="22"/>
      <c r="B736" s="23"/>
      <c r="C736" s="23"/>
      <c r="D736" s="23"/>
      <c r="E736" s="24"/>
      <c r="F736" s="24"/>
      <c r="G736" s="24"/>
      <c r="H736" s="24"/>
      <c r="I736" s="24"/>
      <c r="J736" s="24"/>
      <c r="K736" s="24"/>
      <c r="L736" s="24"/>
      <c r="M736" s="24"/>
    </row>
    <row r="737" spans="1:13" s="5" customFormat="1" ht="25.5" customHeight="1">
      <c r="A737" s="22"/>
      <c r="B737" s="23"/>
      <c r="C737" s="23"/>
      <c r="D737" s="23"/>
      <c r="E737" s="24"/>
      <c r="F737" s="24"/>
      <c r="G737" s="24"/>
      <c r="H737" s="24"/>
      <c r="I737" s="24"/>
      <c r="J737" s="24"/>
      <c r="K737" s="24"/>
      <c r="L737" s="24"/>
      <c r="M737" s="24"/>
    </row>
    <row r="738" spans="1:13" s="5" customFormat="1" ht="25.5" customHeight="1">
      <c r="A738" s="22"/>
      <c r="B738" s="23"/>
      <c r="C738" s="23"/>
      <c r="D738" s="23"/>
      <c r="E738" s="24"/>
      <c r="F738" s="24"/>
      <c r="G738" s="24"/>
      <c r="H738" s="24"/>
      <c r="I738" s="24"/>
      <c r="J738" s="24"/>
      <c r="K738" s="24"/>
      <c r="L738" s="24"/>
      <c r="M738" s="24"/>
    </row>
    <row r="739" spans="1:13" s="5" customFormat="1" ht="25.5" customHeight="1">
      <c r="A739" s="22"/>
      <c r="B739" s="23"/>
      <c r="C739" s="23"/>
      <c r="D739" s="23"/>
      <c r="E739" s="24"/>
      <c r="F739" s="24"/>
      <c r="G739" s="24"/>
      <c r="H739" s="24"/>
      <c r="I739" s="24"/>
      <c r="J739" s="24"/>
      <c r="K739" s="24"/>
      <c r="L739" s="24"/>
      <c r="M739" s="24"/>
    </row>
    <row r="740" spans="1:13" s="5" customFormat="1" ht="25.5" customHeight="1">
      <c r="A740" s="22"/>
      <c r="B740" s="23"/>
      <c r="C740" s="23"/>
      <c r="D740" s="23"/>
      <c r="E740" s="24"/>
      <c r="F740" s="24"/>
      <c r="G740" s="24"/>
      <c r="H740" s="24"/>
      <c r="I740" s="24"/>
      <c r="J740" s="24"/>
      <c r="K740" s="24"/>
      <c r="L740" s="24"/>
      <c r="M740" s="24"/>
    </row>
    <row r="741" spans="1:13" s="5" customFormat="1" ht="25.5" customHeight="1">
      <c r="A741" s="22"/>
      <c r="B741" s="23"/>
      <c r="C741" s="23"/>
      <c r="D741" s="23"/>
      <c r="E741" s="24"/>
      <c r="F741" s="24"/>
      <c r="G741" s="24"/>
      <c r="H741" s="24"/>
      <c r="I741" s="24"/>
      <c r="J741" s="24"/>
      <c r="K741" s="24"/>
      <c r="L741" s="24"/>
      <c r="M741" s="24"/>
    </row>
    <row r="742" spans="1:13" s="5" customFormat="1" ht="25.5" customHeight="1">
      <c r="A742" s="22"/>
      <c r="B742" s="23"/>
      <c r="C742" s="23"/>
      <c r="D742" s="23"/>
      <c r="E742" s="24"/>
      <c r="F742" s="24"/>
      <c r="G742" s="24"/>
      <c r="H742" s="24"/>
      <c r="I742" s="24"/>
      <c r="J742" s="24"/>
      <c r="K742" s="24"/>
      <c r="L742" s="24"/>
      <c r="M742" s="24"/>
    </row>
    <row r="743" spans="1:13" s="5" customFormat="1" ht="25.5" customHeight="1">
      <c r="A743" s="22"/>
      <c r="B743" s="23"/>
      <c r="C743" s="23"/>
      <c r="D743" s="23"/>
      <c r="E743" s="24"/>
      <c r="F743" s="24"/>
      <c r="G743" s="24"/>
      <c r="H743" s="24"/>
      <c r="I743" s="24"/>
      <c r="J743" s="24"/>
      <c r="K743" s="24"/>
      <c r="L743" s="24"/>
      <c r="M743" s="24"/>
    </row>
    <row r="744" spans="1:13" s="5" customFormat="1" ht="25.5" customHeight="1">
      <c r="A744" s="22"/>
      <c r="B744" s="23"/>
      <c r="C744" s="23"/>
      <c r="D744" s="23"/>
      <c r="E744" s="24"/>
      <c r="F744" s="24"/>
      <c r="G744" s="24"/>
      <c r="H744" s="24"/>
      <c r="I744" s="24"/>
      <c r="J744" s="24"/>
      <c r="K744" s="24"/>
      <c r="L744" s="24"/>
      <c r="M744" s="24"/>
    </row>
    <row r="745" spans="1:13" s="5" customFormat="1" ht="25.5" customHeight="1">
      <c r="A745" s="22"/>
      <c r="B745" s="23"/>
      <c r="C745" s="23"/>
      <c r="D745" s="23"/>
      <c r="E745" s="24"/>
      <c r="F745" s="24"/>
      <c r="G745" s="24"/>
      <c r="H745" s="24"/>
      <c r="I745" s="24"/>
      <c r="J745" s="24"/>
      <c r="K745" s="24"/>
      <c r="L745" s="24"/>
      <c r="M745" s="24"/>
    </row>
    <row r="746" spans="1:13" s="5" customFormat="1" ht="25.5" customHeight="1">
      <c r="A746" s="22"/>
      <c r="B746" s="23"/>
      <c r="C746" s="23"/>
      <c r="D746" s="23"/>
      <c r="E746" s="24"/>
      <c r="F746" s="24"/>
      <c r="G746" s="24"/>
      <c r="H746" s="24"/>
      <c r="I746" s="24"/>
      <c r="J746" s="24"/>
      <c r="K746" s="24"/>
      <c r="L746" s="24"/>
      <c r="M746" s="24"/>
    </row>
    <row r="747" spans="1:13" s="5" customFormat="1" ht="25.5" customHeight="1">
      <c r="A747" s="22"/>
      <c r="B747" s="23"/>
      <c r="C747" s="23"/>
      <c r="D747" s="23"/>
      <c r="E747" s="24"/>
      <c r="F747" s="24"/>
      <c r="G747" s="24"/>
      <c r="H747" s="24"/>
      <c r="I747" s="24"/>
      <c r="J747" s="24"/>
      <c r="K747" s="24"/>
      <c r="L747" s="24"/>
      <c r="M747" s="24"/>
    </row>
    <row r="748" spans="1:13" s="5" customFormat="1" ht="25.5" customHeight="1">
      <c r="A748" s="22"/>
      <c r="B748" s="23"/>
      <c r="C748" s="23"/>
      <c r="D748" s="23"/>
      <c r="E748" s="24"/>
      <c r="F748" s="24"/>
      <c r="G748" s="24"/>
      <c r="H748" s="24"/>
      <c r="I748" s="24"/>
      <c r="J748" s="24"/>
      <c r="K748" s="24"/>
      <c r="L748" s="24"/>
      <c r="M748" s="24"/>
    </row>
    <row r="749" spans="1:13" s="5" customFormat="1" ht="25.5" customHeight="1">
      <c r="A749" s="22"/>
      <c r="B749" s="23"/>
      <c r="C749" s="23"/>
      <c r="D749" s="23"/>
      <c r="E749" s="24"/>
      <c r="F749" s="24"/>
      <c r="G749" s="24"/>
      <c r="H749" s="24"/>
      <c r="I749" s="24"/>
      <c r="J749" s="24"/>
      <c r="K749" s="24"/>
      <c r="L749" s="24"/>
      <c r="M749" s="24"/>
    </row>
    <row r="750" spans="1:13" s="5" customFormat="1" ht="25.5" customHeight="1">
      <c r="A750" s="22"/>
      <c r="B750" s="23"/>
      <c r="C750" s="23"/>
      <c r="D750" s="23"/>
      <c r="E750" s="24"/>
      <c r="F750" s="24"/>
      <c r="G750" s="24"/>
      <c r="H750" s="24"/>
      <c r="I750" s="24"/>
      <c r="J750" s="24"/>
      <c r="K750" s="24"/>
      <c r="L750" s="24"/>
      <c r="M750" s="24"/>
    </row>
    <row r="751" spans="1:13" s="5" customFormat="1" ht="25.5" customHeight="1">
      <c r="A751" s="22"/>
      <c r="B751" s="23"/>
      <c r="C751" s="23"/>
      <c r="D751" s="23"/>
      <c r="E751" s="24"/>
      <c r="F751" s="24"/>
      <c r="G751" s="24"/>
      <c r="H751" s="24"/>
      <c r="I751" s="24"/>
      <c r="J751" s="24"/>
      <c r="K751" s="24"/>
      <c r="L751" s="24"/>
      <c r="M751" s="24"/>
    </row>
    <row r="752" spans="1:13" s="5" customFormat="1" ht="25.5" customHeight="1">
      <c r="A752" s="22"/>
      <c r="B752" s="23"/>
      <c r="C752" s="23"/>
      <c r="D752" s="23"/>
      <c r="E752" s="24"/>
      <c r="F752" s="24"/>
      <c r="G752" s="24"/>
      <c r="H752" s="24"/>
      <c r="I752" s="24"/>
      <c r="J752" s="24"/>
      <c r="K752" s="24"/>
      <c r="L752" s="24"/>
      <c r="M752" s="24"/>
    </row>
    <row r="753" spans="1:13" s="5" customFormat="1" ht="25.5" customHeight="1">
      <c r="A753" s="22"/>
      <c r="B753" s="23"/>
      <c r="C753" s="23"/>
      <c r="D753" s="23"/>
      <c r="E753" s="24"/>
      <c r="F753" s="24"/>
      <c r="G753" s="24"/>
      <c r="H753" s="24"/>
      <c r="I753" s="24"/>
      <c r="J753" s="24"/>
      <c r="K753" s="24"/>
      <c r="L753" s="24"/>
      <c r="M753" s="24"/>
    </row>
    <row r="754" spans="1:13" s="5" customFormat="1" ht="25.5" customHeight="1">
      <c r="A754" s="22"/>
      <c r="B754" s="23"/>
      <c r="C754" s="23"/>
      <c r="D754" s="23"/>
      <c r="E754" s="24"/>
      <c r="F754" s="24"/>
      <c r="G754" s="24"/>
      <c r="H754" s="24"/>
      <c r="I754" s="24"/>
      <c r="J754" s="24"/>
      <c r="K754" s="24"/>
      <c r="L754" s="24"/>
      <c r="M754" s="24"/>
    </row>
    <row r="755" spans="1:13" s="5" customFormat="1" ht="25.5" customHeight="1">
      <c r="A755" s="22"/>
      <c r="B755" s="23"/>
      <c r="C755" s="23"/>
      <c r="D755" s="23"/>
      <c r="E755" s="24"/>
      <c r="F755" s="24"/>
      <c r="G755" s="24"/>
      <c r="H755" s="24"/>
      <c r="I755" s="24"/>
      <c r="J755" s="24"/>
      <c r="K755" s="24"/>
      <c r="L755" s="24"/>
      <c r="M755" s="24"/>
    </row>
    <row r="756" spans="1:13" s="5" customFormat="1" ht="25.5" customHeight="1">
      <c r="A756" s="22"/>
      <c r="B756" s="23"/>
      <c r="C756" s="23"/>
      <c r="D756" s="23"/>
      <c r="E756" s="24"/>
      <c r="F756" s="24"/>
      <c r="G756" s="24"/>
      <c r="H756" s="24"/>
      <c r="I756" s="24"/>
      <c r="J756" s="24"/>
      <c r="K756" s="24"/>
      <c r="L756" s="24"/>
      <c r="M756" s="24"/>
    </row>
    <row r="757" spans="1:13" s="5" customFormat="1" ht="25.5" customHeight="1">
      <c r="A757" s="22"/>
      <c r="B757" s="23"/>
      <c r="C757" s="23"/>
      <c r="D757" s="23"/>
      <c r="E757" s="24"/>
      <c r="F757" s="24"/>
      <c r="G757" s="24"/>
      <c r="H757" s="24"/>
      <c r="I757" s="24"/>
      <c r="J757" s="24"/>
      <c r="K757" s="24"/>
      <c r="L757" s="24"/>
      <c r="M757" s="24"/>
    </row>
    <row r="758" spans="1:13" s="5" customFormat="1" ht="25.5" customHeight="1">
      <c r="A758" s="22"/>
      <c r="B758" s="23"/>
      <c r="C758" s="23"/>
      <c r="D758" s="23"/>
      <c r="E758" s="24"/>
      <c r="F758" s="24"/>
      <c r="G758" s="24"/>
      <c r="H758" s="24"/>
      <c r="I758" s="24"/>
      <c r="J758" s="24"/>
      <c r="K758" s="24"/>
      <c r="L758" s="24"/>
      <c r="M758" s="24"/>
    </row>
    <row r="759" spans="1:13" s="5" customFormat="1" ht="25.5" customHeight="1">
      <c r="A759" s="22"/>
      <c r="B759" s="23"/>
      <c r="C759" s="23"/>
      <c r="D759" s="23"/>
      <c r="E759" s="24"/>
      <c r="F759" s="24"/>
      <c r="G759" s="24"/>
      <c r="H759" s="24"/>
      <c r="I759" s="24"/>
      <c r="J759" s="24"/>
      <c r="K759" s="24"/>
      <c r="L759" s="24"/>
      <c r="M759" s="24"/>
    </row>
    <row r="760" spans="1:13" s="5" customFormat="1" ht="25.5" customHeight="1">
      <c r="A760" s="22"/>
      <c r="B760" s="23"/>
      <c r="C760" s="23"/>
      <c r="D760" s="23"/>
      <c r="E760" s="24"/>
      <c r="F760" s="24"/>
      <c r="G760" s="24"/>
      <c r="H760" s="24"/>
      <c r="I760" s="24"/>
      <c r="J760" s="24"/>
      <c r="K760" s="24"/>
      <c r="L760" s="24"/>
      <c r="M760" s="24"/>
    </row>
    <row r="761" spans="1:13" s="5" customFormat="1" ht="25.5" customHeight="1">
      <c r="A761" s="22"/>
      <c r="B761" s="23"/>
      <c r="C761" s="23"/>
      <c r="D761" s="23"/>
      <c r="E761" s="24"/>
      <c r="F761" s="24"/>
      <c r="G761" s="24"/>
      <c r="H761" s="24"/>
      <c r="I761" s="24"/>
      <c r="J761" s="24"/>
      <c r="K761" s="24"/>
      <c r="L761" s="24"/>
      <c r="M761" s="24"/>
    </row>
    <row r="762" spans="1:13" s="5" customFormat="1" ht="25.5" customHeight="1">
      <c r="A762" s="22"/>
      <c r="B762" s="23"/>
      <c r="C762" s="23"/>
      <c r="D762" s="23"/>
      <c r="E762" s="24"/>
      <c r="F762" s="24"/>
      <c r="G762" s="24"/>
      <c r="H762" s="24"/>
      <c r="I762" s="24"/>
      <c r="J762" s="24"/>
      <c r="K762" s="24"/>
      <c r="L762" s="24"/>
      <c r="M762" s="24"/>
    </row>
    <row r="763" spans="1:13" s="5" customFormat="1" ht="25.5" customHeight="1">
      <c r="A763" s="22"/>
      <c r="B763" s="23"/>
      <c r="C763" s="23"/>
      <c r="D763" s="23"/>
      <c r="E763" s="24"/>
      <c r="F763" s="24"/>
      <c r="G763" s="24"/>
      <c r="H763" s="24"/>
      <c r="I763" s="24"/>
      <c r="J763" s="24"/>
      <c r="K763" s="24"/>
      <c r="L763" s="24"/>
      <c r="M763" s="24"/>
    </row>
    <row r="764" spans="1:13" s="5" customFormat="1" ht="25.5" customHeight="1">
      <c r="A764" s="22"/>
      <c r="B764" s="23"/>
      <c r="C764" s="23"/>
      <c r="D764" s="23"/>
      <c r="E764" s="24"/>
      <c r="F764" s="24"/>
      <c r="G764" s="24"/>
      <c r="H764" s="24"/>
      <c r="I764" s="24"/>
      <c r="J764" s="24"/>
      <c r="K764" s="24"/>
      <c r="L764" s="24"/>
      <c r="M764" s="24"/>
    </row>
    <row r="765" spans="1:13" s="5" customFormat="1" ht="25.5" customHeight="1">
      <c r="A765" s="22"/>
      <c r="B765" s="23"/>
      <c r="C765" s="23"/>
      <c r="D765" s="23"/>
      <c r="E765" s="24"/>
      <c r="F765" s="24"/>
      <c r="G765" s="24"/>
      <c r="H765" s="24"/>
      <c r="I765" s="24"/>
      <c r="J765" s="24"/>
      <c r="K765" s="24"/>
      <c r="L765" s="24"/>
      <c r="M765" s="24"/>
    </row>
    <row r="766" spans="1:13" s="5" customFormat="1" ht="25.5" customHeight="1">
      <c r="A766" s="22"/>
      <c r="B766" s="23"/>
      <c r="C766" s="23"/>
      <c r="D766" s="23"/>
      <c r="E766" s="24"/>
      <c r="F766" s="24"/>
      <c r="G766" s="24"/>
      <c r="H766" s="24"/>
      <c r="I766" s="24"/>
      <c r="J766" s="24"/>
      <c r="K766" s="24"/>
      <c r="L766" s="24"/>
      <c r="M766" s="24"/>
    </row>
    <row r="767" spans="1:13" s="5" customFormat="1" ht="25.5" customHeight="1">
      <c r="A767" s="22"/>
      <c r="B767" s="23"/>
      <c r="C767" s="23"/>
      <c r="D767" s="23"/>
      <c r="E767" s="24"/>
      <c r="F767" s="24"/>
      <c r="G767" s="24"/>
      <c r="H767" s="24"/>
      <c r="I767" s="24"/>
      <c r="J767" s="24"/>
      <c r="K767" s="24"/>
      <c r="L767" s="24"/>
      <c r="M767" s="24"/>
    </row>
    <row r="768" spans="1:13" s="5" customFormat="1" ht="25.5" customHeight="1">
      <c r="A768" s="22"/>
      <c r="B768" s="23"/>
      <c r="C768" s="23"/>
      <c r="D768" s="23"/>
      <c r="E768" s="24"/>
      <c r="F768" s="24"/>
      <c r="G768" s="24"/>
      <c r="H768" s="24"/>
      <c r="I768" s="24"/>
      <c r="J768" s="24"/>
      <c r="K768" s="24"/>
      <c r="L768" s="24"/>
      <c r="M768" s="24"/>
    </row>
    <row r="769" spans="1:13" s="5" customFormat="1" ht="25.5" customHeight="1">
      <c r="A769" s="22"/>
      <c r="B769" s="23"/>
      <c r="C769" s="23"/>
      <c r="D769" s="23"/>
      <c r="E769" s="24"/>
      <c r="F769" s="24"/>
      <c r="G769" s="24"/>
      <c r="H769" s="24"/>
      <c r="I769" s="24"/>
      <c r="J769" s="24"/>
      <c r="K769" s="24"/>
      <c r="L769" s="24"/>
      <c r="M769" s="24"/>
    </row>
    <row r="770" spans="1:13" s="5" customFormat="1" ht="25.5" customHeight="1">
      <c r="A770" s="22"/>
      <c r="B770" s="23"/>
      <c r="C770" s="23"/>
      <c r="D770" s="23"/>
      <c r="E770" s="24"/>
      <c r="F770" s="24"/>
      <c r="G770" s="24"/>
      <c r="H770" s="24"/>
      <c r="I770" s="24"/>
      <c r="J770" s="24"/>
      <c r="K770" s="24"/>
      <c r="L770" s="24"/>
      <c r="M770" s="24"/>
    </row>
    <row r="771" spans="1:13" s="5" customFormat="1" ht="25.5" customHeight="1">
      <c r="A771" s="22"/>
      <c r="B771" s="23"/>
      <c r="C771" s="23"/>
      <c r="D771" s="23"/>
      <c r="E771" s="24"/>
      <c r="F771" s="24"/>
      <c r="G771" s="24"/>
      <c r="H771" s="24"/>
      <c r="I771" s="24"/>
      <c r="J771" s="24"/>
      <c r="K771" s="24"/>
      <c r="L771" s="24"/>
      <c r="M771" s="24"/>
    </row>
    <row r="772" spans="1:13" s="5" customFormat="1" ht="25.5" customHeight="1">
      <c r="A772" s="22"/>
      <c r="B772" s="23"/>
      <c r="C772" s="23"/>
      <c r="D772" s="23"/>
      <c r="E772" s="24"/>
      <c r="F772" s="24"/>
      <c r="G772" s="24"/>
      <c r="H772" s="24"/>
      <c r="I772" s="24"/>
      <c r="J772" s="24"/>
      <c r="K772" s="24"/>
      <c r="L772" s="24"/>
      <c r="M772" s="24"/>
    </row>
    <row r="773" spans="1:13" s="5" customFormat="1" ht="25.5" customHeight="1">
      <c r="A773" s="22"/>
      <c r="B773" s="23"/>
      <c r="C773" s="23"/>
      <c r="D773" s="23"/>
      <c r="E773" s="24"/>
      <c r="F773" s="24"/>
      <c r="G773" s="24"/>
      <c r="H773" s="24"/>
      <c r="I773" s="24"/>
      <c r="J773" s="24"/>
      <c r="K773" s="24"/>
      <c r="L773" s="24"/>
      <c r="M773" s="24"/>
    </row>
    <row r="774" spans="1:13" s="5" customFormat="1" ht="25.5" customHeight="1">
      <c r="A774" s="22"/>
      <c r="B774" s="23"/>
      <c r="C774" s="23"/>
      <c r="D774" s="23"/>
      <c r="E774" s="24"/>
      <c r="F774" s="24"/>
      <c r="G774" s="24"/>
      <c r="H774" s="24"/>
      <c r="I774" s="24"/>
      <c r="J774" s="24"/>
      <c r="K774" s="24"/>
      <c r="L774" s="24"/>
      <c r="M774" s="24"/>
    </row>
    <row r="775" spans="1:13" s="5" customFormat="1" ht="25.5" customHeight="1">
      <c r="A775" s="22"/>
      <c r="B775" s="23"/>
      <c r="C775" s="23"/>
      <c r="D775" s="23"/>
      <c r="E775" s="24"/>
      <c r="F775" s="24"/>
      <c r="G775" s="24"/>
      <c r="H775" s="24"/>
      <c r="I775" s="24"/>
      <c r="J775" s="24"/>
      <c r="K775" s="24"/>
      <c r="L775" s="24"/>
      <c r="M775" s="24"/>
    </row>
    <row r="776" spans="1:13" s="5" customFormat="1" ht="25.5" customHeight="1">
      <c r="A776" s="22"/>
      <c r="B776" s="23"/>
      <c r="C776" s="23"/>
      <c r="D776" s="23"/>
      <c r="E776" s="24"/>
      <c r="F776" s="24"/>
      <c r="G776" s="24"/>
      <c r="H776" s="24"/>
      <c r="I776" s="24"/>
      <c r="J776" s="24"/>
      <c r="K776" s="24"/>
      <c r="L776" s="24"/>
      <c r="M776" s="24"/>
    </row>
    <row r="777" spans="1:13" s="5" customFormat="1" ht="25.5" customHeight="1">
      <c r="A777" s="22"/>
      <c r="B777" s="23"/>
      <c r="C777" s="23"/>
      <c r="D777" s="23"/>
      <c r="E777" s="24"/>
      <c r="F777" s="24"/>
      <c r="G777" s="24"/>
      <c r="H777" s="24"/>
      <c r="I777" s="24"/>
      <c r="J777" s="24"/>
      <c r="K777" s="24"/>
      <c r="L777" s="24"/>
      <c r="M777" s="24"/>
    </row>
    <row r="778" spans="1:13" s="5" customFormat="1" ht="25.5" customHeight="1">
      <c r="A778" s="22"/>
      <c r="B778" s="23"/>
      <c r="C778" s="23"/>
      <c r="D778" s="23"/>
      <c r="E778" s="24"/>
      <c r="F778" s="24"/>
      <c r="G778" s="24"/>
      <c r="H778" s="24"/>
      <c r="I778" s="24"/>
      <c r="J778" s="24"/>
      <c r="K778" s="24"/>
      <c r="L778" s="24"/>
      <c r="M778" s="24"/>
    </row>
    <row r="779" spans="1:13" s="5" customFormat="1" ht="25.5" customHeight="1">
      <c r="A779" s="22"/>
      <c r="B779" s="23"/>
      <c r="C779" s="23"/>
      <c r="D779" s="23"/>
      <c r="E779" s="24"/>
      <c r="F779" s="24"/>
      <c r="G779" s="24"/>
      <c r="H779" s="24"/>
      <c r="I779" s="24"/>
      <c r="J779" s="24"/>
      <c r="K779" s="24"/>
      <c r="L779" s="24"/>
      <c r="M779" s="24"/>
    </row>
    <row r="780" spans="1:13" s="5" customFormat="1" ht="25.5" customHeight="1">
      <c r="A780" s="22"/>
      <c r="B780" s="23"/>
      <c r="C780" s="23"/>
      <c r="D780" s="23"/>
      <c r="E780" s="24"/>
      <c r="F780" s="24"/>
      <c r="G780" s="24"/>
      <c r="H780" s="24"/>
      <c r="I780" s="24"/>
      <c r="J780" s="24"/>
      <c r="K780" s="24"/>
      <c r="L780" s="24"/>
      <c r="M780" s="24"/>
    </row>
    <row r="781" spans="1:13" s="5" customFormat="1" ht="25.5" customHeight="1">
      <c r="A781" s="22"/>
      <c r="B781" s="23"/>
      <c r="C781" s="23"/>
      <c r="D781" s="23"/>
      <c r="E781" s="24"/>
      <c r="F781" s="24"/>
      <c r="G781" s="24"/>
      <c r="H781" s="24"/>
      <c r="I781" s="24"/>
      <c r="J781" s="24"/>
      <c r="K781" s="24"/>
      <c r="L781" s="24"/>
      <c r="M781" s="24"/>
    </row>
    <row r="782" spans="1:13" s="5" customFormat="1" ht="25.5" customHeight="1">
      <c r="A782" s="22"/>
      <c r="B782" s="23"/>
      <c r="C782" s="23"/>
      <c r="D782" s="23"/>
      <c r="E782" s="24"/>
      <c r="F782" s="24"/>
      <c r="G782" s="24"/>
      <c r="H782" s="24"/>
      <c r="I782" s="24"/>
      <c r="J782" s="24"/>
      <c r="K782" s="24"/>
      <c r="L782" s="24"/>
      <c r="M782" s="24"/>
    </row>
    <row r="783" spans="1:13" s="5" customFormat="1" ht="25.5" customHeight="1">
      <c r="A783" s="22"/>
      <c r="B783" s="23"/>
      <c r="C783" s="23"/>
      <c r="D783" s="23"/>
      <c r="E783" s="24"/>
      <c r="F783" s="24"/>
      <c r="G783" s="24"/>
      <c r="H783" s="24"/>
      <c r="I783" s="24"/>
      <c r="J783" s="24"/>
      <c r="K783" s="24"/>
      <c r="L783" s="24"/>
      <c r="M783" s="24"/>
    </row>
    <row r="784" spans="1:13" s="5" customFormat="1" ht="25.5" customHeight="1">
      <c r="A784" s="22"/>
      <c r="B784" s="23"/>
      <c r="C784" s="23"/>
      <c r="D784" s="23"/>
      <c r="E784" s="24"/>
      <c r="F784" s="24"/>
      <c r="G784" s="24"/>
      <c r="H784" s="24"/>
      <c r="I784" s="24"/>
      <c r="J784" s="24"/>
      <c r="K784" s="24"/>
      <c r="L784" s="24"/>
      <c r="M784" s="24"/>
    </row>
    <row r="785" spans="1:13" s="5" customFormat="1" ht="25.5" customHeight="1">
      <c r="A785" s="22"/>
      <c r="B785" s="23"/>
      <c r="C785" s="23"/>
      <c r="D785" s="23"/>
      <c r="E785" s="24"/>
      <c r="F785" s="24"/>
      <c r="G785" s="24"/>
      <c r="H785" s="24"/>
      <c r="I785" s="24"/>
      <c r="J785" s="24"/>
      <c r="K785" s="24"/>
      <c r="L785" s="24"/>
      <c r="M785" s="24"/>
    </row>
    <row r="786" spans="1:13" s="5" customFormat="1" ht="25.5" customHeight="1">
      <c r="A786" s="22"/>
      <c r="B786" s="23"/>
      <c r="C786" s="23"/>
      <c r="D786" s="23"/>
      <c r="E786" s="24"/>
      <c r="F786" s="24"/>
      <c r="G786" s="24"/>
      <c r="H786" s="24"/>
      <c r="I786" s="24"/>
      <c r="J786" s="24"/>
      <c r="K786" s="24"/>
      <c r="L786" s="24"/>
      <c r="M786" s="24"/>
    </row>
    <row r="787" spans="1:13" s="5" customFormat="1" ht="25.5" customHeight="1">
      <c r="A787" s="22"/>
      <c r="B787" s="23"/>
      <c r="C787" s="23"/>
      <c r="D787" s="23"/>
      <c r="E787" s="24"/>
      <c r="F787" s="24"/>
      <c r="G787" s="24"/>
      <c r="H787" s="24"/>
      <c r="I787" s="24"/>
      <c r="J787" s="24"/>
      <c r="K787" s="24"/>
      <c r="L787" s="24"/>
      <c r="M787" s="24"/>
    </row>
    <row r="788" spans="1:13" s="5" customFormat="1" ht="25.5" customHeight="1">
      <c r="A788" s="22"/>
      <c r="B788" s="23"/>
      <c r="C788" s="23"/>
      <c r="D788" s="23"/>
      <c r="E788" s="24"/>
      <c r="F788" s="24"/>
      <c r="G788" s="24"/>
      <c r="H788" s="24"/>
      <c r="I788" s="24"/>
      <c r="J788" s="24"/>
      <c r="K788" s="24"/>
      <c r="L788" s="24"/>
      <c r="M788" s="24"/>
    </row>
    <row r="789" spans="1:13" s="5" customFormat="1" ht="25.5" customHeight="1">
      <c r="A789" s="22"/>
      <c r="B789" s="23"/>
      <c r="C789" s="23"/>
      <c r="D789" s="23"/>
      <c r="E789" s="24"/>
      <c r="F789" s="24"/>
      <c r="G789" s="24"/>
      <c r="H789" s="24"/>
      <c r="I789" s="24"/>
      <c r="J789" s="24"/>
      <c r="K789" s="24"/>
      <c r="L789" s="24"/>
      <c r="M789" s="24"/>
    </row>
    <row r="790" spans="1:13" s="5" customFormat="1" ht="25.5" customHeight="1">
      <c r="A790" s="22"/>
      <c r="B790" s="23"/>
      <c r="C790" s="23"/>
      <c r="D790" s="23"/>
      <c r="E790" s="24"/>
      <c r="F790" s="24"/>
      <c r="G790" s="24"/>
      <c r="H790" s="24"/>
      <c r="I790" s="24"/>
      <c r="J790" s="24"/>
      <c r="K790" s="24"/>
      <c r="L790" s="24"/>
      <c r="M790" s="24"/>
    </row>
    <row r="791" spans="1:13" s="5" customFormat="1" ht="25.5" customHeight="1">
      <c r="A791" s="22"/>
      <c r="B791" s="23"/>
      <c r="C791" s="23"/>
      <c r="D791" s="23"/>
      <c r="E791" s="24"/>
      <c r="F791" s="24"/>
      <c r="G791" s="24"/>
      <c r="H791" s="24"/>
      <c r="I791" s="24"/>
      <c r="J791" s="24"/>
      <c r="K791" s="24"/>
      <c r="L791" s="24"/>
      <c r="M791" s="24"/>
    </row>
    <row r="792" spans="1:13" s="5" customFormat="1" ht="25.5" customHeight="1">
      <c r="A792" s="22"/>
      <c r="B792" s="23"/>
      <c r="C792" s="23"/>
      <c r="D792" s="23"/>
      <c r="E792" s="24"/>
      <c r="F792" s="24"/>
      <c r="G792" s="24"/>
      <c r="H792" s="24"/>
      <c r="I792" s="24"/>
      <c r="J792" s="24"/>
      <c r="K792" s="24"/>
      <c r="L792" s="24"/>
      <c r="M792" s="24"/>
    </row>
    <row r="793" spans="1:13" s="5" customFormat="1" ht="25.5" customHeight="1">
      <c r="A793" s="22"/>
      <c r="B793" s="23"/>
      <c r="C793" s="23"/>
      <c r="D793" s="23"/>
      <c r="E793" s="24"/>
      <c r="F793" s="24"/>
      <c r="G793" s="24"/>
      <c r="H793" s="24"/>
      <c r="I793" s="24"/>
      <c r="J793" s="24"/>
      <c r="K793" s="24"/>
      <c r="L793" s="24"/>
      <c r="M793" s="24"/>
    </row>
    <row r="794" spans="1:13" s="5" customFormat="1" ht="25.5" customHeight="1">
      <c r="A794" s="22"/>
      <c r="B794" s="23"/>
      <c r="C794" s="23"/>
      <c r="D794" s="23"/>
      <c r="E794" s="24"/>
      <c r="F794" s="24"/>
      <c r="G794" s="24"/>
      <c r="H794" s="24"/>
      <c r="I794" s="24"/>
      <c r="J794" s="24"/>
      <c r="K794" s="24"/>
      <c r="L794" s="24"/>
      <c r="M794" s="24"/>
    </row>
    <row r="795" spans="1:13" s="5" customFormat="1" ht="25.5" customHeight="1">
      <c r="A795" s="22"/>
      <c r="B795" s="23"/>
      <c r="C795" s="23"/>
      <c r="D795" s="23"/>
      <c r="E795" s="24"/>
      <c r="F795" s="24"/>
      <c r="G795" s="24"/>
      <c r="H795" s="24"/>
      <c r="I795" s="24"/>
      <c r="J795" s="24"/>
      <c r="K795" s="24"/>
      <c r="L795" s="24"/>
      <c r="M795" s="24"/>
    </row>
    <row r="796" spans="1:13" s="5" customFormat="1" ht="25.5" customHeight="1">
      <c r="A796" s="22"/>
      <c r="B796" s="23"/>
      <c r="C796" s="23"/>
      <c r="D796" s="23"/>
      <c r="E796" s="24"/>
      <c r="F796" s="24"/>
      <c r="G796" s="24"/>
      <c r="H796" s="24"/>
      <c r="I796" s="24"/>
      <c r="J796" s="24"/>
      <c r="K796" s="24"/>
      <c r="L796" s="24"/>
      <c r="M796" s="24"/>
    </row>
    <row r="797" spans="1:13" s="5" customFormat="1" ht="25.5" customHeight="1">
      <c r="A797" s="22"/>
      <c r="B797" s="23"/>
      <c r="C797" s="23"/>
      <c r="D797" s="23"/>
      <c r="E797" s="24"/>
      <c r="F797" s="24"/>
      <c r="G797" s="24"/>
      <c r="H797" s="24"/>
      <c r="I797" s="24"/>
      <c r="J797" s="24"/>
      <c r="K797" s="24"/>
      <c r="L797" s="24"/>
      <c r="M797" s="24"/>
    </row>
    <row r="798" spans="1:13" s="5" customFormat="1" ht="25.5" customHeight="1">
      <c r="A798" s="22"/>
      <c r="B798" s="23"/>
      <c r="C798" s="23"/>
      <c r="D798" s="23"/>
      <c r="E798" s="24"/>
      <c r="F798" s="24"/>
      <c r="G798" s="24"/>
      <c r="H798" s="24"/>
      <c r="I798" s="24"/>
      <c r="J798" s="24"/>
      <c r="K798" s="24"/>
      <c r="L798" s="24"/>
      <c r="M798" s="24"/>
    </row>
    <row r="799" spans="1:13" s="5" customFormat="1" ht="25.5" customHeight="1">
      <c r="A799" s="22"/>
      <c r="B799" s="23"/>
      <c r="C799" s="23"/>
      <c r="D799" s="23"/>
      <c r="E799" s="24"/>
      <c r="F799" s="24"/>
      <c r="G799" s="24"/>
      <c r="H799" s="24"/>
      <c r="I799" s="24"/>
      <c r="J799" s="24"/>
      <c r="K799" s="24"/>
      <c r="L799" s="24"/>
      <c r="M799" s="24"/>
    </row>
    <row r="800" spans="1:13" s="5" customFormat="1" ht="25.5" customHeight="1">
      <c r="A800" s="22"/>
      <c r="B800" s="23"/>
      <c r="C800" s="23"/>
      <c r="D800" s="23"/>
      <c r="E800" s="24"/>
      <c r="F800" s="24"/>
      <c r="G800" s="24"/>
      <c r="H800" s="24"/>
      <c r="I800" s="24"/>
      <c r="J800" s="24"/>
      <c r="K800" s="24"/>
      <c r="L800" s="24"/>
      <c r="M800" s="24"/>
    </row>
    <row r="801" spans="1:13" s="5" customFormat="1" ht="25.5" customHeight="1">
      <c r="A801" s="22"/>
      <c r="B801" s="23"/>
      <c r="C801" s="23"/>
      <c r="D801" s="23"/>
      <c r="E801" s="24"/>
      <c r="F801" s="24"/>
      <c r="G801" s="24"/>
      <c r="H801" s="24"/>
      <c r="I801" s="24"/>
      <c r="J801" s="24"/>
      <c r="K801" s="24"/>
      <c r="L801" s="24"/>
      <c r="M801" s="24"/>
    </row>
    <row r="802" spans="1:13" s="5" customFormat="1" ht="25.5" customHeight="1">
      <c r="A802" s="22"/>
      <c r="B802" s="23"/>
      <c r="C802" s="23"/>
      <c r="D802" s="23"/>
      <c r="E802" s="24"/>
      <c r="F802" s="24"/>
      <c r="G802" s="24"/>
      <c r="H802" s="24"/>
      <c r="I802" s="24"/>
      <c r="J802" s="24"/>
      <c r="K802" s="24"/>
      <c r="L802" s="24"/>
      <c r="M802" s="24"/>
    </row>
    <row r="803" spans="1:13" s="5" customFormat="1" ht="25.5" customHeight="1">
      <c r="A803" s="22"/>
      <c r="B803" s="23"/>
      <c r="C803" s="23"/>
      <c r="D803" s="23"/>
      <c r="E803" s="24"/>
      <c r="F803" s="24"/>
      <c r="G803" s="24"/>
      <c r="H803" s="24"/>
      <c r="I803" s="24"/>
      <c r="J803" s="24"/>
      <c r="K803" s="24"/>
      <c r="L803" s="24"/>
      <c r="M803" s="24"/>
    </row>
    <row r="804" spans="1:13" s="5" customFormat="1" ht="25.5" customHeight="1">
      <c r="A804" s="22"/>
      <c r="B804" s="23"/>
      <c r="C804" s="23"/>
      <c r="D804" s="23"/>
      <c r="E804" s="24"/>
      <c r="F804" s="24"/>
      <c r="G804" s="24"/>
      <c r="H804" s="24"/>
      <c r="I804" s="24"/>
      <c r="J804" s="24"/>
      <c r="K804" s="24"/>
      <c r="L804" s="24"/>
      <c r="M804" s="24"/>
    </row>
    <row r="805" spans="1:13" s="5" customFormat="1" ht="25.5" customHeight="1">
      <c r="A805" s="22"/>
      <c r="B805" s="23"/>
      <c r="C805" s="23"/>
      <c r="D805" s="23"/>
      <c r="E805" s="24"/>
      <c r="F805" s="24"/>
      <c r="G805" s="24"/>
      <c r="H805" s="24"/>
      <c r="I805" s="24"/>
      <c r="J805" s="24"/>
      <c r="K805" s="24"/>
      <c r="L805" s="24"/>
      <c r="M805" s="24"/>
    </row>
    <row r="806" spans="1:13" s="5" customFormat="1" ht="25.5" customHeight="1">
      <c r="A806" s="22"/>
      <c r="B806" s="23"/>
      <c r="C806" s="23"/>
      <c r="D806" s="23"/>
      <c r="E806" s="24"/>
      <c r="F806" s="24"/>
      <c r="G806" s="24"/>
      <c r="H806" s="24"/>
      <c r="I806" s="24"/>
      <c r="J806" s="24"/>
      <c r="K806" s="24"/>
      <c r="L806" s="24"/>
      <c r="M806" s="24"/>
    </row>
    <row r="807" spans="1:13" s="5" customFormat="1" ht="25.5" customHeight="1">
      <c r="A807" s="22"/>
      <c r="B807" s="23"/>
      <c r="C807" s="23"/>
      <c r="D807" s="23"/>
      <c r="E807" s="24"/>
      <c r="F807" s="24"/>
      <c r="G807" s="24"/>
      <c r="H807" s="24"/>
      <c r="I807" s="24"/>
      <c r="J807" s="24"/>
      <c r="K807" s="24"/>
      <c r="L807" s="24"/>
      <c r="M807" s="24"/>
    </row>
    <row r="808" spans="1:13" s="5" customFormat="1" ht="25.5" customHeight="1">
      <c r="A808" s="22"/>
      <c r="B808" s="23"/>
      <c r="C808" s="23"/>
      <c r="D808" s="23"/>
      <c r="E808" s="24"/>
      <c r="F808" s="24"/>
      <c r="G808" s="24"/>
      <c r="H808" s="24"/>
      <c r="I808" s="24"/>
      <c r="J808" s="24"/>
      <c r="K808" s="24"/>
      <c r="L808" s="24"/>
      <c r="M808" s="24"/>
    </row>
    <row r="809" spans="1:13" s="5" customFormat="1" ht="25.5" customHeight="1">
      <c r="A809" s="22"/>
      <c r="B809" s="23"/>
      <c r="C809" s="23"/>
      <c r="D809" s="23"/>
      <c r="E809" s="24"/>
      <c r="F809" s="24"/>
      <c r="G809" s="24"/>
      <c r="H809" s="24"/>
      <c r="I809" s="24"/>
      <c r="J809" s="24"/>
      <c r="K809" s="24"/>
      <c r="L809" s="24"/>
      <c r="M809" s="24"/>
    </row>
    <row r="810" spans="1:13" s="5" customFormat="1" ht="25.5" customHeight="1">
      <c r="A810" s="22"/>
      <c r="B810" s="23"/>
      <c r="C810" s="23"/>
      <c r="D810" s="23"/>
      <c r="E810" s="24"/>
      <c r="F810" s="24"/>
      <c r="G810" s="24"/>
      <c r="H810" s="24"/>
      <c r="I810" s="24"/>
      <c r="J810" s="24"/>
      <c r="K810" s="24"/>
      <c r="L810" s="24"/>
      <c r="M810" s="24"/>
    </row>
    <row r="811" spans="1:13" s="5" customFormat="1" ht="25.5" customHeight="1">
      <c r="A811" s="22"/>
      <c r="B811" s="23"/>
      <c r="C811" s="23"/>
      <c r="D811" s="23"/>
      <c r="E811" s="24"/>
      <c r="F811" s="24"/>
      <c r="G811" s="24"/>
      <c r="H811" s="24"/>
      <c r="I811" s="24"/>
      <c r="J811" s="24"/>
      <c r="K811" s="24"/>
      <c r="L811" s="24"/>
      <c r="M811" s="24"/>
    </row>
    <row r="812" spans="1:13" s="5" customFormat="1" ht="25.5" customHeight="1">
      <c r="A812" s="22"/>
      <c r="B812" s="23"/>
      <c r="C812" s="23"/>
      <c r="D812" s="23"/>
      <c r="E812" s="24"/>
      <c r="F812" s="24"/>
      <c r="G812" s="24"/>
      <c r="H812" s="24"/>
      <c r="I812" s="24"/>
      <c r="J812" s="24"/>
      <c r="K812" s="24"/>
      <c r="L812" s="24"/>
      <c r="M812" s="24"/>
    </row>
    <row r="813" spans="1:13" s="5" customFormat="1" ht="25.5" customHeight="1">
      <c r="A813" s="22"/>
      <c r="B813" s="23"/>
      <c r="C813" s="23"/>
      <c r="D813" s="23"/>
      <c r="E813" s="24"/>
      <c r="F813" s="24"/>
      <c r="G813" s="24"/>
      <c r="H813" s="24"/>
      <c r="I813" s="24"/>
      <c r="J813" s="24"/>
      <c r="K813" s="24"/>
      <c r="L813" s="24"/>
      <c r="M813" s="24"/>
    </row>
    <row r="814" spans="1:13" s="5" customFormat="1" ht="25.5" customHeight="1">
      <c r="A814" s="22"/>
      <c r="B814" s="23"/>
      <c r="C814" s="23"/>
      <c r="D814" s="23"/>
      <c r="E814" s="24"/>
      <c r="F814" s="24"/>
      <c r="G814" s="24"/>
      <c r="H814" s="24"/>
      <c r="I814" s="24"/>
      <c r="J814" s="24"/>
      <c r="K814" s="24"/>
      <c r="L814" s="24"/>
      <c r="M814" s="24"/>
    </row>
    <row r="815" spans="1:13" s="5" customFormat="1" ht="25.5" customHeight="1">
      <c r="A815" s="22"/>
      <c r="B815" s="23"/>
      <c r="C815" s="23"/>
      <c r="D815" s="23"/>
      <c r="E815" s="24"/>
      <c r="F815" s="24"/>
      <c r="G815" s="24"/>
      <c r="H815" s="24"/>
      <c r="I815" s="24"/>
      <c r="J815" s="24"/>
      <c r="K815" s="24"/>
      <c r="L815" s="24"/>
      <c r="M815" s="24"/>
    </row>
    <row r="816" spans="1:13" s="5" customFormat="1" ht="25.5" customHeight="1">
      <c r="A816" s="22"/>
      <c r="B816" s="23"/>
      <c r="C816" s="23"/>
      <c r="D816" s="23"/>
      <c r="E816" s="24"/>
      <c r="F816" s="24"/>
      <c r="G816" s="24"/>
      <c r="H816" s="24"/>
      <c r="I816" s="24"/>
      <c r="J816" s="24"/>
      <c r="K816" s="24"/>
      <c r="L816" s="24"/>
      <c r="M816" s="24"/>
    </row>
    <row r="817" spans="1:13" s="5" customFormat="1" ht="25.5" customHeight="1">
      <c r="A817" s="22"/>
      <c r="B817" s="23"/>
      <c r="C817" s="23"/>
      <c r="D817" s="23"/>
      <c r="E817" s="24"/>
      <c r="F817" s="24"/>
      <c r="G817" s="24"/>
      <c r="H817" s="24"/>
      <c r="I817" s="24"/>
      <c r="J817" s="24"/>
      <c r="K817" s="24"/>
      <c r="L817" s="24"/>
      <c r="M817" s="24"/>
    </row>
    <row r="818" spans="1:13" s="5" customFormat="1" ht="25.5" customHeight="1">
      <c r="A818" s="22"/>
      <c r="B818" s="23"/>
      <c r="C818" s="23"/>
      <c r="D818" s="23"/>
      <c r="E818" s="24"/>
      <c r="F818" s="24"/>
      <c r="G818" s="24"/>
      <c r="H818" s="24"/>
      <c r="I818" s="24"/>
      <c r="J818" s="24"/>
      <c r="K818" s="24"/>
      <c r="L818" s="24"/>
      <c r="M818" s="24"/>
    </row>
    <row r="819" spans="1:13" s="5" customFormat="1" ht="25.5" customHeight="1">
      <c r="A819" s="22"/>
      <c r="B819" s="23"/>
      <c r="C819" s="23"/>
      <c r="D819" s="23"/>
      <c r="E819" s="24"/>
      <c r="F819" s="24"/>
      <c r="G819" s="24"/>
      <c r="H819" s="24"/>
      <c r="I819" s="24"/>
      <c r="J819" s="24"/>
      <c r="K819" s="24"/>
      <c r="L819" s="24"/>
      <c r="M819" s="24"/>
    </row>
    <row r="820" spans="1:13" s="5" customFormat="1" ht="25.5" customHeight="1">
      <c r="A820" s="22"/>
      <c r="B820" s="23"/>
      <c r="C820" s="23"/>
      <c r="D820" s="23"/>
      <c r="E820" s="24"/>
      <c r="F820" s="24"/>
      <c r="G820" s="24"/>
      <c r="H820" s="24"/>
      <c r="I820" s="24"/>
      <c r="J820" s="24"/>
      <c r="K820" s="24"/>
      <c r="L820" s="24"/>
      <c r="M820" s="24"/>
    </row>
    <row r="821" spans="1:13" s="5" customFormat="1" ht="25.5" customHeight="1">
      <c r="A821" s="22"/>
      <c r="B821" s="23"/>
      <c r="C821" s="23"/>
      <c r="D821" s="23"/>
      <c r="E821" s="24"/>
      <c r="F821" s="24"/>
      <c r="G821" s="24"/>
      <c r="H821" s="24"/>
      <c r="I821" s="24"/>
      <c r="J821" s="24"/>
      <c r="K821" s="24"/>
      <c r="L821" s="24"/>
      <c r="M821" s="24"/>
    </row>
    <row r="822" spans="1:13" s="5" customFormat="1" ht="25.5" customHeight="1">
      <c r="A822" s="22"/>
      <c r="B822" s="23"/>
      <c r="C822" s="23"/>
      <c r="D822" s="23"/>
      <c r="E822" s="24"/>
      <c r="F822" s="24"/>
      <c r="G822" s="24"/>
      <c r="H822" s="24"/>
      <c r="I822" s="24"/>
      <c r="J822" s="24"/>
      <c r="K822" s="24"/>
      <c r="L822" s="24"/>
      <c r="M822" s="24"/>
    </row>
    <row r="823" spans="1:13" s="5" customFormat="1" ht="25.5" customHeight="1">
      <c r="A823" s="22"/>
      <c r="B823" s="23"/>
      <c r="C823" s="23"/>
      <c r="D823" s="23"/>
      <c r="E823" s="24"/>
      <c r="F823" s="24"/>
      <c r="G823" s="24"/>
      <c r="H823" s="24"/>
      <c r="I823" s="24"/>
      <c r="J823" s="24"/>
      <c r="K823" s="24"/>
      <c r="L823" s="24"/>
      <c r="M823" s="24"/>
    </row>
    <row r="824" spans="1:13" s="5" customFormat="1" ht="25.5" customHeight="1">
      <c r="A824" s="22"/>
      <c r="B824" s="23"/>
      <c r="C824" s="23"/>
      <c r="D824" s="23"/>
      <c r="E824" s="24"/>
      <c r="F824" s="24"/>
      <c r="G824" s="24"/>
      <c r="H824" s="24"/>
      <c r="I824" s="24"/>
      <c r="J824" s="24"/>
      <c r="K824" s="24"/>
      <c r="L824" s="24"/>
      <c r="M824" s="24"/>
    </row>
    <row r="825" spans="1:13" s="5" customFormat="1" ht="25.5" customHeight="1">
      <c r="A825" s="22"/>
      <c r="B825" s="23"/>
      <c r="C825" s="23"/>
      <c r="D825" s="23"/>
      <c r="E825" s="24"/>
      <c r="F825" s="24"/>
      <c r="G825" s="24"/>
      <c r="H825" s="24"/>
      <c r="I825" s="24"/>
      <c r="J825" s="24"/>
      <c r="K825" s="24"/>
      <c r="L825" s="24"/>
      <c r="M825" s="24"/>
    </row>
    <row r="826" spans="1:13" s="5" customFormat="1" ht="25.5" customHeight="1">
      <c r="A826" s="22"/>
      <c r="B826" s="23"/>
      <c r="C826" s="23"/>
      <c r="D826" s="23"/>
      <c r="E826" s="24"/>
      <c r="F826" s="24"/>
      <c r="G826" s="24"/>
      <c r="H826" s="24"/>
      <c r="I826" s="24"/>
      <c r="J826" s="24"/>
      <c r="K826" s="24"/>
      <c r="L826" s="24"/>
      <c r="M826" s="24"/>
    </row>
    <row r="827" spans="1:13" s="5" customFormat="1" ht="25.5" customHeight="1">
      <c r="A827" s="22"/>
      <c r="B827" s="23"/>
      <c r="C827" s="23"/>
      <c r="D827" s="23"/>
      <c r="E827" s="24"/>
      <c r="F827" s="24"/>
      <c r="G827" s="24"/>
      <c r="H827" s="24"/>
      <c r="I827" s="24"/>
      <c r="J827" s="24"/>
      <c r="K827" s="24"/>
      <c r="L827" s="24"/>
      <c r="M827" s="24"/>
    </row>
    <row r="828" spans="1:13" s="5" customFormat="1" ht="25.5" customHeight="1">
      <c r="A828" s="22"/>
      <c r="B828" s="23"/>
      <c r="C828" s="23"/>
      <c r="D828" s="23"/>
      <c r="E828" s="24"/>
      <c r="F828" s="24"/>
      <c r="G828" s="24"/>
      <c r="H828" s="24"/>
      <c r="I828" s="24"/>
      <c r="J828" s="24"/>
      <c r="K828" s="24"/>
      <c r="L828" s="24"/>
      <c r="M828" s="24"/>
    </row>
    <row r="829" spans="1:13" s="5" customFormat="1" ht="25.5" customHeight="1">
      <c r="A829" s="22"/>
      <c r="B829" s="23"/>
      <c r="C829" s="23"/>
      <c r="D829" s="23"/>
      <c r="E829" s="24"/>
      <c r="F829" s="24"/>
      <c r="G829" s="24"/>
      <c r="H829" s="24"/>
      <c r="I829" s="24"/>
      <c r="J829" s="24"/>
      <c r="K829" s="24"/>
      <c r="L829" s="24"/>
      <c r="M829" s="24"/>
    </row>
    <row r="830" spans="1:13" s="5" customFormat="1" ht="25.5" customHeight="1">
      <c r="A830" s="22"/>
      <c r="B830" s="23"/>
      <c r="C830" s="23"/>
      <c r="D830" s="23"/>
      <c r="E830" s="24"/>
      <c r="F830" s="24"/>
      <c r="G830" s="24"/>
      <c r="H830" s="24"/>
      <c r="I830" s="24"/>
      <c r="J830" s="24"/>
      <c r="K830" s="24"/>
      <c r="L830" s="24"/>
      <c r="M830" s="24"/>
    </row>
    <row r="831" spans="1:13" s="5" customFormat="1" ht="25.5" customHeight="1">
      <c r="A831" s="22"/>
      <c r="B831" s="23"/>
      <c r="C831" s="23"/>
      <c r="D831" s="23"/>
      <c r="E831" s="24"/>
      <c r="F831" s="24"/>
      <c r="G831" s="24"/>
      <c r="H831" s="24"/>
      <c r="I831" s="24"/>
      <c r="J831" s="24"/>
      <c r="K831" s="24"/>
      <c r="L831" s="24"/>
      <c r="M831" s="24"/>
    </row>
    <row r="832" spans="1:13" s="5" customFormat="1" ht="25.5" customHeight="1">
      <c r="A832" s="22"/>
      <c r="B832" s="23"/>
      <c r="C832" s="23"/>
      <c r="D832" s="23"/>
      <c r="E832" s="24"/>
      <c r="F832" s="24"/>
      <c r="G832" s="24"/>
      <c r="H832" s="24"/>
      <c r="I832" s="24"/>
      <c r="J832" s="24"/>
      <c r="K832" s="24"/>
      <c r="L832" s="24"/>
      <c r="M832" s="24"/>
    </row>
    <row r="833" spans="1:13" s="5" customFormat="1" ht="25.5" customHeight="1">
      <c r="A833" s="22"/>
      <c r="B833" s="23"/>
      <c r="C833" s="23"/>
      <c r="D833" s="23"/>
      <c r="E833" s="24"/>
      <c r="F833" s="24"/>
      <c r="G833" s="24"/>
      <c r="H833" s="24"/>
      <c r="I833" s="24"/>
      <c r="J833" s="24"/>
      <c r="K833" s="24"/>
      <c r="L833" s="24"/>
      <c r="M833" s="24"/>
    </row>
    <row r="834" spans="1:13" s="5" customFormat="1" ht="25.5" customHeight="1">
      <c r="A834" s="22"/>
      <c r="B834" s="23"/>
      <c r="C834" s="23"/>
      <c r="D834" s="23"/>
      <c r="E834" s="24"/>
      <c r="F834" s="24"/>
      <c r="G834" s="24"/>
      <c r="H834" s="24"/>
      <c r="I834" s="24"/>
      <c r="J834" s="24"/>
      <c r="K834" s="24"/>
      <c r="L834" s="24"/>
      <c r="M834" s="24"/>
    </row>
    <row r="835" spans="1:13" s="5" customFormat="1" ht="25.5" customHeight="1">
      <c r="A835" s="22"/>
      <c r="B835" s="23"/>
      <c r="C835" s="23"/>
      <c r="D835" s="23"/>
      <c r="E835" s="24"/>
      <c r="F835" s="24"/>
      <c r="G835" s="24"/>
      <c r="H835" s="24"/>
      <c r="I835" s="24"/>
      <c r="J835" s="24"/>
      <c r="K835" s="24"/>
      <c r="L835" s="24"/>
      <c r="M835" s="24"/>
    </row>
    <row r="836" spans="1:13" s="5" customFormat="1" ht="25.5" customHeight="1">
      <c r="A836" s="22"/>
      <c r="B836" s="23"/>
      <c r="C836" s="23"/>
      <c r="D836" s="23"/>
      <c r="E836" s="24"/>
      <c r="F836" s="24"/>
      <c r="G836" s="24"/>
      <c r="H836" s="24"/>
      <c r="I836" s="24"/>
      <c r="J836" s="24"/>
      <c r="K836" s="24"/>
      <c r="L836" s="24"/>
      <c r="M836" s="24"/>
    </row>
    <row r="837" spans="1:13" s="5" customFormat="1" ht="25.5" customHeight="1">
      <c r="A837" s="22"/>
      <c r="B837" s="23"/>
      <c r="C837" s="23"/>
      <c r="D837" s="23"/>
      <c r="E837" s="24"/>
      <c r="F837" s="24"/>
      <c r="G837" s="24"/>
      <c r="H837" s="24"/>
      <c r="I837" s="24"/>
      <c r="J837" s="24"/>
      <c r="K837" s="24"/>
      <c r="L837" s="24"/>
      <c r="M837" s="24"/>
    </row>
    <row r="838" spans="1:13" s="5" customFormat="1" ht="25.5" customHeight="1">
      <c r="A838" s="22"/>
      <c r="B838" s="23"/>
      <c r="C838" s="23"/>
      <c r="D838" s="23"/>
      <c r="E838" s="24"/>
      <c r="F838" s="24"/>
      <c r="G838" s="24"/>
      <c r="H838" s="24"/>
      <c r="I838" s="24"/>
      <c r="J838" s="24"/>
      <c r="K838" s="24"/>
      <c r="L838" s="24"/>
      <c r="M838" s="24"/>
    </row>
    <row r="839" spans="1:13" s="5" customFormat="1" ht="25.5" customHeight="1">
      <c r="A839" s="22"/>
      <c r="B839" s="23"/>
      <c r="C839" s="23"/>
      <c r="D839" s="23"/>
      <c r="E839" s="24"/>
      <c r="F839" s="24"/>
      <c r="G839" s="24"/>
      <c r="H839" s="24"/>
      <c r="I839" s="24"/>
      <c r="J839" s="24"/>
      <c r="K839" s="24"/>
      <c r="L839" s="24"/>
      <c r="M839" s="24"/>
    </row>
    <row r="840" spans="1:13" s="5" customFormat="1" ht="25.5" customHeight="1">
      <c r="A840" s="22"/>
      <c r="B840" s="23"/>
      <c r="C840" s="23"/>
      <c r="D840" s="23"/>
      <c r="E840" s="24"/>
      <c r="F840" s="24"/>
      <c r="G840" s="24"/>
      <c r="H840" s="24"/>
      <c r="I840" s="24"/>
      <c r="J840" s="24"/>
      <c r="K840" s="24"/>
      <c r="L840" s="24"/>
      <c r="M840" s="24"/>
    </row>
    <row r="841" spans="1:13" s="5" customFormat="1" ht="25.5" customHeight="1">
      <c r="A841" s="22"/>
      <c r="B841" s="23"/>
      <c r="C841" s="23"/>
      <c r="D841" s="23"/>
      <c r="E841" s="24"/>
      <c r="F841" s="24"/>
      <c r="G841" s="24"/>
      <c r="H841" s="24"/>
      <c r="I841" s="24"/>
      <c r="J841" s="24"/>
      <c r="K841" s="24"/>
      <c r="L841" s="24"/>
      <c r="M841" s="24"/>
    </row>
    <row r="842" spans="1:13" s="5" customFormat="1" ht="25.5" customHeight="1">
      <c r="A842" s="22"/>
      <c r="B842" s="23"/>
      <c r="C842" s="23"/>
      <c r="D842" s="23"/>
      <c r="E842" s="24"/>
      <c r="F842" s="24"/>
      <c r="G842" s="24"/>
      <c r="H842" s="24"/>
      <c r="I842" s="24"/>
      <c r="J842" s="24"/>
      <c r="K842" s="24"/>
      <c r="L842" s="24"/>
      <c r="M842" s="24"/>
    </row>
    <row r="843" spans="1:13" s="5" customFormat="1" ht="25.5" customHeight="1">
      <c r="A843" s="22"/>
      <c r="B843" s="23"/>
      <c r="C843" s="23"/>
      <c r="D843" s="23"/>
      <c r="E843" s="24"/>
      <c r="F843" s="24"/>
      <c r="G843" s="24"/>
      <c r="H843" s="24"/>
      <c r="I843" s="24"/>
      <c r="J843" s="24"/>
      <c r="K843" s="24"/>
      <c r="L843" s="24"/>
      <c r="M843" s="24"/>
    </row>
    <row r="844" spans="1:13" s="5" customFormat="1" ht="25.5" customHeight="1">
      <c r="A844" s="22"/>
      <c r="B844" s="23"/>
      <c r="C844" s="23"/>
      <c r="D844" s="23"/>
      <c r="E844" s="24"/>
      <c r="F844" s="24"/>
      <c r="G844" s="24"/>
      <c r="H844" s="24"/>
      <c r="I844" s="24"/>
      <c r="J844" s="24"/>
      <c r="K844" s="24"/>
      <c r="L844" s="24"/>
      <c r="M844" s="24"/>
    </row>
    <row r="845" spans="1:13" s="5" customFormat="1" ht="25.5" customHeight="1">
      <c r="A845" s="22"/>
      <c r="B845" s="23"/>
      <c r="C845" s="23"/>
      <c r="D845" s="23"/>
      <c r="E845" s="24"/>
      <c r="F845" s="24"/>
      <c r="G845" s="24"/>
      <c r="H845" s="24"/>
      <c r="I845" s="24"/>
      <c r="J845" s="24"/>
      <c r="K845" s="24"/>
      <c r="L845" s="24"/>
      <c r="M845" s="24"/>
    </row>
    <row r="846" spans="1:13" s="5" customFormat="1" ht="25.5" customHeight="1">
      <c r="A846" s="22"/>
      <c r="B846" s="23"/>
      <c r="C846" s="23"/>
      <c r="D846" s="23"/>
      <c r="E846" s="24"/>
      <c r="F846" s="24"/>
      <c r="G846" s="24"/>
      <c r="H846" s="24"/>
      <c r="I846" s="24"/>
      <c r="J846" s="24"/>
      <c r="K846" s="24"/>
      <c r="L846" s="24"/>
      <c r="M846" s="24"/>
    </row>
    <row r="847" spans="1:13" s="5" customFormat="1" ht="25.5" customHeight="1">
      <c r="A847" s="22"/>
      <c r="B847" s="23"/>
      <c r="C847" s="23"/>
      <c r="D847" s="23"/>
      <c r="E847" s="24"/>
      <c r="F847" s="24"/>
      <c r="G847" s="24"/>
      <c r="H847" s="24"/>
      <c r="I847" s="24"/>
      <c r="J847" s="24"/>
      <c r="K847" s="24"/>
      <c r="L847" s="24"/>
      <c r="M847" s="24"/>
    </row>
    <row r="848" spans="1:13" s="5" customFormat="1" ht="25.5" customHeight="1">
      <c r="A848" s="22"/>
      <c r="B848" s="23"/>
      <c r="C848" s="23"/>
      <c r="D848" s="23"/>
      <c r="E848" s="24"/>
      <c r="F848" s="24"/>
      <c r="G848" s="24"/>
      <c r="H848" s="24"/>
      <c r="I848" s="24"/>
      <c r="J848" s="24"/>
      <c r="K848" s="24"/>
      <c r="L848" s="24"/>
      <c r="M848" s="24"/>
    </row>
    <row r="849" spans="1:13" s="5" customFormat="1" ht="25.5" customHeight="1">
      <c r="A849" s="22"/>
      <c r="B849" s="23"/>
      <c r="C849" s="23"/>
      <c r="D849" s="23"/>
      <c r="E849" s="24"/>
      <c r="F849" s="24"/>
      <c r="G849" s="24"/>
      <c r="H849" s="24"/>
      <c r="I849" s="24"/>
      <c r="J849" s="24"/>
      <c r="K849" s="24"/>
      <c r="L849" s="24"/>
      <c r="M849" s="24"/>
    </row>
    <row r="850" spans="1:13" s="5" customFormat="1" ht="25.5" customHeight="1">
      <c r="A850" s="22"/>
      <c r="B850" s="23"/>
      <c r="C850" s="23"/>
      <c r="D850" s="23"/>
      <c r="E850" s="24"/>
      <c r="F850" s="24"/>
      <c r="G850" s="24"/>
      <c r="H850" s="24"/>
      <c r="I850" s="24"/>
      <c r="J850" s="24"/>
      <c r="K850" s="24"/>
      <c r="L850" s="24"/>
      <c r="M850" s="24"/>
    </row>
    <row r="851" spans="1:13" s="5" customFormat="1" ht="25.5" customHeight="1">
      <c r="A851" s="22"/>
      <c r="B851" s="23"/>
      <c r="C851" s="23"/>
      <c r="D851" s="23"/>
      <c r="E851" s="24"/>
      <c r="F851" s="24"/>
      <c r="G851" s="24"/>
      <c r="H851" s="24"/>
      <c r="I851" s="24"/>
      <c r="J851" s="24"/>
      <c r="K851" s="24"/>
      <c r="L851" s="24"/>
      <c r="M851" s="24"/>
    </row>
    <row r="852" spans="1:13" s="5" customFormat="1" ht="25.5" customHeight="1">
      <c r="A852" s="22"/>
      <c r="B852" s="23"/>
      <c r="C852" s="23"/>
      <c r="D852" s="23"/>
      <c r="E852" s="24"/>
      <c r="F852" s="24"/>
      <c r="G852" s="24"/>
      <c r="H852" s="24"/>
      <c r="I852" s="24"/>
      <c r="J852" s="24"/>
      <c r="K852" s="24"/>
      <c r="L852" s="24"/>
      <c r="M852" s="24"/>
    </row>
    <row r="853" spans="1:13" s="5" customFormat="1" ht="25.5" customHeight="1">
      <c r="A853" s="22"/>
      <c r="B853" s="23"/>
      <c r="C853" s="23"/>
      <c r="D853" s="23"/>
      <c r="E853" s="24"/>
      <c r="F853" s="24"/>
      <c r="G853" s="24"/>
      <c r="H853" s="24"/>
      <c r="I853" s="24"/>
      <c r="J853" s="24"/>
      <c r="K853" s="24"/>
      <c r="L853" s="24"/>
      <c r="M853" s="24"/>
    </row>
    <row r="854" spans="1:13" s="5" customFormat="1" ht="25.5" customHeight="1">
      <c r="A854" s="22"/>
      <c r="B854" s="23"/>
      <c r="C854" s="23"/>
      <c r="D854" s="23"/>
      <c r="E854" s="24"/>
      <c r="F854" s="24"/>
      <c r="G854" s="24"/>
      <c r="H854" s="24"/>
      <c r="I854" s="24"/>
      <c r="J854" s="24"/>
      <c r="K854" s="24"/>
      <c r="L854" s="24"/>
      <c r="M854" s="24"/>
    </row>
    <row r="855" spans="1:13" s="5" customFormat="1" ht="25.5" customHeight="1">
      <c r="A855" s="22"/>
      <c r="B855" s="23"/>
      <c r="C855" s="23"/>
      <c r="D855" s="23"/>
      <c r="E855" s="24"/>
      <c r="F855" s="24"/>
      <c r="G855" s="24"/>
      <c r="H855" s="24"/>
      <c r="I855" s="24"/>
      <c r="J855" s="24"/>
      <c r="K855" s="24"/>
      <c r="L855" s="24"/>
      <c r="M855" s="24"/>
    </row>
    <row r="856" spans="1:13" s="5" customFormat="1" ht="25.5" customHeight="1">
      <c r="A856" s="22"/>
      <c r="B856" s="23"/>
      <c r="C856" s="23"/>
      <c r="D856" s="23"/>
      <c r="E856" s="24"/>
      <c r="F856" s="24"/>
      <c r="G856" s="24"/>
      <c r="H856" s="24"/>
      <c r="I856" s="24"/>
      <c r="J856" s="24"/>
      <c r="K856" s="24"/>
      <c r="L856" s="24"/>
      <c r="M856" s="24"/>
    </row>
    <row r="857" spans="1:13" s="5" customFormat="1" ht="25.5" customHeight="1">
      <c r="A857" s="22"/>
      <c r="B857" s="23"/>
      <c r="C857" s="23"/>
      <c r="D857" s="23"/>
      <c r="E857" s="24"/>
      <c r="F857" s="24"/>
      <c r="G857" s="24"/>
      <c r="H857" s="24"/>
      <c r="I857" s="24"/>
      <c r="J857" s="24"/>
      <c r="K857" s="24"/>
      <c r="L857" s="24"/>
      <c r="M857" s="24"/>
    </row>
    <row r="858" spans="1:13" s="5" customFormat="1" ht="25.5" customHeight="1">
      <c r="A858" s="22"/>
      <c r="B858" s="23"/>
      <c r="C858" s="23"/>
      <c r="D858" s="23"/>
      <c r="E858" s="24"/>
      <c r="F858" s="24"/>
      <c r="G858" s="24"/>
      <c r="H858" s="24"/>
      <c r="I858" s="24"/>
      <c r="J858" s="24"/>
      <c r="K858" s="24"/>
      <c r="L858" s="24"/>
      <c r="M858" s="24"/>
    </row>
    <row r="859" spans="1:13" s="5" customFormat="1" ht="25.5" customHeight="1">
      <c r="A859" s="22"/>
      <c r="B859" s="23"/>
      <c r="C859" s="23"/>
      <c r="D859" s="23"/>
      <c r="E859" s="24"/>
      <c r="F859" s="24"/>
      <c r="G859" s="24"/>
      <c r="H859" s="24"/>
      <c r="I859" s="24"/>
      <c r="J859" s="24"/>
      <c r="K859" s="24"/>
      <c r="L859" s="24"/>
      <c r="M859" s="24"/>
    </row>
    <row r="860" spans="1:13" s="5" customFormat="1" ht="25.5" customHeight="1">
      <c r="A860" s="22"/>
      <c r="B860" s="23"/>
      <c r="C860" s="23"/>
      <c r="D860" s="23"/>
      <c r="E860" s="24"/>
      <c r="F860" s="24"/>
      <c r="G860" s="24"/>
      <c r="H860" s="24"/>
      <c r="I860" s="24"/>
      <c r="J860" s="24"/>
      <c r="K860" s="24"/>
      <c r="L860" s="24"/>
      <c r="M860" s="24"/>
    </row>
    <row r="861" spans="1:13" s="5" customFormat="1" ht="25.5" customHeight="1">
      <c r="A861" s="22"/>
      <c r="B861" s="23"/>
      <c r="C861" s="23"/>
      <c r="D861" s="23"/>
      <c r="E861" s="24"/>
      <c r="F861" s="24"/>
      <c r="G861" s="24"/>
      <c r="H861" s="24"/>
      <c r="I861" s="24"/>
      <c r="J861" s="24"/>
      <c r="K861" s="24"/>
      <c r="L861" s="24"/>
      <c r="M861" s="24"/>
    </row>
    <row r="862" spans="1:13" s="5" customFormat="1" ht="25.5" customHeight="1">
      <c r="A862" s="22"/>
      <c r="B862" s="23"/>
      <c r="C862" s="23"/>
      <c r="D862" s="23"/>
      <c r="E862" s="24"/>
      <c r="F862" s="24"/>
      <c r="G862" s="24"/>
      <c r="H862" s="24"/>
      <c r="I862" s="24"/>
      <c r="J862" s="24"/>
      <c r="K862" s="24"/>
      <c r="L862" s="24"/>
      <c r="M862" s="24"/>
    </row>
    <row r="863" spans="1:13" s="5" customFormat="1" ht="25.5" customHeight="1">
      <c r="A863" s="22"/>
      <c r="B863" s="23"/>
      <c r="C863" s="23"/>
      <c r="D863" s="23"/>
      <c r="E863" s="24"/>
      <c r="F863" s="24"/>
      <c r="G863" s="24"/>
      <c r="H863" s="24"/>
      <c r="I863" s="24"/>
      <c r="J863" s="24"/>
      <c r="K863" s="24"/>
      <c r="L863" s="24"/>
      <c r="M863" s="24"/>
    </row>
    <row r="864" spans="1:13" s="5" customFormat="1" ht="25.5" customHeight="1">
      <c r="A864" s="22"/>
      <c r="B864" s="23"/>
      <c r="C864" s="23"/>
      <c r="D864" s="23"/>
      <c r="E864" s="24"/>
      <c r="F864" s="24"/>
      <c r="G864" s="24"/>
      <c r="H864" s="24"/>
      <c r="I864" s="24"/>
      <c r="J864" s="24"/>
      <c r="K864" s="24"/>
      <c r="L864" s="24"/>
      <c r="M864" s="24"/>
    </row>
    <row r="865" spans="1:13" s="5" customFormat="1" ht="25.5" customHeight="1">
      <c r="A865" s="22"/>
      <c r="B865" s="23"/>
      <c r="C865" s="23"/>
      <c r="D865" s="23"/>
      <c r="E865" s="24"/>
      <c r="F865" s="24"/>
      <c r="G865" s="24"/>
      <c r="H865" s="24"/>
      <c r="I865" s="24"/>
      <c r="J865" s="24"/>
      <c r="K865" s="24"/>
      <c r="L865" s="24"/>
      <c r="M865" s="24"/>
    </row>
    <row r="866" spans="1:13" s="5" customFormat="1" ht="25.5" customHeight="1">
      <c r="A866" s="22"/>
      <c r="B866" s="23"/>
      <c r="C866" s="23"/>
      <c r="D866" s="23"/>
      <c r="E866" s="24"/>
      <c r="F866" s="24"/>
      <c r="G866" s="24"/>
      <c r="H866" s="24"/>
      <c r="I866" s="24"/>
      <c r="J866" s="24"/>
      <c r="K866" s="24"/>
      <c r="L866" s="24"/>
      <c r="M866" s="24"/>
    </row>
    <row r="867" spans="1:13" s="5" customFormat="1" ht="25.5" customHeight="1">
      <c r="A867" s="22"/>
      <c r="B867" s="23"/>
      <c r="C867" s="23"/>
      <c r="D867" s="23"/>
      <c r="E867" s="24"/>
      <c r="F867" s="24"/>
      <c r="G867" s="24"/>
      <c r="H867" s="24"/>
      <c r="I867" s="24"/>
      <c r="J867" s="24"/>
      <c r="K867" s="24"/>
      <c r="L867" s="24"/>
      <c r="M867" s="24"/>
    </row>
    <row r="868" spans="1:13" s="5" customFormat="1" ht="25.5" customHeight="1">
      <c r="A868" s="22"/>
      <c r="B868" s="23"/>
      <c r="C868" s="23"/>
      <c r="D868" s="23"/>
      <c r="E868" s="24"/>
      <c r="F868" s="24"/>
      <c r="G868" s="24"/>
      <c r="H868" s="24"/>
      <c r="I868" s="24"/>
      <c r="J868" s="24"/>
      <c r="K868" s="24"/>
      <c r="L868" s="24"/>
      <c r="M868" s="24"/>
    </row>
    <row r="869" spans="1:13" s="5" customFormat="1" ht="25.5" customHeight="1">
      <c r="A869" s="22"/>
      <c r="B869" s="23"/>
      <c r="C869" s="23"/>
      <c r="D869" s="23"/>
      <c r="E869" s="24"/>
      <c r="F869" s="24"/>
      <c r="G869" s="24"/>
      <c r="H869" s="24"/>
      <c r="I869" s="24"/>
      <c r="J869" s="24"/>
      <c r="K869" s="24"/>
      <c r="L869" s="24"/>
      <c r="M869" s="24"/>
    </row>
    <row r="870" spans="1:13" s="5" customFormat="1" ht="25.5" customHeight="1">
      <c r="A870" s="22"/>
      <c r="B870" s="23"/>
      <c r="C870" s="23"/>
      <c r="D870" s="23"/>
      <c r="E870" s="24"/>
      <c r="F870" s="24"/>
      <c r="G870" s="24"/>
      <c r="H870" s="24"/>
      <c r="I870" s="24"/>
      <c r="J870" s="24"/>
      <c r="K870" s="24"/>
      <c r="L870" s="24"/>
      <c r="M870" s="24"/>
    </row>
    <row r="871" spans="1:13" s="5" customFormat="1" ht="25.5" customHeight="1">
      <c r="A871" s="22"/>
      <c r="B871" s="23"/>
      <c r="C871" s="23"/>
      <c r="D871" s="23"/>
      <c r="E871" s="24"/>
      <c r="F871" s="24"/>
      <c r="G871" s="24"/>
      <c r="H871" s="24"/>
      <c r="I871" s="24"/>
      <c r="J871" s="24"/>
      <c r="K871" s="24"/>
      <c r="L871" s="24"/>
      <c r="M871" s="24"/>
    </row>
    <row r="872" spans="1:13" s="5" customFormat="1" ht="25.5" customHeight="1">
      <c r="A872" s="22"/>
      <c r="B872" s="23"/>
      <c r="C872" s="23"/>
      <c r="D872" s="23"/>
      <c r="E872" s="24"/>
      <c r="F872" s="24"/>
      <c r="G872" s="24"/>
      <c r="H872" s="24"/>
      <c r="I872" s="24"/>
      <c r="J872" s="24"/>
      <c r="K872" s="24"/>
      <c r="L872" s="24"/>
      <c r="M872" s="24"/>
    </row>
    <row r="873" spans="1:13" s="5" customFormat="1" ht="25.5" customHeight="1">
      <c r="A873" s="22"/>
      <c r="B873" s="23"/>
      <c r="C873" s="23"/>
      <c r="D873" s="23"/>
      <c r="E873" s="24"/>
      <c r="F873" s="24"/>
      <c r="G873" s="24"/>
      <c r="H873" s="24"/>
      <c r="I873" s="24"/>
      <c r="J873" s="24"/>
      <c r="K873" s="24"/>
      <c r="L873" s="24"/>
      <c r="M873" s="24"/>
    </row>
    <row r="874" spans="1:13" s="5" customFormat="1" ht="25.5" customHeight="1">
      <c r="A874" s="22"/>
      <c r="B874" s="23"/>
      <c r="C874" s="23"/>
      <c r="D874" s="23"/>
      <c r="E874" s="24"/>
      <c r="F874" s="24"/>
      <c r="G874" s="24"/>
      <c r="H874" s="24"/>
      <c r="I874" s="24"/>
      <c r="J874" s="24"/>
      <c r="K874" s="24"/>
      <c r="L874" s="24"/>
      <c r="M874" s="24"/>
    </row>
    <row r="875" spans="1:13" s="5" customFormat="1" ht="25.5" customHeight="1">
      <c r="A875" s="22"/>
      <c r="B875" s="23"/>
      <c r="C875" s="23"/>
      <c r="D875" s="23"/>
      <c r="E875" s="24"/>
      <c r="F875" s="24"/>
      <c r="G875" s="24"/>
      <c r="H875" s="24"/>
      <c r="I875" s="24"/>
      <c r="J875" s="24"/>
      <c r="K875" s="24"/>
      <c r="L875" s="24"/>
      <c r="M875" s="24"/>
    </row>
    <row r="876" spans="1:13" s="5" customFormat="1" ht="25.5" customHeight="1">
      <c r="A876" s="22"/>
      <c r="B876" s="23"/>
      <c r="C876" s="23"/>
      <c r="D876" s="23"/>
      <c r="E876" s="24"/>
      <c r="F876" s="24"/>
      <c r="G876" s="24"/>
      <c r="H876" s="24"/>
      <c r="I876" s="24"/>
      <c r="J876" s="24"/>
      <c r="K876" s="24"/>
      <c r="L876" s="24"/>
      <c r="M876" s="24"/>
    </row>
    <row r="877" spans="1:13" s="5" customFormat="1" ht="25.5" customHeight="1">
      <c r="A877" s="22"/>
      <c r="B877" s="23"/>
      <c r="C877" s="23"/>
      <c r="D877" s="23"/>
      <c r="E877" s="24"/>
      <c r="F877" s="24"/>
      <c r="G877" s="24"/>
      <c r="H877" s="24"/>
      <c r="I877" s="24"/>
      <c r="J877" s="24"/>
      <c r="K877" s="24"/>
      <c r="L877" s="24"/>
      <c r="M877" s="24"/>
    </row>
    <row r="878" spans="1:13" s="5" customFormat="1" ht="25.5" customHeight="1">
      <c r="A878" s="22"/>
      <c r="B878" s="23"/>
      <c r="C878" s="23"/>
      <c r="D878" s="23"/>
      <c r="E878" s="24"/>
      <c r="F878" s="24"/>
      <c r="G878" s="24"/>
      <c r="H878" s="24"/>
      <c r="I878" s="24"/>
      <c r="J878" s="24"/>
      <c r="K878" s="24"/>
      <c r="L878" s="24"/>
      <c r="M878" s="24"/>
    </row>
    <row r="879" spans="1:13" s="5" customFormat="1" ht="25.5" customHeight="1">
      <c r="A879" s="22"/>
      <c r="B879" s="23"/>
      <c r="C879" s="23"/>
      <c r="D879" s="23"/>
      <c r="E879" s="24"/>
      <c r="F879" s="24"/>
      <c r="G879" s="24"/>
      <c r="H879" s="24"/>
      <c r="I879" s="24"/>
      <c r="J879" s="24"/>
      <c r="K879" s="24"/>
      <c r="L879" s="24"/>
      <c r="M879" s="24"/>
    </row>
    <row r="880" spans="1:13" s="5" customFormat="1" ht="25.5" customHeight="1">
      <c r="A880" s="22"/>
      <c r="B880" s="23"/>
      <c r="C880" s="23"/>
      <c r="D880" s="23"/>
      <c r="E880" s="24"/>
      <c r="F880" s="24"/>
      <c r="G880" s="24"/>
      <c r="H880" s="24"/>
      <c r="I880" s="24"/>
      <c r="J880" s="24"/>
      <c r="K880" s="24"/>
      <c r="L880" s="24"/>
      <c r="M880" s="24"/>
    </row>
    <row r="881" spans="1:13" s="5" customFormat="1" ht="25.5" customHeight="1">
      <c r="A881" s="22"/>
      <c r="B881" s="23"/>
      <c r="C881" s="23"/>
      <c r="D881" s="23"/>
      <c r="E881" s="24"/>
      <c r="F881" s="24"/>
      <c r="G881" s="24"/>
      <c r="H881" s="24"/>
      <c r="I881" s="24"/>
      <c r="J881" s="24"/>
      <c r="K881" s="24"/>
      <c r="L881" s="24"/>
      <c r="M881" s="24"/>
    </row>
    <row r="882" spans="1:13" s="5" customFormat="1" ht="25.5" customHeight="1">
      <c r="A882" s="22"/>
      <c r="B882" s="23"/>
      <c r="C882" s="23"/>
      <c r="D882" s="23"/>
      <c r="E882" s="24"/>
      <c r="F882" s="24"/>
      <c r="G882" s="24"/>
      <c r="H882" s="24"/>
      <c r="I882" s="24"/>
      <c r="J882" s="24"/>
      <c r="K882" s="24"/>
      <c r="L882" s="24"/>
      <c r="M882" s="24"/>
    </row>
    <row r="883" spans="1:13" s="5" customFormat="1" ht="25.5" customHeight="1">
      <c r="A883" s="22"/>
      <c r="B883" s="23"/>
      <c r="C883" s="23"/>
      <c r="D883" s="23"/>
      <c r="E883" s="24"/>
      <c r="F883" s="24"/>
      <c r="G883" s="24"/>
      <c r="H883" s="24"/>
      <c r="I883" s="24"/>
      <c r="J883" s="24"/>
      <c r="K883" s="24"/>
      <c r="L883" s="24"/>
      <c r="M883" s="24"/>
    </row>
  </sheetData>
  <mergeCells count="1">
    <mergeCell ref="A1:M1"/>
  </mergeCells>
  <phoneticPr fontId="27" type="noConversion"/>
  <conditionalFormatting sqref="G4:G883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883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883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114</TotalTime>
  <Pages>2</Pages>
  <Words>0</Words>
  <Characters>0</Characters>
  <Application>Microsoft Excel</Application>
  <DocSecurity>0</DocSecurity>
  <Paragraphs>0</Paragraphs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  <LinksUpToDate>false</LinksUpToDate>
  <CharactersWithSpaces>0</CharactersWithSpaces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revision>53</cp:revision>
  <dcterms:created xsi:type="dcterms:W3CDTF">2026-03-21T16:49:30Z</dcterms:created>
  <dcterms:modified xsi:type="dcterms:W3CDTF">2026-03-22T06:51:23Z</dcterms:modified>
  <dc:language>ko-KR</dc:language>
</cp:coreProperties>
</file>