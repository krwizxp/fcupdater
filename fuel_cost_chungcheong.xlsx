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<sst xmlns="http://schemas.openxmlformats.org/spreadsheetml/2006/main" count="4702" uniqueCount="1765">
  <si>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</si>
  <si>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</si>
  <si>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</si>
  <si>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</si>
  <si>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</si>
  <si>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</si>
  <si>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</si>
  <si>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</si>
  <si>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</si>
  <si>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</si>
  <si>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</si>
  <si>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</si>
  <si>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</si>
  <si>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</si>
  <si>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</si>
  <si>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</si>
  <si>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</si>
  <si>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</si>
  <si>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</si>
  <si>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</si>
  <si>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</si>
  <si>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</si>
  <si>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</si>
  <si>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</si>
  <si>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</si>
  <si>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</si>
  <si>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</si>
  <si>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</si>
  <si>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</si>
  <si>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</si>
  <si>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</si>
  <si>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</si>
  <si>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</si>
  <si>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</si>
  <si>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</si>
  <si>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</si>
  <si>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</si>
  <si>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</si>
  <si>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</si>
  <si>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</si>
  <si>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</si>
  <si>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</si>
  <si>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</si>
  <si>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</si>
  <si>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</si>
  <si>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</si>
  <si>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</si>
  <si>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</si>
  <si>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</si>
  <si>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</si>
  <si>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</si>
  <si>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</si>
  <si>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</si>
  <si>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</si>
  <si>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</si>
  <si>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</si>
  <si>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</si>
  <si>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</si>
  <si>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</si>
  <si>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</si>
  <si>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</si>
  <si>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</si>
  <si>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</si>
  <si>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</si>
  <si>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</si>
  <si>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</si>
  <si>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</si>
  <si>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</si>
  <si>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</si>
  <si>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</si>
  <si>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</si>
  <si>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</si>
  <si>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</si>
  <si>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</si>
  <si>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</si>
  <si>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</si>
  <si>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</si>
  <si>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</si>
  <si>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</si>
  <si>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</si>
  <si>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</si>
  <si>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</si>
  <si>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</si>
  <si>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</si>
  <si>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</si>
  <si>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</si>
  <si>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</si>
  <si>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</si>
  <si>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</si>
  <si>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</si>
  <si>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</si>
  <si>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</si>
  <si>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</si>
  <si>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</si>
  <si>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</si>
  <si>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</si>
  <si>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</si>
  <si>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</si>
  <si>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</si>
  <si>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</si>
  <si>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</si>
  <si>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</si>
  <si>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</si>
  <si>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</si>
  <si>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</si>
  <si>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</si>
  <si>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</si>
  <si>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</si>
  <si>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</si>
  <si>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</si>
  <si>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</si>
  <si>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</si>
  <si>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</si>
  <si>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</si>
  <si>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</si>
  <si>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</si>
  <si>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</si>
  <si>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</si>
  <si>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</si>
  <si>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</si>
  <si>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</si>
  <si>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</si>
  <si>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</si>
  <si>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</si>
  <si>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</si>
  <si>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</si>
  <si>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</si>
  <si>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</si>
  <si>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</si>
  <si>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</si>
  <si>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</si>
  <si>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</si>
  <si>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</si>
  <si>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</si>
  <si>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</si>
  <si>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</si>
  <si>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</si>
  <si>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</si>
  <si>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</si>
  <si>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</si>
  <si>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</si>
  <si>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</si>
  <si>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</si>
  <si>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</si>
  <si>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</si>
  <si>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</si>
  <si>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</si>
  <si>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</si>
  <si>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</si>
  <si>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</si>
  <si>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</si>
  <si>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</si>
  <si>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</si>
  <si>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</si>
  <si>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</si>
  <si>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</si>
  <si>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</si>
  <si>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</si>
  <si>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</si>
  <si>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</si>
  <si>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</si>
  <si>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</si>
  <si>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</si>
  <si>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</si>
  <si>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</si>
  <si>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</si>
  <si>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</si>
  <si>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</si>
  <si>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</si>
  <si>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</si>
  <si>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</si>
  <si>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</si>
  <si>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</si>
  <si>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</si>
  <si>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</si>
  <si>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</si>
  <si>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</si>
  <si>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</si>
  <si>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</si>
  <si>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</si>
  <si>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</si>
  <si>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</si>
  <si>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</si>
  <si>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</si>
  <si>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</si>
  <si>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</si>
  <si>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</si>
  <si>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</si>
  <si>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</si>
  <si>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</si>
  <si>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</si>
  <si>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</si>
  <si>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</si>
  <si>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</si>
  <si>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</si>
  <si>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</si>
  <si>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</si>
  <si>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</si>
  <si>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</si>
  <si>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</si>
  <si>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</si>
  <si>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</si>
  <si>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</si>
  <si>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</si>
  <si>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</si>
  <si>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</si>
  <si>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</si>
  <si>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</si>
  <si>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</si>
  <si>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</si>
  <si>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</si>
  <si>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</si>
  <si>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</si>
  <si>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</si>
  <si>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</si>
  <si>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</si>
  <si>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</si>
  <si>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</si>
  <si>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</si>
  <si>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</si>
  <si>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</si>
  <si>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</si>
  <si>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</si>
  <si>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</si>
  <si>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</si>
  <si>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</si>
  <si>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</si>
  <si>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</si>
  <si>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</si>
  <si>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</si>
  <si>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</si>
  <si>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</si>
  <si>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</si>
  <si>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</si>
  <si>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</si>
  <si>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</si>
  <si>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</si>
  <si>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</si>
  <si>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</si>
  <si>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</si>
  <si>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</si>
  <si>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</si>
  <si>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</si>
  <si>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</si>
  <si>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</si>
  <si>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</si>
  <si>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</si>
  <si>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</si>
  <si>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</si>
  <si>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</si>
  <si>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</si>
  <si>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</si>
  <si>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</si>
  <si>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</si>
  <si>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</si>
  <si>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</si>
  <si>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</si>
  <si>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</si>
  <si>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</si>
  <si>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</si>
  <si>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</si>
  <si>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</si>
  <si>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</si>
  <si>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</si>
  <si>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</si>
  <si>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</si>
  <si>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</si>
  <si>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</si>
  <si>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</si>
  <si>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</si>
  <si>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</si>
  <si>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</si>
  <si>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</si>
  <si>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</si>
  <si>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</si>
  <si>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</si>
  <si>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</si>
  <si>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</si>
  <si>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</si>
  <si>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</si>
  <si>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</si>
  <si>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</si>
  <si>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</si>
  <si>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</si>
  <si>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</si>
  <si>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</si>
  <si>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</si>
  <si>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</si>
  <si>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</si>
  <si>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</si>
  <si>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</si>
  <si>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</si>
  <si>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</si>
  <si>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</si>
  <si>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</si>
  <si>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</si>
  <si>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</si>
  <si>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</si>
  <si>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</si>
  <si>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</si>
  <si>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</si>
  <si>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</si>
  <si>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</si>
  <si>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</si>
  <si>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</si>
  <si>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</si>
  <si>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</si>
  <si>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</si>
  <si>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</si>
  <si>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</si>
  <si>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</si>
  <si>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</si>
  <si>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</si>
  <si>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</si>
  <si>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</si>
  <si>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</si>
  <si>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</si>
  <si>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</si>
  <si>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</si>
  <si>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</si>
  <si>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</si>
  <si>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</si>
  <si>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</si>
  <si>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</si>
  <si>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</si>
  <si>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</si>
  <si>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</si>
  <si>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</si>
  <si>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</si>
  <si>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</si>
  <si>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</si>
  <si>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</si>
  <si>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</si>
  <si>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</si>
  <si>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</si>
  <si>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</si>
  <si>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</si>
  <si>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</si>
  <si>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</si>
  <si>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</si>
  <si>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</si>
  <si>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</si>
  <si>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</si>
  <si>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</si>
  <si>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</si>
  <si>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</si>
  <si>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</si>
  <si>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</si>
  <si>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</si>
  <si>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</si>
  <si>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</si>
  <si>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</si>
  <si>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</si>
  <si>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</si>
  <si>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</si>
  <si>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</si>
  <si>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</si>
  <si>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</si>
  <si>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</si>
  <si>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</si>
  <si>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</si>
  <si>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</si>
  <si>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</si>
  <si>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</si>
  <si>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</si>
  <si>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</si>
  <si>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</si>
  <si>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</si>
  <si>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</si>
  <si>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</si>
  <si>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</si>
  <si>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</si>
  <si>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</si>
  <si>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</si>
  <si>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</si>
  <si>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</si>
  <si>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</si>
  <si>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</si>
  <si>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</si>
  <si>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</si>
  <si>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</si>
  <si>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</si>
  <si>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</si>
  <si>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</si>
  <si>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</si>
  <si>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</si>
  <si>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</si>
  <si>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</si>
  <si>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</si>
  <si>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</si>
  <si>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</si>
  <si>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</si>
  <si>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</si>
  <si>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</si>
  <si>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</si>
  <si>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</si>
  <si>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</si>
  <si>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</si>
  <si>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</si>
  <si>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</si>
  <si>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</si>
  <si>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</si>
  <si>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</si>
  <si>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</si>
  <si>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</si>
  <si>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</si>
  <si>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</si>
  <si>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</si>
  <si>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</si>
  <si>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</si>
  <si>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</si>
  <si>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</si>
  <si>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</si>
  <si>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</si>
  <si>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</si>
  <si>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</si>
  <si>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</si>
  <si>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</si>
  <si>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</si>
  <si>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</si>
  <si>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</si>
  <si>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</si>
  <si>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</si>
  <si>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</si>
  <si>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</si>
  <si>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</si>
  <si>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</si>
  <si>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</si>
  <si>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</si>
  <si>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</si>
  <si>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</si>
  <si>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</si>
  <si>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</si>
  <si>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</si>
  <si>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</si>
  <si>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</si>
  <si>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</si>
  <si>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</si>
  <si>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</si>
  <si>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</si>
  <si>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</si>
  <si>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</si>
  <si>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</si>
  <si>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</si>
  <si>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</si>
  <si>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</si>
  <si>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</si>
  <si>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</si>
  <si>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</si>
  <si>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</si>
  <si>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</si>
  <si>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</si>
  <si>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</si>
  <si>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</si>
  <si>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</si>
  <si>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</si>
  <si>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</si>
  <si>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</si>
  <si>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</si>
  <si>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</si>
  <si>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</si>
  <si>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</si>
  <si>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</si>
  <si>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</si>
  <si>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</si>
  <si>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</si>
  <si>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</si>
  <si>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</si>
  <si>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</si>
  <si>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</si>
  <si>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</si>
  <si>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</si>
  <si>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</si>
  <si>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</si>
  <si>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</si>
  <si>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</si>
  <si>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</si>
  <si>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</si>
  <si>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</si>
  <si>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</si>
  <si>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</si>
  <si>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</si>
  <si>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</si>
  <si>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</si>
  <si>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</si>
  <si>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</si>
  <si>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</si>
  <si>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</si>
  <si>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</si>
  <si>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</si>
  <si>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</si>
  <si>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</si>
  <si>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</si>
  <si>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</si>
  <si>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</si>
  <si>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</si>
  <si>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</si>
  <si>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</si>
  <si>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</si>
  <si>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</si>
  <si>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</si>
  <si>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</si>
  <si>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</si>
  <si>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</si>
  <si>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</si>
  <si>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</si>
  <si>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</si>
  <si>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</si>
  <si>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</si>
  <si>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</si>
  <si>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</si>
  <si>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</si>
  <si>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</si>
  <si>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</si>
  <si>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</si>
  <si>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</si>
  <si>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</si>
  <si>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</si>
  <si>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</si>
  <si>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</si>
  <si>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</si>
  <si>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</si>
  <si>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</si>
  <si>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</si>
  <si>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</si>
  <si>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</si>
  <si>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</si>
  <si>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</si>
  <si>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</si>
  <si>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</si>
  <si>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</si>
  <si>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</si>
  <si>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</si>
  <si>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</si>
  <si>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</si>
  <si>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</si>
  <si>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</si>
  <si>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</si>
  <si>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</si>
  <si>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</si>
  <si>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</si>
  <si>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</si>
  <si>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</si>
  <si>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</si>
  <si>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</si>
  <si>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</si>
  <si>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</si>
  <si>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</si>
  <si>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</si>
  <si>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</si>
  <si>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</si>
  <si>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</si>
  <si>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</si>
  <si>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</si>
  <si>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</si>
  <si>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</si>
  <si>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</si>
  <si>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</si>
  <si>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</si>
  <si>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</si>
  <si>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</si>
  <si>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</si>
  <si>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</si>
  <si>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</si>
  <si>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</si>
  <si>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</si>
  <si>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</si>
  <si>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</si>
  <si>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</si>
  <si>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</si>
  <si>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</si>
  <si>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</si>
  <si>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</si>
  <si>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</si>
  <si>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</si>
  <si>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</si>
  <si>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</si>
  <si>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</si>
  <si>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</si>
  <si>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</si>
  <si>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</si>
  <si>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</si>
  <si>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</si>
  <si>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</si>
  <si>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</si>
  <si>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</si>
  <si>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</si>
  <si>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</si>
  <si>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</si>
  <si>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</si>
  <si>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</si>
  <si>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</si>
  <si>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</si>
  <si>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</si>
  <si>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</si>
  <si>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</si>
  <si>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</si>
  <si>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</si>
  <si>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</si>
  <si>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</si>
  <si>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</si>
  <si>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</si>
  <si>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</si>
  <si>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</si>
  <si>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</si>
  <si>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</si>
  <si>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</si>
  <si>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</si>
  <si>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</si>
  <si>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</si>
  <si>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</si>
  <si>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</si>
  <si>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</si>
  <si>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</si>
  <si>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</si>
  <si>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</si>
  <si>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</si>
  <si>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</si>
  <si>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</si>
  <si>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</si>
  <si>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</si>
  <si>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</si>
  <si>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</si>
  <si>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</si>
  <si>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</si>
  <si>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</si>
  <si>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</si>
  <si>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</si>
  <si>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</si>
  <si>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</si>
  <si>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</si>
  <si>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</si>
  <si>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</si>
  <si>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</si>
  <si>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</si>
  <si>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</si>
  <si>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</si>
  <si>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</si>
  <si>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</si>
  <si>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</si>
  <si>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</si>
  <si>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</si>
  <si>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</si>
  <si>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</si>
  <si>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</si>
  <si>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</si>
  <si>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</si>
  <si>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</si>
  <si>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</si>
  <si>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</si>
  <si>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</si>
  <si>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</si>
  <si>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</si>
  <si>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</si>
  <si>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</si>
  <si>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</si>
  <si>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</si>
  <si>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</si>
  <si>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</si>
  <si>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</si>
  <si>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</si>
  <si>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</si>
  <si>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</si>
  <si>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</si>
  <si>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</si>
  <si>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</si>
  <si>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</si>
  <si>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</si>
  <si>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</si>
  <si>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</si>
  <si>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</si>
  <si>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</si>
  <si>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</si>
  <si>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</si>
  <si>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</si>
  <si>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</si>
  <si>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</si>
  <si>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</si>
  <si>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</si>
  <si>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</si>
  <si>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</si>
  <si>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</si>
  <si>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</si>
  <si>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</si>
  <si>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</si>
  <si>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</si>
  <si>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</si>
  <si>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</si>
  <si>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</si>
  <si>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</si>
  <si>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</si>
  <si>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</si>
  <si>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</si>
  <si>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</si>
  <si>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</si>
  <si>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</si>
  <si>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</si>
  <si>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</si>
  <si>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</si>
  <si>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</si>
  <si>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</si>
  <si>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</si>
  <si>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</si>
  <si>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</si>
  <si>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</si>
  <si>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</si>
  <si>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</si>
  <si>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</si>
  <si>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</si>
  <si>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</si>
  <si>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</si>
  <si>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</si>
  <si>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</si>
  <si>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</si>
  <si>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</si>
  <si>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</si>
  <si>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</si>
  <si>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</si>
  <si>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</si>
  <si>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</si>
  <si>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</si>
  <si>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</si>
  <si>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</si>
  <si>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</si>
  <si>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</si>
  <si>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</si>
  <si>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</si>
  <si>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</si>
  <si>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</si>
  <si>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</si>
  <si>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</si>
  <si>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</si>
  <si>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</si>
  <si>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</si>
  <si>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</si>
  <si>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</si>
  <si>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</si>
  <si>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</si>
  <si>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</si>
  <si>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</si>
  <si>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</si>
  <si>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</si>
  <si>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</si>
  <si>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</si>
  <si>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</si>
  <si>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</si>
  <si>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</si>
  <si>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</si>
  <si>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</si>
  <si>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</si>
  <si>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</si>
  <si>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</si>
  <si>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</si>
  <si>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</si>
  <si>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</si>
  <si>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</si>
  <si>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</si>
  <si>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</si>
  <si>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</si>
  <si>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</si>
  <si>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</si>
  <si>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</si>
  <si>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</si>
  <si>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</si>
  <si>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</si>
  <si>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</si>
  <si>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</si>
  <si>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</si>
  <si>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</si>
  <si>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</si>
  <si>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</si>
  <si>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</si>
  <si>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</si>
  <si>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</si>
  <si>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</si>
  <si>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</si>
  <si>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</si>
  <si>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</si>
  <si>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</si>
  <si>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</si>
  <si>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</si>
  <si>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</si>
  <si>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</si>
  <si>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</si>
  <si>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</si>
  <si>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</si>
  <si>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</si>
  <si>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</si>
  <si>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</si>
  <si>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</si>
  <si>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</si>
  <si>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</si>
  <si>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</si>
  <si>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</si>
  <si>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</si>
  <si>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</si>
  <si>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</si>
  <si>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</si>
  <si>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</si>
  <si>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</si>
  <si>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</si>
  <si>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</si>
  <si>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</si>
  <si>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</si>
  <si>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</si>
  <si>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</si>
  <si>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</si>
  <si>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</si>
  <si>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</si>
  <si>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</si>
  <si>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</si>
  <si>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</si>
  <si>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</si>
  <si>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</si>
  <si>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</si>
  <si>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</si>
  <si>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</si>
  <si>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</si>
  <si>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</si>
  <si>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</si>
  <si>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</si>
  <si>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</si>
  <si>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</si>
  <si>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</si>
  <si>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</si>
  <si>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</si>
  <si>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</si>
  <si>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</si>
  <si>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</si>
  <si>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</si>
  <si>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</si>
  <si>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</si>
  <si>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</si>
  <si>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</si>
  <si>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</si>
  <si>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</si>
  <si>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</si>
  <si>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</si>
  <si>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</si>
  <si>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</si>
  <si>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</si>
  <si>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</si>
  <si>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</si>
  <si>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</si>
  <si>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</si>
  <si>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</si>
  <si>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</si>
  <si>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</si>
  <si>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</si>
  <si>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</si>
  <si>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</si>
  <si>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</si>
  <si>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</si>
  <si>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</si>
  <si>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</si>
  <si>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</si>
  <si>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</si>
  <si>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</si>
  <si>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</si>
  <si>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</si>
  <si>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</si>
  <si>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</si>
  <si>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</si>
  <si>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</si>
  <si>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</si>
  <si>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</si>
  <si>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</si>
  <si>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</si>
  <si>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</si>
  <si>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</si>
  <si>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</si>
  <si>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</si>
  <si>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</si>
  <si>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</si>
  <si>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</si>
  <si>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</si>
  <si>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</si>
  <si>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</si>
  <si>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</si>
  <si>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</si>
  <si>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</si>
  <si>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</si>
  <si>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</si>
  <si>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</si>
  <si>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</si>
  <si>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</si>
  <si>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</si>
  <si>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</si>
  <si>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</si>
  <si>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</si>
  <si>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</si>
  <si>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</si>
  <si>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</si>
  <si>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</si>
  <si>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</si>
  <si>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</si>
  <si>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</si>
  <si>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</si>
  <si>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</si>
  <si>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</si>
  <si>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</si>
  <si>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</si>
  <si>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</si>
  <si>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</si>
  <si>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</si>
  <si>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</si>
  <si>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</si>
  <si>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</si>
  <si>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</si>
  <si>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</si>
  <si>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</si>
  <si>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</si>
  <si>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</si>
  <si>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</si>
  <si>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</si>
  <si>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</si>
  <si>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</si>
  <si>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</si>
  <si>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</si>
  <si>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</si>
  <si>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</si>
  <si>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</si>
  <si>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</si>
  <si>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</si>
  <si>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</si>
  <si>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</si>
  <si>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</si>
  <si>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</si>
  <si>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</si>
  <si>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</si>
  <si>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</si>
  <si>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</si>
  <si>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</si>
  <si>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</si>
  <si>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</si>
  <si>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</si>
  <si>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</si>
  <si>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</si>
  <si>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</si>
  <si>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</si>
  <si>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</si>
  <si>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</si>
  <si>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</si>
  <si>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</si>
  <si>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</si>
  <si>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</si>
  <si>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</si>
  <si>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</si>
  <si>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</si>
  <si>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</si>
  <si>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</si>
  <si>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</si>
  <si>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</si>
  <si>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</si>
  <si>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</si>
  <si>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</si>
  <si>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</si>
  <si>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</si>
  <si>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</si>
  <si>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</si>
  <si>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</si>
  <si>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</si>
  <si>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</si>
  <si>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</si>
  <si>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</si>
  <si>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</si>
  <si>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</si>
  <si>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</si>
  <si>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</si>
  <si>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</si>
  <si>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</si>
  <si>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</si>
  <si>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</si>
  <si>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</si>
  <si>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</si>
  <si>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</si>
  <si>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</si>
  <si>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</si>
  <si>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</si>
  <si>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</si>
  <si>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</si>
  <si>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</si>
  <si>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</si>
  <si>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</si>
  <si>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</si>
  <si>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</si>
  <si>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</si>
  <si>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</si>
  <si>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</si>
  <si>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</si>
  <si>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</si>
  <si>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</si>
  <si>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</si>
  <si>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</si>
  <si>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</si>
  <si>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</si>
  <si>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</si>
  <si>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</si>
  <si>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</si>
  <si>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</si>
  <si>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</si>
  <si>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</si>
  <si>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</si>
  <si>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</si>
  <si>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</si>
  <si>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</si>
  <si>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</si>
  <si>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</si>
  <si>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</si>
  <si>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</si>
  <si>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</si>
  <si>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</si>
  <si>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</si>
  <si>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</si>
  <si>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</si>
  <si>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</si>
  <si>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</si>
  <si>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</si>
  <si>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</si>
  <si>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</si>
  <si>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</si>
  <si>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</si>
  <si>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</si>
  <si>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</si>
  <si>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</si>
  <si>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</si>
  <si>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</si>
  <si>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</si>
  <si>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</si>
  <si>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</si>
  <si>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</si>
  <si>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</si>
  <si>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</si>
  <si>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</si>
  <si>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</si>
  <si>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</si>
  <si>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</si>
  <si>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</si>
  <si>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</si>
  <si>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</si>
  <si>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</si>
  <si>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</si>
  <si>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</si>
  <si>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</si>
  <si>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</si>
  <si>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</si>
  <si>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</si>
  <si>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</si>
  <si>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</si>
  <si>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</si>
  <si>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</si>
  <si>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</si>
  <si>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</si>
  <si>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</si>
  <si>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</si>
  <si>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</si>
  <si>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</si>
  <si>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</si>
  <si>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</si>
  <si>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</si>
  <si>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</si>
  <si>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</si>
  <si>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</si>
  <si>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</si>
  <si>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</si>
  <si>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</si>
  <si>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</si>
  <si>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</si>
  <si>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</si>
  <si>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</si>
  <si>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</si>
  <si>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</si>
  <si>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</si>
  <si>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</si>
  <si>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</si>
  <si>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</si>
  <si>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</si>
  <si>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</si>
  <si>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</si>
  <si>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</si>
  <si>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</si>
  <si>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</si>
  <si>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</si>
  <si>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</si>
  <si>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</si>
  <si>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</si>
  <si>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</si>
  <si>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</si>
  <si>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</si>
  <si>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</si>
  <si>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</si>
  <si>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</si>
  <si>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</si>
  <si>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</si>
  <si>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</si>
  <si>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</si>
  <si>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</si>
  <si>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</si>
  <si>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</si>
  <si>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</si>
  <si>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</si>
  <si>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</si>
  <si>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</si>
  <si>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</si>
  <si>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</si>
  <si>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</si>
  <si>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</si>
  <si>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</si>
  <si>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</si>
  <si>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</si>
  <si>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</si>
  <si>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</si>
  <si>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</si>
  <si>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</si>
  <si>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</si>
  <si>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</si>
  <si>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</si>
  <si>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</si>
  <si>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</si>
  <si>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</si>
  <si>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</si>
  <si>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</si>
  <si>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</si>
  <si>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</si>
  <si>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</si>
  <si>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</si>
  <si>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</si>
  <si>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</si>
  <si>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</si>
  <si>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</si>
  <si>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</si>
  <si>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</si>
  <si>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</si>
  <si>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</si>
  <si>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</si>
  <si>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</si>
  <si>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</si>
  <si>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</si>
  <si>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</si>
  <si>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</si>
  <si>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</si>
  <si>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</si>
  <si>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</si>
  <si>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</si>
  <si>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</si>
  <si>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</si>
  <si>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</si>
  <si>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</si>
  <si>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</si>
  <si>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</si>
  <si>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</si>
  <si>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</si>
  <si>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</si>
  <si>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</si>
  <si>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</si>
  <si>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</si>
  <si>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</si>
  <si>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</si>
  <si>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</si>
  <si>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</si>
  <si>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</si>
  <si>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</si>
  <si>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</si>
  <si>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</si>
  <si>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</si>
  <si>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</si>
  <si>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</si>
  <si>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</si>
  <si>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</si>
  <si>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</si>
  <si>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</si>
  <si>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</si>
  <si>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</si>
  <si>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</si>
  <si>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</si>
  <si>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</si>
  <si>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</si>
  <si>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</si>
  <si>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</si>
  <si>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</si>
  <si>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</si>
  <si>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</si>
  <si>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</si>
  <si>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</si>
  <si>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</si>
  <si>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</si>
  <si>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</si>
  <si>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</si>
  <si>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</si>
  <si>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</si>
  <si>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</si>
  <si>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</si>
  <si>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</si>
  <si>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</si>
  <si>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</si>
  <si>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</si>
  <si>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</si>
  <si>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</si>
  <si>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</si>
  <si>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</si>
  <si>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</si>
  <si>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</si>
  <si>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</si>
  <si>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</si>
  <si>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</si>
  <si>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</si>
  <si>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</si>
  <si>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</si>
  <si>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</si>
  <si>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</si>
  <si>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</si>
  <si>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</si>
  <si>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</si>
  <si>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</si>
  <si>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</si>
  <si>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</si>
  <si>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</si>
  <si>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</si>
  <si>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</si>
  <si>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</si>
  <si>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</si>
  <si>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</si>
  <si>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</si>
  <si>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</si>
  <si>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</si>
  <si>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</si>
  <si>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</si>
  <si>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</si>
  <si>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</si>
  <si>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</si>
  <si>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</si>
  <si>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</si>
  <si>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</si>
  <si>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</si>
  <si>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</si>
  <si>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</si>
  <si>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</si>
  <si>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</si>
  <si>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</si>
  <si>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</si>
  <si>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</si>
  <si>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</si>
  <si>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</si>
  <si>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</si>
  <si>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</si>
  <si>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</si>
  <si>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</si>
  <si>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</si>
  <si>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</si>
  <si>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</si>
  <si>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</si>
  <si>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</si>
  <si>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</si>
  <si>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</si>
  <si>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</si>
  <si>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</si>
  <si>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</si>
  <si>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</si>
  <si>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</si>
  <si>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</si>
  <si>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</si>
  <si>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</si>
  <si>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</si>
  <si>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</si>
  <si>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</si>
  <si>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</si>
  <si>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</si>
  <si>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</si>
  <si>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</si>
  <si>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</si>
  <si>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</si>
  <si>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</si>
  <si>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</si>
  <si>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</si>
  <si>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</si>
  <si>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</si>
  <si>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</si>
  <si>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</si>
  <si>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</si>
  <si>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</si>
  <si>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</si>
  <si>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</si>
  <si>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</si>
  <si>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</si>
  <si>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</si>
  <si>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</si>
  <si>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</si>
  <si>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</si>
  <si>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</si>
  <si>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</si>
  <si>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</si>
  <si>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</si>
  <si>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</si>
  <si>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</si>
  <si>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</si>
  <si>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</si>
  <si>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</si>
  <si>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</si>
  <si>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</si>
  <si>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</si>
  <si>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</si>
  <si>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</si>
  <si>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</si>
  <si>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</si>
  <si>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</si>
  <si>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</si>
  <si>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</si>
  <si>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</si>
  <si>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</si>
  <si>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</si>
  <si>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</si>
  <si>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</si>
  <si>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</si>
  <si>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</si>
  <si>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</si>
  <si>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</si>
  <si>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</si>
  <si>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</si>
  <si>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</si>
  <si>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</si>
  <si>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</si>
  <si>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</si>
  <si>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</si>
  <si>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</si>
  <si>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</si>
  <si>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</si>
  <si>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</si>
  <si>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</si>
  <si>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</si>
  <si>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</si>
  <si>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</si>
  <si>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</si>
  <si>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</si>
  <si>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</si>
  <si>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</si>
  <si>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</si>
  <si>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</si>
  <si>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</si>
  <si>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</si>
  <si>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</si>
  <si>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</si>
  <si>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</si>
  <si>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</si>
  <si>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</si>
  <si>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</si>
  <si>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</si>
  <si>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</si>
  <si>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</si>
  <si>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</si>
  <si>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</si>
  <si>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</si>
  <si>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</si>
  <si>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</si>
  <si>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</si>
  <si>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</si>
  <si>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</si>
  <si>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</si>
  <si>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</si>
  <si>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</si>
  <si>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</si>
  <si>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</si>
  <si>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</si>
  <si>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</si>
  <si>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</si>
  <si>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</si>
  <si>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</si>
  <si>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</si>
  <si>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</si>
  <si>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</si>
  <si>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</si>
  <si>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</si>
  <si>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</si>
  <si>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</si>
  <si>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</si>
  <si>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</si>
  <si>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</si>
  <si>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</si>
  <si>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</si>
  <si>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</si>
  <si>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</si>
  <si>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</si>
  <si>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</si>
  <si>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</si>
  <si>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</si>
  <si>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</si>
  <si>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</si>
  <si>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</si>
  <si>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</si>
  <si>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</si>
  <si>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</si>
  <si>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</si>
  <si>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</si>
  <si>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</si>
  <si>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</si>
  <si>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</si>
  <si>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</si>
  <si>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</si>
  <si>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</si>
  <si>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</si>
  <si>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</si>
  <si>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</si>
  <si>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</si>
  <si>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</si>
  <si>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</si>
  <si>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</si>
  <si>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</si>
  <si>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</si>
  <si>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</si>
  <si>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</si>
  <si>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</si>
  <si>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</si>
  <si>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</si>
  <si>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</si>
  <si>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</si>
  <si>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</si>
  <si>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</si>
  <si>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</si>
  <si>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</si>
  <si>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</si>
  <si>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</si>
  <si>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</si>
  <si>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</si>
  <si>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</si>
  <si>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</si>
  <si>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</si>
  <si>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</si>
  <si>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</si>
  <si>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</si>
  <si>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</si>
  <si>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</si>
  <si>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</si>
  <si>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</si>
  <si>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</si>
  <si>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</si>
  <si>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</si>
  <si>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</si>
  <si>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</si>
  <si>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</si>
  <si>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</si>
  <si>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</si>
  <si>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</si>
  <si>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</si>
  <si>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</si>
  <si>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</si>
  <si>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</si>
  <si>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</si>
  <si>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</si>
  <si>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</si>
  <si>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</si>
  <si>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</si>
  <si>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</si>
  <si>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</si>
  <si>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</si>
  <si>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</si>
  <si>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</si>
  <si>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</si>
  <si>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</si>
  <si>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</si>
  <si>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</si>
  <si>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</si>
  <si>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</si>
  <si>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</si>
  <si>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</si>
  <si>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</si>
  <si>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</si>
  <si>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</si>
  <si>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</si>
  <si>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</si>
  <si>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</si>
  <si>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</si>
  <si>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</si>
  <si>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</si>
  <si>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</si>
  <si>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</si>
  <si>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</si>
  <si>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</si>
  <si>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</si>
  <si>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</si>
  <si>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</si>
  <si>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</si>
  <si>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</si>
  <si>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</si>
  <si>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</si>
  <si>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</si>
  <si>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</si>
  <si>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</si>
  <si>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</si>
  <si>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</si>
  <si>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</si>
  <si>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</si>
  <si>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</si>
  <si>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</si>
  <si>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</si>
  <si>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</si>
  <si>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</si>
  <si>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</si>
  <si>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</si>
  <si>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</si>
  <si>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</si>
  <si>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</si>
  <si>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</si>
  <si>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</si>
  <si>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</si>
  <si>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</si>
  <si>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</si>
  <si>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</si>
  <si>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</si>
  <si>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</si>
  <si>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</si>
  <si>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</si>
  <si>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</si>
  <si>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</si>
  <si>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</si>
  <si>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</si>
  <si>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</si>
  <si>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</si>
  <si>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</si>
  <si>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</si>
  <si>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</si>
  <si>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</si>
  <si>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</si>
  <si>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</si>
  <si>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</si>
  <si>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</si>
  <si>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</si>
  <si>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</si>
  <si>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</si>
  <si>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</si>
  <si>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</si>
  <si>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</si>
  <si>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</si>
  <si>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</si>
  <si>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</si>
  <si>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</si>
  <si>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</si>
  <si>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</si>
  <si>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</si>
  <si>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</si>
  <si>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</si>
  <si>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</si>
  <si>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</si>
  <si>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</si>
  <si>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</si>
  <si>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</si>
  <si>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</si>
  <si>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</si>
  <si>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</si>
  <si>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</si>
  <si>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</si>
  <si>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</si>
  <si>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</si>
  <si>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</si>
  <si>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</si>
  <si>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</si>
  <si>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</si>
  <si>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</si>
  <si>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</si>
  <si>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</si>
  <si>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</si>
  <si>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</si>
  <si>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</si>
  <si>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</si>
  <si>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</si>
  <si>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</si>
  <si>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</si>
  <si>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</si>
  <si>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</si>
  <si>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</si>
  <si>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</si>
  <si>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</si>
  <si>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</si>
  <si>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</si>
  <si>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</si>
  <si>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</si>
  <si>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</si>
  <si>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</si>
  <si>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</si>
  <si>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</si>
  <si>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</si>
  <si>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</si>
  <si>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</si>
  <si>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</si>
  <si>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</si>
  <si>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</si>
  <si>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</si>
  <si>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</si>
  <si>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</si>
  <si>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</si>
  <si>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</si>
  <si>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</si>
  <si>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</si>
  <si>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</si>
  <si>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</si>
  <si>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</si>
  <si>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</si>
  <si>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</si>
  <si>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</si>
  <si>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</si>
  <si>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</si>
  <si>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</si>
  <si>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</si>
  <si>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</si>
  <si>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</si>
  <si>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</si>
  <si>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</si>
  <si>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</si>
  <si>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</si>
  <si>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</si>
  <si>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</si>
  <si>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</si>
  <si>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</si>
  <si>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</si>
  <si>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</si>
  <si>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</si>
  <si>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</si>
  <si>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</si>
  <si>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</si>
  <si>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</si>
  <si>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</si>
  <si>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</si>
  <si>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</si>
  <si>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</si>
  <si>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</si>
  <si>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</si>
  <si>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</si>
  <si>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</si>
  <si>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</si>
  <si>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</si>
  <si>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</si>
  <si>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</si>
  <si>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</si>
  <si>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</si>
  <si>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</si>
  <si>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</si>
  <si>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</si>
  <si>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</si>
  <si>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</si>
  <si>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</si>
  <si>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</si>
  <si>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</si>
  <si>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</si>
  <si>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</si>
  <si>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</si>
  <si>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</si>
  <si>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</si>
  <si>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</si>
  <si>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</si>
  <si>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</si>
  <si>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</si>
  <si>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</si>
  <si>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</si>
  <si>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</si>
  <si>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</si>
  <si>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</si>
  <si>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</si>
  <si>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</si>
  <si>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</si>
  <si>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</si>
  <si>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</si>
  <si>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</si>
  <si>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</si>
  <si>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</si>
  <si>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</si>
  <si>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</si>
  <si>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</si>
  <si>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</si>
  <si>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</si>
  <si>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</si>
  <si>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</si>
  <si>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</si>
  <si>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</si>
  <si>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</si>
  <si>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</si>
  <si>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</si>
  <si>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</si>
  <si>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</si>
  <si>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</si>
  <si>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</si>
  <si>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</si>
  <si>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</si>
  <si>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</si>
  <si>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</si>
  <si>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</si>
  <si>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</si>
  <si>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</si>
  <si>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</si>
  <si>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</si>
  <si>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</si>
  <si>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</si>
  <si>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</si>
  <si>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</si>
  <si>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</si>
  <si>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</si>
  <si>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</si>
  <si>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</si>
  <si>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</si>
  <si>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</si>
  <si>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</si>
  <si>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</si>
  <si>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</si>
  <si>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</si>
  <si>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</si>
  <si>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</si>
  <si>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</si>
  <si>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</si>
  <si>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</si>
  <si>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</si>
  <si>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</si>
  <si>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</si>
  <si>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</si>
  <si>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</si>
  <si>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</si>
  <si>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</si>
  <si>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</si>
  <si>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</si>
  <si>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</si>
  <si>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</si>
  <si>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</si>
  <si>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</si>
  <si>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</si>
  <si>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</si>
  <si>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</si>
  <si>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</si>
  <si>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</si>
  <si>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</si>
  <si>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</si>
  <si>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</si>
  <si>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</si>
  <si>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</si>
  <si>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</si>
  <si>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</si>
  <si>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</si>
  <si>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</si>
  <si>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</si>
  <si>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</si>
  <si>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</si>
  <si>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</si>
  <si>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</si>
  <si>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</si>
  <si>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</si>
  <si>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</si>
  <si>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</si>
  <si>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</si>
  <si>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</si>
  <si>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</si>
  <si>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</si>
  <si>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</si>
  <si>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</si>
  <si>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</si>
  <si>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</si>
  <si>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</si>
  <si>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</si>
  <si>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</si>
  <si>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</si>
  <si>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</si>
  <si>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</si>
  <si>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</si>
  <si>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</si>
  <si>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</si>
  <si>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</si>
  <si>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</si>
  <si>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</si>
  <si>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</si>
  <si>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</si>
  <si>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현행화 일자: 2026-09-06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</si>
</sst>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725</v>
      </c>
      <c r="D29" s="15" t="s">
        <v>80</v>
      </c>
      <c r="E29" s="11" t="s">
        <v>26</v>
      </c>
      <c r="F29" s="11" t="s">
        <v>726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63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354</v>
      </c>
      <c r="D30" s="15" t="s">
        <v>80</v>
      </c>
      <c r="E30" s="11" t="s">
        <v>26</v>
      </c>
      <c r="F30" s="11" t="s">
        <v>355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63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1676</v>
      </c>
      <c r="D31" s="15" t="s">
        <v>60</v>
      </c>
      <c r="E31" s="11" t="s">
        <v>26</v>
      </c>
      <c r="F31" s="11" t="s">
        <v>1677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63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1015</v>
      </c>
      <c r="D35" s="15" t="s">
        <v>80</v>
      </c>
      <c r="E35" s="11" t="s">
        <v>26</v>
      </c>
      <c r="F35" s="11" t="s">
        <v>1016</v>
      </c>
      <c r="G35" s="12">
        <v>1839</v>
      </c>
      <c r="H35" s="12">
        <v>2308</v>
      </c>
      <c r="I35" s="12"/>
      <c r="J35" s="12">
        <v>1829</v>
      </c>
      <c r="K35" s="12">
        <f t="shared" si="1"/>
        <v>0</v>
      </c>
      <c r="L35" s="12">
        <f t="shared" si="2"/>
        <v>1839</v>
      </c>
      <c r="M35" s="12">
        <f t="shared" si="3"/>
        <v>2308</v>
      </c>
      <c r="N35" s="12">
        <f t="shared" si="4"/>
        <v>1829</v>
      </c>
      <c r="O35" s="12" t="str">
        <f t="shared" si="5"/>
        <v>휘발유 45,975원 / 고급유 46,160원</v>
      </c>
      <c r="P35" s="12">
        <f t="shared" si="6"/>
        <v>92135</v>
      </c>
      <c r="Q35" s="12" t="s">
        <v>63</v>
      </c>
      <c r="R35" s="13">
        <f t="shared" si="7"/>
        <v>0.1</v>
      </c>
      <c r="S35" s="12">
        <f t="shared" si="8"/>
        <v>9213</v>
      </c>
      <c r="T35" s="12">
        <f t="shared" si="9"/>
        <v>82922</v>
      </c>
      <c r="U35" s="12">
        <f t="shared" si="10"/>
        <v>1842.7111111111112</v>
      </c>
      <c r="V35" s="12">
        <f t="shared" si="11"/>
        <v>2047.4444444444443</v>
      </c>
      <c r="W35" s="14">
        <f t="shared" si="12"/>
        <v>82922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1021</v>
      </c>
      <c r="D36" s="15" t="s">
        <v>60</v>
      </c>
      <c r="E36" s="11" t="s">
        <v>26</v>
      </c>
      <c r="F36" s="11" t="s">
        <v>1022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63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767</v>
      </c>
      <c r="D37" s="15" t="s">
        <v>45</v>
      </c>
      <c r="E37" s="11" t="s">
        <v>26</v>
      </c>
      <c r="F37" s="11" t="s">
        <v>768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63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1338</v>
      </c>
      <c r="D38" s="15" t="s">
        <v>80</v>
      </c>
      <c r="E38" s="11" t="s">
        <v>26</v>
      </c>
      <c r="F38" s="11" t="s">
        <v>1339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63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1175</v>
      </c>
      <c r="D56" s="15" t="s">
        <v>60</v>
      </c>
      <c r="E56" s="11" t="s">
        <v>26</v>
      </c>
      <c r="F56" s="11" t="s">
        <v>1176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338</v>
      </c>
      <c r="D57" s="15" t="s">
        <v>60</v>
      </c>
      <c r="E57" s="11" t="s">
        <v>26</v>
      </c>
      <c r="F57" s="11" t="s">
        <v>339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810</v>
      </c>
      <c r="D58" s="15" t="s">
        <v>60</v>
      </c>
      <c r="E58" s="11" t="s">
        <v>26</v>
      </c>
      <c r="F58" s="11" t="s">
        <v>811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747</v>
      </c>
      <c r="D59" s="11" t="s">
        <v>57</v>
      </c>
      <c r="E59" s="11" t="s">
        <v>26</v>
      </c>
      <c r="F59" s="11" t="s">
        <v>748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1712</v>
      </c>
      <c r="D60" s="15" t="s">
        <v>45</v>
      </c>
      <c r="E60" s="11" t="s">
        <v>26</v>
      </c>
      <c r="F60" s="11" t="s">
        <v>1713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320</v>
      </c>
      <c r="D61" s="15" t="s">
        <v>45</v>
      </c>
      <c r="E61" s="11" t="s">
        <v>26</v>
      </c>
      <c r="F61" s="11" t="s">
        <v>321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1336</v>
      </c>
      <c r="D62" s="15" t="s">
        <v>45</v>
      </c>
      <c r="E62" s="11" t="s">
        <v>26</v>
      </c>
      <c r="F62" s="11" t="s">
        <v>1337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1517</v>
      </c>
      <c r="D63" s="15" t="s">
        <v>45</v>
      </c>
      <c r="E63" s="11" t="s">
        <v>26</v>
      </c>
      <c r="F63" s="11" t="s">
        <v>1518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16" customFormat="1" ht="28.5" customHeight="1">
      <c r="A64" s="11">
        <f t="shared" si="0"/>
        <v>50</v>
      </c>
      <c r="B64" s="11" t="s">
        <v>6</v>
      </c>
      <c r="C64" s="11" t="s">
        <v>888</v>
      </c>
      <c r="D64" s="15" t="s">
        <v>45</v>
      </c>
      <c r="E64" s="11" t="s">
        <v>26</v>
      </c>
      <c r="F64" s="11" t="s">
        <v>889</v>
      </c>
      <c r="G64" s="12">
        <v>1818</v>
      </c>
      <c r="H64" s="12">
        <v>2239</v>
      </c>
      <c r="I64" s="12"/>
      <c r="J64" s="12">
        <v>1799</v>
      </c>
      <c r="K64" s="12">
        <f t="shared" si="1"/>
        <v>0</v>
      </c>
      <c r="L64" s="12">
        <f t="shared" si="2"/>
        <v>1818</v>
      </c>
      <c r="M64" s="12">
        <f t="shared" si="3"/>
        <v>2239</v>
      </c>
      <c r="N64" s="12">
        <f t="shared" si="4"/>
        <v>1799</v>
      </c>
      <c r="O64" s="12" t="str">
        <f t="shared" si="5"/>
        <v>휘발유 45,450원 / 고급유 44,780원</v>
      </c>
      <c r="P64" s="12">
        <f t="shared" si="6"/>
        <v>90230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90230</v>
      </c>
      <c r="U64" s="12">
        <f t="shared" si="10"/>
        <v>2005.1111111111111</v>
      </c>
      <c r="V64" s="12">
        <f t="shared" si="11"/>
        <v>2005.1111111111111</v>
      </c>
      <c r="W64" s="14">
        <f t="shared" si="12"/>
        <v>90230</v>
      </c>
    </row>
    <row r="65" spans="1:23" s="16" customFormat="1" ht="28.5" customHeight="1">
      <c r="A65" s="11">
        <f t="shared" si="0"/>
        <v>51</v>
      </c>
      <c r="B65" s="11" t="s">
        <v>16</v>
      </c>
      <c r="C65" s="11" t="s">
        <v>651</v>
      </c>
      <c r="D65" s="11" t="s">
        <v>57</v>
      </c>
      <c r="E65" s="11" t="s">
        <v>26</v>
      </c>
      <c r="F65" s="11" t="s">
        <v>652</v>
      </c>
      <c r="G65" s="12">
        <v>1859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1859</v>
      </c>
      <c r="M65" s="12">
        <f t="shared" si="3"/>
        <v>2190</v>
      </c>
      <c r="N65" s="12">
        <f t="shared" si="4"/>
        <v>1819</v>
      </c>
      <c r="O65" s="12" t="str">
        <f t="shared" si="5"/>
        <v>휘발유 46,475원 / 고급유 43,800원</v>
      </c>
      <c r="P65" s="12">
        <f t="shared" si="6"/>
        <v>90275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90275</v>
      </c>
      <c r="U65" s="12">
        <f t="shared" si="10"/>
        <v>2006.1111111111111</v>
      </c>
      <c r="V65" s="12">
        <f t="shared" si="11"/>
        <v>2006.1111111111111</v>
      </c>
      <c r="W65" s="14">
        <f t="shared" si="12"/>
        <v>90275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52</v>
      </c>
      <c r="D66" s="15" t="s">
        <v>45</v>
      </c>
      <c r="E66" s="11" t="s">
        <v>26</v>
      </c>
      <c r="F66" s="11" t="s">
        <v>53</v>
      </c>
      <c r="G66" s="12">
        <v>1807</v>
      </c>
      <c r="H66" s="12">
        <v>2256</v>
      </c>
      <c r="I66" s="12"/>
      <c r="J66" s="12">
        <v>1787</v>
      </c>
      <c r="K66" s="12">
        <f t="shared" si="1"/>
        <v>0</v>
      </c>
      <c r="L66" s="12">
        <f t="shared" si="2"/>
        <v>1807</v>
      </c>
      <c r="M66" s="12">
        <f t="shared" si="3"/>
        <v>2256</v>
      </c>
      <c r="N66" s="12">
        <f t="shared" si="4"/>
        <v>1787</v>
      </c>
      <c r="O66" s="12" t="str">
        <f t="shared" si="5"/>
        <v>휘발유 45,175원 / 고급유 45,120원</v>
      </c>
      <c r="P66" s="12">
        <f t="shared" si="6"/>
        <v>90295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90295</v>
      </c>
      <c r="U66" s="12">
        <f t="shared" si="10"/>
        <v>2006.5555555555557</v>
      </c>
      <c r="V66" s="12">
        <f t="shared" si="11"/>
        <v>2006.5555555555557</v>
      </c>
      <c r="W66" s="14">
        <f t="shared" si="12"/>
        <v>90295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563</v>
      </c>
      <c r="D67" s="15" t="s">
        <v>45</v>
      </c>
      <c r="E67" s="11" t="s">
        <v>26</v>
      </c>
      <c r="F67" s="11" t="s">
        <v>564</v>
      </c>
      <c r="G67" s="12">
        <v>1824</v>
      </c>
      <c r="H67" s="12">
        <v>2235</v>
      </c>
      <c r="I67" s="12"/>
      <c r="J67" s="12">
        <v>1814</v>
      </c>
      <c r="K67" s="12">
        <f t="shared" si="1"/>
        <v>0</v>
      </c>
      <c r="L67" s="12">
        <f t="shared" si="2"/>
        <v>1824</v>
      </c>
      <c r="M67" s="12">
        <f t="shared" si="3"/>
        <v>2235</v>
      </c>
      <c r="N67" s="12">
        <f t="shared" si="4"/>
        <v>1814</v>
      </c>
      <c r="O67" s="12" t="str">
        <f t="shared" si="5"/>
        <v>휘발유 45,600원 / 고급유 44,700원</v>
      </c>
      <c r="P67" s="12">
        <f t="shared" si="6"/>
        <v>90300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90300</v>
      </c>
      <c r="U67" s="12">
        <f t="shared" si="10"/>
        <v>2006.6666666666667</v>
      </c>
      <c r="V67" s="12">
        <f t="shared" si="11"/>
        <v>2006.6666666666667</v>
      </c>
      <c r="W67" s="14">
        <f t="shared" si="12"/>
        <v>90300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1041</v>
      </c>
      <c r="D68" s="11" t="s">
        <v>57</v>
      </c>
      <c r="E68" s="11" t="s">
        <v>26</v>
      </c>
      <c r="F68" s="11" t="s">
        <v>1042</v>
      </c>
      <c r="G68" s="12">
        <v>1814</v>
      </c>
      <c r="H68" s="12">
        <v>2248</v>
      </c>
      <c r="I68" s="12"/>
      <c r="J68" s="12">
        <v>1814</v>
      </c>
      <c r="K68" s="12">
        <f t="shared" si="1"/>
        <v>0</v>
      </c>
      <c r="L68" s="12">
        <f t="shared" si="2"/>
        <v>1814</v>
      </c>
      <c r="M68" s="12">
        <f t="shared" si="3"/>
        <v>2248</v>
      </c>
      <c r="N68" s="12">
        <f t="shared" si="4"/>
        <v>1814</v>
      </c>
      <c r="O68" s="12" t="str">
        <f t="shared" si="5"/>
        <v>휘발유 45,350원 / 고급유 44,960원</v>
      </c>
      <c r="P68" s="12">
        <f t="shared" si="6"/>
        <v>90310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90310</v>
      </c>
      <c r="U68" s="12">
        <f t="shared" si="10"/>
        <v>2006.8888888888889</v>
      </c>
      <c r="V68" s="12">
        <f t="shared" si="11"/>
        <v>2006.8888888888889</v>
      </c>
      <c r="W68" s="14">
        <f t="shared" si="12"/>
        <v>90310</v>
      </c>
    </row>
    <row r="69" spans="1:23" s="7" customFormat="1" ht="28.5" customHeight="1">
      <c r="A69" s="11">
        <f t="shared" si="0"/>
        <v>55</v>
      </c>
      <c r="B69" s="11" t="s">
        <v>6</v>
      </c>
      <c r="C69" s="11" t="s">
        <v>1137</v>
      </c>
      <c r="D69" s="15" t="s">
        <v>45</v>
      </c>
      <c r="E69" s="11" t="s">
        <v>26</v>
      </c>
      <c r="F69" s="11" t="s">
        <v>1138</v>
      </c>
      <c r="G69" s="12">
        <v>1805</v>
      </c>
      <c r="H69" s="12">
        <v>2260</v>
      </c>
      <c r="I69" s="12"/>
      <c r="J69" s="12">
        <v>1793</v>
      </c>
      <c r="K69" s="12">
        <f t="shared" si="1"/>
        <v>0</v>
      </c>
      <c r="L69" s="12">
        <f t="shared" si="2"/>
        <v>1805</v>
      </c>
      <c r="M69" s="12">
        <f t="shared" si="3"/>
        <v>2260</v>
      </c>
      <c r="N69" s="12">
        <f t="shared" si="4"/>
        <v>1793</v>
      </c>
      <c r="O69" s="12" t="str">
        <f t="shared" si="5"/>
        <v>휘발유 45,125원 / 고급유 45,200원</v>
      </c>
      <c r="P69" s="12">
        <f t="shared" si="6"/>
        <v>90325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90325</v>
      </c>
      <c r="U69" s="12">
        <f t="shared" si="10"/>
        <v>2007.2222222222222</v>
      </c>
      <c r="V69" s="12">
        <f t="shared" si="11"/>
        <v>2007.2222222222222</v>
      </c>
      <c r="W69" s="14">
        <f t="shared" si="12"/>
        <v>90325</v>
      </c>
    </row>
    <row r="70" spans="1:23" s="2" customFormat="1" ht="28.5" customHeight="1">
      <c r="A70" s="11">
        <f t="shared" si="0"/>
        <v>55</v>
      </c>
      <c r="B70" s="11" t="s">
        <v>8</v>
      </c>
      <c r="C70" s="11" t="s">
        <v>816</v>
      </c>
      <c r="D70" s="15" t="s">
        <v>80</v>
      </c>
      <c r="E70" s="11" t="s">
        <v>26</v>
      </c>
      <c r="F70" s="11" t="s">
        <v>817</v>
      </c>
      <c r="G70" s="12">
        <v>1829</v>
      </c>
      <c r="H70" s="12">
        <v>2230</v>
      </c>
      <c r="I70" s="12"/>
      <c r="J70" s="12">
        <v>1809</v>
      </c>
      <c r="K70" s="12">
        <f t="shared" si="1"/>
        <v>0</v>
      </c>
      <c r="L70" s="12">
        <f t="shared" si="2"/>
        <v>1829</v>
      </c>
      <c r="M70" s="12">
        <f t="shared" si="3"/>
        <v>2230</v>
      </c>
      <c r="N70" s="12">
        <f t="shared" si="4"/>
        <v>1809</v>
      </c>
      <c r="O70" s="12" t="str">
        <f t="shared" si="5"/>
        <v>휘발유 45,725원 / 고급유 44,600원</v>
      </c>
      <c r="P70" s="12">
        <f t="shared" si="6"/>
        <v>90325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90325</v>
      </c>
      <c r="U70" s="12">
        <f t="shared" si="10"/>
        <v>2007.2222222222222</v>
      </c>
      <c r="V70" s="12">
        <f t="shared" si="11"/>
        <v>2007.2222222222222</v>
      </c>
      <c r="W70" s="14">
        <f t="shared" si="12"/>
        <v>90325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324</v>
      </c>
      <c r="D71" s="15" t="s">
        <v>60</v>
      </c>
      <c r="E71" s="11" t="s">
        <v>26</v>
      </c>
      <c r="F71" s="11" t="s">
        <v>325</v>
      </c>
      <c r="G71" s="12">
        <v>1815</v>
      </c>
      <c r="H71" s="12">
        <v>2248</v>
      </c>
      <c r="I71" s="12"/>
      <c r="J71" s="12">
        <v>1809</v>
      </c>
      <c r="K71" s="12">
        <f t="shared" si="1"/>
        <v>0</v>
      </c>
      <c r="L71" s="12">
        <f t="shared" si="2"/>
        <v>1815</v>
      </c>
      <c r="M71" s="12">
        <f t="shared" si="3"/>
        <v>2248</v>
      </c>
      <c r="N71" s="12">
        <f t="shared" si="4"/>
        <v>1809</v>
      </c>
      <c r="O71" s="12" t="str">
        <f t="shared" si="5"/>
        <v>휘발유 45,375원 / 고급유 44,960원</v>
      </c>
      <c r="P71" s="12">
        <f t="shared" si="6"/>
        <v>90335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90335</v>
      </c>
      <c r="U71" s="12">
        <f t="shared" si="10"/>
        <v>2007.4444444444443</v>
      </c>
      <c r="V71" s="12">
        <f t="shared" si="11"/>
        <v>2007.4444444444443</v>
      </c>
      <c r="W71" s="14">
        <f t="shared" si="12"/>
        <v>90335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1636</v>
      </c>
      <c r="D72" s="15" t="s">
        <v>60</v>
      </c>
      <c r="E72" s="11" t="s">
        <v>26</v>
      </c>
      <c r="F72" s="11" t="s">
        <v>1637</v>
      </c>
      <c r="G72" s="12">
        <v>1819</v>
      </c>
      <c r="H72" s="12">
        <v>2245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2245</v>
      </c>
      <c r="N72" s="12">
        <f t="shared" si="4"/>
        <v>1799</v>
      </c>
      <c r="O72" s="12" t="str">
        <f t="shared" si="5"/>
        <v>휘발유 45,475원 / 고급유 44,900원</v>
      </c>
      <c r="P72" s="12">
        <f t="shared" si="6"/>
        <v>90375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90375</v>
      </c>
      <c r="U72" s="12">
        <f t="shared" si="10"/>
        <v>2008.3333333333333</v>
      </c>
      <c r="V72" s="12">
        <f t="shared" si="11"/>
        <v>2008.3333333333333</v>
      </c>
      <c r="W72" s="14">
        <f t="shared" si="12"/>
        <v>90375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1383</v>
      </c>
      <c r="D73" s="15" t="s">
        <v>80</v>
      </c>
      <c r="E73" s="11" t="s">
        <v>26</v>
      </c>
      <c r="F73" s="11" t="s">
        <v>1384</v>
      </c>
      <c r="G73" s="12">
        <v>1818</v>
      </c>
      <c r="H73" s="12">
        <v>2248</v>
      </c>
      <c r="I73" s="12"/>
      <c r="J73" s="12">
        <v>1798</v>
      </c>
      <c r="K73" s="12">
        <f t="shared" si="1"/>
        <v>0</v>
      </c>
      <c r="L73" s="12">
        <f t="shared" si="2"/>
        <v>1818</v>
      </c>
      <c r="M73" s="12">
        <f t="shared" si="3"/>
        <v>2248</v>
      </c>
      <c r="N73" s="12">
        <f t="shared" si="4"/>
        <v>1798</v>
      </c>
      <c r="O73" s="12" t="str">
        <f t="shared" si="5"/>
        <v>휘발유 45,450원 / 고급유 44,960원</v>
      </c>
      <c r="P73" s="12">
        <f t="shared" si="6"/>
        <v>90410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90410</v>
      </c>
      <c r="U73" s="12">
        <f t="shared" si="10"/>
        <v>2009.1111111111111</v>
      </c>
      <c r="V73" s="12">
        <f t="shared" si="11"/>
        <v>2009.1111111111111</v>
      </c>
      <c r="W73" s="14">
        <f t="shared" si="12"/>
        <v>90410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246</v>
      </c>
      <c r="D74" s="15" t="s">
        <v>45</v>
      </c>
      <c r="E74" s="11" t="s">
        <v>26</v>
      </c>
      <c r="F74" s="11" t="s">
        <v>247</v>
      </c>
      <c r="G74" s="12">
        <v>1806</v>
      </c>
      <c r="H74" s="12">
        <v>2264</v>
      </c>
      <c r="I74" s="12"/>
      <c r="J74" s="12">
        <v>1792</v>
      </c>
      <c r="K74" s="12">
        <f t="shared" si="1"/>
        <v>0</v>
      </c>
      <c r="L74" s="12">
        <f t="shared" si="2"/>
        <v>1806</v>
      </c>
      <c r="M74" s="12">
        <f t="shared" si="3"/>
        <v>2264</v>
      </c>
      <c r="N74" s="12">
        <f t="shared" si="4"/>
        <v>1792</v>
      </c>
      <c r="O74" s="12" t="str">
        <f t="shared" si="5"/>
        <v>휘발유 45,150원 / 고급유 45,280원</v>
      </c>
      <c r="P74" s="12">
        <f t="shared" si="6"/>
        <v>90430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90430</v>
      </c>
      <c r="U74" s="12">
        <f t="shared" si="10"/>
        <v>2009.5555555555557</v>
      </c>
      <c r="V74" s="12">
        <f t="shared" si="11"/>
        <v>2009.5555555555557</v>
      </c>
      <c r="W74" s="14">
        <f t="shared" si="12"/>
        <v>90430</v>
      </c>
    </row>
    <row r="75" spans="1:23" s="7" customFormat="1" ht="28.5" customHeight="1">
      <c r="A75" s="11">
        <f t="shared" si="0"/>
        <v>61</v>
      </c>
      <c r="B75" s="11" t="s">
        <v>6</v>
      </c>
      <c r="C75" s="11" t="s">
        <v>108</v>
      </c>
      <c r="D75" s="11" t="s">
        <v>57</v>
      </c>
      <c r="E75" s="11" t="s">
        <v>26</v>
      </c>
      <c r="F75" s="11" t="s">
        <v>109</v>
      </c>
      <c r="G75" s="12">
        <v>1819</v>
      </c>
      <c r="H75" s="12">
        <v>2248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2248</v>
      </c>
      <c r="N75" s="12">
        <f t="shared" si="4"/>
        <v>1799</v>
      </c>
      <c r="O75" s="12" t="str">
        <f t="shared" si="5"/>
        <v>휘발유 45,475원 / 고급유 44,960원</v>
      </c>
      <c r="P75" s="12">
        <f t="shared" si="6"/>
        <v>90435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90435</v>
      </c>
      <c r="U75" s="12">
        <f t="shared" si="10"/>
        <v>2009.6666666666667</v>
      </c>
      <c r="V75" s="12">
        <f t="shared" si="11"/>
        <v>2009.6666666666667</v>
      </c>
      <c r="W75" s="14">
        <f t="shared" si="12"/>
        <v>90435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244</v>
      </c>
      <c r="D76" s="15" t="s">
        <v>80</v>
      </c>
      <c r="E76" s="11" t="s">
        <v>26</v>
      </c>
      <c r="F76" s="11" t="s">
        <v>245</v>
      </c>
      <c r="G76" s="12">
        <v>1815</v>
      </c>
      <c r="H76" s="12">
        <v>2255</v>
      </c>
      <c r="I76" s="12"/>
      <c r="J76" s="12">
        <v>1825</v>
      </c>
      <c r="K76" s="12">
        <f t="shared" si="1"/>
        <v>0</v>
      </c>
      <c r="L76" s="12">
        <f t="shared" si="2"/>
        <v>1815</v>
      </c>
      <c r="M76" s="12">
        <f t="shared" si="3"/>
        <v>2255</v>
      </c>
      <c r="N76" s="12">
        <f t="shared" si="4"/>
        <v>1825</v>
      </c>
      <c r="O76" s="12" t="str">
        <f t="shared" si="5"/>
        <v>휘발유 45,375원 / 고급유 45,100원</v>
      </c>
      <c r="P76" s="12">
        <f t="shared" si="6"/>
        <v>90475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90475</v>
      </c>
      <c r="U76" s="12">
        <f t="shared" si="10"/>
        <v>2010.5555555555557</v>
      </c>
      <c r="V76" s="12">
        <f t="shared" si="11"/>
        <v>2010.5555555555557</v>
      </c>
      <c r="W76" s="14">
        <f t="shared" si="12"/>
        <v>90475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1045</v>
      </c>
      <c r="D77" s="15" t="s">
        <v>45</v>
      </c>
      <c r="E77" s="11" t="s">
        <v>26</v>
      </c>
      <c r="F77" s="11" t="s">
        <v>1046</v>
      </c>
      <c r="G77" s="12">
        <v>1828</v>
      </c>
      <c r="H77" s="12">
        <v>2239</v>
      </c>
      <c r="I77" s="12"/>
      <c r="J77" s="12">
        <v>1814</v>
      </c>
      <c r="K77" s="12">
        <f t="shared" si="1"/>
        <v>0</v>
      </c>
      <c r="L77" s="12">
        <f t="shared" si="2"/>
        <v>1828</v>
      </c>
      <c r="M77" s="12">
        <f t="shared" si="3"/>
        <v>2239</v>
      </c>
      <c r="N77" s="12">
        <f t="shared" si="4"/>
        <v>1814</v>
      </c>
      <c r="O77" s="12" t="str">
        <f t="shared" si="5"/>
        <v>휘발유 45,700원 / 고급유 44,780원</v>
      </c>
      <c r="P77" s="12">
        <f t="shared" si="6"/>
        <v>90480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90480</v>
      </c>
      <c r="U77" s="12">
        <f t="shared" si="10"/>
        <v>2010.6666666666667</v>
      </c>
      <c r="V77" s="12">
        <f t="shared" si="11"/>
        <v>2010.6666666666667</v>
      </c>
      <c r="W77" s="14">
        <f t="shared" si="12"/>
        <v>90480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584</v>
      </c>
      <c r="D78" s="15" t="s">
        <v>80</v>
      </c>
      <c r="E78" s="11" t="s">
        <v>61</v>
      </c>
      <c r="F78" s="11" t="s">
        <v>585</v>
      </c>
      <c r="G78" s="12">
        <v>1823</v>
      </c>
      <c r="H78" s="12">
        <v>2248</v>
      </c>
      <c r="I78" s="12"/>
      <c r="J78" s="12">
        <v>1829</v>
      </c>
      <c r="K78" s="12">
        <f t="shared" si="1"/>
        <v>0</v>
      </c>
      <c r="L78" s="12">
        <f t="shared" si="2"/>
        <v>1823</v>
      </c>
      <c r="M78" s="12">
        <f t="shared" si="3"/>
        <v>2248</v>
      </c>
      <c r="N78" s="12">
        <f t="shared" si="4"/>
        <v>1829</v>
      </c>
      <c r="O78" s="12" t="str">
        <f t="shared" si="5"/>
        <v>휘발유 45,575원 / 고급유 44,960원</v>
      </c>
      <c r="P78" s="12">
        <f t="shared" si="6"/>
        <v>90535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90535</v>
      </c>
      <c r="U78" s="12">
        <f t="shared" si="10"/>
        <v>2011.8888888888889</v>
      </c>
      <c r="V78" s="12">
        <f t="shared" si="11"/>
        <v>2011.8888888888889</v>
      </c>
      <c r="W78" s="14">
        <f t="shared" si="12"/>
        <v>90535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82</v>
      </c>
      <c r="D79" s="15" t="s">
        <v>60</v>
      </c>
      <c r="E79" s="11" t="s">
        <v>26</v>
      </c>
      <c r="F79" s="11" t="s">
        <v>83</v>
      </c>
      <c r="G79" s="12">
        <v>1788</v>
      </c>
      <c r="H79" s="12">
        <v>2295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1788</v>
      </c>
      <c r="M79" s="12">
        <f t="shared" ref="M79:M142" si="16">IF($H79="","",$H79+$K79)</f>
        <v>2295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44,700원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90600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90600</v>
      </c>
      <c r="U79" s="12">
        <f t="shared" ref="U79:U142" si="23">IF($T79="","",IF($B$10=0,"",$T79/$B$10))</f>
        <v>2013.3333333333333</v>
      </c>
      <c r="V79" s="12">
        <f t="shared" ref="V79:V142" si="24">IF($P79="","",IF($B$10=0,"",$P79/$B$10))</f>
        <v>2013.3333333333333</v>
      </c>
      <c r="W79" s="14">
        <f t="shared" ref="W79:W142" si="25">IF($T79="",1000000000000000,$T79)</f>
        <v>90600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1607</v>
      </c>
      <c r="D80" s="15" t="s">
        <v>80</v>
      </c>
      <c r="E80" s="11" t="s">
        <v>26</v>
      </c>
      <c r="F80" s="11" t="s">
        <v>1608</v>
      </c>
      <c r="G80" s="12">
        <v>1820</v>
      </c>
      <c r="H80" s="12">
        <v>2260</v>
      </c>
      <c r="I80" s="12"/>
      <c r="J80" s="12">
        <v>1810</v>
      </c>
      <c r="K80" s="12">
        <f t="shared" si="14"/>
        <v>0</v>
      </c>
      <c r="L80" s="12">
        <f t="shared" si="15"/>
        <v>1820</v>
      </c>
      <c r="M80" s="12">
        <f t="shared" si="16"/>
        <v>2260</v>
      </c>
      <c r="N80" s="12">
        <f t="shared" si="17"/>
        <v>1810</v>
      </c>
      <c r="O80" s="12" t="str">
        <f t="shared" si="18"/>
        <v>휘발유 45,500원 / 고급유 45,200원</v>
      </c>
      <c r="P80" s="12">
        <f t="shared" si="19"/>
        <v>90700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90700</v>
      </c>
      <c r="U80" s="12">
        <f t="shared" si="23"/>
        <v>2015.5555555555557</v>
      </c>
      <c r="V80" s="12">
        <f t="shared" si="24"/>
        <v>2015.5555555555557</v>
      </c>
      <c r="W80" s="14">
        <f t="shared" si="25"/>
        <v>90700</v>
      </c>
    </row>
    <row r="81" spans="1:23" s="16" customFormat="1" ht="28.5" customHeight="1">
      <c r="A81" s="11">
        <f t="shared" si="13"/>
        <v>67</v>
      </c>
      <c r="B81" s="11" t="s">
        <v>10</v>
      </c>
      <c r="C81" s="11" t="s">
        <v>1340</v>
      </c>
      <c r="D81" s="11" t="s">
        <v>48</v>
      </c>
      <c r="E81" s="11" t="s">
        <v>26</v>
      </c>
      <c r="F81" s="11" t="s">
        <v>1341</v>
      </c>
      <c r="G81" s="12">
        <v>1829</v>
      </c>
      <c r="H81" s="12">
        <v>2249</v>
      </c>
      <c r="I81" s="12"/>
      <c r="J81" s="12">
        <v>1797</v>
      </c>
      <c r="K81" s="12">
        <f t="shared" si="14"/>
        <v>0</v>
      </c>
      <c r="L81" s="12">
        <f t="shared" si="15"/>
        <v>1829</v>
      </c>
      <c r="M81" s="12">
        <f t="shared" si="16"/>
        <v>2249</v>
      </c>
      <c r="N81" s="12">
        <f t="shared" si="17"/>
        <v>1797</v>
      </c>
      <c r="O81" s="12" t="str">
        <f t="shared" si="18"/>
        <v>휘발유 45,725원 / 고급유 44,980원</v>
      </c>
      <c r="P81" s="12">
        <f t="shared" si="19"/>
        <v>90705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90705</v>
      </c>
      <c r="U81" s="12">
        <f t="shared" si="23"/>
        <v>2015.6666666666667</v>
      </c>
      <c r="V81" s="12">
        <f t="shared" si="24"/>
        <v>2015.6666666666667</v>
      </c>
      <c r="W81" s="14">
        <f t="shared" si="25"/>
        <v>90705</v>
      </c>
    </row>
    <row r="82" spans="1:23" s="16" customFormat="1" ht="28.5" customHeight="1">
      <c r="A82" s="11">
        <f t="shared" si="13"/>
        <v>68</v>
      </c>
      <c r="B82" s="11" t="s">
        <v>6</v>
      </c>
      <c r="C82" s="11" t="s">
        <v>712</v>
      </c>
      <c r="D82" s="15" t="s">
        <v>45</v>
      </c>
      <c r="E82" s="11" t="s">
        <v>26</v>
      </c>
      <c r="F82" s="11" t="s">
        <v>713</v>
      </c>
      <c r="G82" s="12">
        <v>1815</v>
      </c>
      <c r="H82" s="12">
        <v>2269</v>
      </c>
      <c r="I82" s="12"/>
      <c r="J82" s="12">
        <v>1795</v>
      </c>
      <c r="K82" s="12">
        <f t="shared" si="14"/>
        <v>0</v>
      </c>
      <c r="L82" s="12">
        <f t="shared" si="15"/>
        <v>1815</v>
      </c>
      <c r="M82" s="12">
        <f t="shared" si="16"/>
        <v>2269</v>
      </c>
      <c r="N82" s="12">
        <f t="shared" si="17"/>
        <v>1795</v>
      </c>
      <c r="O82" s="12" t="str">
        <f t="shared" si="18"/>
        <v>휘발유 45,375원 / 고급유 45,380원</v>
      </c>
      <c r="P82" s="12">
        <f t="shared" si="19"/>
        <v>90755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90755</v>
      </c>
      <c r="U82" s="12">
        <f t="shared" si="23"/>
        <v>2016.7777777777778</v>
      </c>
      <c r="V82" s="12">
        <f t="shared" si="24"/>
        <v>2016.7777777777778</v>
      </c>
      <c r="W82" s="14">
        <f t="shared" si="25"/>
        <v>90755</v>
      </c>
    </row>
    <row r="83" spans="1:23" s="7" customFormat="1" ht="28.5" customHeight="1">
      <c r="A83" s="11">
        <f t="shared" si="13"/>
        <v>69</v>
      </c>
      <c r="B83" s="11" t="s">
        <v>12</v>
      </c>
      <c r="C83" s="11" t="s">
        <v>894</v>
      </c>
      <c r="D83" s="15" t="s">
        <v>45</v>
      </c>
      <c r="E83" s="11" t="s">
        <v>26</v>
      </c>
      <c r="F83" s="11" t="s">
        <v>895</v>
      </c>
      <c r="G83" s="12">
        <v>1819</v>
      </c>
      <c r="H83" s="12">
        <v>2265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2265</v>
      </c>
      <c r="N83" s="12">
        <f t="shared" si="17"/>
        <v>1799</v>
      </c>
      <c r="O83" s="12" t="str">
        <f t="shared" si="18"/>
        <v>휘발유 45,475원 / 고급유 45,300원</v>
      </c>
      <c r="P83" s="12">
        <f t="shared" si="19"/>
        <v>90775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90775</v>
      </c>
      <c r="U83" s="12">
        <f t="shared" si="23"/>
        <v>2017.2222222222222</v>
      </c>
      <c r="V83" s="12">
        <f t="shared" si="24"/>
        <v>2017.2222222222222</v>
      </c>
      <c r="W83" s="14">
        <f t="shared" si="25"/>
        <v>90775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332</v>
      </c>
      <c r="D84" s="15" t="s">
        <v>80</v>
      </c>
      <c r="E84" s="11" t="s">
        <v>26</v>
      </c>
      <c r="F84" s="11" t="s">
        <v>333</v>
      </c>
      <c r="G84" s="12">
        <v>1824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1824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45,600원 / 고급유 45,180원</v>
      </c>
      <c r="P84" s="12">
        <f t="shared" si="19"/>
        <v>90780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90780</v>
      </c>
      <c r="U84" s="12">
        <f t="shared" si="23"/>
        <v>2017.3333333333333</v>
      </c>
      <c r="V84" s="12">
        <f t="shared" si="24"/>
        <v>2017.3333333333333</v>
      </c>
      <c r="W84" s="14">
        <f t="shared" si="25"/>
        <v>90780</v>
      </c>
    </row>
    <row r="85" spans="1:23" s="2" customFormat="1" ht="28.5" customHeight="1">
      <c r="A85" s="11">
        <f t="shared" si="13"/>
        <v>70</v>
      </c>
      <c r="B85" s="11" t="s">
        <v>18</v>
      </c>
      <c r="C85" s="11" t="s">
        <v>392</v>
      </c>
      <c r="D85" s="15" t="s">
        <v>60</v>
      </c>
      <c r="E85" s="11" t="s">
        <v>26</v>
      </c>
      <c r="F85" s="11" t="s">
        <v>393</v>
      </c>
      <c r="G85" s="12">
        <v>1832</v>
      </c>
      <c r="H85" s="12">
        <v>2249</v>
      </c>
      <c r="I85" s="12"/>
      <c r="J85" s="12">
        <v>1822</v>
      </c>
      <c r="K85" s="12">
        <f t="shared" si="14"/>
        <v>0</v>
      </c>
      <c r="L85" s="12">
        <f t="shared" si="15"/>
        <v>1832</v>
      </c>
      <c r="M85" s="12">
        <f t="shared" si="16"/>
        <v>2249</v>
      </c>
      <c r="N85" s="12">
        <f t="shared" si="17"/>
        <v>1822</v>
      </c>
      <c r="O85" s="12" t="str">
        <f t="shared" si="18"/>
        <v>휘발유 45,800원 / 고급유 44,980원</v>
      </c>
      <c r="P85" s="12">
        <f t="shared" si="19"/>
        <v>90780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90780</v>
      </c>
      <c r="U85" s="12">
        <f t="shared" si="23"/>
        <v>2017.3333333333333</v>
      </c>
      <c r="V85" s="12">
        <f t="shared" si="24"/>
        <v>2017.3333333333333</v>
      </c>
      <c r="W85" s="14">
        <f t="shared" si="25"/>
        <v>90780</v>
      </c>
    </row>
    <row r="86" spans="1:23" s="16" customFormat="1" ht="28.5" customHeight="1">
      <c r="A86" s="11">
        <f t="shared" si="13"/>
        <v>72</v>
      </c>
      <c r="B86" s="11" t="s">
        <v>12</v>
      </c>
      <c r="C86" s="11" t="s">
        <v>310</v>
      </c>
      <c r="D86" s="15" t="s">
        <v>60</v>
      </c>
      <c r="E86" s="11" t="s">
        <v>26</v>
      </c>
      <c r="F86" s="11" t="s">
        <v>311</v>
      </c>
      <c r="G86" s="12">
        <v>1809</v>
      </c>
      <c r="H86" s="12">
        <v>2280</v>
      </c>
      <c r="I86" s="12"/>
      <c r="J86" s="12">
        <v>1814</v>
      </c>
      <c r="K86" s="12">
        <f t="shared" si="14"/>
        <v>0</v>
      </c>
      <c r="L86" s="12">
        <f t="shared" si="15"/>
        <v>1809</v>
      </c>
      <c r="M86" s="12">
        <f t="shared" si="16"/>
        <v>2280</v>
      </c>
      <c r="N86" s="12">
        <f t="shared" si="17"/>
        <v>1814</v>
      </c>
      <c r="O86" s="12" t="str">
        <f t="shared" si="18"/>
        <v>휘발유 45,225원 / 고급유 45,600원</v>
      </c>
      <c r="P86" s="12">
        <f t="shared" si="19"/>
        <v>90825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90825</v>
      </c>
      <c r="U86" s="12">
        <f t="shared" si="23"/>
        <v>2018.3333333333333</v>
      </c>
      <c r="V86" s="12">
        <f t="shared" si="24"/>
        <v>2018.3333333333333</v>
      </c>
      <c r="W86" s="14">
        <f t="shared" si="25"/>
        <v>90825</v>
      </c>
    </row>
    <row r="87" spans="1:23" s="7" customFormat="1" ht="28.5" customHeight="1">
      <c r="A87" s="11">
        <f t="shared" si="13"/>
        <v>73</v>
      </c>
      <c r="B87" s="11" t="s">
        <v>10</v>
      </c>
      <c r="C87" s="11" t="s">
        <v>1543</v>
      </c>
      <c r="D87" s="11" t="s">
        <v>71</v>
      </c>
      <c r="E87" s="11" t="s">
        <v>26</v>
      </c>
      <c r="F87" s="11" t="s">
        <v>1544</v>
      </c>
      <c r="G87" s="12">
        <v>1819</v>
      </c>
      <c r="H87" s="12">
        <v>2268</v>
      </c>
      <c r="I87" s="12"/>
      <c r="J87" s="12">
        <v>1799</v>
      </c>
      <c r="K87" s="12">
        <f t="shared" si="14"/>
        <v>0</v>
      </c>
      <c r="L87" s="12">
        <f t="shared" si="15"/>
        <v>1819</v>
      </c>
      <c r="M87" s="12">
        <f t="shared" si="16"/>
        <v>2268</v>
      </c>
      <c r="N87" s="12">
        <f t="shared" si="17"/>
        <v>1799</v>
      </c>
      <c r="O87" s="12" t="str">
        <f t="shared" si="18"/>
        <v>휘발유 45,475원 / 고급유 45,360원</v>
      </c>
      <c r="P87" s="12">
        <f t="shared" si="19"/>
        <v>90835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90835</v>
      </c>
      <c r="U87" s="12">
        <f t="shared" si="23"/>
        <v>2018.5555555555557</v>
      </c>
      <c r="V87" s="12">
        <f t="shared" si="24"/>
        <v>2018.5555555555557</v>
      </c>
      <c r="W87" s="14">
        <f t="shared" si="25"/>
        <v>90835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449</v>
      </c>
      <c r="D88" s="11" t="s">
        <v>57</v>
      </c>
      <c r="E88" s="11" t="s">
        <v>26</v>
      </c>
      <c r="F88" s="11" t="s">
        <v>450</v>
      </c>
      <c r="G88" s="12">
        <v>1847</v>
      </c>
      <c r="H88" s="12">
        <v>2237</v>
      </c>
      <c r="I88" s="12"/>
      <c r="J88" s="12">
        <v>1827</v>
      </c>
      <c r="K88" s="12">
        <f t="shared" si="14"/>
        <v>0</v>
      </c>
      <c r="L88" s="12">
        <f t="shared" si="15"/>
        <v>1847</v>
      </c>
      <c r="M88" s="12">
        <f t="shared" si="16"/>
        <v>2237</v>
      </c>
      <c r="N88" s="12">
        <f t="shared" si="17"/>
        <v>1827</v>
      </c>
      <c r="O88" s="12" t="str">
        <f t="shared" si="18"/>
        <v>휘발유 46,175원 / 고급유 44,740원</v>
      </c>
      <c r="P88" s="12">
        <f t="shared" si="19"/>
        <v>90915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90915</v>
      </c>
      <c r="U88" s="12">
        <f t="shared" si="23"/>
        <v>2020.3333333333333</v>
      </c>
      <c r="V88" s="12">
        <f t="shared" si="24"/>
        <v>2020.3333333333333</v>
      </c>
      <c r="W88" s="14">
        <f t="shared" si="25"/>
        <v>90915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565</v>
      </c>
      <c r="D89" s="15" t="s">
        <v>45</v>
      </c>
      <c r="E89" s="11" t="s">
        <v>26</v>
      </c>
      <c r="F89" s="11" t="s">
        <v>566</v>
      </c>
      <c r="G89" s="12">
        <v>1819</v>
      </c>
      <c r="H89" s="12">
        <v>2275</v>
      </c>
      <c r="I89" s="12"/>
      <c r="J89" s="12">
        <v>1798</v>
      </c>
      <c r="K89" s="12">
        <f t="shared" si="14"/>
        <v>0</v>
      </c>
      <c r="L89" s="12">
        <f t="shared" si="15"/>
        <v>1819</v>
      </c>
      <c r="M89" s="12">
        <f t="shared" si="16"/>
        <v>2275</v>
      </c>
      <c r="N89" s="12">
        <f t="shared" si="17"/>
        <v>1798</v>
      </c>
      <c r="O89" s="12" t="str">
        <f t="shared" si="18"/>
        <v>휘발유 45,475원 / 고급유 45,500원</v>
      </c>
      <c r="P89" s="12">
        <f t="shared" si="19"/>
        <v>90975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90975</v>
      </c>
      <c r="U89" s="12">
        <f t="shared" si="23"/>
        <v>2021.6666666666667</v>
      </c>
      <c r="V89" s="12">
        <f t="shared" si="24"/>
        <v>2021.6666666666667</v>
      </c>
      <c r="W89" s="14">
        <f t="shared" si="25"/>
        <v>90975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1409</v>
      </c>
      <c r="D90" s="15" t="s">
        <v>60</v>
      </c>
      <c r="E90" s="11" t="s">
        <v>61</v>
      </c>
      <c r="F90" s="11" t="s">
        <v>1410</v>
      </c>
      <c r="G90" s="12">
        <v>1828</v>
      </c>
      <c r="H90" s="12">
        <v>2265</v>
      </c>
      <c r="I90" s="12"/>
      <c r="J90" s="12">
        <v>1799</v>
      </c>
      <c r="K90" s="12">
        <f t="shared" si="14"/>
        <v>0</v>
      </c>
      <c r="L90" s="12">
        <f t="shared" si="15"/>
        <v>1828</v>
      </c>
      <c r="M90" s="12">
        <f t="shared" si="16"/>
        <v>2265</v>
      </c>
      <c r="N90" s="12">
        <f t="shared" si="17"/>
        <v>1799</v>
      </c>
      <c r="O90" s="12" t="str">
        <f t="shared" si="18"/>
        <v>휘발유 45,700원 / 고급유 45,300원</v>
      </c>
      <c r="P90" s="12">
        <f t="shared" si="19"/>
        <v>91000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91000</v>
      </c>
      <c r="U90" s="12">
        <f t="shared" si="23"/>
        <v>2022.2222222222222</v>
      </c>
      <c r="V90" s="12">
        <f t="shared" si="24"/>
        <v>2022.2222222222222</v>
      </c>
      <c r="W90" s="14">
        <f t="shared" si="25"/>
        <v>91000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264</v>
      </c>
      <c r="D91" s="15" t="s">
        <v>80</v>
      </c>
      <c r="E91" s="11" t="s">
        <v>26</v>
      </c>
      <c r="F91" s="11" t="s">
        <v>265</v>
      </c>
      <c r="G91" s="12">
        <v>1858</v>
      </c>
      <c r="H91" s="12">
        <v>2229</v>
      </c>
      <c r="I91" s="12"/>
      <c r="J91" s="12">
        <v>1819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1819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252</v>
      </c>
      <c r="D92" s="15" t="s">
        <v>80</v>
      </c>
      <c r="E92" s="11" t="s">
        <v>26</v>
      </c>
      <c r="F92" s="11" t="s">
        <v>253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47</v>
      </c>
      <c r="D93" s="11" t="s">
        <v>48</v>
      </c>
      <c r="E93" s="11" t="s">
        <v>26</v>
      </c>
      <c r="F93" s="11" t="s">
        <v>49</v>
      </c>
      <c r="G93" s="12">
        <v>1836</v>
      </c>
      <c r="H93" s="12">
        <v>2257</v>
      </c>
      <c r="I93" s="12"/>
      <c r="J93" s="12">
        <v>1799</v>
      </c>
      <c r="K93" s="12">
        <f t="shared" si="14"/>
        <v>0</v>
      </c>
      <c r="L93" s="12">
        <f t="shared" si="15"/>
        <v>1836</v>
      </c>
      <c r="M93" s="12">
        <f t="shared" si="16"/>
        <v>2257</v>
      </c>
      <c r="N93" s="12">
        <f t="shared" si="17"/>
        <v>1799</v>
      </c>
      <c r="O93" s="12" t="str">
        <f t="shared" si="18"/>
        <v>휘발유 45,900원 / 고급유 45,140원</v>
      </c>
      <c r="P93" s="12">
        <f t="shared" si="19"/>
        <v>91040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91040</v>
      </c>
      <c r="U93" s="12">
        <f t="shared" si="23"/>
        <v>2023.1111111111111</v>
      </c>
      <c r="V93" s="12">
        <f t="shared" si="24"/>
        <v>2023.1111111111111</v>
      </c>
      <c r="W93" s="14">
        <f t="shared" si="25"/>
        <v>91040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1237</v>
      </c>
      <c r="D94" s="15" t="s">
        <v>45</v>
      </c>
      <c r="E94" s="11" t="s">
        <v>26</v>
      </c>
      <c r="F94" s="11" t="s">
        <v>1238</v>
      </c>
      <c r="G94" s="12">
        <v>1805</v>
      </c>
      <c r="H94" s="12">
        <v>2298</v>
      </c>
      <c r="I94" s="12"/>
      <c r="J94" s="12">
        <v>1793</v>
      </c>
      <c r="K94" s="12">
        <f t="shared" si="14"/>
        <v>0</v>
      </c>
      <c r="L94" s="12">
        <f t="shared" si="15"/>
        <v>1805</v>
      </c>
      <c r="M94" s="12">
        <f t="shared" si="16"/>
        <v>2298</v>
      </c>
      <c r="N94" s="12">
        <f t="shared" si="17"/>
        <v>1793</v>
      </c>
      <c r="O94" s="12" t="str">
        <f t="shared" si="18"/>
        <v>휘발유 45,125원 / 고급유 45,960원</v>
      </c>
      <c r="P94" s="12">
        <f t="shared" si="19"/>
        <v>91085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91085</v>
      </c>
      <c r="U94" s="12">
        <f t="shared" si="23"/>
        <v>2024.1111111111111</v>
      </c>
      <c r="V94" s="12">
        <f t="shared" si="24"/>
        <v>2024.1111111111111</v>
      </c>
      <c r="W94" s="14">
        <f t="shared" si="25"/>
        <v>91085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1436</v>
      </c>
      <c r="D95" s="15" t="s">
        <v>60</v>
      </c>
      <c r="E95" s="11" t="s">
        <v>26</v>
      </c>
      <c r="F95" s="11" t="s">
        <v>1437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1440</v>
      </c>
      <c r="D96" s="15" t="s">
        <v>60</v>
      </c>
      <c r="E96" s="11" t="s">
        <v>26</v>
      </c>
      <c r="F96" s="11" t="s">
        <v>1441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1456</v>
      </c>
      <c r="D97" s="15" t="s">
        <v>60</v>
      </c>
      <c r="E97" s="11" t="s">
        <v>26</v>
      </c>
      <c r="F97" s="11" t="s">
        <v>1457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1575</v>
      </c>
      <c r="D98" s="11" t="s">
        <v>57</v>
      </c>
      <c r="E98" s="11" t="s">
        <v>26</v>
      </c>
      <c r="F98" s="11" t="s">
        <v>1576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614</v>
      </c>
      <c r="D99" s="15" t="s">
        <v>45</v>
      </c>
      <c r="E99" s="11" t="s">
        <v>26</v>
      </c>
      <c r="F99" s="11" t="s">
        <v>615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248</v>
      </c>
      <c r="D100" s="15" t="s">
        <v>60</v>
      </c>
      <c r="E100" s="11" t="s">
        <v>26</v>
      </c>
      <c r="F100" s="11" t="s">
        <v>249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1640</v>
      </c>
      <c r="D101" s="15" t="s">
        <v>80</v>
      </c>
      <c r="E101" s="11" t="s">
        <v>26</v>
      </c>
      <c r="F101" s="11" t="s">
        <v>1641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268</v>
      </c>
      <c r="D102" s="15" t="s">
        <v>80</v>
      </c>
      <c r="E102" s="11" t="s">
        <v>26</v>
      </c>
      <c r="F102" s="11" t="s">
        <v>269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413</v>
      </c>
      <c r="D103" s="11" t="s">
        <v>57</v>
      </c>
      <c r="E103" s="11" t="s">
        <v>61</v>
      </c>
      <c r="F103" s="11" t="s">
        <v>414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63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1438</v>
      </c>
      <c r="D104" s="15" t="s">
        <v>60</v>
      </c>
      <c r="E104" s="11" t="s">
        <v>26</v>
      </c>
      <c r="F104" s="11" t="s">
        <v>1439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1720</v>
      </c>
      <c r="D105" s="15" t="s">
        <v>45</v>
      </c>
      <c r="E105" s="11" t="s">
        <v>26</v>
      </c>
      <c r="F105" s="11" t="s">
        <v>1721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847</v>
      </c>
      <c r="D107" s="15" t="s">
        <v>80</v>
      </c>
      <c r="E107" s="11" t="s">
        <v>26</v>
      </c>
      <c r="F107" s="11" t="s">
        <v>848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616</v>
      </c>
      <c r="D108" s="15" t="s">
        <v>45</v>
      </c>
      <c r="E108" s="11" t="s">
        <v>26</v>
      </c>
      <c r="F108" s="11" t="s">
        <v>618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7" customFormat="1" ht="28.5" customHeight="1">
      <c r="A112" s="11">
        <f t="shared" si="13"/>
        <v>98</v>
      </c>
      <c r="B112" s="11" t="s">
        <v>14</v>
      </c>
      <c r="C112" s="11" t="s">
        <v>464</v>
      </c>
      <c r="D112" s="11" t="s">
        <v>57</v>
      </c>
      <c r="E112" s="11" t="s">
        <v>26</v>
      </c>
      <c r="F112" s="11" t="s">
        <v>465</v>
      </c>
      <c r="G112" s="12">
        <v>1835</v>
      </c>
      <c r="H112" s="12">
        <v>2285</v>
      </c>
      <c r="I112" s="12"/>
      <c r="J112" s="12">
        <v>1832</v>
      </c>
      <c r="K112" s="12">
        <f t="shared" si="14"/>
        <v>0</v>
      </c>
      <c r="L112" s="12">
        <f t="shared" si="15"/>
        <v>1835</v>
      </c>
      <c r="M112" s="12">
        <f t="shared" si="16"/>
        <v>2285</v>
      </c>
      <c r="N112" s="12">
        <f t="shared" si="17"/>
        <v>1832</v>
      </c>
      <c r="O112" s="12" t="str">
        <f t="shared" si="18"/>
        <v>휘발유 45,875원 / 고급유 45,700원</v>
      </c>
      <c r="P112" s="12">
        <f t="shared" si="19"/>
        <v>91575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91575</v>
      </c>
      <c r="U112" s="12">
        <f t="shared" si="23"/>
        <v>2035</v>
      </c>
      <c r="V112" s="12">
        <f t="shared" si="24"/>
        <v>2035</v>
      </c>
      <c r="W112" s="14">
        <f t="shared" si="25"/>
        <v>91575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657</v>
      </c>
      <c r="D113" s="15" t="s">
        <v>57</v>
      </c>
      <c r="E113" s="11" t="s">
        <v>26</v>
      </c>
      <c r="F113" s="11" t="s">
        <v>658</v>
      </c>
      <c r="G113" s="12">
        <v>1829</v>
      </c>
      <c r="H113" s="12">
        <v>2295</v>
      </c>
      <c r="I113" s="12"/>
      <c r="J113" s="12">
        <v>1789</v>
      </c>
      <c r="K113" s="12">
        <f t="shared" si="14"/>
        <v>0</v>
      </c>
      <c r="L113" s="12">
        <f t="shared" si="15"/>
        <v>1829</v>
      </c>
      <c r="M113" s="12">
        <f t="shared" si="16"/>
        <v>2295</v>
      </c>
      <c r="N113" s="12">
        <f t="shared" si="17"/>
        <v>1789</v>
      </c>
      <c r="O113" s="12" t="str">
        <f t="shared" si="18"/>
        <v>휘발유 45,725원 / 고급유 45,900원</v>
      </c>
      <c r="P113" s="12">
        <f t="shared" si="19"/>
        <v>91625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91625</v>
      </c>
      <c r="U113" s="12">
        <f t="shared" si="23"/>
        <v>2036.1111111111111</v>
      </c>
      <c r="V113" s="12">
        <f t="shared" si="24"/>
        <v>2036.1111111111111</v>
      </c>
      <c r="W113" s="14">
        <f t="shared" si="25"/>
        <v>91625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600</v>
      </c>
      <c r="D114" s="15" t="s">
        <v>80</v>
      </c>
      <c r="E114" s="11" t="s">
        <v>26</v>
      </c>
      <c r="F114" s="11" t="s">
        <v>601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1444</v>
      </c>
      <c r="D115" s="15" t="s">
        <v>60</v>
      </c>
      <c r="E115" s="11" t="s">
        <v>26</v>
      </c>
      <c r="F115" s="11" t="s">
        <v>1445</v>
      </c>
      <c r="G115" s="12">
        <v>1865</v>
      </c>
      <c r="H115" s="12">
        <v>2252</v>
      </c>
      <c r="I115" s="12"/>
      <c r="J115" s="12">
        <v>1849</v>
      </c>
      <c r="K115" s="12">
        <f t="shared" si="14"/>
        <v>0</v>
      </c>
      <c r="L115" s="12">
        <f t="shared" si="15"/>
        <v>1865</v>
      </c>
      <c r="M115" s="12">
        <f t="shared" si="16"/>
        <v>2252</v>
      </c>
      <c r="N115" s="12">
        <f t="shared" si="17"/>
        <v>1849</v>
      </c>
      <c r="O115" s="12" t="str">
        <f t="shared" si="18"/>
        <v>휘발유 46,625원 / 고급유 45,040원</v>
      </c>
      <c r="P115" s="12">
        <f t="shared" si="19"/>
        <v>91665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91665</v>
      </c>
      <c r="U115" s="12">
        <f t="shared" si="23"/>
        <v>2037</v>
      </c>
      <c r="V115" s="12">
        <f t="shared" si="24"/>
        <v>2037</v>
      </c>
      <c r="W115" s="14">
        <f t="shared" si="25"/>
        <v>91665</v>
      </c>
    </row>
    <row r="116" spans="1:23" s="7" customFormat="1" ht="28.5" customHeight="1">
      <c r="A116" s="11">
        <f t="shared" si="13"/>
        <v>102</v>
      </c>
      <c r="B116" s="11" t="s">
        <v>14</v>
      </c>
      <c r="C116" s="11" t="s">
        <v>1415</v>
      </c>
      <c r="D116" s="15" t="s">
        <v>60</v>
      </c>
      <c r="E116" s="11" t="s">
        <v>26</v>
      </c>
      <c r="F116" s="11" t="s">
        <v>1416</v>
      </c>
      <c r="G116" s="12">
        <v>1839</v>
      </c>
      <c r="H116" s="12">
        <v>2285</v>
      </c>
      <c r="I116" s="12"/>
      <c r="J116" s="12">
        <v>1840</v>
      </c>
      <c r="K116" s="12">
        <f t="shared" si="14"/>
        <v>0</v>
      </c>
      <c r="L116" s="12">
        <f t="shared" si="15"/>
        <v>1839</v>
      </c>
      <c r="M116" s="12">
        <f t="shared" si="16"/>
        <v>2285</v>
      </c>
      <c r="N116" s="12">
        <f t="shared" si="17"/>
        <v>1840</v>
      </c>
      <c r="O116" s="12" t="str">
        <f t="shared" si="18"/>
        <v>휘발유 45,975원 / 고급유 45,700원</v>
      </c>
      <c r="P116" s="12">
        <f t="shared" si="19"/>
        <v>91675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91675</v>
      </c>
      <c r="U116" s="12">
        <f t="shared" si="23"/>
        <v>2037.2222222222222</v>
      </c>
      <c r="V116" s="12">
        <f t="shared" si="24"/>
        <v>2037.2222222222222</v>
      </c>
      <c r="W116" s="14">
        <f t="shared" si="25"/>
        <v>91675</v>
      </c>
    </row>
    <row r="117" spans="1:23" s="16" customFormat="1" ht="28.5" customHeight="1">
      <c r="A117" s="11">
        <f t="shared" si="13"/>
        <v>103</v>
      </c>
      <c r="B117" s="11" t="s">
        <v>6</v>
      </c>
      <c r="C117" s="11" t="s">
        <v>262</v>
      </c>
      <c r="D117" s="15" t="s">
        <v>80</v>
      </c>
      <c r="E117" s="11" t="s">
        <v>26</v>
      </c>
      <c r="F117" s="11" t="s">
        <v>263</v>
      </c>
      <c r="G117" s="12">
        <v>1878</v>
      </c>
      <c r="H117" s="12">
        <v>2239</v>
      </c>
      <c r="I117" s="12"/>
      <c r="J117" s="12">
        <v>1829</v>
      </c>
      <c r="K117" s="12">
        <f t="shared" si="14"/>
        <v>0</v>
      </c>
      <c r="L117" s="12">
        <f t="shared" si="15"/>
        <v>1878</v>
      </c>
      <c r="M117" s="12">
        <f t="shared" si="16"/>
        <v>2239</v>
      </c>
      <c r="N117" s="12">
        <f t="shared" si="17"/>
        <v>1829</v>
      </c>
      <c r="O117" s="12" t="str">
        <f t="shared" si="18"/>
        <v>휘발유 46,950원 / 고급유 44,780원</v>
      </c>
      <c r="P117" s="12">
        <f t="shared" si="19"/>
        <v>91730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91730</v>
      </c>
      <c r="U117" s="12">
        <f t="shared" si="23"/>
        <v>2038.4444444444443</v>
      </c>
      <c r="V117" s="12">
        <f t="shared" si="24"/>
        <v>2038.4444444444443</v>
      </c>
      <c r="W117" s="14">
        <f t="shared" si="25"/>
        <v>91730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2269</v>
      </c>
      <c r="I118" s="12"/>
      <c r="J118" s="12">
        <v>1819</v>
      </c>
      <c r="K118" s="12">
        <f t="shared" si="14"/>
        <v>0</v>
      </c>
      <c r="L118" s="12">
        <f t="shared" si="15"/>
        <v>1855</v>
      </c>
      <c r="M118" s="12">
        <f t="shared" si="16"/>
        <v>2269</v>
      </c>
      <c r="N118" s="12">
        <f t="shared" si="17"/>
        <v>1819</v>
      </c>
      <c r="O118" s="12" t="str">
        <f t="shared" si="18"/>
        <v>휘발유 46,375원 / 고급유 45,380원</v>
      </c>
      <c r="P118" s="12">
        <f t="shared" si="19"/>
        <v>91755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91755</v>
      </c>
      <c r="U118" s="12">
        <f t="shared" si="23"/>
        <v>2039</v>
      </c>
      <c r="V118" s="12">
        <f t="shared" si="24"/>
        <v>2039</v>
      </c>
      <c r="W118" s="14">
        <f t="shared" si="25"/>
        <v>91755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590</v>
      </c>
      <c r="D119" s="15" t="s">
        <v>45</v>
      </c>
      <c r="E119" s="11" t="s">
        <v>26</v>
      </c>
      <c r="F119" s="11" t="s">
        <v>591</v>
      </c>
      <c r="G119" s="12">
        <v>1845</v>
      </c>
      <c r="H119" s="12">
        <v>2285</v>
      </c>
      <c r="I119" s="12"/>
      <c r="J119" s="12">
        <v>1835</v>
      </c>
      <c r="K119" s="12">
        <f t="shared" si="14"/>
        <v>0</v>
      </c>
      <c r="L119" s="12">
        <f t="shared" si="15"/>
        <v>1845</v>
      </c>
      <c r="M119" s="12">
        <f t="shared" si="16"/>
        <v>2285</v>
      </c>
      <c r="N119" s="12">
        <f t="shared" si="17"/>
        <v>1835</v>
      </c>
      <c r="O119" s="12" t="str">
        <f t="shared" si="18"/>
        <v>휘발유 46,125원 / 고급유 45,700원</v>
      </c>
      <c r="P119" s="12">
        <f t="shared" si="19"/>
        <v>91825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91825</v>
      </c>
      <c r="U119" s="12">
        <f t="shared" si="23"/>
        <v>2040.5555555555557</v>
      </c>
      <c r="V119" s="12">
        <f t="shared" si="24"/>
        <v>2040.5555555555557</v>
      </c>
      <c r="W119" s="14">
        <f t="shared" si="25"/>
        <v>91825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1" t="s">
        <v>48</v>
      </c>
      <c r="E120" s="11" t="s">
        <v>26</v>
      </c>
      <c r="F120" s="11" t="s">
        <v>125</v>
      </c>
      <c r="G120" s="12">
        <v>1834</v>
      </c>
      <c r="H120" s="12">
        <v>2299</v>
      </c>
      <c r="I120" s="12"/>
      <c r="J120" s="12">
        <v>1822</v>
      </c>
      <c r="K120" s="12">
        <f t="shared" si="14"/>
        <v>0</v>
      </c>
      <c r="L120" s="12">
        <f t="shared" si="15"/>
        <v>1834</v>
      </c>
      <c r="M120" s="12">
        <f t="shared" si="16"/>
        <v>2299</v>
      </c>
      <c r="N120" s="12">
        <f t="shared" si="17"/>
        <v>1822</v>
      </c>
      <c r="O120" s="12" t="str">
        <f t="shared" si="18"/>
        <v>휘발유 45,850원 / 고급유 45,980원</v>
      </c>
      <c r="P120" s="12">
        <f t="shared" si="19"/>
        <v>91830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91830</v>
      </c>
      <c r="U120" s="12">
        <f t="shared" si="23"/>
        <v>2040.6666666666667</v>
      </c>
      <c r="V120" s="12">
        <f t="shared" si="24"/>
        <v>2040.6666666666667</v>
      </c>
      <c r="W120" s="14">
        <f t="shared" si="25"/>
        <v>91830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1468</v>
      </c>
      <c r="D121" s="15" t="s">
        <v>60</v>
      </c>
      <c r="E121" s="11" t="s">
        <v>26</v>
      </c>
      <c r="F121" s="11" t="s">
        <v>1469</v>
      </c>
      <c r="G121" s="12">
        <v>1845</v>
      </c>
      <c r="H121" s="12">
        <v>2287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2287</v>
      </c>
      <c r="N121" s="12">
        <f t="shared" si="17"/>
        <v>1849</v>
      </c>
      <c r="O121" s="12" t="str">
        <f t="shared" si="18"/>
        <v>휘발유 46,125원 / 고급유 45,740원</v>
      </c>
      <c r="P121" s="12">
        <f t="shared" si="19"/>
        <v>91865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91865</v>
      </c>
      <c r="U121" s="12">
        <f t="shared" si="23"/>
        <v>2041.4444444444443</v>
      </c>
      <c r="V121" s="12">
        <f t="shared" si="24"/>
        <v>2041.4444444444443</v>
      </c>
      <c r="W121" s="14">
        <f t="shared" si="25"/>
        <v>91865</v>
      </c>
    </row>
    <row r="122" spans="1:23" s="7" customFormat="1" ht="28.5" customHeight="1">
      <c r="A122" s="11">
        <f t="shared" si="13"/>
        <v>108</v>
      </c>
      <c r="B122" s="11" t="s">
        <v>8</v>
      </c>
      <c r="C122" s="11" t="s">
        <v>419</v>
      </c>
      <c r="D122" s="15" t="s">
        <v>80</v>
      </c>
      <c r="E122" s="11" t="s">
        <v>26</v>
      </c>
      <c r="F122" s="11" t="s">
        <v>420</v>
      </c>
      <c r="G122" s="12">
        <v>1839</v>
      </c>
      <c r="H122" s="12">
        <v>2299</v>
      </c>
      <c r="I122" s="12"/>
      <c r="J122" s="12">
        <v>1839</v>
      </c>
      <c r="K122" s="12">
        <f t="shared" si="14"/>
        <v>0</v>
      </c>
      <c r="L122" s="12">
        <f t="shared" si="15"/>
        <v>1839</v>
      </c>
      <c r="M122" s="12">
        <f t="shared" si="16"/>
        <v>2299</v>
      </c>
      <c r="N122" s="12">
        <f t="shared" si="17"/>
        <v>1839</v>
      </c>
      <c r="O122" s="12" t="str">
        <f t="shared" si="18"/>
        <v>휘발유 45,975원 / 고급유 45,980원</v>
      </c>
      <c r="P122" s="12">
        <f t="shared" si="19"/>
        <v>91955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91955</v>
      </c>
      <c r="U122" s="12">
        <f t="shared" si="23"/>
        <v>2043.4444444444443</v>
      </c>
      <c r="V122" s="12">
        <f t="shared" si="24"/>
        <v>2043.4444444444443</v>
      </c>
      <c r="W122" s="14">
        <f t="shared" si="25"/>
        <v>91955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266</v>
      </c>
      <c r="D123" s="15" t="s">
        <v>80</v>
      </c>
      <c r="E123" s="11" t="s">
        <v>61</v>
      </c>
      <c r="F123" s="11" t="s">
        <v>267</v>
      </c>
      <c r="G123" s="12">
        <v>1887</v>
      </c>
      <c r="H123" s="12">
        <v>2239</v>
      </c>
      <c r="I123" s="12"/>
      <c r="J123" s="12">
        <v>1839</v>
      </c>
      <c r="K123" s="12">
        <f t="shared" si="14"/>
        <v>0</v>
      </c>
      <c r="L123" s="12">
        <f t="shared" si="15"/>
        <v>1887</v>
      </c>
      <c r="M123" s="12">
        <f t="shared" si="16"/>
        <v>2239</v>
      </c>
      <c r="N123" s="12">
        <f t="shared" si="17"/>
        <v>1839</v>
      </c>
      <c r="O123" s="12" t="str">
        <f t="shared" si="18"/>
        <v>휘발유 47,175원 / 고급유 44,780원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1678</v>
      </c>
      <c r="D124" s="15" t="s">
        <v>80</v>
      </c>
      <c r="E124" s="11" t="s">
        <v>26</v>
      </c>
      <c r="F124" s="11" t="s">
        <v>1679</v>
      </c>
      <c r="G124" s="12">
        <v>1848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1848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46,200원 / 고급유 45,780원</v>
      </c>
      <c r="P124" s="12">
        <f t="shared" si="19"/>
        <v>91980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91980</v>
      </c>
      <c r="U124" s="12">
        <f t="shared" si="23"/>
        <v>2044</v>
      </c>
      <c r="V124" s="12">
        <f t="shared" si="24"/>
        <v>2044</v>
      </c>
      <c r="W124" s="14">
        <f t="shared" si="25"/>
        <v>91980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1559</v>
      </c>
      <c r="D125" s="15" t="s">
        <v>80</v>
      </c>
      <c r="E125" s="11" t="s">
        <v>26</v>
      </c>
      <c r="F125" s="11" t="s">
        <v>1560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402</v>
      </c>
      <c r="D126" s="15" t="s">
        <v>80</v>
      </c>
      <c r="E126" s="11" t="s">
        <v>26</v>
      </c>
      <c r="F126" s="11" t="s">
        <v>403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256</v>
      </c>
      <c r="D127" s="15" t="s">
        <v>80</v>
      </c>
      <c r="E127" s="11" t="s">
        <v>26</v>
      </c>
      <c r="F127" s="11" t="s">
        <v>257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1446</v>
      </c>
      <c r="D128" s="15" t="s">
        <v>60</v>
      </c>
      <c r="E128" s="11" t="s">
        <v>26</v>
      </c>
      <c r="F128" s="11" t="s">
        <v>1447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1460</v>
      </c>
      <c r="D129" s="15" t="s">
        <v>60</v>
      </c>
      <c r="E129" s="11" t="s">
        <v>26</v>
      </c>
      <c r="F129" s="11" t="s">
        <v>1461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1458</v>
      </c>
      <c r="D130" s="15" t="s">
        <v>60</v>
      </c>
      <c r="E130" s="11" t="s">
        <v>61</v>
      </c>
      <c r="F130" s="11" t="s">
        <v>1459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290</v>
      </c>
      <c r="D131" s="15" t="s">
        <v>45</v>
      </c>
      <c r="E131" s="11" t="s">
        <v>26</v>
      </c>
      <c r="F131" s="11" t="s">
        <v>291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1197</v>
      </c>
      <c r="D132" s="15" t="s">
        <v>45</v>
      </c>
      <c r="E132" s="11" t="s">
        <v>26</v>
      </c>
      <c r="F132" s="11" t="s">
        <v>1198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312</v>
      </c>
      <c r="D133" s="15" t="s">
        <v>45</v>
      </c>
      <c r="E133" s="11" t="s">
        <v>26</v>
      </c>
      <c r="F133" s="11" t="s">
        <v>313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164</v>
      </c>
      <c r="D134" s="15" t="s">
        <v>60</v>
      </c>
      <c r="E134" s="11" t="s">
        <v>26</v>
      </c>
      <c r="F134" s="11" t="s">
        <v>165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1417</v>
      </c>
      <c r="D135" s="15" t="s">
        <v>60</v>
      </c>
      <c r="E135" s="11" t="s">
        <v>26</v>
      </c>
      <c r="F135" s="11" t="s">
        <v>1418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936</v>
      </c>
      <c r="D136" s="11" t="s">
        <v>57</v>
      </c>
      <c r="E136" s="11" t="s">
        <v>26</v>
      </c>
      <c r="F136" s="11" t="s">
        <v>937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1413</v>
      </c>
      <c r="D137" s="15" t="s">
        <v>60</v>
      </c>
      <c r="E137" s="11" t="s">
        <v>26</v>
      </c>
      <c r="F137" s="11" t="s">
        <v>1414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218</v>
      </c>
      <c r="D138" s="15" t="s">
        <v>45</v>
      </c>
      <c r="E138" s="11" t="s">
        <v>26</v>
      </c>
      <c r="F138" s="11" t="s">
        <v>219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210</v>
      </c>
      <c r="D139" s="15" t="s">
        <v>45</v>
      </c>
      <c r="E139" s="11" t="s">
        <v>26</v>
      </c>
      <c r="F139" s="11" t="s">
        <v>211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366</v>
      </c>
      <c r="D140" s="11" t="s">
        <v>57</v>
      </c>
      <c r="E140" s="11" t="s">
        <v>26</v>
      </c>
      <c r="F140" s="11" t="s">
        <v>367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150</v>
      </c>
      <c r="D141" s="15" t="s">
        <v>80</v>
      </c>
      <c r="E141" s="11" t="s">
        <v>26</v>
      </c>
      <c r="F141" s="11" t="s">
        <v>151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1848</v>
      </c>
      <c r="H142" s="12">
        <v>2332</v>
      </c>
      <c r="I142" s="12" t="s">
        <v>63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208</v>
      </c>
      <c r="D143" s="15" t="s">
        <v>45</v>
      </c>
      <c r="E143" s="11" t="s">
        <v>26</v>
      </c>
      <c r="F143" s="11" t="s">
        <v>209</v>
      </c>
      <c r="G143" s="12">
        <v>1848</v>
      </c>
      <c r="H143" s="12">
        <v>2332</v>
      </c>
      <c r="I143" s="12" t="s">
        <v>63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1403</v>
      </c>
      <c r="D144" s="15" t="s">
        <v>60</v>
      </c>
      <c r="E144" s="11" t="s">
        <v>26</v>
      </c>
      <c r="F144" s="11" t="s">
        <v>1404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641</v>
      </c>
      <c r="D145" s="15" t="s">
        <v>60</v>
      </c>
      <c r="E145" s="11" t="s">
        <v>26</v>
      </c>
      <c r="F145" s="11" t="s">
        <v>642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1149</v>
      </c>
      <c r="D146" s="15" t="s">
        <v>80</v>
      </c>
      <c r="E146" s="11" t="s">
        <v>26</v>
      </c>
      <c r="F146" s="11" t="s">
        <v>1150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1450</v>
      </c>
      <c r="D147" s="15" t="s">
        <v>60</v>
      </c>
      <c r="E147" s="11" t="s">
        <v>26</v>
      </c>
      <c r="F147" s="11" t="s">
        <v>1451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126</v>
      </c>
      <c r="D148" s="15" t="s">
        <v>60</v>
      </c>
      <c r="E148" s="11" t="s">
        <v>61</v>
      </c>
      <c r="F148" s="11" t="s">
        <v>127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198</v>
      </c>
      <c r="D149" s="15" t="s">
        <v>45</v>
      </c>
      <c r="E149" s="11" t="s">
        <v>61</v>
      </c>
      <c r="F149" s="11" t="s">
        <v>199</v>
      </c>
      <c r="G149" s="12">
        <v>1860</v>
      </c>
      <c r="H149" s="12">
        <v>2320</v>
      </c>
      <c r="I149" s="12"/>
      <c r="J149" s="12">
        <v>1855</v>
      </c>
      <c r="K149" s="12">
        <f t="shared" si="27"/>
        <v>-10</v>
      </c>
      <c r="L149" s="12">
        <f t="shared" si="28"/>
        <v>1850</v>
      </c>
      <c r="M149" s="12">
        <f t="shared" si="29"/>
        <v>2310</v>
      </c>
      <c r="N149" s="12">
        <f t="shared" si="30"/>
        <v>1845</v>
      </c>
      <c r="O149" s="12" t="str">
        <f t="shared" si="31"/>
        <v>휘발유 46,250원 / 고급유 46,200원</v>
      </c>
      <c r="P149" s="12">
        <f t="shared" si="32"/>
        <v>92450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92450</v>
      </c>
      <c r="U149" s="12">
        <f t="shared" si="36"/>
        <v>2054.4444444444443</v>
      </c>
      <c r="V149" s="12">
        <f t="shared" si="37"/>
        <v>2054.4444444444443</v>
      </c>
      <c r="W149" s="14">
        <f t="shared" si="38"/>
        <v>92450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700</v>
      </c>
      <c r="D150" s="11" t="s">
        <v>57</v>
      </c>
      <c r="E150" s="11" t="s">
        <v>26</v>
      </c>
      <c r="F150" s="11" t="s">
        <v>701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1442</v>
      </c>
      <c r="D151" s="15" t="s">
        <v>60</v>
      </c>
      <c r="E151" s="11" t="s">
        <v>26</v>
      </c>
      <c r="F151" s="11" t="s">
        <v>1443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1452</v>
      </c>
      <c r="D152" s="15" t="s">
        <v>60</v>
      </c>
      <c r="E152" s="11" t="s">
        <v>26</v>
      </c>
      <c r="F152" s="11" t="s">
        <v>1453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1697</v>
      </c>
      <c r="D153" s="15" t="s">
        <v>45</v>
      </c>
      <c r="E153" s="11" t="s">
        <v>61</v>
      </c>
      <c r="F153" s="11" t="s">
        <v>1698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555</v>
      </c>
      <c r="D154" s="15" t="s">
        <v>45</v>
      </c>
      <c r="E154" s="11" t="s">
        <v>26</v>
      </c>
      <c r="F154" s="11" t="s">
        <v>556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194</v>
      </c>
      <c r="D155" s="15" t="s">
        <v>45</v>
      </c>
      <c r="E155" s="11" t="s">
        <v>26</v>
      </c>
      <c r="F155" s="11" t="s">
        <v>195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202</v>
      </c>
      <c r="D156" s="15" t="s">
        <v>45</v>
      </c>
      <c r="E156" s="11" t="s">
        <v>26</v>
      </c>
      <c r="F156" s="11" t="s">
        <v>203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216</v>
      </c>
      <c r="D157" s="15" t="s">
        <v>45</v>
      </c>
      <c r="E157" s="11" t="s">
        <v>26</v>
      </c>
      <c r="F157" s="11" t="s">
        <v>217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206</v>
      </c>
      <c r="D158" s="15" t="s">
        <v>45</v>
      </c>
      <c r="E158" s="11" t="s">
        <v>61</v>
      </c>
      <c r="F158" s="11" t="s">
        <v>207</v>
      </c>
      <c r="G158" s="12">
        <v>1862</v>
      </c>
      <c r="H158" s="12">
        <v>2337</v>
      </c>
      <c r="I158" s="12" t="s">
        <v>63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230</v>
      </c>
      <c r="D159" s="15" t="s">
        <v>80</v>
      </c>
      <c r="E159" s="11" t="s">
        <v>26</v>
      </c>
      <c r="F159" s="11" t="s">
        <v>231</v>
      </c>
      <c r="G159" s="12">
        <v>1845</v>
      </c>
      <c r="H159" s="12">
        <v>2340</v>
      </c>
      <c r="I159" s="12"/>
      <c r="J159" s="12">
        <v>1832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1832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426</v>
      </c>
      <c r="D160" s="15" t="s">
        <v>45</v>
      </c>
      <c r="E160" s="11" t="s">
        <v>26</v>
      </c>
      <c r="F160" s="11" t="s">
        <v>427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224</v>
      </c>
      <c r="D161" s="15" t="s">
        <v>45</v>
      </c>
      <c r="E161" s="11" t="s">
        <v>61</v>
      </c>
      <c r="F161" s="11" t="s">
        <v>225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</v>
      </c>
      <c r="D162" s="15" t="s">
        <v>45</v>
      </c>
      <c r="E162" s="11" t="s">
        <v>26</v>
      </c>
      <c r="F162" s="11" t="s">
        <v>143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1511</v>
      </c>
      <c r="D165" s="11" t="s">
        <v>104</v>
      </c>
      <c r="E165" s="11" t="s">
        <v>26</v>
      </c>
      <c r="F165" s="11" t="s">
        <v>1512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192</v>
      </c>
      <c r="D166" s="15" t="s">
        <v>45</v>
      </c>
      <c r="E166" s="11" t="s">
        <v>61</v>
      </c>
      <c r="F166" s="11" t="s">
        <v>193</v>
      </c>
      <c r="G166" s="12">
        <v>1869</v>
      </c>
      <c r="H166" s="12">
        <v>2347</v>
      </c>
      <c r="I166" s="12" t="s">
        <v>63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730</v>
      </c>
      <c r="D167" s="11" t="s">
        <v>104</v>
      </c>
      <c r="E167" s="11" t="s">
        <v>26</v>
      </c>
      <c r="F167" s="11" t="s">
        <v>731</v>
      </c>
      <c r="G167" s="12">
        <v>1835</v>
      </c>
      <c r="H167" s="12">
        <v>2368</v>
      </c>
      <c r="I167" s="12"/>
      <c r="J167" s="12">
        <v>1828</v>
      </c>
      <c r="K167" s="12">
        <f t="shared" si="27"/>
        <v>0</v>
      </c>
      <c r="L167" s="12">
        <f t="shared" si="28"/>
        <v>1835</v>
      </c>
      <c r="M167" s="12">
        <f t="shared" si="29"/>
        <v>2368</v>
      </c>
      <c r="N167" s="12">
        <f t="shared" si="30"/>
        <v>1828</v>
      </c>
      <c r="O167" s="12" t="str">
        <f t="shared" si="31"/>
        <v>휘발유 45,875원 / 고급유 47,360원</v>
      </c>
      <c r="P167" s="12">
        <f t="shared" si="32"/>
        <v>93235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93235</v>
      </c>
      <c r="U167" s="12">
        <f t="shared" si="36"/>
        <v>2071.8888888888887</v>
      </c>
      <c r="V167" s="12">
        <f t="shared" si="37"/>
        <v>2071.8888888888887</v>
      </c>
      <c r="W167" s="14">
        <f t="shared" si="38"/>
        <v>93235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1710</v>
      </c>
      <c r="D168" s="15" t="s">
        <v>80</v>
      </c>
      <c r="E168" s="11" t="s">
        <v>26</v>
      </c>
      <c r="F168" s="11" t="s">
        <v>1711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222</v>
      </c>
      <c r="D169" s="15" t="s">
        <v>45</v>
      </c>
      <c r="E169" s="11" t="s">
        <v>26</v>
      </c>
      <c r="F169" s="11" t="s">
        <v>223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1551</v>
      </c>
      <c r="D170" s="15" t="s">
        <v>80</v>
      </c>
      <c r="E170" s="11" t="s">
        <v>26</v>
      </c>
      <c r="F170" s="11" t="s">
        <v>1552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619</v>
      </c>
      <c r="D172" s="15" t="s">
        <v>45</v>
      </c>
      <c r="E172" s="11" t="s">
        <v>26</v>
      </c>
      <c r="F172" s="11" t="s">
        <v>620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364</v>
      </c>
      <c r="D173" s="15" t="s">
        <v>45</v>
      </c>
      <c r="E173" s="11" t="s">
        <v>26</v>
      </c>
      <c r="F173" s="11" t="s">
        <v>365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190</v>
      </c>
      <c r="D174" s="15" t="s">
        <v>45</v>
      </c>
      <c r="E174" s="11" t="s">
        <v>26</v>
      </c>
      <c r="F174" s="11" t="s">
        <v>191</v>
      </c>
      <c r="G174" s="12">
        <v>1864</v>
      </c>
      <c r="H174" s="12">
        <v>2389</v>
      </c>
      <c r="I174" s="12" t="s">
        <v>63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196</v>
      </c>
      <c r="D175" s="15" t="s">
        <v>45</v>
      </c>
      <c r="E175" s="11" t="s">
        <v>61</v>
      </c>
      <c r="F175" s="11" t="s">
        <v>197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1231</v>
      </c>
      <c r="D176" s="15" t="s">
        <v>60</v>
      </c>
      <c r="E176" s="11" t="s">
        <v>26</v>
      </c>
      <c r="F176" s="11" t="s">
        <v>1232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212</v>
      </c>
      <c r="D178" s="15" t="s">
        <v>45</v>
      </c>
      <c r="E178" s="11" t="s">
        <v>26</v>
      </c>
      <c r="F178" s="11" t="s">
        <v>213</v>
      </c>
      <c r="G178" s="12">
        <v>1867</v>
      </c>
      <c r="H178" s="12">
        <v>2429</v>
      </c>
      <c r="I178" s="12" t="s">
        <v>63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1247</v>
      </c>
      <c r="D179" s="11" t="s">
        <v>57</v>
      </c>
      <c r="E179" s="11" t="s">
        <v>26</v>
      </c>
      <c r="F179" s="11" t="s">
        <v>1248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86</v>
      </c>
      <c r="D180" s="11" t="s">
        <v>57</v>
      </c>
      <c r="E180" s="11" t="s">
        <v>26</v>
      </c>
      <c r="F180" s="11" t="s">
        <v>87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727</v>
      </c>
      <c r="D181" s="15" t="s">
        <v>80</v>
      </c>
      <c r="E181" s="11" t="s">
        <v>61</v>
      </c>
      <c r="F181" s="11" t="s">
        <v>728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16</v>
      </c>
      <c r="C182" s="11" t="s">
        <v>178</v>
      </c>
      <c r="D182" s="15" t="s">
        <v>80</v>
      </c>
      <c r="E182" s="11" t="s">
        <v>26</v>
      </c>
      <c r="F182" s="11" t="s">
        <v>179</v>
      </c>
      <c r="G182" s="12">
        <v>1830</v>
      </c>
      <c r="H182" s="12"/>
      <c r="I182" s="12"/>
      <c r="J182" s="12">
        <v>1790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1159</v>
      </c>
      <c r="D183" s="15" t="s">
        <v>60</v>
      </c>
      <c r="E183" s="11" t="s">
        <v>26</v>
      </c>
      <c r="F183" s="11" t="s">
        <v>1160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1685</v>
      </c>
      <c r="D184" s="15" t="s">
        <v>45</v>
      </c>
      <c r="E184" s="11" t="s">
        <v>26</v>
      </c>
      <c r="F184" s="11" t="s">
        <v>1686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99</v>
      </c>
      <c r="D185" s="15" t="s">
        <v>45</v>
      </c>
      <c r="E185" s="11" t="s">
        <v>26</v>
      </c>
      <c r="F185" s="11" t="s">
        <v>100</v>
      </c>
      <c r="G185" s="12">
        <v>1797</v>
      </c>
      <c r="H185" s="12"/>
      <c r="I185" s="12"/>
      <c r="J185" s="12">
        <v>1792</v>
      </c>
      <c r="K185" s="12">
        <f t="shared" si="27"/>
        <v>0</v>
      </c>
      <c r="L185" s="12">
        <f t="shared" si="28"/>
        <v>1797</v>
      </c>
      <c r="M185" s="12" t="str">
        <f t="shared" si="29"/>
        <v/>
      </c>
      <c r="N185" s="12">
        <f t="shared" si="30"/>
        <v>1792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1484</v>
      </c>
      <c r="D186" s="15" t="s">
        <v>60</v>
      </c>
      <c r="E186" s="11" t="s">
        <v>26</v>
      </c>
      <c r="F186" s="11" t="s">
        <v>1485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1346</v>
      </c>
      <c r="D187" s="15" t="s">
        <v>45</v>
      </c>
      <c r="E187" s="11" t="s">
        <v>26</v>
      </c>
      <c r="F187" s="11" t="s">
        <v>1347</v>
      </c>
      <c r="G187" s="12">
        <v>1799</v>
      </c>
      <c r="H187" s="12"/>
      <c r="I187" s="12"/>
      <c r="J187" s="12">
        <v>1811</v>
      </c>
      <c r="K187" s="12">
        <f t="shared" si="27"/>
        <v>0</v>
      </c>
      <c r="L187" s="12">
        <f t="shared" si="28"/>
        <v>1799</v>
      </c>
      <c r="M187" s="12" t="str">
        <f t="shared" si="29"/>
        <v/>
      </c>
      <c r="N187" s="12">
        <f t="shared" si="30"/>
        <v>1811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627</v>
      </c>
      <c r="D188" s="11" t="s">
        <v>57</v>
      </c>
      <c r="E188" s="11" t="s">
        <v>26</v>
      </c>
      <c r="F188" s="11" t="s">
        <v>628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1245</v>
      </c>
      <c r="D189" s="11" t="s">
        <v>57</v>
      </c>
      <c r="E189" s="11" t="s">
        <v>26</v>
      </c>
      <c r="F189" s="11" t="s">
        <v>1246</v>
      </c>
      <c r="G189" s="12">
        <v>1805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1805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480</v>
      </c>
      <c r="D190" s="15" t="s">
        <v>45</v>
      </c>
      <c r="E190" s="11" t="s">
        <v>26</v>
      </c>
      <c r="F190" s="11" t="s">
        <v>481</v>
      </c>
      <c r="G190" s="12">
        <v>1847</v>
      </c>
      <c r="H190" s="12"/>
      <c r="I190" s="12"/>
      <c r="J190" s="12">
        <v>1817</v>
      </c>
      <c r="K190" s="12">
        <f t="shared" si="27"/>
        <v>0</v>
      </c>
      <c r="L190" s="12">
        <f t="shared" si="28"/>
        <v>1847</v>
      </c>
      <c r="M190" s="12" t="str">
        <f t="shared" si="29"/>
        <v/>
      </c>
      <c r="N190" s="12">
        <f t="shared" si="30"/>
        <v>1817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1638</v>
      </c>
      <c r="D191" s="15" t="s">
        <v>80</v>
      </c>
      <c r="E191" s="11" t="s">
        <v>26</v>
      </c>
      <c r="F191" s="11" t="s">
        <v>1639</v>
      </c>
      <c r="G191" s="12">
        <v>1807</v>
      </c>
      <c r="H191" s="12"/>
      <c r="I191" s="12"/>
      <c r="J191" s="12">
        <v>1787</v>
      </c>
      <c r="K191" s="12">
        <f t="shared" si="27"/>
        <v>0</v>
      </c>
      <c r="L191" s="12">
        <f t="shared" si="28"/>
        <v>1807</v>
      </c>
      <c r="M191" s="12" t="str">
        <f t="shared" si="29"/>
        <v/>
      </c>
      <c r="N191" s="12">
        <f t="shared" si="30"/>
        <v>1787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723</v>
      </c>
      <c r="D192" s="11" t="s">
        <v>57</v>
      </c>
      <c r="E192" s="11" t="s">
        <v>26</v>
      </c>
      <c r="F192" s="11" t="s">
        <v>724</v>
      </c>
      <c r="G192" s="12">
        <v>1849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1849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478</v>
      </c>
      <c r="D193" s="15" t="s">
        <v>45</v>
      </c>
      <c r="E193" s="11" t="s">
        <v>26</v>
      </c>
      <c r="F193" s="11" t="s">
        <v>479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1049</v>
      </c>
      <c r="D194" s="15" t="s">
        <v>45</v>
      </c>
      <c r="E194" s="11" t="s">
        <v>61</v>
      </c>
      <c r="F194" s="11" t="s">
        <v>1050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659</v>
      </c>
      <c r="D195" s="15" t="s">
        <v>45</v>
      </c>
      <c r="E195" s="11" t="s">
        <v>26</v>
      </c>
      <c r="F195" s="11" t="s">
        <v>660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671</v>
      </c>
      <c r="D196" s="15" t="s">
        <v>60</v>
      </c>
      <c r="E196" s="11" t="s">
        <v>26</v>
      </c>
      <c r="F196" s="11" t="s">
        <v>672</v>
      </c>
      <c r="G196" s="12">
        <v>1850</v>
      </c>
      <c r="H196" s="12"/>
      <c r="I196" s="12"/>
      <c r="J196" s="12">
        <v>1810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1810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576</v>
      </c>
      <c r="D197" s="15" t="s">
        <v>80</v>
      </c>
      <c r="E197" s="11" t="s">
        <v>26</v>
      </c>
      <c r="F197" s="11" t="s">
        <v>577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588</v>
      </c>
      <c r="D198" s="15" t="s">
        <v>80</v>
      </c>
      <c r="E198" s="11" t="s">
        <v>26</v>
      </c>
      <c r="F198" s="11" t="s">
        <v>589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417</v>
      </c>
      <c r="D199" s="15" t="s">
        <v>60</v>
      </c>
      <c r="E199" s="11" t="s">
        <v>26</v>
      </c>
      <c r="F199" s="11" t="s">
        <v>418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986</v>
      </c>
      <c r="D200" s="11" t="s">
        <v>57</v>
      </c>
      <c r="E200" s="11" t="s">
        <v>26</v>
      </c>
      <c r="F200" s="11" t="s">
        <v>987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1579</v>
      </c>
      <c r="D201" s="11" t="s">
        <v>48</v>
      </c>
      <c r="E201" s="11" t="s">
        <v>26</v>
      </c>
      <c r="F201" s="11" t="s">
        <v>1580</v>
      </c>
      <c r="G201" s="12">
        <v>1813</v>
      </c>
      <c r="H201" s="12"/>
      <c r="I201" s="12"/>
      <c r="J201" s="12">
        <v>1800</v>
      </c>
      <c r="K201" s="12">
        <f t="shared" si="27"/>
        <v>0</v>
      </c>
      <c r="L201" s="12">
        <f t="shared" si="28"/>
        <v>1813</v>
      </c>
      <c r="M201" s="12" t="str">
        <f t="shared" si="29"/>
        <v/>
      </c>
      <c r="N201" s="12">
        <f t="shared" si="30"/>
        <v>1800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1820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1820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934</v>
      </c>
      <c r="D203" s="15" t="s">
        <v>80</v>
      </c>
      <c r="E203" s="11" t="s">
        <v>61</v>
      </c>
      <c r="F203" s="11" t="s">
        <v>935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786</v>
      </c>
      <c r="D204" s="15" t="s">
        <v>45</v>
      </c>
      <c r="E204" s="11" t="s">
        <v>61</v>
      </c>
      <c r="F204" s="11" t="s">
        <v>787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286</v>
      </c>
      <c r="D205" s="11" t="s">
        <v>95</v>
      </c>
      <c r="E205" s="11" t="s">
        <v>26</v>
      </c>
      <c r="F205" s="11" t="s">
        <v>287</v>
      </c>
      <c r="G205" s="12">
        <v>1814</v>
      </c>
      <c r="H205" s="12"/>
      <c r="I205" s="12"/>
      <c r="J205" s="12">
        <v>1788</v>
      </c>
      <c r="K205" s="12">
        <f t="shared" si="27"/>
        <v>0</v>
      </c>
      <c r="L205" s="12">
        <f t="shared" si="28"/>
        <v>1814</v>
      </c>
      <c r="M205" s="12" t="str">
        <f t="shared" si="29"/>
        <v/>
      </c>
      <c r="N205" s="12">
        <f t="shared" si="30"/>
        <v>1788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543</v>
      </c>
      <c r="D206" s="15" t="s">
        <v>80</v>
      </c>
      <c r="E206" s="11" t="s">
        <v>61</v>
      </c>
      <c r="F206" s="11" t="s">
        <v>544</v>
      </c>
      <c r="G206" s="12">
        <v>1815</v>
      </c>
      <c r="H206" s="12"/>
      <c r="I206" s="12"/>
      <c r="J206" s="12">
        <v>1795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1795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14</v>
      </c>
      <c r="C207" s="11" t="s">
        <v>1002</v>
      </c>
      <c r="D207" s="15" t="s">
        <v>45</v>
      </c>
      <c r="E207" s="11" t="s">
        <v>26</v>
      </c>
      <c r="F207" s="11" t="s">
        <v>1003</v>
      </c>
      <c r="G207" s="12">
        <v>1815</v>
      </c>
      <c r="H207" s="12"/>
      <c r="I207" s="12"/>
      <c r="J207" s="12">
        <v>1818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1818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1515</v>
      </c>
      <c r="D210" s="15" t="s">
        <v>60</v>
      </c>
      <c r="E210" s="11" t="s">
        <v>61</v>
      </c>
      <c r="F210" s="11" t="s">
        <v>1516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1326</v>
      </c>
      <c r="D211" s="15" t="s">
        <v>80</v>
      </c>
      <c r="E211" s="11" t="s">
        <v>61</v>
      </c>
      <c r="F211" s="11" t="s">
        <v>1327</v>
      </c>
      <c r="G211" s="12">
        <v>1857</v>
      </c>
      <c r="H211" s="12"/>
      <c r="I211" s="12"/>
      <c r="J211" s="12">
        <v>1847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1847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1171</v>
      </c>
      <c r="D212" s="15" t="s">
        <v>45</v>
      </c>
      <c r="E212" s="11" t="s">
        <v>26</v>
      </c>
      <c r="F212" s="11" t="s">
        <v>1172</v>
      </c>
      <c r="G212" s="12">
        <v>1817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1817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16</v>
      </c>
      <c r="C213" s="11" t="s">
        <v>902</v>
      </c>
      <c r="D213" s="15" t="s">
        <v>60</v>
      </c>
      <c r="E213" s="11" t="s">
        <v>61</v>
      </c>
      <c r="F213" s="11" t="s">
        <v>903</v>
      </c>
      <c r="G213" s="12">
        <v>1859</v>
      </c>
      <c r="H213" s="12"/>
      <c r="I213" s="12"/>
      <c r="J213" s="12">
        <v>1819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1819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1155</v>
      </c>
      <c r="D214" s="11" t="s">
        <v>57</v>
      </c>
      <c r="E214" s="11" t="s">
        <v>61</v>
      </c>
      <c r="F214" s="11" t="s">
        <v>1156</v>
      </c>
      <c r="G214" s="12">
        <v>1859</v>
      </c>
      <c r="H214" s="12"/>
      <c r="I214" s="12"/>
      <c r="J214" s="12">
        <v>1839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1839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7" customFormat="1" ht="28.5" customHeight="1">
      <c r="A215" s="11" t="str">
        <f t="shared" si="39"/>
        <v/>
      </c>
      <c r="B215" s="11" t="s">
        <v>18</v>
      </c>
      <c r="C215" s="11" t="s">
        <v>886</v>
      </c>
      <c r="D215" s="11" t="s">
        <v>57</v>
      </c>
      <c r="E215" s="11" t="s">
        <v>26</v>
      </c>
      <c r="F215" s="11" t="s">
        <v>887</v>
      </c>
      <c r="G215" s="12">
        <v>1859</v>
      </c>
      <c r="H215" s="12"/>
      <c r="I215" s="12"/>
      <c r="J215" s="12">
        <v>1849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1849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1519</v>
      </c>
      <c r="D216" s="15" t="s">
        <v>60</v>
      </c>
      <c r="E216" s="11" t="s">
        <v>61</v>
      </c>
      <c r="F216" s="11" t="s">
        <v>1520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370</v>
      </c>
      <c r="D217" s="15" t="s">
        <v>45</v>
      </c>
      <c r="E217" s="11" t="s">
        <v>26</v>
      </c>
      <c r="F217" s="11" t="s">
        <v>371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1268</v>
      </c>
      <c r="D218" s="15" t="s">
        <v>45</v>
      </c>
      <c r="E218" s="11" t="s">
        <v>26</v>
      </c>
      <c r="F218" s="11" t="s">
        <v>1269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978</v>
      </c>
      <c r="D219" s="15" t="s">
        <v>80</v>
      </c>
      <c r="E219" s="11" t="s">
        <v>26</v>
      </c>
      <c r="F219" s="11" t="s">
        <v>979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388</v>
      </c>
      <c r="D220" s="11" t="s">
        <v>57</v>
      </c>
      <c r="E220" s="11" t="s">
        <v>26</v>
      </c>
      <c r="F220" s="11" t="s">
        <v>389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362</v>
      </c>
      <c r="D221" s="15" t="s">
        <v>45</v>
      </c>
      <c r="E221" s="11" t="s">
        <v>26</v>
      </c>
      <c r="F221" s="11" t="s">
        <v>363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1316</v>
      </c>
      <c r="D222" s="15" t="s">
        <v>80</v>
      </c>
      <c r="E222" s="11" t="s">
        <v>61</v>
      </c>
      <c r="F222" s="11" t="s">
        <v>1317</v>
      </c>
      <c r="G222" s="12">
        <v>1819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1599</v>
      </c>
      <c r="D223" s="15" t="s">
        <v>57</v>
      </c>
      <c r="E223" s="11" t="s">
        <v>26</v>
      </c>
      <c r="F223" s="11" t="s">
        <v>1600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1373</v>
      </c>
      <c r="D224" s="11" t="s">
        <v>57</v>
      </c>
      <c r="E224" s="11" t="s">
        <v>26</v>
      </c>
      <c r="F224" s="11" t="s">
        <v>1374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1674</v>
      </c>
      <c r="D225" s="15" t="s">
        <v>80</v>
      </c>
      <c r="E225" s="11" t="s">
        <v>26</v>
      </c>
      <c r="F225" s="11" t="s">
        <v>1675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1189</v>
      </c>
      <c r="D226" s="11" t="s">
        <v>57</v>
      </c>
      <c r="E226" s="11" t="s">
        <v>61</v>
      </c>
      <c r="F226" s="11" t="s">
        <v>1190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152</v>
      </c>
      <c r="D227" s="11" t="s">
        <v>48</v>
      </c>
      <c r="E227" s="11" t="s">
        <v>26</v>
      </c>
      <c r="F227" s="11" t="s">
        <v>153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434</v>
      </c>
      <c r="D228" s="11" t="s">
        <v>95</v>
      </c>
      <c r="E228" s="11" t="s">
        <v>26</v>
      </c>
      <c r="F228" s="11" t="s">
        <v>435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12</v>
      </c>
      <c r="C229" s="11" t="s">
        <v>344</v>
      </c>
      <c r="D229" s="15" t="s">
        <v>45</v>
      </c>
      <c r="E229" s="11" t="s">
        <v>26</v>
      </c>
      <c r="F229" s="11" t="s">
        <v>345</v>
      </c>
      <c r="G229" s="12">
        <v>1825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598</v>
      </c>
      <c r="D230" s="15" t="s">
        <v>57</v>
      </c>
      <c r="E230" s="11" t="s">
        <v>26</v>
      </c>
      <c r="F230" s="11" t="s">
        <v>599</v>
      </c>
      <c r="G230" s="12">
        <v>1825</v>
      </c>
      <c r="H230" s="12"/>
      <c r="I230" s="12"/>
      <c r="J230" s="12">
        <v>1813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1813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778</v>
      </c>
      <c r="D231" s="11" t="s">
        <v>57</v>
      </c>
      <c r="E231" s="11" t="s">
        <v>26</v>
      </c>
      <c r="F231" s="11" t="s">
        <v>779</v>
      </c>
      <c r="G231" s="12">
        <v>1825</v>
      </c>
      <c r="H231" s="12"/>
      <c r="I231" s="12"/>
      <c r="J231" s="12">
        <v>1819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803</v>
      </c>
      <c r="D232" s="15" t="s">
        <v>80</v>
      </c>
      <c r="E232" s="11" t="s">
        <v>61</v>
      </c>
      <c r="F232" s="11" t="s">
        <v>804</v>
      </c>
      <c r="G232" s="12">
        <v>1867</v>
      </c>
      <c r="H232" s="12"/>
      <c r="I232" s="12"/>
      <c r="J232" s="12">
        <v>1857</v>
      </c>
      <c r="K232" s="12">
        <f t="shared" si="40"/>
        <v>0</v>
      </c>
      <c r="L232" s="12">
        <f t="shared" si="41"/>
        <v>1867</v>
      </c>
      <c r="M232" s="12" t="str">
        <f t="shared" si="42"/>
        <v/>
      </c>
      <c r="N232" s="12">
        <f t="shared" si="43"/>
        <v>1857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734</v>
      </c>
      <c r="D233" s="15" t="s">
        <v>80</v>
      </c>
      <c r="E233" s="11" t="s">
        <v>26</v>
      </c>
      <c r="F233" s="11" t="s">
        <v>735</v>
      </c>
      <c r="G233" s="12">
        <v>1827</v>
      </c>
      <c r="H233" s="12"/>
      <c r="I233" s="12"/>
      <c r="J233" s="12">
        <v>1819</v>
      </c>
      <c r="K233" s="12">
        <f t="shared" si="40"/>
        <v>0</v>
      </c>
      <c r="L233" s="12">
        <f t="shared" si="41"/>
        <v>1827</v>
      </c>
      <c r="M233" s="12" t="str">
        <f t="shared" si="42"/>
        <v/>
      </c>
      <c r="N233" s="12">
        <f t="shared" si="43"/>
        <v>1819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16</v>
      </c>
      <c r="C234" s="11" t="s">
        <v>1658</v>
      </c>
      <c r="D234" s="15" t="s">
        <v>80</v>
      </c>
      <c r="E234" s="11" t="s">
        <v>61</v>
      </c>
      <c r="F234" s="11" t="s">
        <v>1659</v>
      </c>
      <c r="G234" s="12">
        <v>1869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1869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12</v>
      </c>
      <c r="C235" s="11" t="s">
        <v>872</v>
      </c>
      <c r="D235" s="15" t="s">
        <v>57</v>
      </c>
      <c r="E235" s="11" t="s">
        <v>26</v>
      </c>
      <c r="F235" s="11" t="s">
        <v>873</v>
      </c>
      <c r="G235" s="12">
        <v>1828</v>
      </c>
      <c r="H235" s="12"/>
      <c r="I235" s="12"/>
      <c r="J235" s="12">
        <v>1798</v>
      </c>
      <c r="K235" s="12">
        <f t="shared" si="40"/>
        <v>0</v>
      </c>
      <c r="L235" s="12">
        <f t="shared" si="41"/>
        <v>1828</v>
      </c>
      <c r="M235" s="12" t="str">
        <f t="shared" si="42"/>
        <v/>
      </c>
      <c r="N235" s="12">
        <f t="shared" si="43"/>
        <v>1798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1081</v>
      </c>
      <c r="D236" s="15" t="s">
        <v>80</v>
      </c>
      <c r="E236" s="11" t="s">
        <v>26</v>
      </c>
      <c r="F236" s="11" t="s">
        <v>1083</v>
      </c>
      <c r="G236" s="12">
        <v>1828</v>
      </c>
      <c r="H236" s="12"/>
      <c r="I236" s="12"/>
      <c r="J236" s="12">
        <v>1798</v>
      </c>
      <c r="K236" s="12">
        <f t="shared" si="40"/>
        <v>0</v>
      </c>
      <c r="L236" s="12">
        <f t="shared" si="41"/>
        <v>1828</v>
      </c>
      <c r="M236" s="12" t="str">
        <f t="shared" si="42"/>
        <v/>
      </c>
      <c r="N236" s="12">
        <f t="shared" si="43"/>
        <v>1798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702</v>
      </c>
      <c r="D237" s="11" t="s">
        <v>48</v>
      </c>
      <c r="E237" s="11" t="s">
        <v>61</v>
      </c>
      <c r="F237" s="11" t="s">
        <v>703</v>
      </c>
      <c r="G237" s="12">
        <v>1828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1828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1369</v>
      </c>
      <c r="D238" s="15" t="s">
        <v>45</v>
      </c>
      <c r="E238" s="11" t="s">
        <v>26</v>
      </c>
      <c r="F238" s="11" t="s">
        <v>1370</v>
      </c>
      <c r="G238" s="12">
        <v>1870</v>
      </c>
      <c r="H238" s="12"/>
      <c r="I238" s="12"/>
      <c r="J238" s="12">
        <v>1820</v>
      </c>
      <c r="K238" s="12">
        <f t="shared" si="40"/>
        <v>0</v>
      </c>
      <c r="L238" s="12">
        <f t="shared" si="41"/>
        <v>1870</v>
      </c>
      <c r="M238" s="12" t="str">
        <f t="shared" si="42"/>
        <v/>
      </c>
      <c r="N238" s="12">
        <f t="shared" si="43"/>
        <v>1820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608</v>
      </c>
      <c r="D239" s="15" t="s">
        <v>80</v>
      </c>
      <c r="E239" s="11" t="s">
        <v>61</v>
      </c>
      <c r="F239" s="11" t="s">
        <v>609</v>
      </c>
      <c r="G239" s="12">
        <v>1870</v>
      </c>
      <c r="H239" s="12"/>
      <c r="I239" s="12"/>
      <c r="J239" s="12">
        <v>1825</v>
      </c>
      <c r="K239" s="12">
        <f t="shared" si="40"/>
        <v>0</v>
      </c>
      <c r="L239" s="12">
        <f t="shared" si="41"/>
        <v>1870</v>
      </c>
      <c r="M239" s="12" t="str">
        <f t="shared" si="42"/>
        <v/>
      </c>
      <c r="N239" s="12">
        <f t="shared" si="43"/>
        <v>1825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904</v>
      </c>
      <c r="D240" s="15" t="s">
        <v>45</v>
      </c>
      <c r="E240" s="11" t="s">
        <v>26</v>
      </c>
      <c r="F240" s="11" t="s">
        <v>905</v>
      </c>
      <c r="G240" s="12">
        <v>1870</v>
      </c>
      <c r="H240" s="12"/>
      <c r="I240" s="12"/>
      <c r="J240" s="12">
        <v>1850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1850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1497</v>
      </c>
      <c r="D241" s="15" t="s">
        <v>80</v>
      </c>
      <c r="E241" s="11" t="s">
        <v>61</v>
      </c>
      <c r="F241" s="11" t="s">
        <v>1498</v>
      </c>
      <c r="G241" s="12">
        <v>1870</v>
      </c>
      <c r="H241" s="12"/>
      <c r="I241" s="12"/>
      <c r="J241" s="12">
        <v>1850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1850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924</v>
      </c>
      <c r="D242" s="15" t="s">
        <v>80</v>
      </c>
      <c r="E242" s="11" t="s">
        <v>61</v>
      </c>
      <c r="F242" s="11" t="s">
        <v>925</v>
      </c>
      <c r="G242" s="12">
        <v>1870</v>
      </c>
      <c r="H242" s="12"/>
      <c r="I242" s="12"/>
      <c r="J242" s="12">
        <v>1870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1870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1312</v>
      </c>
      <c r="D243" s="11" t="s">
        <v>57</v>
      </c>
      <c r="E243" s="11" t="s">
        <v>61</v>
      </c>
      <c r="F243" s="11" t="s">
        <v>1313</v>
      </c>
      <c r="G243" s="12">
        <v>1870</v>
      </c>
      <c r="H243" s="12"/>
      <c r="I243" s="12"/>
      <c r="J243" s="12">
        <v>1870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1870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12</v>
      </c>
      <c r="C244" s="11" t="s">
        <v>719</v>
      </c>
      <c r="D244" s="15" t="s">
        <v>45</v>
      </c>
      <c r="E244" s="11" t="s">
        <v>26</v>
      </c>
      <c r="F244" s="11" t="s">
        <v>720</v>
      </c>
      <c r="G244" s="12">
        <v>1829</v>
      </c>
      <c r="H244" s="12"/>
      <c r="I244" s="12"/>
      <c r="J244" s="12">
        <v>1789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1789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1687</v>
      </c>
      <c r="D245" s="15" t="s">
        <v>45</v>
      </c>
      <c r="E245" s="11" t="s">
        <v>26</v>
      </c>
      <c r="F245" s="11" t="s">
        <v>1688</v>
      </c>
      <c r="G245" s="12">
        <v>1829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300</v>
      </c>
      <c r="D246" s="15" t="s">
        <v>80</v>
      </c>
      <c r="E246" s="11" t="s">
        <v>26</v>
      </c>
      <c r="F246" s="11" t="s">
        <v>301</v>
      </c>
      <c r="G246" s="12">
        <v>1829</v>
      </c>
      <c r="H246" s="12"/>
      <c r="I246" s="12"/>
      <c r="J246" s="12">
        <v>1809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1809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421</v>
      </c>
      <c r="D247" s="15" t="s">
        <v>45</v>
      </c>
      <c r="E247" s="11" t="s">
        <v>61</v>
      </c>
      <c r="F247" s="11" t="s">
        <v>422</v>
      </c>
      <c r="G247" s="12">
        <v>1829</v>
      </c>
      <c r="H247" s="12"/>
      <c r="I247" s="12"/>
      <c r="J247" s="12">
        <v>1819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1819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12</v>
      </c>
      <c r="C248" s="11" t="s">
        <v>896</v>
      </c>
      <c r="D248" s="15" t="s">
        <v>57</v>
      </c>
      <c r="E248" s="11" t="s">
        <v>26</v>
      </c>
      <c r="F248" s="11" t="s">
        <v>897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10</v>
      </c>
      <c r="C249" s="11" t="s">
        <v>932</v>
      </c>
      <c r="D249" s="15" t="s">
        <v>45</v>
      </c>
      <c r="E249" s="11" t="s">
        <v>61</v>
      </c>
      <c r="F249" s="11" t="s">
        <v>933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10</v>
      </c>
      <c r="C250" s="11" t="s">
        <v>1163</v>
      </c>
      <c r="D250" s="15" t="s">
        <v>80</v>
      </c>
      <c r="E250" s="11" t="s">
        <v>26</v>
      </c>
      <c r="F250" s="11" t="s">
        <v>1164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639</v>
      </c>
      <c r="D251" s="15" t="s">
        <v>45</v>
      </c>
      <c r="E251" s="11" t="s">
        <v>26</v>
      </c>
      <c r="F251" s="11" t="s">
        <v>640</v>
      </c>
      <c r="G251" s="12">
        <v>1872</v>
      </c>
      <c r="H251" s="12"/>
      <c r="I251" s="12"/>
      <c r="J251" s="12">
        <v>1862</v>
      </c>
      <c r="K251" s="12">
        <f t="shared" si="40"/>
        <v>0</v>
      </c>
      <c r="L251" s="12">
        <f t="shared" si="41"/>
        <v>1872</v>
      </c>
      <c r="M251" s="12" t="str">
        <f t="shared" si="42"/>
        <v/>
      </c>
      <c r="N251" s="12">
        <f t="shared" si="43"/>
        <v>1862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561</v>
      </c>
      <c r="D252" s="15" t="s">
        <v>80</v>
      </c>
      <c r="E252" s="11" t="s">
        <v>26</v>
      </c>
      <c r="F252" s="11" t="s">
        <v>562</v>
      </c>
      <c r="G252" s="12">
        <v>1833</v>
      </c>
      <c r="H252" s="12"/>
      <c r="I252" s="12"/>
      <c r="J252" s="12">
        <v>1821</v>
      </c>
      <c r="K252" s="12">
        <f t="shared" si="40"/>
        <v>0</v>
      </c>
      <c r="L252" s="12">
        <f t="shared" si="41"/>
        <v>1833</v>
      </c>
      <c r="M252" s="12" t="str">
        <f t="shared" si="42"/>
        <v/>
      </c>
      <c r="N252" s="12">
        <f t="shared" si="43"/>
        <v>1821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18</v>
      </c>
      <c r="C253" s="11" t="s">
        <v>1038</v>
      </c>
      <c r="D253" s="15" t="s">
        <v>80</v>
      </c>
      <c r="E253" s="11" t="s">
        <v>61</v>
      </c>
      <c r="F253" s="11" t="s">
        <v>1039</v>
      </c>
      <c r="G253" s="12">
        <v>1875</v>
      </c>
      <c r="H253" s="12"/>
      <c r="I253" s="12"/>
      <c r="J253" s="12">
        <v>1855</v>
      </c>
      <c r="K253" s="12">
        <f t="shared" si="40"/>
        <v>0</v>
      </c>
      <c r="L253" s="12">
        <f t="shared" si="41"/>
        <v>1875</v>
      </c>
      <c r="M253" s="12" t="str">
        <f t="shared" si="42"/>
        <v/>
      </c>
      <c r="N253" s="12">
        <f t="shared" si="43"/>
        <v>1855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515</v>
      </c>
      <c r="D254" s="15" t="s">
        <v>60</v>
      </c>
      <c r="E254" s="11" t="s">
        <v>26</v>
      </c>
      <c r="F254" s="11" t="s">
        <v>516</v>
      </c>
      <c r="G254" s="12">
        <v>1835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1835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382</v>
      </c>
      <c r="D255" s="11" t="s">
        <v>57</v>
      </c>
      <c r="E255" s="11" t="s">
        <v>26</v>
      </c>
      <c r="F255" s="11" t="s">
        <v>383</v>
      </c>
      <c r="G255" s="12">
        <v>1835</v>
      </c>
      <c r="H255" s="12"/>
      <c r="I255" s="12"/>
      <c r="J255" s="12">
        <v>1815</v>
      </c>
      <c r="K255" s="12">
        <f t="shared" si="40"/>
        <v>0</v>
      </c>
      <c r="L255" s="12">
        <f t="shared" si="41"/>
        <v>1835</v>
      </c>
      <c r="M255" s="12" t="str">
        <f t="shared" si="42"/>
        <v/>
      </c>
      <c r="N255" s="12">
        <f t="shared" si="43"/>
        <v>1815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428</v>
      </c>
      <c r="D256" s="15" t="s">
        <v>80</v>
      </c>
      <c r="E256" s="11" t="s">
        <v>26</v>
      </c>
      <c r="F256" s="11" t="s">
        <v>429</v>
      </c>
      <c r="G256" s="12">
        <v>1835</v>
      </c>
      <c r="H256" s="12"/>
      <c r="I256" s="12"/>
      <c r="J256" s="12">
        <v>1815</v>
      </c>
      <c r="K256" s="12">
        <f t="shared" si="40"/>
        <v>0</v>
      </c>
      <c r="L256" s="12">
        <f t="shared" si="41"/>
        <v>1835</v>
      </c>
      <c r="M256" s="12" t="str">
        <f t="shared" si="42"/>
        <v/>
      </c>
      <c r="N256" s="12">
        <f t="shared" si="43"/>
        <v>1815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1284</v>
      </c>
      <c r="D257" s="15" t="s">
        <v>80</v>
      </c>
      <c r="E257" s="11" t="s">
        <v>26</v>
      </c>
      <c r="F257" s="11" t="s">
        <v>1285</v>
      </c>
      <c r="G257" s="12">
        <v>1877</v>
      </c>
      <c r="H257" s="12"/>
      <c r="I257" s="12"/>
      <c r="J257" s="12">
        <v>1847</v>
      </c>
      <c r="K257" s="12">
        <f t="shared" si="40"/>
        <v>0</v>
      </c>
      <c r="L257" s="12">
        <f t="shared" si="41"/>
        <v>1877</v>
      </c>
      <c r="M257" s="12" t="str">
        <f t="shared" si="42"/>
        <v/>
      </c>
      <c r="N257" s="12">
        <f t="shared" si="43"/>
        <v>1847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678</v>
      </c>
      <c r="D258" s="15" t="s">
        <v>45</v>
      </c>
      <c r="E258" s="11" t="s">
        <v>61</v>
      </c>
      <c r="F258" s="11" t="s">
        <v>679</v>
      </c>
      <c r="G258" s="12">
        <v>1878</v>
      </c>
      <c r="H258" s="12"/>
      <c r="I258" s="12"/>
      <c r="J258" s="12">
        <v>1858</v>
      </c>
      <c r="K258" s="12">
        <f t="shared" si="40"/>
        <v>0</v>
      </c>
      <c r="L258" s="12">
        <f t="shared" si="41"/>
        <v>1878</v>
      </c>
      <c r="M258" s="12" t="str">
        <f t="shared" si="42"/>
        <v/>
      </c>
      <c r="N258" s="12">
        <f t="shared" si="43"/>
        <v>1858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1110</v>
      </c>
      <c r="D259" s="15" t="s">
        <v>80</v>
      </c>
      <c r="E259" s="11" t="s">
        <v>61</v>
      </c>
      <c r="F259" s="11" t="s">
        <v>1111</v>
      </c>
      <c r="G259" s="12">
        <v>1878</v>
      </c>
      <c r="H259" s="12"/>
      <c r="I259" s="12"/>
      <c r="J259" s="12">
        <v>1868</v>
      </c>
      <c r="K259" s="12">
        <f t="shared" si="40"/>
        <v>0</v>
      </c>
      <c r="L259" s="12">
        <f t="shared" si="41"/>
        <v>1878</v>
      </c>
      <c r="M259" s="12" t="str">
        <f t="shared" si="42"/>
        <v/>
      </c>
      <c r="N259" s="12">
        <f t="shared" si="43"/>
        <v>1868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686</v>
      </c>
      <c r="D260" s="15" t="s">
        <v>80</v>
      </c>
      <c r="E260" s="11" t="s">
        <v>26</v>
      </c>
      <c r="F260" s="11" t="s">
        <v>687</v>
      </c>
      <c r="G260" s="12">
        <v>1837</v>
      </c>
      <c r="H260" s="12"/>
      <c r="I260" s="12"/>
      <c r="J260" s="12">
        <v>1808</v>
      </c>
      <c r="K260" s="12">
        <f t="shared" si="40"/>
        <v>0</v>
      </c>
      <c r="L260" s="12">
        <f t="shared" si="41"/>
        <v>1837</v>
      </c>
      <c r="M260" s="12" t="str">
        <f t="shared" si="42"/>
        <v/>
      </c>
      <c r="N260" s="12">
        <f t="shared" si="43"/>
        <v>1808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6</v>
      </c>
      <c r="C261" s="11" t="s">
        <v>782</v>
      </c>
      <c r="D261" s="15" t="s">
        <v>45</v>
      </c>
      <c r="E261" s="11" t="s">
        <v>61</v>
      </c>
      <c r="F261" s="11" t="s">
        <v>783</v>
      </c>
      <c r="G261" s="12">
        <v>1837</v>
      </c>
      <c r="H261" s="12"/>
      <c r="I261" s="12"/>
      <c r="J261" s="12">
        <v>1817</v>
      </c>
      <c r="K261" s="12">
        <f t="shared" si="40"/>
        <v>0</v>
      </c>
      <c r="L261" s="12">
        <f t="shared" si="41"/>
        <v>1837</v>
      </c>
      <c r="M261" s="12" t="str">
        <f t="shared" si="42"/>
        <v/>
      </c>
      <c r="N261" s="12">
        <f t="shared" si="43"/>
        <v>1817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559</v>
      </c>
      <c r="D262" s="15" t="s">
        <v>45</v>
      </c>
      <c r="E262" s="11" t="s">
        <v>26</v>
      </c>
      <c r="F262" s="11" t="s">
        <v>560</v>
      </c>
      <c r="G262" s="12">
        <v>1838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1838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970</v>
      </c>
      <c r="D263" s="15" t="s">
        <v>60</v>
      </c>
      <c r="E263" s="11" t="s">
        <v>26</v>
      </c>
      <c r="F263" s="11" t="s">
        <v>971</v>
      </c>
      <c r="G263" s="12">
        <v>1838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1838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1583</v>
      </c>
      <c r="D264" s="11" t="s">
        <v>95</v>
      </c>
      <c r="E264" s="11" t="s">
        <v>26</v>
      </c>
      <c r="F264" s="11" t="s">
        <v>1584</v>
      </c>
      <c r="G264" s="12">
        <v>1838</v>
      </c>
      <c r="H264" s="12"/>
      <c r="I264" s="12"/>
      <c r="J264" s="12">
        <v>1828</v>
      </c>
      <c r="K264" s="12">
        <f t="shared" si="40"/>
        <v>0</v>
      </c>
      <c r="L264" s="12">
        <f t="shared" si="41"/>
        <v>1838</v>
      </c>
      <c r="M264" s="12" t="str">
        <f t="shared" si="42"/>
        <v/>
      </c>
      <c r="N264" s="12">
        <f t="shared" si="43"/>
        <v>1828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1529</v>
      </c>
      <c r="D265" s="15" t="s">
        <v>60</v>
      </c>
      <c r="E265" s="11" t="s">
        <v>61</v>
      </c>
      <c r="F265" s="11" t="s">
        <v>1530</v>
      </c>
      <c r="G265" s="12">
        <v>1880</v>
      </c>
      <c r="H265" s="12"/>
      <c r="I265" s="12"/>
      <c r="J265" s="12">
        <v>1860</v>
      </c>
      <c r="K265" s="12">
        <f t="shared" si="40"/>
        <v>0</v>
      </c>
      <c r="L265" s="12">
        <f t="shared" si="41"/>
        <v>1880</v>
      </c>
      <c r="M265" s="12" t="str">
        <f t="shared" si="42"/>
        <v/>
      </c>
      <c r="N265" s="12">
        <f t="shared" si="43"/>
        <v>1860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1729</v>
      </c>
      <c r="D266" s="15" t="s">
        <v>80</v>
      </c>
      <c r="E266" s="11" t="s">
        <v>61</v>
      </c>
      <c r="F266" s="11" t="s">
        <v>1730</v>
      </c>
      <c r="G266" s="12">
        <v>1880</v>
      </c>
      <c r="H266" s="12"/>
      <c r="I266" s="12"/>
      <c r="J266" s="12">
        <v>1860</v>
      </c>
      <c r="K266" s="12">
        <f t="shared" si="40"/>
        <v>0</v>
      </c>
      <c r="L266" s="12">
        <f t="shared" si="41"/>
        <v>1880</v>
      </c>
      <c r="M266" s="12" t="str">
        <f t="shared" si="42"/>
        <v/>
      </c>
      <c r="N266" s="12">
        <f t="shared" si="43"/>
        <v>1860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16</v>
      </c>
      <c r="C267" s="11" t="s">
        <v>745</v>
      </c>
      <c r="D267" s="15" t="s">
        <v>60</v>
      </c>
      <c r="E267" s="11" t="s">
        <v>61</v>
      </c>
      <c r="F267" s="11" t="s">
        <v>746</v>
      </c>
      <c r="G267" s="12">
        <v>1880</v>
      </c>
      <c r="H267" s="12"/>
      <c r="I267" s="12"/>
      <c r="J267" s="12">
        <v>1880</v>
      </c>
      <c r="K267" s="12">
        <f t="shared" si="40"/>
        <v>0</v>
      </c>
      <c r="L267" s="12">
        <f t="shared" si="41"/>
        <v>1880</v>
      </c>
      <c r="M267" s="12" t="str">
        <f t="shared" si="42"/>
        <v/>
      </c>
      <c r="N267" s="12">
        <f t="shared" si="43"/>
        <v>1880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14</v>
      </c>
      <c r="C268" s="11" t="s">
        <v>1069</v>
      </c>
      <c r="D268" s="11" t="s">
        <v>57</v>
      </c>
      <c r="E268" s="11" t="s">
        <v>26</v>
      </c>
      <c r="F268" s="11" t="s">
        <v>1070</v>
      </c>
      <c r="G268" s="12">
        <v>1839</v>
      </c>
      <c r="H268" s="12"/>
      <c r="I268" s="12"/>
      <c r="J268" s="12">
        <v>1809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1809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1589</v>
      </c>
      <c r="D269" s="11" t="s">
        <v>57</v>
      </c>
      <c r="E269" s="11" t="s">
        <v>26</v>
      </c>
      <c r="F269" s="11" t="s">
        <v>1590</v>
      </c>
      <c r="G269" s="12">
        <v>1839</v>
      </c>
      <c r="H269" s="12"/>
      <c r="I269" s="12"/>
      <c r="J269" s="12">
        <v>1809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1809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8</v>
      </c>
      <c r="C270" s="11" t="s">
        <v>966</v>
      </c>
      <c r="D270" s="15" t="s">
        <v>45</v>
      </c>
      <c r="E270" s="11" t="s">
        <v>26</v>
      </c>
      <c r="F270" s="11" t="s">
        <v>967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12</v>
      </c>
      <c r="C271" s="11" t="s">
        <v>592</v>
      </c>
      <c r="D271" s="15" t="s">
        <v>80</v>
      </c>
      <c r="E271" s="11" t="s">
        <v>26</v>
      </c>
      <c r="F271" s="11" t="s">
        <v>593</v>
      </c>
      <c r="G271" s="12">
        <v>1839</v>
      </c>
      <c r="H271" s="12"/>
      <c r="I271" s="12"/>
      <c r="J271" s="12">
        <v>1829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1829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1705</v>
      </c>
      <c r="D272" s="15" t="s">
        <v>80</v>
      </c>
      <c r="E272" s="11" t="s">
        <v>61</v>
      </c>
      <c r="F272" s="11" t="s">
        <v>1706</v>
      </c>
      <c r="G272" s="12">
        <v>1839</v>
      </c>
      <c r="H272" s="12"/>
      <c r="I272" s="12"/>
      <c r="J272" s="12">
        <v>1829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1829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1722</v>
      </c>
      <c r="D273" s="15" t="s">
        <v>45</v>
      </c>
      <c r="E273" s="11" t="s">
        <v>26</v>
      </c>
      <c r="F273" s="11" t="s">
        <v>1723</v>
      </c>
      <c r="G273" s="12">
        <v>1839</v>
      </c>
      <c r="H273" s="12"/>
      <c r="I273" s="12"/>
      <c r="J273" s="12">
        <v>1829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1829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7" customFormat="1" ht="28.5" customHeight="1">
      <c r="A274" s="11" t="str">
        <f t="shared" si="52"/>
        <v/>
      </c>
      <c r="B274" s="11" t="s">
        <v>12</v>
      </c>
      <c r="C274" s="11" t="s">
        <v>118</v>
      </c>
      <c r="D274" s="15" t="s">
        <v>45</v>
      </c>
      <c r="E274" s="11" t="s">
        <v>26</v>
      </c>
      <c r="F274" s="11" t="s">
        <v>119</v>
      </c>
      <c r="G274" s="12">
        <v>1844</v>
      </c>
      <c r="H274" s="12"/>
      <c r="I274" s="12"/>
      <c r="J274" s="12">
        <v>1813</v>
      </c>
      <c r="K274" s="12">
        <f t="shared" si="53"/>
        <v>0</v>
      </c>
      <c r="L274" s="12">
        <f t="shared" si="54"/>
        <v>1844</v>
      </c>
      <c r="M274" s="12" t="str">
        <f t="shared" si="55"/>
        <v/>
      </c>
      <c r="N274" s="12">
        <f t="shared" si="56"/>
        <v>1813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1683</v>
      </c>
      <c r="D275" s="11" t="s">
        <v>57</v>
      </c>
      <c r="E275" s="11" t="s">
        <v>26</v>
      </c>
      <c r="F275" s="11" t="s">
        <v>1684</v>
      </c>
      <c r="G275" s="12">
        <v>1844</v>
      </c>
      <c r="H275" s="12"/>
      <c r="I275" s="12"/>
      <c r="J275" s="12">
        <v>1814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1814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1389</v>
      </c>
      <c r="D276" s="15" t="s">
        <v>60</v>
      </c>
      <c r="E276" s="11" t="s">
        <v>26</v>
      </c>
      <c r="F276" s="11" t="s">
        <v>1390</v>
      </c>
      <c r="G276" s="12">
        <v>1844</v>
      </c>
      <c r="H276" s="12"/>
      <c r="I276" s="12"/>
      <c r="J276" s="12">
        <v>1819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1819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602</v>
      </c>
      <c r="D277" s="11" t="s">
        <v>57</v>
      </c>
      <c r="E277" s="11" t="s">
        <v>26</v>
      </c>
      <c r="F277" s="11" t="s">
        <v>603</v>
      </c>
      <c r="G277" s="12">
        <v>1845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1845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1419</v>
      </c>
      <c r="D278" s="11" t="s">
        <v>48</v>
      </c>
      <c r="E278" s="11" t="s">
        <v>26</v>
      </c>
      <c r="F278" s="11" t="s">
        <v>1420</v>
      </c>
      <c r="G278" s="12">
        <v>1845</v>
      </c>
      <c r="H278" s="12"/>
      <c r="I278" s="12"/>
      <c r="J278" s="12">
        <v>1832</v>
      </c>
      <c r="K278" s="12">
        <f t="shared" si="53"/>
        <v>0</v>
      </c>
      <c r="L278" s="12">
        <f t="shared" si="54"/>
        <v>1845</v>
      </c>
      <c r="M278" s="12" t="str">
        <f t="shared" si="55"/>
        <v/>
      </c>
      <c r="N278" s="12">
        <f t="shared" si="56"/>
        <v>1832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482</v>
      </c>
      <c r="D279" s="15" t="s">
        <v>60</v>
      </c>
      <c r="E279" s="11" t="s">
        <v>26</v>
      </c>
      <c r="F279" s="11" t="s">
        <v>483</v>
      </c>
      <c r="G279" s="12">
        <v>1845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645</v>
      </c>
      <c r="D280" s="15" t="s">
        <v>45</v>
      </c>
      <c r="E280" s="11" t="s">
        <v>26</v>
      </c>
      <c r="F280" s="11" t="s">
        <v>646</v>
      </c>
      <c r="G280" s="12">
        <v>1887</v>
      </c>
      <c r="H280" s="12"/>
      <c r="I280" s="12"/>
      <c r="J280" s="12">
        <v>1857</v>
      </c>
      <c r="K280" s="12">
        <f t="shared" si="53"/>
        <v>0</v>
      </c>
      <c r="L280" s="12">
        <f t="shared" si="54"/>
        <v>1887</v>
      </c>
      <c r="M280" s="12" t="str">
        <f t="shared" si="55"/>
        <v/>
      </c>
      <c r="N280" s="12">
        <f t="shared" si="56"/>
        <v>1857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826</v>
      </c>
      <c r="D281" s="15" t="s">
        <v>80</v>
      </c>
      <c r="E281" s="11" t="s">
        <v>26</v>
      </c>
      <c r="F281" s="11" t="s">
        <v>827</v>
      </c>
      <c r="G281" s="12">
        <v>1846</v>
      </c>
      <c r="H281" s="12"/>
      <c r="I281" s="12"/>
      <c r="J281" s="12">
        <v>1846</v>
      </c>
      <c r="K281" s="12">
        <f t="shared" si="53"/>
        <v>0</v>
      </c>
      <c r="L281" s="12">
        <f t="shared" si="54"/>
        <v>1846</v>
      </c>
      <c r="M281" s="12" t="str">
        <f t="shared" si="55"/>
        <v/>
      </c>
      <c r="N281" s="12">
        <f t="shared" si="56"/>
        <v>1846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533</v>
      </c>
      <c r="D282" s="11" t="s">
        <v>57</v>
      </c>
      <c r="E282" s="11" t="s">
        <v>61</v>
      </c>
      <c r="F282" s="11" t="s">
        <v>534</v>
      </c>
      <c r="G282" s="12">
        <v>1847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1847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14</v>
      </c>
      <c r="C283" s="11" t="s">
        <v>356</v>
      </c>
      <c r="D283" s="15" t="s">
        <v>45</v>
      </c>
      <c r="E283" s="11" t="s">
        <v>26</v>
      </c>
      <c r="F283" s="11" t="s">
        <v>357</v>
      </c>
      <c r="G283" s="12">
        <v>1848</v>
      </c>
      <c r="H283" s="12"/>
      <c r="I283" s="12"/>
      <c r="J283" s="12">
        <v>1798</v>
      </c>
      <c r="K283" s="12">
        <f t="shared" si="53"/>
        <v>0</v>
      </c>
      <c r="L283" s="12">
        <f t="shared" si="54"/>
        <v>1848</v>
      </c>
      <c r="M283" s="12" t="str">
        <f t="shared" si="55"/>
        <v/>
      </c>
      <c r="N283" s="12">
        <f t="shared" si="56"/>
        <v>1798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1689</v>
      </c>
      <c r="D284" s="15" t="s">
        <v>45</v>
      </c>
      <c r="E284" s="11" t="s">
        <v>61</v>
      </c>
      <c r="F284" s="11" t="s">
        <v>1690</v>
      </c>
      <c r="G284" s="12">
        <v>1890</v>
      </c>
      <c r="H284" s="12"/>
      <c r="I284" s="12"/>
      <c r="J284" s="12">
        <v>1880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1880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1423</v>
      </c>
      <c r="D285" s="11" t="s">
        <v>57</v>
      </c>
      <c r="E285" s="11" t="s">
        <v>61</v>
      </c>
      <c r="F285" s="11" t="s">
        <v>1424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440</v>
      </c>
      <c r="D286" s="15" t="s">
        <v>45</v>
      </c>
      <c r="E286" s="11" t="s">
        <v>61</v>
      </c>
      <c r="F286" s="11" t="s">
        <v>441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594</v>
      </c>
      <c r="D287" s="15" t="s">
        <v>45</v>
      </c>
      <c r="E287" s="11" t="s">
        <v>61</v>
      </c>
      <c r="F287" s="11" t="s">
        <v>595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694</v>
      </c>
      <c r="D288" s="11" t="s">
        <v>57</v>
      </c>
      <c r="E288" s="11" t="s">
        <v>26</v>
      </c>
      <c r="F288" s="11" t="s">
        <v>695</v>
      </c>
      <c r="G288" s="12">
        <v>1849</v>
      </c>
      <c r="H288" s="12"/>
      <c r="I288" s="12"/>
      <c r="J288" s="12">
        <v>1799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1799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1006</v>
      </c>
      <c r="D289" s="15" t="s">
        <v>80</v>
      </c>
      <c r="E289" s="11" t="s">
        <v>26</v>
      </c>
      <c r="F289" s="11" t="s">
        <v>1007</v>
      </c>
      <c r="G289" s="12">
        <v>1849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704</v>
      </c>
      <c r="D290" s="15" t="s">
        <v>80</v>
      </c>
      <c r="E290" s="11" t="s">
        <v>26</v>
      </c>
      <c r="F290" s="11" t="s">
        <v>705</v>
      </c>
      <c r="G290" s="12">
        <v>1849</v>
      </c>
      <c r="H290" s="12"/>
      <c r="I290" s="12"/>
      <c r="J290" s="12">
        <v>1814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1814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374</v>
      </c>
      <c r="D291" s="11" t="s">
        <v>57</v>
      </c>
      <c r="E291" s="11" t="s">
        <v>26</v>
      </c>
      <c r="F291" s="11" t="s">
        <v>375</v>
      </c>
      <c r="G291" s="12">
        <v>1849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156</v>
      </c>
      <c r="D292" s="15" t="s">
        <v>45</v>
      </c>
      <c r="E292" s="11" t="s">
        <v>26</v>
      </c>
      <c r="F292" s="11" t="s">
        <v>157</v>
      </c>
      <c r="G292" s="12">
        <v>1849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476</v>
      </c>
      <c r="D293" s="11" t="s">
        <v>57</v>
      </c>
      <c r="E293" s="11" t="s">
        <v>26</v>
      </c>
      <c r="F293" s="11" t="s">
        <v>477</v>
      </c>
      <c r="G293" s="12">
        <v>1849</v>
      </c>
      <c r="H293" s="12"/>
      <c r="I293" s="12"/>
      <c r="J293" s="12">
        <v>1836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1836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1324</v>
      </c>
      <c r="D294" s="15" t="s">
        <v>80</v>
      </c>
      <c r="E294" s="11" t="s">
        <v>26</v>
      </c>
      <c r="F294" s="11" t="s">
        <v>1325</v>
      </c>
      <c r="G294" s="12">
        <v>1849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1147</v>
      </c>
      <c r="D295" s="11" t="s">
        <v>48</v>
      </c>
      <c r="E295" s="11" t="s">
        <v>26</v>
      </c>
      <c r="F295" s="11" t="s">
        <v>1148</v>
      </c>
      <c r="G295" s="12">
        <v>1849</v>
      </c>
      <c r="H295" s="12"/>
      <c r="I295" s="12"/>
      <c r="J295" s="12">
        <v>1849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1849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1274</v>
      </c>
      <c r="D296" s="15" t="s">
        <v>60</v>
      </c>
      <c r="E296" s="11" t="s">
        <v>26</v>
      </c>
      <c r="F296" s="11" t="s">
        <v>1275</v>
      </c>
      <c r="G296" s="12">
        <v>1895</v>
      </c>
      <c r="H296" s="12"/>
      <c r="I296" s="12"/>
      <c r="J296" s="12">
        <v>1875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1875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1646</v>
      </c>
      <c r="D297" s="15" t="s">
        <v>60</v>
      </c>
      <c r="E297" s="11" t="s">
        <v>61</v>
      </c>
      <c r="F297" s="11" t="s">
        <v>1647</v>
      </c>
      <c r="G297" s="12">
        <v>1895</v>
      </c>
      <c r="H297" s="12"/>
      <c r="I297" s="12"/>
      <c r="J297" s="12">
        <v>1895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1895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637</v>
      </c>
      <c r="D298" s="15" t="s">
        <v>45</v>
      </c>
      <c r="E298" s="11" t="s">
        <v>26</v>
      </c>
      <c r="F298" s="11" t="s">
        <v>638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1714</v>
      </c>
      <c r="D299" s="11" t="s">
        <v>57</v>
      </c>
      <c r="E299" s="11" t="s">
        <v>26</v>
      </c>
      <c r="F299" s="11" t="s">
        <v>1715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1735</v>
      </c>
      <c r="D300" s="15" t="s">
        <v>60</v>
      </c>
      <c r="E300" s="11" t="s">
        <v>26</v>
      </c>
      <c r="F300" s="11" t="s">
        <v>1736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1670</v>
      </c>
      <c r="D301" s="15" t="s">
        <v>45</v>
      </c>
      <c r="E301" s="11" t="s">
        <v>26</v>
      </c>
      <c r="F301" s="11" t="s">
        <v>1671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551</v>
      </c>
      <c r="D302" s="15" t="s">
        <v>45</v>
      </c>
      <c r="E302" s="11" t="s">
        <v>61</v>
      </c>
      <c r="F302" s="11" t="s">
        <v>552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868</v>
      </c>
      <c r="D303" s="15" t="s">
        <v>80</v>
      </c>
      <c r="E303" s="11" t="s">
        <v>26</v>
      </c>
      <c r="F303" s="11" t="s">
        <v>869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527</v>
      </c>
      <c r="D304" s="11" t="s">
        <v>57</v>
      </c>
      <c r="E304" s="11" t="s">
        <v>61</v>
      </c>
      <c r="F304" s="11" t="s">
        <v>528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1169</v>
      </c>
      <c r="D305" s="15" t="s">
        <v>80</v>
      </c>
      <c r="E305" s="11" t="s">
        <v>26</v>
      </c>
      <c r="F305" s="11" t="s">
        <v>1170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1703</v>
      </c>
      <c r="D306" s="11" t="s">
        <v>57</v>
      </c>
      <c r="E306" s="11" t="s">
        <v>61</v>
      </c>
      <c r="F306" s="11" t="s">
        <v>1704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849</v>
      </c>
      <c r="D307" s="15" t="s">
        <v>60</v>
      </c>
      <c r="E307" s="11" t="s">
        <v>26</v>
      </c>
      <c r="F307" s="11" t="s">
        <v>850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1217</v>
      </c>
      <c r="D308" s="11" t="s">
        <v>57</v>
      </c>
      <c r="E308" s="11" t="s">
        <v>61</v>
      </c>
      <c r="F308" s="11" t="s">
        <v>1218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916</v>
      </c>
      <c r="D309" s="15" t="s">
        <v>60</v>
      </c>
      <c r="E309" s="11" t="s">
        <v>26</v>
      </c>
      <c r="F309" s="11" t="s">
        <v>917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1371</v>
      </c>
      <c r="D310" s="15" t="s">
        <v>57</v>
      </c>
      <c r="E310" s="11" t="s">
        <v>26</v>
      </c>
      <c r="F310" s="11" t="s">
        <v>1372</v>
      </c>
      <c r="G310" s="12">
        <v>1857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1270</v>
      </c>
      <c r="D311" s="15" t="s">
        <v>60</v>
      </c>
      <c r="E311" s="11" t="s">
        <v>61</v>
      </c>
      <c r="F311" s="11" t="s">
        <v>1271</v>
      </c>
      <c r="G311" s="12">
        <v>1858</v>
      </c>
      <c r="H311" s="12"/>
      <c r="I311" s="12"/>
      <c r="J311" s="12">
        <v>1848</v>
      </c>
      <c r="K311" s="12">
        <f t="shared" si="53"/>
        <v>0</v>
      </c>
      <c r="L311" s="12">
        <f t="shared" si="54"/>
        <v>1858</v>
      </c>
      <c r="M311" s="12" t="str">
        <f t="shared" si="55"/>
        <v/>
      </c>
      <c r="N311" s="12">
        <f t="shared" si="56"/>
        <v>1848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186</v>
      </c>
      <c r="D312" s="15" t="s">
        <v>60</v>
      </c>
      <c r="E312" s="11" t="s">
        <v>26</v>
      </c>
      <c r="F312" s="11" t="s">
        <v>187</v>
      </c>
      <c r="G312" s="12">
        <v>1859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7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408</v>
      </c>
      <c r="D313" s="15" t="s">
        <v>60</v>
      </c>
      <c r="E313" s="11" t="s">
        <v>61</v>
      </c>
      <c r="F313" s="11" t="s">
        <v>409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734</v>
      </c>
      <c r="D314" s="15" t="s">
        <v>80</v>
      </c>
      <c r="E314" s="11" t="s">
        <v>61</v>
      </c>
      <c r="F314" s="11" t="s">
        <v>736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12</v>
      </c>
      <c r="C315" s="11" t="s">
        <v>59</v>
      </c>
      <c r="D315" s="15" t="s">
        <v>60</v>
      </c>
      <c r="E315" s="11" t="s">
        <v>61</v>
      </c>
      <c r="F315" s="11" t="s">
        <v>62</v>
      </c>
      <c r="G315" s="12">
        <v>1859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1549</v>
      </c>
      <c r="D316" s="11" t="s">
        <v>95</v>
      </c>
      <c r="E316" s="11" t="s">
        <v>61</v>
      </c>
      <c r="F316" s="11" t="s">
        <v>1550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1086</v>
      </c>
      <c r="D317" s="11" t="s">
        <v>57</v>
      </c>
      <c r="E317" s="11" t="s">
        <v>26</v>
      </c>
      <c r="F317" s="11" t="s">
        <v>1087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970</v>
      </c>
      <c r="D318" s="15" t="s">
        <v>45</v>
      </c>
      <c r="E318" s="11" t="s">
        <v>26</v>
      </c>
      <c r="F318" s="11" t="s">
        <v>972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633</v>
      </c>
      <c r="D319" s="15" t="s">
        <v>80</v>
      </c>
      <c r="E319" s="11" t="s">
        <v>26</v>
      </c>
      <c r="F319" s="11" t="s">
        <v>634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769</v>
      </c>
      <c r="D320" s="11" t="s">
        <v>57</v>
      </c>
      <c r="E320" s="11" t="s">
        <v>26</v>
      </c>
      <c r="F320" s="11" t="s">
        <v>770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822</v>
      </c>
      <c r="D321" s="11" t="s">
        <v>57</v>
      </c>
      <c r="E321" s="11" t="s">
        <v>26</v>
      </c>
      <c r="F321" s="11" t="s">
        <v>823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643</v>
      </c>
      <c r="D322" s="11" t="s">
        <v>57</v>
      </c>
      <c r="E322" s="11" t="s">
        <v>26</v>
      </c>
      <c r="F322" s="11" t="s">
        <v>644</v>
      </c>
      <c r="G322" s="12">
        <v>1860</v>
      </c>
      <c r="H322" s="12"/>
      <c r="I322" s="12"/>
      <c r="J322" s="12">
        <v>1830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1830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184</v>
      </c>
      <c r="D323" s="15" t="s">
        <v>60</v>
      </c>
      <c r="E323" s="11" t="s">
        <v>26</v>
      </c>
      <c r="F323" s="11" t="s">
        <v>185</v>
      </c>
      <c r="G323" s="12">
        <v>1864</v>
      </c>
      <c r="H323" s="12"/>
      <c r="I323" s="12"/>
      <c r="J323" s="12">
        <v>1853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1853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1296</v>
      </c>
      <c r="D324" s="15" t="s">
        <v>80</v>
      </c>
      <c r="E324" s="11" t="s">
        <v>26</v>
      </c>
      <c r="F324" s="11" t="s">
        <v>1297</v>
      </c>
      <c r="G324" s="12">
        <v>1865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1865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838</v>
      </c>
      <c r="D325" s="15" t="s">
        <v>80</v>
      </c>
      <c r="E325" s="11" t="s">
        <v>61</v>
      </c>
      <c r="F325" s="11" t="s">
        <v>839</v>
      </c>
      <c r="G325" s="12">
        <v>1866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1866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674</v>
      </c>
      <c r="D326" s="11" t="s">
        <v>57</v>
      </c>
      <c r="E326" s="11" t="s">
        <v>26</v>
      </c>
      <c r="F326" s="11" t="s">
        <v>675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8</v>
      </c>
      <c r="C327" s="11" t="s">
        <v>1430</v>
      </c>
      <c r="D327" s="15" t="s">
        <v>60</v>
      </c>
      <c r="E327" s="11" t="s">
        <v>26</v>
      </c>
      <c r="F327" s="11" t="s">
        <v>1431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732</v>
      </c>
      <c r="D328" s="15" t="s">
        <v>80</v>
      </c>
      <c r="E328" s="11" t="s">
        <v>26</v>
      </c>
      <c r="F328" s="11" t="s">
        <v>733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1017</v>
      </c>
      <c r="D329" s="15" t="s">
        <v>57</v>
      </c>
      <c r="E329" s="11" t="s">
        <v>26</v>
      </c>
      <c r="F329" s="11" t="s">
        <v>1018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616</v>
      </c>
      <c r="D330" s="15" t="s">
        <v>45</v>
      </c>
      <c r="E330" s="11" t="s">
        <v>61</v>
      </c>
      <c r="F330" s="11" t="s">
        <v>617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14</v>
      </c>
      <c r="C331" s="11" t="s">
        <v>451</v>
      </c>
      <c r="D331" s="15" t="s">
        <v>80</v>
      </c>
      <c r="E331" s="11" t="s">
        <v>61</v>
      </c>
      <c r="F331" s="11" t="s">
        <v>452</v>
      </c>
      <c r="G331" s="12">
        <v>1869</v>
      </c>
      <c r="H331" s="12"/>
      <c r="I331" s="12"/>
      <c r="J331" s="12">
        <v>1824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1824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1509</v>
      </c>
      <c r="D332" s="15" t="s">
        <v>80</v>
      </c>
      <c r="E332" s="11" t="s">
        <v>26</v>
      </c>
      <c r="F332" s="11" t="s">
        <v>1510</v>
      </c>
      <c r="G332" s="12">
        <v>1869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509</v>
      </c>
      <c r="D333" s="15" t="s">
        <v>45</v>
      </c>
      <c r="E333" s="11" t="s">
        <v>61</v>
      </c>
      <c r="F333" s="11" t="s">
        <v>510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970</v>
      </c>
      <c r="D334" s="11" t="s">
        <v>57</v>
      </c>
      <c r="E334" s="11" t="s">
        <v>26</v>
      </c>
      <c r="F334" s="11" t="s">
        <v>973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1290</v>
      </c>
      <c r="D335" s="15" t="s">
        <v>80</v>
      </c>
      <c r="E335" s="11" t="s">
        <v>61</v>
      </c>
      <c r="F335" s="11" t="s">
        <v>1291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444</v>
      </c>
      <c r="D336" s="15" t="s">
        <v>60</v>
      </c>
      <c r="E336" s="11" t="s">
        <v>61</v>
      </c>
      <c r="F336" s="11" t="s">
        <v>445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1725</v>
      </c>
      <c r="D339" s="15" t="s">
        <v>45</v>
      </c>
      <c r="E339" s="11" t="s">
        <v>61</v>
      </c>
      <c r="F339" s="11" t="s">
        <v>1726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1334</v>
      </c>
      <c r="D341" s="11" t="s">
        <v>57</v>
      </c>
      <c r="E341" s="11" t="s">
        <v>61</v>
      </c>
      <c r="F341" s="11" t="s">
        <v>1335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1527</v>
      </c>
      <c r="D342" s="15" t="s">
        <v>45</v>
      </c>
      <c r="E342" s="11" t="s">
        <v>61</v>
      </c>
      <c r="F342" s="11" t="s">
        <v>1528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1428</v>
      </c>
      <c r="D343" s="11" t="s">
        <v>57</v>
      </c>
      <c r="E343" s="11" t="s">
        <v>61</v>
      </c>
      <c r="F343" s="11" t="s">
        <v>1429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398</v>
      </c>
      <c r="D344" s="15" t="s">
        <v>45</v>
      </c>
      <c r="E344" s="11" t="s">
        <v>26</v>
      </c>
      <c r="F344" s="11" t="s">
        <v>399</v>
      </c>
      <c r="G344" s="12">
        <v>1878</v>
      </c>
      <c r="H344" s="12"/>
      <c r="I344" s="12"/>
      <c r="J344" s="12">
        <v>1874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1874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8</v>
      </c>
      <c r="C345" s="11" t="s">
        <v>751</v>
      </c>
      <c r="D345" s="11" t="s">
        <v>57</v>
      </c>
      <c r="E345" s="11" t="s">
        <v>61</v>
      </c>
      <c r="F345" s="11" t="s">
        <v>752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1173</v>
      </c>
      <c r="D346" s="15" t="s">
        <v>45</v>
      </c>
      <c r="E346" s="11" t="s">
        <v>26</v>
      </c>
      <c r="F346" s="11" t="s">
        <v>1174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1611</v>
      </c>
      <c r="D347" s="15" t="s">
        <v>60</v>
      </c>
      <c r="E347" s="11" t="s">
        <v>61</v>
      </c>
      <c r="F347" s="11" t="s">
        <v>1612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1108</v>
      </c>
      <c r="D348" s="11" t="s">
        <v>57</v>
      </c>
      <c r="E348" s="11" t="s">
        <v>26</v>
      </c>
      <c r="F348" s="11" t="s">
        <v>1109</v>
      </c>
      <c r="G348" s="12">
        <v>1879</v>
      </c>
      <c r="H348" s="12"/>
      <c r="I348" s="12"/>
      <c r="J348" s="12">
        <v>1864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1864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865</v>
      </c>
      <c r="D349" s="15" t="s">
        <v>45</v>
      </c>
      <c r="E349" s="11" t="s">
        <v>61</v>
      </c>
      <c r="F349" s="11" t="s">
        <v>866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1615</v>
      </c>
      <c r="D350" s="11" t="s">
        <v>57</v>
      </c>
      <c r="E350" s="11" t="s">
        <v>26</v>
      </c>
      <c r="F350" s="11" t="s">
        <v>1616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14</v>
      </c>
      <c r="C351" s="11" t="s">
        <v>1302</v>
      </c>
      <c r="D351" s="11" t="s">
        <v>71</v>
      </c>
      <c r="E351" s="11" t="s">
        <v>26</v>
      </c>
      <c r="F351" s="11" t="s">
        <v>1303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10</v>
      </c>
      <c r="C352" s="11" t="s">
        <v>1073</v>
      </c>
      <c r="D352" s="15" t="s">
        <v>60</v>
      </c>
      <c r="E352" s="11" t="s">
        <v>61</v>
      </c>
      <c r="F352" s="11" t="s">
        <v>1074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1381</v>
      </c>
      <c r="D353" s="15" t="s">
        <v>45</v>
      </c>
      <c r="E353" s="11" t="s">
        <v>61</v>
      </c>
      <c r="F353" s="11" t="s">
        <v>1382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944</v>
      </c>
      <c r="D354" s="15" t="s">
        <v>45</v>
      </c>
      <c r="E354" s="11" t="s">
        <v>61</v>
      </c>
      <c r="F354" s="11" t="s">
        <v>945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1654</v>
      </c>
      <c r="D355" s="11" t="s">
        <v>57</v>
      </c>
      <c r="E355" s="11" t="s">
        <v>26</v>
      </c>
      <c r="F355" s="11" t="s">
        <v>1655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1434</v>
      </c>
      <c r="D356" s="15" t="s">
        <v>45</v>
      </c>
      <c r="E356" s="11" t="s">
        <v>26</v>
      </c>
      <c r="F356" s="11" t="s">
        <v>1435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863</v>
      </c>
      <c r="D357" s="15" t="s">
        <v>80</v>
      </c>
      <c r="E357" s="11" t="s">
        <v>26</v>
      </c>
      <c r="F357" s="11" t="s">
        <v>864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1318</v>
      </c>
      <c r="D358" s="15" t="s">
        <v>60</v>
      </c>
      <c r="E358" s="11" t="s">
        <v>26</v>
      </c>
      <c r="F358" s="11" t="s">
        <v>1319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606</v>
      </c>
      <c r="D359" s="15" t="s">
        <v>45</v>
      </c>
      <c r="E359" s="11" t="s">
        <v>61</v>
      </c>
      <c r="F359" s="11" t="s">
        <v>607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1681</v>
      </c>
      <c r="D360" s="15" t="s">
        <v>45</v>
      </c>
      <c r="E360" s="11" t="s">
        <v>26</v>
      </c>
      <c r="F360" s="11" t="s">
        <v>1682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908</v>
      </c>
      <c r="D361" s="11" t="s">
        <v>57</v>
      </c>
      <c r="E361" s="11" t="s">
        <v>26</v>
      </c>
      <c r="F361" s="11" t="s">
        <v>909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1733</v>
      </c>
      <c r="D362" s="15" t="s">
        <v>45</v>
      </c>
      <c r="E362" s="11" t="s">
        <v>26</v>
      </c>
      <c r="F362" s="11" t="s">
        <v>1734</v>
      </c>
      <c r="G362" s="12">
        <v>1890</v>
      </c>
      <c r="H362" s="12"/>
      <c r="I362" s="12"/>
      <c r="J362" s="12">
        <v>1840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1840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792</v>
      </c>
      <c r="D363" s="15" t="s">
        <v>45</v>
      </c>
      <c r="E363" s="11" t="s">
        <v>61</v>
      </c>
      <c r="F363" s="11" t="s">
        <v>793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1587</v>
      </c>
      <c r="D364" s="15" t="s">
        <v>45</v>
      </c>
      <c r="E364" s="11" t="s">
        <v>26</v>
      </c>
      <c r="F364" s="11" t="s">
        <v>1588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496</v>
      </c>
      <c r="D365" s="15" t="s">
        <v>80</v>
      </c>
      <c r="E365" s="11" t="s">
        <v>26</v>
      </c>
      <c r="F365" s="11" t="s">
        <v>497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1521</v>
      </c>
      <c r="D366" s="15" t="s">
        <v>45</v>
      </c>
      <c r="E366" s="11" t="s">
        <v>26</v>
      </c>
      <c r="F366" s="11" t="s">
        <v>1522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769</v>
      </c>
      <c r="D374" s="15" t="s">
        <v>45</v>
      </c>
      <c r="E374" s="11" t="s">
        <v>61</v>
      </c>
      <c r="F374" s="11" t="s">
        <v>771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421</v>
      </c>
      <c r="D375" s="11" t="s">
        <v>57</v>
      </c>
      <c r="E375" s="11" t="s">
        <v>61</v>
      </c>
      <c r="F375" s="11" t="s">
        <v>423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1348</v>
      </c>
      <c r="D376" s="15" t="s">
        <v>45</v>
      </c>
      <c r="E376" s="11" t="s">
        <v>61</v>
      </c>
      <c r="F376" s="11" t="s">
        <v>1349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1256</v>
      </c>
      <c r="D377" s="11" t="s">
        <v>57</v>
      </c>
      <c r="E377" s="11" t="s">
        <v>26</v>
      </c>
      <c r="F377" s="11" t="s">
        <v>1257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1013</v>
      </c>
      <c r="D378" s="15" t="s">
        <v>60</v>
      </c>
      <c r="E378" s="11" t="s">
        <v>61</v>
      </c>
      <c r="F378" s="11" t="s">
        <v>1014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857</v>
      </c>
      <c r="D379" s="15" t="s">
        <v>45</v>
      </c>
      <c r="E379" s="11" t="s">
        <v>61</v>
      </c>
      <c r="F379" s="11" t="s">
        <v>858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182</v>
      </c>
      <c r="D380" s="15" t="s">
        <v>57</v>
      </c>
      <c r="E380" s="11" t="s">
        <v>61</v>
      </c>
      <c r="F380" s="11" t="s">
        <v>183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5" t="s">
        <v>45</v>
      </c>
      <c r="E381" s="11" t="s">
        <v>61</v>
      </c>
      <c r="F381" s="11" t="s">
        <v>485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874</v>
      </c>
      <c r="D382" s="15" t="s">
        <v>57</v>
      </c>
      <c r="E382" s="11" t="s">
        <v>61</v>
      </c>
      <c r="F382" s="11" t="s">
        <v>875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1009</v>
      </c>
      <c r="D383" s="15" t="s">
        <v>45</v>
      </c>
      <c r="E383" s="11" t="s">
        <v>26</v>
      </c>
      <c r="F383" s="11" t="s">
        <v>1010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807</v>
      </c>
      <c r="D384" s="15" t="s">
        <v>57</v>
      </c>
      <c r="E384" s="11" t="s">
        <v>26</v>
      </c>
      <c r="F384" s="11" t="s">
        <v>808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1181</v>
      </c>
      <c r="D385" s="15" t="s">
        <v>60</v>
      </c>
      <c r="E385" s="11" t="s">
        <v>61</v>
      </c>
      <c r="F385" s="11" t="s">
        <v>1182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1708</v>
      </c>
      <c r="D389" s="11" t="s">
        <v>57</v>
      </c>
      <c r="E389" s="11" t="s">
        <v>26</v>
      </c>
      <c r="F389" s="11" t="s">
        <v>1709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1531</v>
      </c>
      <c r="D390" s="15" t="s">
        <v>80</v>
      </c>
      <c r="E390" s="11" t="s">
        <v>26</v>
      </c>
      <c r="F390" s="11" t="s">
        <v>1532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1718</v>
      </c>
      <c r="D395" s="11" t="s">
        <v>57</v>
      </c>
      <c r="E395" s="11" t="s">
        <v>61</v>
      </c>
      <c r="F395" s="11" t="s">
        <v>1719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1705</v>
      </c>
      <c r="D431" s="15" t="s">
        <v>60</v>
      </c>
      <c r="E431" s="11" t="s">
        <v>61</v>
      </c>
      <c r="F431" s="11" t="s">
        <v>1707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1597</v>
      </c>
      <c r="D438" s="15" t="s">
        <v>45</v>
      </c>
      <c r="E438" s="11" t="s">
        <v>26</v>
      </c>
      <c r="F438" s="11" t="s">
        <v>1598</v>
      </c>
      <c r="G438" s="12">
        <v>1792</v>
      </c>
      <c r="H438" s="12"/>
      <c r="I438" s="12"/>
      <c r="J438" s="12">
        <v>1812</v>
      </c>
      <c r="K438" s="12">
        <f t="shared" si="79"/>
        <v>0</v>
      </c>
      <c r="L438" s="12">
        <f t="shared" si="80"/>
        <v>1792</v>
      </c>
      <c r="M438" s="12" t="str">
        <f t="shared" si="81"/>
        <v/>
      </c>
      <c r="N438" s="12">
        <f t="shared" si="82"/>
        <v>1812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75</v>
      </c>
      <c r="D439" s="15" t="s">
        <v>60</v>
      </c>
      <c r="E439" s="11" t="s">
        <v>26</v>
      </c>
      <c r="F439" s="11" t="s">
        <v>76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45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1503</v>
      </c>
      <c r="D441" s="15" t="s">
        <v>71</v>
      </c>
      <c r="E441" s="11" t="s">
        <v>26</v>
      </c>
      <c r="F441" s="11" t="s">
        <v>1504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1505</v>
      </c>
      <c r="D442" s="15" t="s">
        <v>71</v>
      </c>
      <c r="E442" s="11" t="s">
        <v>26</v>
      </c>
      <c r="F442" s="11" t="s">
        <v>1506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824</v>
      </c>
      <c r="D443" s="15" t="s">
        <v>57</v>
      </c>
      <c r="E443" s="11" t="s">
        <v>61</v>
      </c>
      <c r="F443" s="11" t="s">
        <v>825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667</v>
      </c>
      <c r="D444" s="15" t="s">
        <v>80</v>
      </c>
      <c r="E444" s="11" t="s">
        <v>26</v>
      </c>
      <c r="F444" s="11" t="s">
        <v>668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122</v>
      </c>
      <c r="D445" s="15" t="s">
        <v>60</v>
      </c>
      <c r="E445" s="11" t="s">
        <v>61</v>
      </c>
      <c r="F445" s="11" t="s">
        <v>123</v>
      </c>
      <c r="G445" s="12">
        <v>1998</v>
      </c>
      <c r="H445" s="12"/>
      <c r="I445" s="12"/>
      <c r="J445" s="12">
        <v>1998</v>
      </c>
      <c r="K445" s="12">
        <f t="shared" si="79"/>
        <v>0</v>
      </c>
      <c r="L445" s="12">
        <f t="shared" si="80"/>
        <v>1998</v>
      </c>
      <c r="M445" s="12" t="str">
        <f t="shared" si="81"/>
        <v/>
      </c>
      <c r="N445" s="12">
        <f t="shared" si="82"/>
        <v>1998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535</v>
      </c>
      <c r="D446" s="15" t="s">
        <v>45</v>
      </c>
      <c r="E446" s="11" t="s">
        <v>26</v>
      </c>
      <c r="F446" s="11" t="s">
        <v>536</v>
      </c>
      <c r="G446" s="12">
        <v>1799</v>
      </c>
      <c r="H446" s="12"/>
      <c r="I446" s="12"/>
      <c r="J446" s="12">
        <v>1785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567</v>
      </c>
      <c r="D447" s="15" t="s">
        <v>45</v>
      </c>
      <c r="E447" s="11" t="s">
        <v>26</v>
      </c>
      <c r="F447" s="11" t="s">
        <v>568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1756</v>
      </c>
      <c r="D448" s="11" t="s">
        <v>104</v>
      </c>
      <c r="E448" s="11" t="s">
        <v>26</v>
      </c>
      <c r="F448" s="11" t="s">
        <v>1757</v>
      </c>
      <c r="G448" s="12">
        <v>1799</v>
      </c>
      <c r="H448" s="12"/>
      <c r="I448" s="12"/>
      <c r="J448" s="12">
        <v>1824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1824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1595</v>
      </c>
      <c r="D449" s="15" t="s">
        <v>45</v>
      </c>
      <c r="E449" s="11" t="s">
        <v>61</v>
      </c>
      <c r="F449" s="11" t="s">
        <v>1596</v>
      </c>
      <c r="G449" s="12">
        <v>1999</v>
      </c>
      <c r="H449" s="12"/>
      <c r="I449" s="12"/>
      <c r="J449" s="12">
        <v>1989</v>
      </c>
      <c r="K449" s="12">
        <f t="shared" si="79"/>
        <v>0</v>
      </c>
      <c r="L449" s="12">
        <f t="shared" si="80"/>
        <v>1999</v>
      </c>
      <c r="M449" s="12" t="str">
        <f t="shared" si="81"/>
        <v/>
      </c>
      <c r="N449" s="12">
        <f t="shared" si="82"/>
        <v>1989</v>
      </c>
      <c r="O449" s="12" t="str">
        <f t="shared" si="83"/>
        <v/>
      </c>
      <c r="P449" s="12" t="str">
        <f t="shared" si="84"/>
        <v/>
      </c>
      <c r="Q449" s="12" t="s">
        <v>63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665</v>
      </c>
      <c r="D450" s="15" t="s">
        <v>80</v>
      </c>
      <c r="E450" s="11" t="s">
        <v>26</v>
      </c>
      <c r="F450" s="11" t="s">
        <v>666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6</v>
      </c>
      <c r="C451" s="11" t="s">
        <v>1227</v>
      </c>
      <c r="D451" s="15" t="s">
        <v>80</v>
      </c>
      <c r="E451" s="11" t="s">
        <v>26</v>
      </c>
      <c r="F451" s="11" t="s">
        <v>1228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1294</v>
      </c>
      <c r="D452" s="15" t="s">
        <v>80</v>
      </c>
      <c r="E452" s="11" t="s">
        <v>26</v>
      </c>
      <c r="F452" s="11" t="s">
        <v>1295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980</v>
      </c>
      <c r="D453" s="15" t="s">
        <v>45</v>
      </c>
      <c r="E453" s="11" t="s">
        <v>26</v>
      </c>
      <c r="F453" s="11" t="s">
        <v>981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501</v>
      </c>
      <c r="D454" s="11" t="s">
        <v>57</v>
      </c>
      <c r="E454" s="11" t="s">
        <v>26</v>
      </c>
      <c r="F454" s="11" t="s">
        <v>502</v>
      </c>
      <c r="G454" s="12">
        <v>1806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1806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635</v>
      </c>
      <c r="D455" s="11" t="s">
        <v>57</v>
      </c>
      <c r="E455" s="11" t="s">
        <v>26</v>
      </c>
      <c r="F455" s="11" t="s">
        <v>636</v>
      </c>
      <c r="G455" s="12">
        <v>1807</v>
      </c>
      <c r="H455" s="12"/>
      <c r="I455" s="12"/>
      <c r="J455" s="12">
        <v>1787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1787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453</v>
      </c>
      <c r="D456" s="15" t="s">
        <v>45</v>
      </c>
      <c r="E456" s="11" t="s">
        <v>26</v>
      </c>
      <c r="F456" s="11" t="s">
        <v>454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1298</v>
      </c>
      <c r="D457" s="15" t="s">
        <v>45</v>
      </c>
      <c r="E457" s="11" t="s">
        <v>26</v>
      </c>
      <c r="F457" s="11" t="s">
        <v>1299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342</v>
      </c>
      <c r="D458" s="11" t="s">
        <v>57</v>
      </c>
      <c r="E458" s="11" t="s">
        <v>26</v>
      </c>
      <c r="F458" s="11" t="s">
        <v>343</v>
      </c>
      <c r="G458" s="12">
        <v>1808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920</v>
      </c>
      <c r="D459" s="15" t="s">
        <v>45</v>
      </c>
      <c r="E459" s="11" t="s">
        <v>26</v>
      </c>
      <c r="F459" s="11" t="s">
        <v>921</v>
      </c>
      <c r="G459" s="12">
        <v>1808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6</v>
      </c>
      <c r="C460" s="11" t="s">
        <v>68</v>
      </c>
      <c r="D460" s="11" t="s">
        <v>57</v>
      </c>
      <c r="E460" s="11" t="s">
        <v>26</v>
      </c>
      <c r="F460" s="11" t="s">
        <v>69</v>
      </c>
      <c r="G460" s="12">
        <v>1808</v>
      </c>
      <c r="H460" s="12"/>
      <c r="I460" s="12"/>
      <c r="J460" s="12">
        <v>1797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1151</v>
      </c>
      <c r="D461" s="15" t="s">
        <v>80</v>
      </c>
      <c r="E461" s="11" t="s">
        <v>26</v>
      </c>
      <c r="F461" s="11" t="s">
        <v>1152</v>
      </c>
      <c r="G461" s="12">
        <v>1808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73</v>
      </c>
      <c r="D462" s="15" t="s">
        <v>60</v>
      </c>
      <c r="E462" s="11" t="s">
        <v>26</v>
      </c>
      <c r="F462" s="11" t="s">
        <v>74</v>
      </c>
      <c r="G462" s="12">
        <v>1809</v>
      </c>
      <c r="H462" s="12"/>
      <c r="I462" s="12"/>
      <c r="J462" s="12">
        <v>1779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14</v>
      </c>
      <c r="C463" s="11" t="s">
        <v>629</v>
      </c>
      <c r="D463" s="11" t="s">
        <v>57</v>
      </c>
      <c r="E463" s="11" t="s">
        <v>26</v>
      </c>
      <c r="F463" s="11" t="s">
        <v>630</v>
      </c>
      <c r="G463" s="12">
        <v>1809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14</v>
      </c>
      <c r="C464" s="11" t="s">
        <v>1739</v>
      </c>
      <c r="D464" s="15" t="s">
        <v>45</v>
      </c>
      <c r="E464" s="11" t="s">
        <v>26</v>
      </c>
      <c r="F464" s="11" t="s">
        <v>1740</v>
      </c>
      <c r="G464" s="12">
        <v>1809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116</v>
      </c>
      <c r="D465" s="15" t="s">
        <v>80</v>
      </c>
      <c r="E465" s="11" t="s">
        <v>26</v>
      </c>
      <c r="F465" s="11" t="s">
        <v>117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7" customFormat="1" ht="28.5" customHeight="1">
      <c r="A466" s="11" t="str">
        <f t="shared" si="91"/>
        <v/>
      </c>
      <c r="B466" s="11" t="s">
        <v>6</v>
      </c>
      <c r="C466" s="11" t="s">
        <v>523</v>
      </c>
      <c r="D466" s="15" t="s">
        <v>80</v>
      </c>
      <c r="E466" s="11" t="s">
        <v>26</v>
      </c>
      <c r="F466" s="11" t="s">
        <v>524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976</v>
      </c>
      <c r="D467" s="15" t="s">
        <v>60</v>
      </c>
      <c r="E467" s="11" t="s">
        <v>26</v>
      </c>
      <c r="F467" s="11" t="s">
        <v>977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1215</v>
      </c>
      <c r="D468" s="15" t="s">
        <v>45</v>
      </c>
      <c r="E468" s="11" t="s">
        <v>26</v>
      </c>
      <c r="F468" s="11" t="s">
        <v>1216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92</v>
      </c>
      <c r="D469" s="15" t="s">
        <v>80</v>
      </c>
      <c r="E469" s="11" t="s">
        <v>26</v>
      </c>
      <c r="F469" s="11" t="s">
        <v>93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1094</v>
      </c>
      <c r="D470" s="11" t="s">
        <v>48</v>
      </c>
      <c r="E470" s="11" t="s">
        <v>26</v>
      </c>
      <c r="F470" s="11" t="s">
        <v>1095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1513</v>
      </c>
      <c r="D471" s="11" t="s">
        <v>57</v>
      </c>
      <c r="E471" s="11" t="s">
        <v>26</v>
      </c>
      <c r="F471" s="11" t="s">
        <v>1514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12</v>
      </c>
      <c r="C472" s="11" t="s">
        <v>1666</v>
      </c>
      <c r="D472" s="15" t="s">
        <v>80</v>
      </c>
      <c r="E472" s="11" t="s">
        <v>26</v>
      </c>
      <c r="F472" s="11" t="s">
        <v>1667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1143</v>
      </c>
      <c r="D473" s="15" t="s">
        <v>60</v>
      </c>
      <c r="E473" s="11" t="s">
        <v>26</v>
      </c>
      <c r="F473" s="11" t="s">
        <v>1144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1241</v>
      </c>
      <c r="D474" s="11" t="s">
        <v>57</v>
      </c>
      <c r="E474" s="11" t="s">
        <v>26</v>
      </c>
      <c r="F474" s="11" t="s">
        <v>1242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88</v>
      </c>
      <c r="D475" s="15" t="s">
        <v>80</v>
      </c>
      <c r="E475" s="11" t="s">
        <v>61</v>
      </c>
      <c r="F475" s="11" t="s">
        <v>89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706</v>
      </c>
      <c r="D476" s="15" t="s">
        <v>45</v>
      </c>
      <c r="E476" s="11" t="s">
        <v>26</v>
      </c>
      <c r="F476" s="11" t="s">
        <v>707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708</v>
      </c>
      <c r="D477" s="15" t="s">
        <v>45</v>
      </c>
      <c r="E477" s="11" t="s">
        <v>26</v>
      </c>
      <c r="F477" s="11" t="s">
        <v>709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1567</v>
      </c>
      <c r="D478" s="15" t="s">
        <v>45</v>
      </c>
      <c r="E478" s="11" t="s">
        <v>26</v>
      </c>
      <c r="F478" s="11" t="s">
        <v>1568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1141</v>
      </c>
      <c r="D479" s="15" t="s">
        <v>45</v>
      </c>
      <c r="E479" s="11" t="s">
        <v>26</v>
      </c>
      <c r="F479" s="11" t="s">
        <v>1142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494</v>
      </c>
      <c r="D480" s="15" t="s">
        <v>60</v>
      </c>
      <c r="E480" s="11" t="s">
        <v>26</v>
      </c>
      <c r="F480" s="11" t="s">
        <v>495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16" customFormat="1" ht="28.5" customHeight="1">
      <c r="A481" s="11" t="str">
        <f t="shared" si="91"/>
        <v/>
      </c>
      <c r="B481" s="11" t="s">
        <v>12</v>
      </c>
      <c r="C481" s="11" t="s">
        <v>684</v>
      </c>
      <c r="D481" s="15" t="s">
        <v>57</v>
      </c>
      <c r="E481" s="11" t="s">
        <v>26</v>
      </c>
      <c r="F481" s="11" t="s">
        <v>685</v>
      </c>
      <c r="G481" s="12">
        <v>1809</v>
      </c>
      <c r="H481" s="12"/>
      <c r="I481" s="12"/>
      <c r="J481" s="12">
        <v>1879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1879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1761</v>
      </c>
      <c r="D495" s="11" t="s">
        <v>48</v>
      </c>
      <c r="E495" s="11" t="s">
        <v>26</v>
      </c>
      <c r="F495" s="11" t="s">
        <v>1762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368</v>
      </c>
      <c r="D496" s="15" t="s">
        <v>45</v>
      </c>
      <c r="E496" s="11" t="s">
        <v>26</v>
      </c>
      <c r="F496" s="11" t="s">
        <v>369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1278</v>
      </c>
      <c r="D497" s="15" t="s">
        <v>45</v>
      </c>
      <c r="E497" s="11" t="s">
        <v>26</v>
      </c>
      <c r="F497" s="11" t="s">
        <v>1279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926</v>
      </c>
      <c r="D498" s="15" t="s">
        <v>71</v>
      </c>
      <c r="E498" s="11" t="s">
        <v>26</v>
      </c>
      <c r="F498" s="11" t="s">
        <v>927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453</v>
      </c>
      <c r="D499" s="15" t="s">
        <v>45</v>
      </c>
      <c r="E499" s="11" t="s">
        <v>61</v>
      </c>
      <c r="F499" s="11" t="s">
        <v>455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1065</v>
      </c>
      <c r="D500" s="15" t="s">
        <v>57</v>
      </c>
      <c r="E500" s="11" t="s">
        <v>26</v>
      </c>
      <c r="F500" s="11" t="s">
        <v>1066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1272</v>
      </c>
      <c r="D501" s="15" t="s">
        <v>80</v>
      </c>
      <c r="E501" s="11" t="s">
        <v>26</v>
      </c>
      <c r="F501" s="11" t="s">
        <v>1273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336</v>
      </c>
      <c r="D502" s="15" t="s">
        <v>45</v>
      </c>
      <c r="E502" s="11" t="s">
        <v>26</v>
      </c>
      <c r="F502" s="11" t="s">
        <v>337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1577</v>
      </c>
      <c r="D503" s="11" t="s">
        <v>57</v>
      </c>
      <c r="E503" s="11" t="s">
        <v>61</v>
      </c>
      <c r="F503" s="11" t="s">
        <v>1578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647</v>
      </c>
      <c r="D504" s="15" t="s">
        <v>80</v>
      </c>
      <c r="E504" s="11" t="s">
        <v>26</v>
      </c>
      <c r="F504" s="11" t="s">
        <v>648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106</v>
      </c>
      <c r="D505" s="11" t="s">
        <v>57</v>
      </c>
      <c r="E505" s="11" t="s">
        <v>26</v>
      </c>
      <c r="F505" s="11" t="s">
        <v>107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1145</v>
      </c>
      <c r="D506" s="15" t="s">
        <v>45</v>
      </c>
      <c r="E506" s="11" t="s">
        <v>26</v>
      </c>
      <c r="F506" s="11" t="s">
        <v>1146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1071</v>
      </c>
      <c r="D507" s="15" t="s">
        <v>45</v>
      </c>
      <c r="E507" s="11" t="s">
        <v>26</v>
      </c>
      <c r="F507" s="11" t="s">
        <v>1072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1401</v>
      </c>
      <c r="D508" s="15" t="s">
        <v>45</v>
      </c>
      <c r="E508" s="11" t="s">
        <v>26</v>
      </c>
      <c r="F508" s="11" t="s">
        <v>1402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1648</v>
      </c>
      <c r="D509" s="11" t="s">
        <v>57</v>
      </c>
      <c r="E509" s="11" t="s">
        <v>26</v>
      </c>
      <c r="F509" s="11" t="s">
        <v>1649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743</v>
      </c>
      <c r="D510" s="15" t="s">
        <v>57</v>
      </c>
      <c r="E510" s="11" t="s">
        <v>26</v>
      </c>
      <c r="F510" s="11" t="s">
        <v>744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1027</v>
      </c>
      <c r="D511" s="15" t="s">
        <v>45</v>
      </c>
      <c r="E511" s="11" t="s">
        <v>26</v>
      </c>
      <c r="F511" s="11" t="s">
        <v>1028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1632</v>
      </c>
      <c r="D512" s="15" t="s">
        <v>45</v>
      </c>
      <c r="E512" s="11" t="s">
        <v>26</v>
      </c>
      <c r="F512" s="11" t="s">
        <v>1633</v>
      </c>
      <c r="G512" s="12">
        <v>1815</v>
      </c>
      <c r="H512" s="12"/>
      <c r="I512" s="12"/>
      <c r="J512" s="12">
        <v>1825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1825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12</v>
      </c>
      <c r="C513" s="11" t="s">
        <v>180</v>
      </c>
      <c r="D513" s="15" t="s">
        <v>80</v>
      </c>
      <c r="E513" s="11" t="s">
        <v>26</v>
      </c>
      <c r="F513" s="11" t="s">
        <v>181</v>
      </c>
      <c r="G513" s="12">
        <v>1816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1816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653</v>
      </c>
      <c r="D514" s="15" t="s">
        <v>45</v>
      </c>
      <c r="E514" s="11" t="s">
        <v>26</v>
      </c>
      <c r="F514" s="11" t="s">
        <v>654</v>
      </c>
      <c r="G514" s="12">
        <v>1817</v>
      </c>
      <c r="H514" s="12"/>
      <c r="I514" s="12"/>
      <c r="J514" s="12">
        <v>1792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294</v>
      </c>
      <c r="D515" s="11" t="s">
        <v>57</v>
      </c>
      <c r="E515" s="11" t="s">
        <v>61</v>
      </c>
      <c r="F515" s="11" t="s">
        <v>295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1121</v>
      </c>
      <c r="D516" s="15" t="s">
        <v>60</v>
      </c>
      <c r="E516" s="11" t="s">
        <v>26</v>
      </c>
      <c r="F516" s="11" t="s">
        <v>1122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1127</v>
      </c>
      <c r="D517" s="15" t="s">
        <v>80</v>
      </c>
      <c r="E517" s="11" t="s">
        <v>26</v>
      </c>
      <c r="F517" s="11" t="s">
        <v>1128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1276</v>
      </c>
      <c r="D518" s="15" t="s">
        <v>60</v>
      </c>
      <c r="E518" s="11" t="s">
        <v>26</v>
      </c>
      <c r="F518" s="11" t="s">
        <v>1277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236</v>
      </c>
      <c r="D519" s="15" t="s">
        <v>80</v>
      </c>
      <c r="E519" s="11" t="s">
        <v>26</v>
      </c>
      <c r="F519" s="11" t="s">
        <v>237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340</v>
      </c>
      <c r="D520" s="15" t="s">
        <v>80</v>
      </c>
      <c r="E520" s="11" t="s">
        <v>26</v>
      </c>
      <c r="F520" s="11" t="s">
        <v>341</v>
      </c>
      <c r="G520" s="12">
        <v>1818</v>
      </c>
      <c r="H520" s="12"/>
      <c r="I520" s="12"/>
      <c r="J520" s="12">
        <v>1799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1286</v>
      </c>
      <c r="D521" s="11" t="s">
        <v>57</v>
      </c>
      <c r="E521" s="11" t="s">
        <v>26</v>
      </c>
      <c r="F521" s="11" t="s">
        <v>1287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1569</v>
      </c>
      <c r="D522" s="11" t="s">
        <v>57</v>
      </c>
      <c r="E522" s="11" t="s">
        <v>26</v>
      </c>
      <c r="F522" s="11" t="s">
        <v>1570</v>
      </c>
      <c r="G522" s="12">
        <v>1818</v>
      </c>
      <c r="H522" s="12"/>
      <c r="I522" s="12"/>
      <c r="J522" s="12">
        <v>1819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1819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1250</v>
      </c>
      <c r="D523" s="11" t="s">
        <v>57</v>
      </c>
      <c r="E523" s="11" t="s">
        <v>26</v>
      </c>
      <c r="F523" s="11" t="s">
        <v>1251</v>
      </c>
      <c r="G523" s="12">
        <v>1819</v>
      </c>
      <c r="H523" s="12"/>
      <c r="I523" s="12"/>
      <c r="J523" s="12">
        <v>1791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1791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134</v>
      </c>
      <c r="D524" s="15" t="s">
        <v>80</v>
      </c>
      <c r="E524" s="11" t="s">
        <v>26</v>
      </c>
      <c r="F524" s="11" t="s">
        <v>135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836</v>
      </c>
      <c r="D525" s="11" t="s">
        <v>57</v>
      </c>
      <c r="E525" s="11" t="s">
        <v>26</v>
      </c>
      <c r="F525" s="11" t="s">
        <v>837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490</v>
      </c>
      <c r="D526" s="15" t="s">
        <v>45</v>
      </c>
      <c r="E526" s="11" t="s">
        <v>26</v>
      </c>
      <c r="F526" s="11" t="s">
        <v>491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10</v>
      </c>
      <c r="C527" s="11" t="s">
        <v>1314</v>
      </c>
      <c r="D527" s="15" t="s">
        <v>45</v>
      </c>
      <c r="E527" s="11" t="s">
        <v>26</v>
      </c>
      <c r="F527" s="11" t="s">
        <v>1315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146</v>
      </c>
      <c r="D528" s="15" t="s">
        <v>60</v>
      </c>
      <c r="E528" s="11" t="s">
        <v>26</v>
      </c>
      <c r="F528" s="11" t="s">
        <v>147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461</v>
      </c>
      <c r="D529" s="11" t="s">
        <v>48</v>
      </c>
      <c r="E529" s="11" t="s">
        <v>26</v>
      </c>
      <c r="F529" s="11" t="s">
        <v>463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408</v>
      </c>
      <c r="D530" s="11" t="s">
        <v>48</v>
      </c>
      <c r="E530" s="11" t="s">
        <v>26</v>
      </c>
      <c r="F530" s="11" t="s">
        <v>410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10</v>
      </c>
      <c r="C531" s="11" t="s">
        <v>472</v>
      </c>
      <c r="D531" s="15" t="s">
        <v>45</v>
      </c>
      <c r="E531" s="11" t="s">
        <v>26</v>
      </c>
      <c r="F531" s="11" t="s">
        <v>473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794</v>
      </c>
      <c r="D532" s="15" t="s">
        <v>45</v>
      </c>
      <c r="E532" s="11" t="s">
        <v>26</v>
      </c>
      <c r="F532" s="11" t="s">
        <v>795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1407</v>
      </c>
      <c r="D533" s="15" t="s">
        <v>60</v>
      </c>
      <c r="E533" s="11" t="s">
        <v>26</v>
      </c>
      <c r="F533" s="11" t="s">
        <v>1408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10</v>
      </c>
      <c r="C534" s="11" t="s">
        <v>1537</v>
      </c>
      <c r="D534" s="11" t="s">
        <v>71</v>
      </c>
      <c r="E534" s="11" t="s">
        <v>26</v>
      </c>
      <c r="F534" s="11" t="s">
        <v>1538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1617</v>
      </c>
      <c r="D535" s="11" t="s">
        <v>48</v>
      </c>
      <c r="E535" s="11" t="s">
        <v>26</v>
      </c>
      <c r="F535" s="11" t="s">
        <v>1618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1727</v>
      </c>
      <c r="D536" s="15" t="s">
        <v>80</v>
      </c>
      <c r="E536" s="11" t="s">
        <v>26</v>
      </c>
      <c r="F536" s="11" t="s">
        <v>1728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162</v>
      </c>
      <c r="D537" s="15" t="s">
        <v>60</v>
      </c>
      <c r="E537" s="11" t="s">
        <v>26</v>
      </c>
      <c r="F537" s="11" t="s">
        <v>163</v>
      </c>
      <c r="G537" s="12">
        <v>1819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70</v>
      </c>
      <c r="D538" s="11" t="s">
        <v>71</v>
      </c>
      <c r="E538" s="11" t="s">
        <v>26</v>
      </c>
      <c r="F538" s="11" t="s">
        <v>72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890</v>
      </c>
      <c r="D539" s="15" t="s">
        <v>80</v>
      </c>
      <c r="E539" s="11" t="s">
        <v>26</v>
      </c>
      <c r="F539" s="11" t="s">
        <v>891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952</v>
      </c>
      <c r="D540" s="11" t="s">
        <v>57</v>
      </c>
      <c r="E540" s="11" t="s">
        <v>26</v>
      </c>
      <c r="F540" s="11" t="s">
        <v>953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386</v>
      </c>
      <c r="D541" s="15" t="s">
        <v>60</v>
      </c>
      <c r="E541" s="11" t="s">
        <v>26</v>
      </c>
      <c r="F541" s="11" t="s">
        <v>387</v>
      </c>
      <c r="G541" s="12">
        <v>1819</v>
      </c>
      <c r="H541" s="12"/>
      <c r="I541" s="12"/>
      <c r="J541" s="12">
        <v>1818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250</v>
      </c>
      <c r="D542" s="15" t="s">
        <v>80</v>
      </c>
      <c r="E542" s="11" t="s">
        <v>26</v>
      </c>
      <c r="F542" s="11" t="s">
        <v>251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10</v>
      </c>
      <c r="C543" s="11" t="s">
        <v>928</v>
      </c>
      <c r="D543" s="15" t="s">
        <v>80</v>
      </c>
      <c r="E543" s="11" t="s">
        <v>26</v>
      </c>
      <c r="F543" s="11" t="s">
        <v>929</v>
      </c>
      <c r="G543" s="12">
        <v>1819</v>
      </c>
      <c r="H543" s="12"/>
      <c r="I543" s="12"/>
      <c r="J543" s="12">
        <v>1829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753</v>
      </c>
      <c r="D544" s="15" t="s">
        <v>45</v>
      </c>
      <c r="E544" s="11" t="s">
        <v>26</v>
      </c>
      <c r="F544" s="11" t="s">
        <v>754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396</v>
      </c>
      <c r="D545" s="15" t="s">
        <v>60</v>
      </c>
      <c r="E545" s="11" t="s">
        <v>26</v>
      </c>
      <c r="F545" s="11" t="s">
        <v>397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112</v>
      </c>
      <c r="D546" s="11" t="s">
        <v>57</v>
      </c>
      <c r="E546" s="11" t="s">
        <v>26</v>
      </c>
      <c r="F546" s="11" t="s">
        <v>113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322</v>
      </c>
      <c r="D547" s="11" t="s">
        <v>48</v>
      </c>
      <c r="E547" s="11" t="s">
        <v>26</v>
      </c>
      <c r="F547" s="11" t="s">
        <v>323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882</v>
      </c>
      <c r="D548" s="11" t="s">
        <v>57</v>
      </c>
      <c r="E548" s="11" t="s">
        <v>26</v>
      </c>
      <c r="F548" s="11" t="s">
        <v>883</v>
      </c>
      <c r="G548" s="12">
        <v>1823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1123</v>
      </c>
      <c r="D549" s="15" t="s">
        <v>45</v>
      </c>
      <c r="E549" s="11" t="s">
        <v>26</v>
      </c>
      <c r="F549" s="11" t="s">
        <v>1124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1063</v>
      </c>
      <c r="D550" s="11" t="s">
        <v>57</v>
      </c>
      <c r="E550" s="11" t="s">
        <v>26</v>
      </c>
      <c r="F550" s="11" t="s">
        <v>1064</v>
      </c>
      <c r="G550" s="12">
        <v>1823</v>
      </c>
      <c r="H550" s="12"/>
      <c r="I550" s="12"/>
      <c r="J550" s="12">
        <v>1823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1823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306</v>
      </c>
      <c r="D551" s="15" t="s">
        <v>45</v>
      </c>
      <c r="E551" s="11" t="s">
        <v>26</v>
      </c>
      <c r="F551" s="11" t="s">
        <v>307</v>
      </c>
      <c r="G551" s="12">
        <v>1824</v>
      </c>
      <c r="H551" s="12"/>
      <c r="I551" s="12"/>
      <c r="J551" s="12">
        <v>1794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1794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1678</v>
      </c>
      <c r="D552" s="11" t="s">
        <v>80</v>
      </c>
      <c r="E552" s="11" t="s">
        <v>26</v>
      </c>
      <c r="F552" s="11" t="s">
        <v>1763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1555</v>
      </c>
      <c r="D553" s="15" t="s">
        <v>80</v>
      </c>
      <c r="E553" s="11" t="s">
        <v>26</v>
      </c>
      <c r="F553" s="11" t="s">
        <v>1556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288</v>
      </c>
      <c r="D554" s="11" t="s">
        <v>57</v>
      </c>
      <c r="E554" s="11" t="s">
        <v>26</v>
      </c>
      <c r="F554" s="11" t="s">
        <v>289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314</v>
      </c>
      <c r="D555" s="15" t="s">
        <v>45</v>
      </c>
      <c r="E555" s="11" t="s">
        <v>26</v>
      </c>
      <c r="F555" s="11" t="s">
        <v>315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316</v>
      </c>
      <c r="D556" s="15" t="s">
        <v>45</v>
      </c>
      <c r="E556" s="11" t="s">
        <v>26</v>
      </c>
      <c r="F556" s="11" t="s">
        <v>317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1523</v>
      </c>
      <c r="D557" s="11" t="s">
        <v>57</v>
      </c>
      <c r="E557" s="11" t="s">
        <v>26</v>
      </c>
      <c r="F557" s="11" t="s">
        <v>1524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79</v>
      </c>
      <c r="D558" s="15" t="s">
        <v>80</v>
      </c>
      <c r="E558" s="11" t="s">
        <v>26</v>
      </c>
      <c r="F558" s="11" t="s">
        <v>81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682</v>
      </c>
      <c r="D560" s="11" t="s">
        <v>48</v>
      </c>
      <c r="E560" s="11" t="s">
        <v>26</v>
      </c>
      <c r="F560" s="11" t="s">
        <v>683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400</v>
      </c>
      <c r="D561" s="11" t="s">
        <v>48</v>
      </c>
      <c r="E561" s="11" t="s">
        <v>26</v>
      </c>
      <c r="F561" s="11" t="s">
        <v>401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772</v>
      </c>
      <c r="D562" s="15" t="s">
        <v>60</v>
      </c>
      <c r="E562" s="11" t="s">
        <v>26</v>
      </c>
      <c r="F562" s="11" t="s">
        <v>773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1219</v>
      </c>
      <c r="D563" s="11" t="s">
        <v>48</v>
      </c>
      <c r="E563" s="11" t="s">
        <v>26</v>
      </c>
      <c r="F563" s="11" t="s">
        <v>1220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1352</v>
      </c>
      <c r="D564" s="11" t="s">
        <v>57</v>
      </c>
      <c r="E564" s="11" t="s">
        <v>26</v>
      </c>
      <c r="F564" s="11" t="s">
        <v>1353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1432</v>
      </c>
      <c r="D565" s="15" t="s">
        <v>45</v>
      </c>
      <c r="E565" s="11" t="s">
        <v>26</v>
      </c>
      <c r="F565" s="11" t="s">
        <v>1433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1758</v>
      </c>
      <c r="D566" s="11" t="s">
        <v>57</v>
      </c>
      <c r="E566" s="11" t="s">
        <v>26</v>
      </c>
      <c r="F566" s="11" t="s">
        <v>448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18</v>
      </c>
      <c r="C567" s="11" t="s">
        <v>1656</v>
      </c>
      <c r="D567" s="15" t="s">
        <v>45</v>
      </c>
      <c r="E567" s="11" t="s">
        <v>26</v>
      </c>
      <c r="F567" s="11" t="s">
        <v>1657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352</v>
      </c>
      <c r="D568" s="15" t="s">
        <v>45</v>
      </c>
      <c r="E568" s="11" t="s">
        <v>26</v>
      </c>
      <c r="F568" s="11" t="s">
        <v>353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690</v>
      </c>
      <c r="D569" s="11" t="s">
        <v>104</v>
      </c>
      <c r="E569" s="11" t="s">
        <v>26</v>
      </c>
      <c r="F569" s="11" t="s">
        <v>691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234</v>
      </c>
      <c r="D570" s="15" t="s">
        <v>80</v>
      </c>
      <c r="E570" s="11" t="s">
        <v>26</v>
      </c>
      <c r="F570" s="11" t="s">
        <v>235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727</v>
      </c>
      <c r="D571" s="15" t="s">
        <v>45</v>
      </c>
      <c r="E571" s="11" t="s">
        <v>26</v>
      </c>
      <c r="F571" s="11" t="s">
        <v>729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1366</v>
      </c>
      <c r="D572" s="11" t="s">
        <v>57</v>
      </c>
      <c r="E572" s="11" t="s">
        <v>26</v>
      </c>
      <c r="F572" s="11" t="s">
        <v>1367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1075</v>
      </c>
      <c r="D573" s="15" t="s">
        <v>80</v>
      </c>
      <c r="E573" s="11" t="s">
        <v>26</v>
      </c>
      <c r="F573" s="11" t="s">
        <v>1076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1079</v>
      </c>
      <c r="D574" s="11" t="s">
        <v>48</v>
      </c>
      <c r="E574" s="11" t="s">
        <v>26</v>
      </c>
      <c r="F574" s="11" t="s">
        <v>1080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569</v>
      </c>
      <c r="D575" s="15" t="s">
        <v>45</v>
      </c>
      <c r="E575" s="11" t="s">
        <v>26</v>
      </c>
      <c r="F575" s="11" t="s">
        <v>572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578</v>
      </c>
      <c r="D576" s="15" t="s">
        <v>80</v>
      </c>
      <c r="E576" s="11" t="s">
        <v>26</v>
      </c>
      <c r="F576" s="11" t="s">
        <v>579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1235</v>
      </c>
      <c r="D577" s="11" t="s">
        <v>57</v>
      </c>
      <c r="E577" s="11" t="s">
        <v>26</v>
      </c>
      <c r="F577" s="11" t="s">
        <v>1236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1113</v>
      </c>
      <c r="D578" s="15" t="s">
        <v>45</v>
      </c>
      <c r="E578" s="11" t="s">
        <v>26</v>
      </c>
      <c r="F578" s="11" t="s">
        <v>1114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158</v>
      </c>
      <c r="D579" s="15" t="s">
        <v>57</v>
      </c>
      <c r="E579" s="11" t="s">
        <v>26</v>
      </c>
      <c r="F579" s="11" t="s">
        <v>159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1731</v>
      </c>
      <c r="D580" s="15" t="s">
        <v>45</v>
      </c>
      <c r="E580" s="11" t="s">
        <v>26</v>
      </c>
      <c r="F580" s="11" t="s">
        <v>1732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1332</v>
      </c>
      <c r="D582" s="15" t="s">
        <v>60</v>
      </c>
      <c r="E582" s="11" t="s">
        <v>26</v>
      </c>
      <c r="F582" s="11" t="s">
        <v>1333</v>
      </c>
      <c r="G582" s="12">
        <v>1827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1621</v>
      </c>
      <c r="D583" s="11" t="s">
        <v>57</v>
      </c>
      <c r="E583" s="11" t="s">
        <v>26</v>
      </c>
      <c r="F583" s="11" t="s">
        <v>1623</v>
      </c>
      <c r="G583" s="12">
        <v>1827</v>
      </c>
      <c r="H583" s="12"/>
      <c r="I583" s="12"/>
      <c r="J583" s="12">
        <v>1817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1482</v>
      </c>
      <c r="D584" s="15" t="s">
        <v>45</v>
      </c>
      <c r="E584" s="11" t="s">
        <v>26</v>
      </c>
      <c r="F584" s="11" t="s">
        <v>1483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1320</v>
      </c>
      <c r="D585" s="11" t="s">
        <v>95</v>
      </c>
      <c r="E585" s="11" t="s">
        <v>61</v>
      </c>
      <c r="F585" s="11" t="s">
        <v>1321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470</v>
      </c>
      <c r="D586" s="15" t="s">
        <v>60</v>
      </c>
      <c r="E586" s="11" t="s">
        <v>26</v>
      </c>
      <c r="F586" s="11" t="s">
        <v>471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549</v>
      </c>
      <c r="D587" s="15" t="s">
        <v>45</v>
      </c>
      <c r="E587" s="11" t="s">
        <v>26</v>
      </c>
      <c r="F587" s="11" t="s">
        <v>550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1759</v>
      </c>
      <c r="D588" s="11" t="s">
        <v>45</v>
      </c>
      <c r="E588" s="11" t="s">
        <v>26</v>
      </c>
      <c r="F588" s="11" t="s">
        <v>1760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1535</v>
      </c>
      <c r="D589" s="15" t="s">
        <v>45</v>
      </c>
      <c r="E589" s="11" t="s">
        <v>26</v>
      </c>
      <c r="F589" s="11" t="s">
        <v>1536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1571</v>
      </c>
      <c r="D590" s="11" t="s">
        <v>57</v>
      </c>
      <c r="E590" s="11" t="s">
        <v>26</v>
      </c>
      <c r="F590" s="11" t="s">
        <v>1572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1266</v>
      </c>
      <c r="D591" s="15" t="s">
        <v>60</v>
      </c>
      <c r="E591" s="11" t="s">
        <v>26</v>
      </c>
      <c r="F591" s="11" t="s">
        <v>1267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737</v>
      </c>
      <c r="D592" s="15" t="s">
        <v>60</v>
      </c>
      <c r="E592" s="11" t="s">
        <v>26</v>
      </c>
      <c r="F592" s="11" t="s">
        <v>738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1025</v>
      </c>
      <c r="D593" s="11" t="s">
        <v>57</v>
      </c>
      <c r="E593" s="11" t="s">
        <v>26</v>
      </c>
      <c r="F593" s="11" t="s">
        <v>1026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1678</v>
      </c>
      <c r="D594" s="15" t="s">
        <v>45</v>
      </c>
      <c r="E594" s="11" t="s">
        <v>61</v>
      </c>
      <c r="F594" s="11" t="s">
        <v>1680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834</v>
      </c>
      <c r="D595" s="15" t="s">
        <v>60</v>
      </c>
      <c r="E595" s="11" t="s">
        <v>26</v>
      </c>
      <c r="F595" s="11" t="s">
        <v>835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1247</v>
      </c>
      <c r="D596" s="15" t="s">
        <v>60</v>
      </c>
      <c r="E596" s="11" t="s">
        <v>26</v>
      </c>
      <c r="F596" s="11" t="s">
        <v>1249</v>
      </c>
      <c r="G596" s="12">
        <v>1829</v>
      </c>
      <c r="H596" s="12"/>
      <c r="I596" s="12"/>
      <c r="J596" s="12">
        <v>1789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1789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1061</v>
      </c>
      <c r="D597" s="15" t="s">
        <v>80</v>
      </c>
      <c r="E597" s="11" t="s">
        <v>26</v>
      </c>
      <c r="F597" s="11" t="s">
        <v>1062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1393</v>
      </c>
      <c r="D598" s="11" t="s">
        <v>57</v>
      </c>
      <c r="E598" s="11" t="s">
        <v>61</v>
      </c>
      <c r="F598" s="11" t="s">
        <v>1394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507</v>
      </c>
      <c r="D599" s="11" t="s">
        <v>48</v>
      </c>
      <c r="E599" s="11" t="s">
        <v>26</v>
      </c>
      <c r="F599" s="11" t="s">
        <v>508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717</v>
      </c>
      <c r="D600" s="15" t="s">
        <v>45</v>
      </c>
      <c r="E600" s="11" t="s">
        <v>26</v>
      </c>
      <c r="F600" s="11" t="s">
        <v>718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1179</v>
      </c>
      <c r="D601" s="15" t="s">
        <v>45</v>
      </c>
      <c r="E601" s="11" t="s">
        <v>26</v>
      </c>
      <c r="F601" s="11" t="s">
        <v>1180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232</v>
      </c>
      <c r="D602" s="15" t="s">
        <v>80</v>
      </c>
      <c r="E602" s="11" t="s">
        <v>26</v>
      </c>
      <c r="F602" s="11" t="s">
        <v>233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938</v>
      </c>
      <c r="D603" s="11" t="s">
        <v>57</v>
      </c>
      <c r="E603" s="11" t="s">
        <v>26</v>
      </c>
      <c r="F603" s="11" t="s">
        <v>939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1006</v>
      </c>
      <c r="D604" s="11" t="s">
        <v>57</v>
      </c>
      <c r="E604" s="11" t="s">
        <v>26</v>
      </c>
      <c r="F604" s="11" t="s">
        <v>1008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148</v>
      </c>
      <c r="D605" s="15" t="s">
        <v>80</v>
      </c>
      <c r="E605" s="11" t="s">
        <v>26</v>
      </c>
      <c r="F605" s="11" t="s">
        <v>149</v>
      </c>
      <c r="G605" s="12">
        <v>1829</v>
      </c>
      <c r="H605" s="12"/>
      <c r="I605" s="12"/>
      <c r="J605" s="12">
        <v>1814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1814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582</v>
      </c>
      <c r="D606" s="15" t="s">
        <v>80</v>
      </c>
      <c r="E606" s="11" t="s">
        <v>26</v>
      </c>
      <c r="F606" s="11" t="s">
        <v>583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801</v>
      </c>
      <c r="D607" s="11" t="s">
        <v>57</v>
      </c>
      <c r="E607" s="11" t="s">
        <v>26</v>
      </c>
      <c r="F607" s="11" t="s">
        <v>802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18</v>
      </c>
      <c r="C608" s="11" t="s">
        <v>1223</v>
      </c>
      <c r="D608" s="15" t="s">
        <v>45</v>
      </c>
      <c r="E608" s="11" t="s">
        <v>26</v>
      </c>
      <c r="F608" s="11" t="s">
        <v>1224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8</v>
      </c>
      <c r="C609" s="11" t="s">
        <v>956</v>
      </c>
      <c r="D609" s="15" t="s">
        <v>45</v>
      </c>
      <c r="E609" s="11" t="s">
        <v>26</v>
      </c>
      <c r="F609" s="11" t="s">
        <v>957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958</v>
      </c>
      <c r="D610" s="15" t="s">
        <v>57</v>
      </c>
      <c r="E610" s="11" t="s">
        <v>26</v>
      </c>
      <c r="F610" s="11" t="s">
        <v>959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1561</v>
      </c>
      <c r="D611" s="11" t="s">
        <v>48</v>
      </c>
      <c r="E611" s="11" t="s">
        <v>26</v>
      </c>
      <c r="F611" s="11" t="s">
        <v>1562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318</v>
      </c>
      <c r="D612" s="15" t="s">
        <v>45</v>
      </c>
      <c r="E612" s="11" t="s">
        <v>26</v>
      </c>
      <c r="F612" s="11" t="s">
        <v>319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1664</v>
      </c>
      <c r="D613" s="15" t="s">
        <v>57</v>
      </c>
      <c r="E613" s="11" t="s">
        <v>26</v>
      </c>
      <c r="F613" s="11" t="s">
        <v>1665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7" customFormat="1" ht="28.5" customHeight="1">
      <c r="A614" s="11" t="str">
        <f t="shared" si="117"/>
        <v/>
      </c>
      <c r="B614" s="11" t="s">
        <v>10</v>
      </c>
      <c r="C614" s="11" t="s">
        <v>328</v>
      </c>
      <c r="D614" s="15" t="s">
        <v>45</v>
      </c>
      <c r="E614" s="11" t="s">
        <v>26</v>
      </c>
      <c r="F614" s="11" t="s">
        <v>329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884</v>
      </c>
      <c r="D615" s="11" t="s">
        <v>57</v>
      </c>
      <c r="E615" s="11" t="s">
        <v>26</v>
      </c>
      <c r="F615" s="11" t="s">
        <v>885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1110</v>
      </c>
      <c r="D616" s="11" t="s">
        <v>48</v>
      </c>
      <c r="E616" s="11" t="s">
        <v>26</v>
      </c>
      <c r="F616" s="11" t="s">
        <v>1112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1362</v>
      </c>
      <c r="D617" s="15" t="s">
        <v>60</v>
      </c>
      <c r="E617" s="11" t="s">
        <v>26</v>
      </c>
      <c r="F617" s="11" t="s">
        <v>1363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1699</v>
      </c>
      <c r="D618" s="15" t="s">
        <v>45</v>
      </c>
      <c r="E618" s="11" t="s">
        <v>26</v>
      </c>
      <c r="F618" s="11" t="s">
        <v>1700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954</v>
      </c>
      <c r="D619" s="11" t="s">
        <v>71</v>
      </c>
      <c r="E619" s="11" t="s">
        <v>26</v>
      </c>
      <c r="F619" s="11" t="s">
        <v>955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488</v>
      </c>
      <c r="D620" s="15" t="s">
        <v>45</v>
      </c>
      <c r="E620" s="11" t="s">
        <v>26</v>
      </c>
      <c r="F620" s="11" t="s">
        <v>489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511</v>
      </c>
      <c r="D621" s="11" t="s">
        <v>57</v>
      </c>
      <c r="E621" s="11" t="s">
        <v>26</v>
      </c>
      <c r="F621" s="11" t="s">
        <v>512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820</v>
      </c>
      <c r="D622" s="11" t="s">
        <v>48</v>
      </c>
      <c r="E622" s="11" t="s">
        <v>26</v>
      </c>
      <c r="F622" s="11" t="s">
        <v>821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1360</v>
      </c>
      <c r="D623" s="15" t="s">
        <v>80</v>
      </c>
      <c r="E623" s="11" t="s">
        <v>26</v>
      </c>
      <c r="F623" s="11" t="s">
        <v>1361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749</v>
      </c>
      <c r="D624" s="11" t="s">
        <v>95</v>
      </c>
      <c r="E624" s="11" t="s">
        <v>26</v>
      </c>
      <c r="F624" s="11" t="s">
        <v>750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784</v>
      </c>
      <c r="D625" s="11" t="s">
        <v>95</v>
      </c>
      <c r="E625" s="11" t="s">
        <v>26</v>
      </c>
      <c r="F625" s="11" t="s">
        <v>785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66</v>
      </c>
      <c r="D626" s="15" t="s">
        <v>45</v>
      </c>
      <c r="E626" s="11" t="s">
        <v>26</v>
      </c>
      <c r="F626" s="11" t="s">
        <v>67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1589</v>
      </c>
      <c r="D627" s="11" t="s">
        <v>57</v>
      </c>
      <c r="E627" s="11" t="s">
        <v>26</v>
      </c>
      <c r="F627" s="11" t="s">
        <v>1591</v>
      </c>
      <c r="G627" s="12">
        <v>1830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529</v>
      </c>
      <c r="D628" s="11" t="s">
        <v>71</v>
      </c>
      <c r="E628" s="11" t="s">
        <v>26</v>
      </c>
      <c r="F628" s="11" t="s">
        <v>530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292</v>
      </c>
      <c r="D629" s="11" t="s">
        <v>104</v>
      </c>
      <c r="E629" s="11" t="s">
        <v>26</v>
      </c>
      <c r="F629" s="11" t="s">
        <v>293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6</v>
      </c>
      <c r="C630" s="11" t="s">
        <v>130</v>
      </c>
      <c r="D630" s="15" t="s">
        <v>45</v>
      </c>
      <c r="E630" s="11" t="s">
        <v>26</v>
      </c>
      <c r="F630" s="11" t="s">
        <v>131</v>
      </c>
      <c r="G630" s="12">
        <v>1832</v>
      </c>
      <c r="H630" s="12"/>
      <c r="I630" s="12"/>
      <c r="J630" s="12">
        <v>1792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1792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1153</v>
      </c>
      <c r="D631" s="15" t="s">
        <v>45</v>
      </c>
      <c r="E631" s="11" t="s">
        <v>26</v>
      </c>
      <c r="F631" s="11" t="s">
        <v>1154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101</v>
      </c>
      <c r="D632" s="11" t="s">
        <v>57</v>
      </c>
      <c r="E632" s="11" t="s">
        <v>26</v>
      </c>
      <c r="F632" s="11" t="s">
        <v>102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114</v>
      </c>
      <c r="D633" s="15" t="s">
        <v>80</v>
      </c>
      <c r="E633" s="11" t="s">
        <v>26</v>
      </c>
      <c r="F633" s="11" t="s">
        <v>115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1387</v>
      </c>
      <c r="D634" s="11" t="s">
        <v>57</v>
      </c>
      <c r="E634" s="11" t="s">
        <v>26</v>
      </c>
      <c r="F634" s="11" t="s">
        <v>1388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1630</v>
      </c>
      <c r="D635" s="11" t="s">
        <v>57</v>
      </c>
      <c r="E635" s="11" t="s">
        <v>26</v>
      </c>
      <c r="F635" s="11" t="s">
        <v>1631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1203</v>
      </c>
      <c r="D650" s="11" t="s">
        <v>104</v>
      </c>
      <c r="E650" s="11" t="s">
        <v>26</v>
      </c>
      <c r="F650" s="11" t="s">
        <v>1204</v>
      </c>
      <c r="G650" s="12">
        <v>1836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372</v>
      </c>
      <c r="D651" s="15" t="s">
        <v>45</v>
      </c>
      <c r="E651" s="11" t="s">
        <v>26</v>
      </c>
      <c r="F651" s="11" t="s">
        <v>373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394</v>
      </c>
      <c r="D654" s="11" t="s">
        <v>71</v>
      </c>
      <c r="E654" s="11" t="s">
        <v>26</v>
      </c>
      <c r="F654" s="11" t="s">
        <v>395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1193</v>
      </c>
      <c r="D655" s="15" t="s">
        <v>80</v>
      </c>
      <c r="E655" s="11" t="s">
        <v>26</v>
      </c>
      <c r="F655" s="11" t="s">
        <v>1194</v>
      </c>
      <c r="G655" s="12">
        <v>1838</v>
      </c>
      <c r="H655" s="12"/>
      <c r="I655" s="12"/>
      <c r="J655" s="12">
        <v>1818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1077</v>
      </c>
      <c r="D656" s="11" t="s">
        <v>71</v>
      </c>
      <c r="E656" s="11" t="s">
        <v>26</v>
      </c>
      <c r="F656" s="11" t="s">
        <v>1078</v>
      </c>
      <c r="G656" s="12">
        <v>1838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1306</v>
      </c>
      <c r="D657" s="15" t="s">
        <v>45</v>
      </c>
      <c r="E657" s="11" t="s">
        <v>26</v>
      </c>
      <c r="F657" s="11" t="s">
        <v>1307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1553</v>
      </c>
      <c r="D658" s="15" t="s">
        <v>80</v>
      </c>
      <c r="E658" s="11" t="s">
        <v>26</v>
      </c>
      <c r="F658" s="11" t="s">
        <v>1554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998</v>
      </c>
      <c r="D659" s="11" t="s">
        <v>48</v>
      </c>
      <c r="E659" s="11" t="s">
        <v>26</v>
      </c>
      <c r="F659" s="11" t="s">
        <v>999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1737</v>
      </c>
      <c r="D660" s="15" t="s">
        <v>45</v>
      </c>
      <c r="E660" s="11" t="s">
        <v>61</v>
      </c>
      <c r="F660" s="11" t="s">
        <v>1738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610</v>
      </c>
      <c r="D661" s="15" t="s">
        <v>45</v>
      </c>
      <c r="E661" s="11" t="s">
        <v>26</v>
      </c>
      <c r="F661" s="11" t="s">
        <v>611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166</v>
      </c>
      <c r="D662" s="11" t="s">
        <v>57</v>
      </c>
      <c r="E662" s="11" t="s">
        <v>26</v>
      </c>
      <c r="F662" s="11" t="s">
        <v>167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176</v>
      </c>
      <c r="D663" s="11" t="s">
        <v>57</v>
      </c>
      <c r="E663" s="11" t="s">
        <v>26</v>
      </c>
      <c r="F663" s="11" t="s">
        <v>177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623</v>
      </c>
      <c r="D664" s="11" t="s">
        <v>57</v>
      </c>
      <c r="E664" s="11" t="s">
        <v>26</v>
      </c>
      <c r="F664" s="11" t="s">
        <v>624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759</v>
      </c>
      <c r="D665" s="15" t="s">
        <v>45</v>
      </c>
      <c r="E665" s="11" t="s">
        <v>26</v>
      </c>
      <c r="F665" s="11" t="s">
        <v>760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569</v>
      </c>
      <c r="D666" s="11" t="s">
        <v>57</v>
      </c>
      <c r="E666" s="11" t="s">
        <v>26</v>
      </c>
      <c r="F666" s="11" t="s">
        <v>573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274</v>
      </c>
      <c r="D667" s="11" t="s">
        <v>104</v>
      </c>
      <c r="E667" s="11" t="s">
        <v>26</v>
      </c>
      <c r="F667" s="11" t="s">
        <v>275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276</v>
      </c>
      <c r="D668" s="11" t="s">
        <v>104</v>
      </c>
      <c r="E668" s="11" t="s">
        <v>26</v>
      </c>
      <c r="F668" s="11" t="s">
        <v>277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278</v>
      </c>
      <c r="D669" s="11" t="s">
        <v>104</v>
      </c>
      <c r="E669" s="11" t="s">
        <v>26</v>
      </c>
      <c r="F669" s="11" t="s">
        <v>279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103</v>
      </c>
      <c r="D670" s="11" t="s">
        <v>104</v>
      </c>
      <c r="E670" s="11" t="s">
        <v>26</v>
      </c>
      <c r="F670" s="11" t="s">
        <v>105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1201</v>
      </c>
      <c r="D671" s="11" t="s">
        <v>104</v>
      </c>
      <c r="E671" s="11" t="s">
        <v>26</v>
      </c>
      <c r="F671" s="11" t="s">
        <v>1202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513</v>
      </c>
      <c r="D672" s="11" t="s">
        <v>71</v>
      </c>
      <c r="E672" s="11" t="s">
        <v>26</v>
      </c>
      <c r="F672" s="11" t="s">
        <v>514</v>
      </c>
      <c r="G672" s="12">
        <v>1839</v>
      </c>
      <c r="H672" s="12"/>
      <c r="I672" s="12"/>
      <c r="J672" s="12">
        <v>1838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631</v>
      </c>
      <c r="D673" s="11" t="s">
        <v>48</v>
      </c>
      <c r="E673" s="11" t="s">
        <v>26</v>
      </c>
      <c r="F673" s="11" t="s">
        <v>632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8</v>
      </c>
      <c r="C674" s="11" t="s">
        <v>880</v>
      </c>
      <c r="D674" s="15" t="s">
        <v>80</v>
      </c>
      <c r="E674" s="11" t="s">
        <v>26</v>
      </c>
      <c r="F674" s="11" t="s">
        <v>881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1139</v>
      </c>
      <c r="D675" s="11" t="s">
        <v>48</v>
      </c>
      <c r="E675" s="11" t="s">
        <v>26</v>
      </c>
      <c r="F675" s="11" t="s">
        <v>1140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120</v>
      </c>
      <c r="D676" s="15" t="s">
        <v>45</v>
      </c>
      <c r="E676" s="11" t="s">
        <v>26</v>
      </c>
      <c r="F676" s="11" t="s">
        <v>121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1098</v>
      </c>
      <c r="D677" s="11" t="s">
        <v>57</v>
      </c>
      <c r="E677" s="11" t="s">
        <v>26</v>
      </c>
      <c r="F677" s="11" t="s">
        <v>1099</v>
      </c>
      <c r="G677" s="12">
        <v>1839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16</v>
      </c>
      <c r="C678" s="11" t="s">
        <v>50</v>
      </c>
      <c r="D678" s="11" t="s">
        <v>48</v>
      </c>
      <c r="E678" s="11" t="s">
        <v>26</v>
      </c>
      <c r="F678" s="11" t="s">
        <v>51</v>
      </c>
      <c r="G678" s="12">
        <v>1840</v>
      </c>
      <c r="H678" s="12"/>
      <c r="I678" s="12"/>
      <c r="J678" s="12">
        <v>1800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1800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18</v>
      </c>
      <c r="C679" s="11" t="s">
        <v>680</v>
      </c>
      <c r="D679" s="15" t="s">
        <v>80</v>
      </c>
      <c r="E679" s="11" t="s">
        <v>26</v>
      </c>
      <c r="F679" s="11" t="s">
        <v>681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930</v>
      </c>
      <c r="D680" s="15" t="s">
        <v>80</v>
      </c>
      <c r="E680" s="11" t="s">
        <v>26</v>
      </c>
      <c r="F680" s="11" t="s">
        <v>931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1624</v>
      </c>
      <c r="D681" s="11" t="s">
        <v>104</v>
      </c>
      <c r="E681" s="11" t="s">
        <v>26</v>
      </c>
      <c r="F681" s="11" t="s">
        <v>1625</v>
      </c>
      <c r="G681" s="12">
        <v>1840</v>
      </c>
      <c r="H681" s="12"/>
      <c r="I681" s="12"/>
      <c r="J681" s="12">
        <v>1831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1831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18</v>
      </c>
      <c r="C682" s="11" t="s">
        <v>1626</v>
      </c>
      <c r="D682" s="11" t="s">
        <v>104</v>
      </c>
      <c r="E682" s="11" t="s">
        <v>26</v>
      </c>
      <c r="F682" s="11" t="s">
        <v>1627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1472</v>
      </c>
      <c r="D683" s="15" t="s">
        <v>60</v>
      </c>
      <c r="E683" s="11" t="s">
        <v>26</v>
      </c>
      <c r="F683" s="11" t="s">
        <v>1473</v>
      </c>
      <c r="G683" s="12">
        <v>1840</v>
      </c>
      <c r="H683" s="12"/>
      <c r="I683" s="12"/>
      <c r="J683" s="12">
        <v>1849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1849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1464</v>
      </c>
      <c r="D684" s="15" t="s">
        <v>60</v>
      </c>
      <c r="E684" s="11" t="s">
        <v>26</v>
      </c>
      <c r="F684" s="11" t="s">
        <v>1465</v>
      </c>
      <c r="G684" s="12">
        <v>1841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1841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12</v>
      </c>
      <c r="C685" s="11" t="s">
        <v>942</v>
      </c>
      <c r="D685" s="15" t="s">
        <v>45</v>
      </c>
      <c r="E685" s="11" t="s">
        <v>26</v>
      </c>
      <c r="F685" s="11" t="s">
        <v>943</v>
      </c>
      <c r="G685" s="12">
        <v>1842</v>
      </c>
      <c r="H685" s="12"/>
      <c r="I685" s="12"/>
      <c r="J685" s="12">
        <v>1808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1808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1207</v>
      </c>
      <c r="D686" s="15" t="s">
        <v>60</v>
      </c>
      <c r="E686" s="11" t="s">
        <v>26</v>
      </c>
      <c r="F686" s="11" t="s">
        <v>1208</v>
      </c>
      <c r="G686" s="12">
        <v>1842</v>
      </c>
      <c r="H686" s="12"/>
      <c r="I686" s="12"/>
      <c r="J686" s="12">
        <v>1822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1822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12</v>
      </c>
      <c r="C687" s="11" t="s">
        <v>712</v>
      </c>
      <c r="D687" s="15" t="s">
        <v>60</v>
      </c>
      <c r="E687" s="11" t="s">
        <v>26</v>
      </c>
      <c r="F687" s="11" t="s">
        <v>714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1366</v>
      </c>
      <c r="D688" s="11" t="s">
        <v>57</v>
      </c>
      <c r="E688" s="11" t="s">
        <v>26</v>
      </c>
      <c r="F688" s="11" t="s">
        <v>1368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739</v>
      </c>
      <c r="D689" s="15" t="s">
        <v>60</v>
      </c>
      <c r="E689" s="11" t="s">
        <v>26</v>
      </c>
      <c r="F689" s="11" t="s">
        <v>740</v>
      </c>
      <c r="G689" s="12">
        <v>1843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1843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1233</v>
      </c>
      <c r="D690" s="11" t="s">
        <v>48</v>
      </c>
      <c r="E690" s="11" t="s">
        <v>61</v>
      </c>
      <c r="F690" s="11" t="s">
        <v>1234</v>
      </c>
      <c r="G690" s="12">
        <v>1844</v>
      </c>
      <c r="H690" s="12"/>
      <c r="I690" s="12"/>
      <c r="J690" s="12">
        <v>1814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330</v>
      </c>
      <c r="D691" s="15" t="s">
        <v>45</v>
      </c>
      <c r="E691" s="11" t="s">
        <v>26</v>
      </c>
      <c r="F691" s="11" t="s">
        <v>331</v>
      </c>
      <c r="G691" s="12">
        <v>1844</v>
      </c>
      <c r="H691" s="12"/>
      <c r="I691" s="12"/>
      <c r="J691" s="12">
        <v>1815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1102</v>
      </c>
      <c r="D692" s="11" t="s">
        <v>57</v>
      </c>
      <c r="E692" s="11" t="s">
        <v>26</v>
      </c>
      <c r="F692" s="11" t="s">
        <v>1103</v>
      </c>
      <c r="G692" s="12">
        <v>1844</v>
      </c>
      <c r="H692" s="12"/>
      <c r="I692" s="12"/>
      <c r="J692" s="12">
        <v>1834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1652</v>
      </c>
      <c r="D693" s="15" t="s">
        <v>45</v>
      </c>
      <c r="E693" s="11" t="s">
        <v>26</v>
      </c>
      <c r="F693" s="11" t="s">
        <v>1653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1609</v>
      </c>
      <c r="D711" s="15" t="s">
        <v>80</v>
      </c>
      <c r="E711" s="11" t="s">
        <v>61</v>
      </c>
      <c r="F711" s="11" t="s">
        <v>1610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1849</v>
      </c>
      <c r="H725" s="12"/>
      <c r="I725" s="12"/>
      <c r="J725" s="12">
        <v>1842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1842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1849</v>
      </c>
      <c r="H726" s="12"/>
      <c r="I726" s="12"/>
      <c r="J726" s="12">
        <v>1842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1842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1199</v>
      </c>
      <c r="D727" s="15" t="s">
        <v>45</v>
      </c>
      <c r="E727" s="11" t="s">
        <v>26</v>
      </c>
      <c r="F727" s="11" t="s">
        <v>1200</v>
      </c>
      <c r="G727" s="12">
        <v>1850</v>
      </c>
      <c r="H727" s="12"/>
      <c r="I727" s="12"/>
      <c r="J727" s="12">
        <v>1840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519</v>
      </c>
      <c r="D728" s="15" t="s">
        <v>80</v>
      </c>
      <c r="E728" s="11" t="s">
        <v>61</v>
      </c>
      <c r="F728" s="11" t="s">
        <v>520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1100</v>
      </c>
      <c r="D729" s="11" t="s">
        <v>57</v>
      </c>
      <c r="E729" s="11" t="s">
        <v>26</v>
      </c>
      <c r="F729" s="11" t="s">
        <v>1101</v>
      </c>
      <c r="G729" s="12">
        <v>1852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188</v>
      </c>
      <c r="D730" s="15" t="s">
        <v>45</v>
      </c>
      <c r="E730" s="11" t="s">
        <v>61</v>
      </c>
      <c r="F730" s="11" t="s">
        <v>189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453</v>
      </c>
      <c r="D731" s="11" t="s">
        <v>95</v>
      </c>
      <c r="E731" s="11" t="s">
        <v>61</v>
      </c>
      <c r="F731" s="11" t="s">
        <v>456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1043</v>
      </c>
      <c r="D732" s="11" t="s">
        <v>48</v>
      </c>
      <c r="E732" s="11" t="s">
        <v>26</v>
      </c>
      <c r="F732" s="11" t="s">
        <v>1044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457</v>
      </c>
      <c r="D733" s="15" t="s">
        <v>80</v>
      </c>
      <c r="E733" s="11" t="s">
        <v>26</v>
      </c>
      <c r="F733" s="11" t="s">
        <v>458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841</v>
      </c>
      <c r="D734" s="15" t="s">
        <v>80</v>
      </c>
      <c r="E734" s="11" t="s">
        <v>61</v>
      </c>
      <c r="F734" s="11" t="s">
        <v>842</v>
      </c>
      <c r="G734" s="12">
        <v>1854</v>
      </c>
      <c r="H734" s="12"/>
      <c r="I734" s="12"/>
      <c r="J734" s="12">
        <v>1828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1828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960</v>
      </c>
      <c r="D735" s="11" t="s">
        <v>57</v>
      </c>
      <c r="E735" s="11" t="s">
        <v>26</v>
      </c>
      <c r="F735" s="11" t="s">
        <v>961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1448</v>
      </c>
      <c r="D736" s="15" t="s">
        <v>60</v>
      </c>
      <c r="E736" s="11" t="s">
        <v>26</v>
      </c>
      <c r="F736" s="11" t="s">
        <v>1449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1474</v>
      </c>
      <c r="D737" s="15" t="s">
        <v>60</v>
      </c>
      <c r="E737" s="11" t="s">
        <v>26</v>
      </c>
      <c r="F737" s="11" t="s">
        <v>1475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1051</v>
      </c>
      <c r="D738" s="15" t="s">
        <v>80</v>
      </c>
      <c r="E738" s="11" t="s">
        <v>26</v>
      </c>
      <c r="F738" s="11" t="s">
        <v>1052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876</v>
      </c>
      <c r="D739" s="15" t="s">
        <v>60</v>
      </c>
      <c r="E739" s="11" t="s">
        <v>61</v>
      </c>
      <c r="F739" s="11" t="s">
        <v>877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910</v>
      </c>
      <c r="D740" s="11" t="s">
        <v>57</v>
      </c>
      <c r="E740" s="11" t="s">
        <v>26</v>
      </c>
      <c r="F740" s="11" t="s">
        <v>911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1191</v>
      </c>
      <c r="D741" s="11" t="s">
        <v>57</v>
      </c>
      <c r="E741" s="11" t="s">
        <v>26</v>
      </c>
      <c r="F741" s="11" t="s">
        <v>1192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604</v>
      </c>
      <c r="D742" s="11" t="s">
        <v>57</v>
      </c>
      <c r="E742" s="11" t="s">
        <v>26</v>
      </c>
      <c r="F742" s="11" t="s">
        <v>605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1423</v>
      </c>
      <c r="D743" s="15" t="s">
        <v>60</v>
      </c>
      <c r="E743" s="11" t="s">
        <v>61</v>
      </c>
      <c r="F743" s="11" t="s">
        <v>1425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492</v>
      </c>
      <c r="D744" s="15" t="s">
        <v>45</v>
      </c>
      <c r="E744" s="11" t="s">
        <v>26</v>
      </c>
      <c r="F744" s="11" t="s">
        <v>493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962</v>
      </c>
      <c r="D745" s="11" t="s">
        <v>71</v>
      </c>
      <c r="E745" s="11" t="s">
        <v>26</v>
      </c>
      <c r="F745" s="11" t="s">
        <v>963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541</v>
      </c>
      <c r="D746" s="15" t="s">
        <v>45</v>
      </c>
      <c r="E746" s="11" t="s">
        <v>26</v>
      </c>
      <c r="F746" s="11" t="s">
        <v>542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136</v>
      </c>
      <c r="D747" s="15" t="s">
        <v>45</v>
      </c>
      <c r="E747" s="11" t="s">
        <v>26</v>
      </c>
      <c r="F747" s="11" t="s">
        <v>137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1034</v>
      </c>
      <c r="D748" s="15" t="s">
        <v>45</v>
      </c>
      <c r="E748" s="11" t="s">
        <v>61</v>
      </c>
      <c r="F748" s="11" t="s">
        <v>1035</v>
      </c>
      <c r="G748" s="12">
        <v>1856</v>
      </c>
      <c r="H748" s="12"/>
      <c r="I748" s="12"/>
      <c r="J748" s="12">
        <v>1856</v>
      </c>
      <c r="K748" s="12">
        <f t="shared" si="156"/>
        <v>0</v>
      </c>
      <c r="L748" s="12">
        <f t="shared" si="145"/>
        <v>1856</v>
      </c>
      <c r="M748" s="12" t="str">
        <f t="shared" si="146"/>
        <v/>
      </c>
      <c r="N748" s="12">
        <f t="shared" si="147"/>
        <v>1856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1693</v>
      </c>
      <c r="D749" s="15" t="s">
        <v>45</v>
      </c>
      <c r="E749" s="11" t="s">
        <v>61</v>
      </c>
      <c r="F749" s="11" t="s">
        <v>1694</v>
      </c>
      <c r="G749" s="12">
        <v>1856</v>
      </c>
      <c r="H749" s="12"/>
      <c r="I749" s="12"/>
      <c r="J749" s="12">
        <v>1856</v>
      </c>
      <c r="K749" s="12">
        <f t="shared" si="156"/>
        <v>0</v>
      </c>
      <c r="L749" s="12">
        <f t="shared" si="145"/>
        <v>1856</v>
      </c>
      <c r="M749" s="12" t="str">
        <f t="shared" si="146"/>
        <v/>
      </c>
      <c r="N749" s="12">
        <f t="shared" si="147"/>
        <v>1856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1031</v>
      </c>
      <c r="D750" s="11" t="s">
        <v>57</v>
      </c>
      <c r="E750" s="11" t="s">
        <v>61</v>
      </c>
      <c r="F750" s="11" t="s">
        <v>1033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1486</v>
      </c>
      <c r="D751" s="11" t="s">
        <v>57</v>
      </c>
      <c r="E751" s="11" t="s">
        <v>61</v>
      </c>
      <c r="F751" s="11" t="s">
        <v>1488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1104</v>
      </c>
      <c r="D752" s="11" t="s">
        <v>57</v>
      </c>
      <c r="E752" s="11" t="s">
        <v>26</v>
      </c>
      <c r="F752" s="11" t="s">
        <v>1105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539</v>
      </c>
      <c r="D754" s="15" t="s">
        <v>45</v>
      </c>
      <c r="E754" s="11" t="s">
        <v>26</v>
      </c>
      <c r="F754" s="11" t="s">
        <v>540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1454</v>
      </c>
      <c r="D755" s="15" t="s">
        <v>60</v>
      </c>
      <c r="E755" s="11" t="s">
        <v>61</v>
      </c>
      <c r="F755" s="11" t="s">
        <v>1455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1350</v>
      </c>
      <c r="D756" s="11" t="s">
        <v>57</v>
      </c>
      <c r="E756" s="11" t="s">
        <v>26</v>
      </c>
      <c r="F756" s="11" t="s">
        <v>1351</v>
      </c>
      <c r="G756" s="12">
        <v>1858</v>
      </c>
      <c r="H756" s="12"/>
      <c r="I756" s="12"/>
      <c r="J756" s="12">
        <v>1877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1877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140</v>
      </c>
      <c r="D757" s="15" t="s">
        <v>80</v>
      </c>
      <c r="E757" s="11" t="s">
        <v>26</v>
      </c>
      <c r="F757" s="11" t="s">
        <v>141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1628</v>
      </c>
      <c r="D758" s="11" t="s">
        <v>57</v>
      </c>
      <c r="E758" s="11" t="s">
        <v>61</v>
      </c>
      <c r="F758" s="11" t="s">
        <v>1629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1036</v>
      </c>
      <c r="D759" s="11" t="s">
        <v>57</v>
      </c>
      <c r="E759" s="11" t="s">
        <v>61</v>
      </c>
      <c r="F759" s="11" t="s">
        <v>1037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545</v>
      </c>
      <c r="D760" s="11" t="s">
        <v>57</v>
      </c>
      <c r="E760" s="11" t="s">
        <v>61</v>
      </c>
      <c r="F760" s="11" t="s">
        <v>546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870</v>
      </c>
      <c r="D761" s="15" t="s">
        <v>45</v>
      </c>
      <c r="E761" s="11" t="s">
        <v>61</v>
      </c>
      <c r="F761" s="11" t="s">
        <v>871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378</v>
      </c>
      <c r="D762" s="15" t="s">
        <v>45</v>
      </c>
      <c r="E762" s="11" t="s">
        <v>26</v>
      </c>
      <c r="F762" s="11" t="s">
        <v>379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818</v>
      </c>
      <c r="D763" s="15" t="s">
        <v>57</v>
      </c>
      <c r="E763" s="11" t="s">
        <v>26</v>
      </c>
      <c r="F763" s="11" t="s">
        <v>819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170</v>
      </c>
      <c r="D764" s="11" t="s">
        <v>57</v>
      </c>
      <c r="E764" s="11" t="s">
        <v>26</v>
      </c>
      <c r="F764" s="11" t="s">
        <v>171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1539</v>
      </c>
      <c r="D765" s="11" t="s">
        <v>71</v>
      </c>
      <c r="E765" s="11" t="s">
        <v>61</v>
      </c>
      <c r="F765" s="11" t="s">
        <v>1540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348</v>
      </c>
      <c r="D766" s="15" t="s">
        <v>45</v>
      </c>
      <c r="E766" s="11" t="s">
        <v>26</v>
      </c>
      <c r="F766" s="11" t="s">
        <v>349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1650</v>
      </c>
      <c r="D767" s="11" t="s">
        <v>57</v>
      </c>
      <c r="E767" s="11" t="s">
        <v>26</v>
      </c>
      <c r="F767" s="11" t="s">
        <v>1651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612</v>
      </c>
      <c r="D768" s="15" t="s">
        <v>45</v>
      </c>
      <c r="E768" s="11" t="s">
        <v>26</v>
      </c>
      <c r="F768" s="11" t="s">
        <v>613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1525</v>
      </c>
      <c r="D769" s="11" t="s">
        <v>71</v>
      </c>
      <c r="E769" s="11" t="s">
        <v>61</v>
      </c>
      <c r="F769" s="11" t="s">
        <v>1526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1213</v>
      </c>
      <c r="D770" s="15" t="s">
        <v>45</v>
      </c>
      <c r="E770" s="11" t="s">
        <v>26</v>
      </c>
      <c r="F770" s="11" t="s">
        <v>1214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226</v>
      </c>
      <c r="D771" s="15" t="s">
        <v>45</v>
      </c>
      <c r="E771" s="11" t="s">
        <v>26</v>
      </c>
      <c r="F771" s="11" t="s">
        <v>227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1662</v>
      </c>
      <c r="D772" s="11" t="s">
        <v>57</v>
      </c>
      <c r="E772" s="11" t="s">
        <v>26</v>
      </c>
      <c r="F772" s="11" t="s">
        <v>1663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832</v>
      </c>
      <c r="D773" s="15" t="s">
        <v>45</v>
      </c>
      <c r="E773" s="11" t="s">
        <v>61</v>
      </c>
      <c r="F773" s="11" t="s">
        <v>833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799</v>
      </c>
      <c r="D774" s="15" t="s">
        <v>45</v>
      </c>
      <c r="E774" s="11" t="s">
        <v>26</v>
      </c>
      <c r="F774" s="11" t="s">
        <v>800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1695</v>
      </c>
      <c r="D775" s="15" t="s">
        <v>45</v>
      </c>
      <c r="E775" s="11" t="s">
        <v>61</v>
      </c>
      <c r="F775" s="11" t="s">
        <v>1696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1478</v>
      </c>
      <c r="D776" s="15" t="s">
        <v>80</v>
      </c>
      <c r="E776" s="11" t="s">
        <v>26</v>
      </c>
      <c r="F776" s="11" t="s">
        <v>1479</v>
      </c>
      <c r="G776" s="12">
        <v>1867</v>
      </c>
      <c r="H776" s="12"/>
      <c r="I776" s="12"/>
      <c r="J776" s="12">
        <v>1853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1619</v>
      </c>
      <c r="D777" s="15" t="s">
        <v>45</v>
      </c>
      <c r="E777" s="11" t="s">
        <v>26</v>
      </c>
      <c r="F777" s="11" t="s">
        <v>1620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1358</v>
      </c>
      <c r="D778" s="11" t="s">
        <v>71</v>
      </c>
      <c r="E778" s="11" t="s">
        <v>61</v>
      </c>
      <c r="F778" s="11" t="s">
        <v>1359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1239</v>
      </c>
      <c r="D779" s="15" t="s">
        <v>57</v>
      </c>
      <c r="E779" s="11" t="s">
        <v>61</v>
      </c>
      <c r="F779" s="11" t="s">
        <v>1240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358</v>
      </c>
      <c r="D780" s="11" t="s">
        <v>57</v>
      </c>
      <c r="E780" s="11" t="s">
        <v>26</v>
      </c>
      <c r="F780" s="11" t="s">
        <v>359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360</v>
      </c>
      <c r="D781" s="11" t="s">
        <v>57</v>
      </c>
      <c r="E781" s="11" t="s">
        <v>26</v>
      </c>
      <c r="F781" s="11" t="s">
        <v>361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1354</v>
      </c>
      <c r="D782" s="11" t="s">
        <v>57</v>
      </c>
      <c r="E782" s="11" t="s">
        <v>26</v>
      </c>
      <c r="F782" s="11" t="s">
        <v>1355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1282</v>
      </c>
      <c r="D783" s="15" t="s">
        <v>45</v>
      </c>
      <c r="E783" s="11" t="s">
        <v>61</v>
      </c>
      <c r="F783" s="11" t="s">
        <v>1283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790</v>
      </c>
      <c r="D784" s="15" t="s">
        <v>45</v>
      </c>
      <c r="E784" s="11" t="s">
        <v>61</v>
      </c>
      <c r="F784" s="11" t="s">
        <v>791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446</v>
      </c>
      <c r="D785" s="11" t="s">
        <v>57</v>
      </c>
      <c r="E785" s="11" t="s">
        <v>26</v>
      </c>
      <c r="F785" s="11" t="s">
        <v>447</v>
      </c>
      <c r="G785" s="12">
        <v>1869</v>
      </c>
      <c r="H785" s="12"/>
      <c r="I785" s="12"/>
      <c r="J785" s="12">
        <v>1849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1849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12</v>
      </c>
      <c r="C786" s="11" t="s">
        <v>1716</v>
      </c>
      <c r="D786" s="15" t="s">
        <v>80</v>
      </c>
      <c r="E786" s="11" t="s">
        <v>26</v>
      </c>
      <c r="F786" s="11" t="s">
        <v>1717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906</v>
      </c>
      <c r="D787" s="15" t="s">
        <v>45</v>
      </c>
      <c r="E787" s="11" t="s">
        <v>61</v>
      </c>
      <c r="F787" s="11" t="s">
        <v>907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1167</v>
      </c>
      <c r="D788" s="11" t="s">
        <v>71</v>
      </c>
      <c r="E788" s="11" t="s">
        <v>26</v>
      </c>
      <c r="F788" s="11" t="s">
        <v>1168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442</v>
      </c>
      <c r="D789" s="15" t="s">
        <v>80</v>
      </c>
      <c r="E789" s="11" t="s">
        <v>26</v>
      </c>
      <c r="F789" s="11" t="s">
        <v>443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964</v>
      </c>
      <c r="D790" s="11" t="s">
        <v>71</v>
      </c>
      <c r="E790" s="11" t="s">
        <v>61</v>
      </c>
      <c r="F790" s="11" t="s">
        <v>965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1426</v>
      </c>
      <c r="D791" s="15" t="s">
        <v>45</v>
      </c>
      <c r="E791" s="11" t="s">
        <v>61</v>
      </c>
      <c r="F791" s="11" t="s">
        <v>1427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459</v>
      </c>
      <c r="D792" s="15" t="s">
        <v>80</v>
      </c>
      <c r="E792" s="11" t="s">
        <v>61</v>
      </c>
      <c r="F792" s="11" t="s">
        <v>460</v>
      </c>
      <c r="G792" s="12">
        <v>1870</v>
      </c>
      <c r="H792" s="12"/>
      <c r="I792" s="12"/>
      <c r="J792" s="12">
        <v>1860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1860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1310</v>
      </c>
      <c r="D793" s="11" t="s">
        <v>71</v>
      </c>
      <c r="E793" s="11" t="s">
        <v>61</v>
      </c>
      <c r="F793" s="11" t="s">
        <v>1311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1581</v>
      </c>
      <c r="D794" s="11" t="s">
        <v>71</v>
      </c>
      <c r="E794" s="11" t="s">
        <v>61</v>
      </c>
      <c r="F794" s="11" t="s">
        <v>1582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220</v>
      </c>
      <c r="D795" s="15" t="s">
        <v>45</v>
      </c>
      <c r="E795" s="11" t="s">
        <v>61</v>
      </c>
      <c r="F795" s="11" t="s">
        <v>221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968</v>
      </c>
      <c r="D796" s="11" t="s">
        <v>71</v>
      </c>
      <c r="E796" s="11" t="s">
        <v>26</v>
      </c>
      <c r="F796" s="11" t="s">
        <v>969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655</v>
      </c>
      <c r="D797" s="11" t="s">
        <v>71</v>
      </c>
      <c r="E797" s="11" t="s">
        <v>61</v>
      </c>
      <c r="F797" s="11" t="s">
        <v>656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1211</v>
      </c>
      <c r="D798" s="11" t="s">
        <v>71</v>
      </c>
      <c r="E798" s="11" t="s">
        <v>26</v>
      </c>
      <c r="F798" s="11" t="s">
        <v>1212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1541</v>
      </c>
      <c r="D799" s="15" t="s">
        <v>45</v>
      </c>
      <c r="E799" s="11" t="s">
        <v>61</v>
      </c>
      <c r="F799" s="11" t="s">
        <v>1542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1545</v>
      </c>
      <c r="D800" s="11" t="s">
        <v>57</v>
      </c>
      <c r="E800" s="11" t="s">
        <v>26</v>
      </c>
      <c r="F800" s="11" t="s">
        <v>1546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200</v>
      </c>
      <c r="D801" s="15" t="s">
        <v>45</v>
      </c>
      <c r="E801" s="11" t="s">
        <v>61</v>
      </c>
      <c r="F801" s="11" t="s">
        <v>201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214</v>
      </c>
      <c r="D802" s="15" t="s">
        <v>45</v>
      </c>
      <c r="E802" s="11" t="s">
        <v>61</v>
      </c>
      <c r="F802" s="11" t="s">
        <v>215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228</v>
      </c>
      <c r="D803" s="15" t="s">
        <v>45</v>
      </c>
      <c r="E803" s="11" t="s">
        <v>61</v>
      </c>
      <c r="F803" s="11" t="s">
        <v>229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138</v>
      </c>
      <c r="D804" s="15" t="s">
        <v>45</v>
      </c>
      <c r="E804" s="11" t="s">
        <v>26</v>
      </c>
      <c r="F804" s="11" t="s">
        <v>139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254</v>
      </c>
      <c r="D805" s="15" t="s">
        <v>80</v>
      </c>
      <c r="E805" s="11" t="s">
        <v>61</v>
      </c>
      <c r="F805" s="11" t="s">
        <v>255</v>
      </c>
      <c r="G805" s="12">
        <v>1878</v>
      </c>
      <c r="H805" s="12"/>
      <c r="I805" s="12"/>
      <c r="J805" s="12">
        <v>1839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1839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698</v>
      </c>
      <c r="D806" s="11" t="s">
        <v>57</v>
      </c>
      <c r="E806" s="11" t="s">
        <v>26</v>
      </c>
      <c r="F806" s="11" t="s">
        <v>699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1084</v>
      </c>
      <c r="D807" s="11" t="s">
        <v>57</v>
      </c>
      <c r="E807" s="11" t="s">
        <v>26</v>
      </c>
      <c r="F807" s="11" t="s">
        <v>1085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1330</v>
      </c>
      <c r="D808" s="15" t="s">
        <v>60</v>
      </c>
      <c r="E808" s="11" t="s">
        <v>26</v>
      </c>
      <c r="F808" s="11" t="s">
        <v>1331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1421</v>
      </c>
      <c r="D809" s="15" t="s">
        <v>80</v>
      </c>
      <c r="E809" s="11" t="s">
        <v>26</v>
      </c>
      <c r="F809" s="11" t="s">
        <v>1422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1344</v>
      </c>
      <c r="D810" s="15" t="s">
        <v>45</v>
      </c>
      <c r="E810" s="11" t="s">
        <v>61</v>
      </c>
      <c r="F810" s="11" t="s">
        <v>1345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1672</v>
      </c>
      <c r="D811" s="15" t="s">
        <v>80</v>
      </c>
      <c r="E811" s="11" t="s">
        <v>26</v>
      </c>
      <c r="F811" s="11" t="s">
        <v>1673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1092</v>
      </c>
      <c r="D812" s="15" t="s">
        <v>45</v>
      </c>
      <c r="E812" s="11" t="s">
        <v>61</v>
      </c>
      <c r="F812" s="11" t="s">
        <v>1093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1304</v>
      </c>
      <c r="D813" s="15" t="s">
        <v>45</v>
      </c>
      <c r="E813" s="11" t="s">
        <v>61</v>
      </c>
      <c r="F813" s="11" t="s">
        <v>1305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1161</v>
      </c>
      <c r="D814" s="15" t="s">
        <v>60</v>
      </c>
      <c r="E814" s="11" t="s">
        <v>61</v>
      </c>
      <c r="F814" s="11" t="s">
        <v>1162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415</v>
      </c>
      <c r="D815" s="15" t="s">
        <v>45</v>
      </c>
      <c r="E815" s="11" t="s">
        <v>61</v>
      </c>
      <c r="F815" s="11" t="s">
        <v>416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814</v>
      </c>
      <c r="D816" s="15" t="s">
        <v>57</v>
      </c>
      <c r="E816" s="11" t="s">
        <v>26</v>
      </c>
      <c r="F816" s="11" t="s">
        <v>815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1280</v>
      </c>
      <c r="D817" s="11" t="s">
        <v>57</v>
      </c>
      <c r="E817" s="11" t="s">
        <v>61</v>
      </c>
      <c r="F817" s="11" t="s">
        <v>1281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553</v>
      </c>
      <c r="D818" s="15" t="s">
        <v>60</v>
      </c>
      <c r="E818" s="11" t="s">
        <v>61</v>
      </c>
      <c r="F818" s="11" t="s">
        <v>554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260</v>
      </c>
      <c r="D819" s="15" t="s">
        <v>80</v>
      </c>
      <c r="E819" s="11" t="s">
        <v>61</v>
      </c>
      <c r="F819" s="11" t="s">
        <v>261</v>
      </c>
      <c r="G819" s="12">
        <v>1889</v>
      </c>
      <c r="H819" s="12"/>
      <c r="I819" s="12"/>
      <c r="J819" s="12">
        <v>1839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1839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1195</v>
      </c>
      <c r="D820" s="11" t="s">
        <v>57</v>
      </c>
      <c r="E820" s="11" t="s">
        <v>26</v>
      </c>
      <c r="F820" s="11" t="s">
        <v>1196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914</v>
      </c>
      <c r="D821" s="11" t="s">
        <v>71</v>
      </c>
      <c r="E821" s="11" t="s">
        <v>61</v>
      </c>
      <c r="F821" s="11" t="s">
        <v>915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1660</v>
      </c>
      <c r="D822" s="15" t="s">
        <v>45</v>
      </c>
      <c r="E822" s="11" t="s">
        <v>61</v>
      </c>
      <c r="F822" s="11" t="s">
        <v>1661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649</v>
      </c>
      <c r="D823" s="15" t="s">
        <v>60</v>
      </c>
      <c r="E823" s="11" t="s">
        <v>61</v>
      </c>
      <c r="F823" s="11" t="s">
        <v>650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1187</v>
      </c>
      <c r="D824" s="15" t="s">
        <v>60</v>
      </c>
      <c r="E824" s="11" t="s">
        <v>61</v>
      </c>
      <c r="F824" s="11" t="s">
        <v>1188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411</v>
      </c>
      <c r="D825" s="11" t="s">
        <v>71</v>
      </c>
      <c r="E825" s="11" t="s">
        <v>61</v>
      </c>
      <c r="F825" s="11" t="s">
        <v>412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1243</v>
      </c>
      <c r="D826" s="15" t="s">
        <v>45</v>
      </c>
      <c r="E826" s="11" t="s">
        <v>26</v>
      </c>
      <c r="F826" s="11" t="s">
        <v>1244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547</v>
      </c>
      <c r="D827" s="15" t="s">
        <v>80</v>
      </c>
      <c r="E827" s="11" t="s">
        <v>26</v>
      </c>
      <c r="F827" s="11" t="s">
        <v>548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1493</v>
      </c>
      <c r="D828" s="11" t="s">
        <v>71</v>
      </c>
      <c r="E828" s="11" t="s">
        <v>26</v>
      </c>
      <c r="F828" s="11" t="s">
        <v>1494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1495</v>
      </c>
      <c r="D829" s="11" t="s">
        <v>71</v>
      </c>
      <c r="E829" s="11" t="s">
        <v>61</v>
      </c>
      <c r="F829" s="11" t="s">
        <v>1496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517</v>
      </c>
      <c r="D830" s="15" t="s">
        <v>80</v>
      </c>
      <c r="E830" s="11" t="s">
        <v>61</v>
      </c>
      <c r="F830" s="11" t="s">
        <v>518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1262</v>
      </c>
      <c r="D831" s="11" t="s">
        <v>71</v>
      </c>
      <c r="E831" s="11" t="s">
        <v>61</v>
      </c>
      <c r="F831" s="11" t="s">
        <v>1263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1264</v>
      </c>
      <c r="D832" s="11" t="s">
        <v>71</v>
      </c>
      <c r="E832" s="11" t="s">
        <v>61</v>
      </c>
      <c r="F832" s="11" t="s">
        <v>1265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1377</v>
      </c>
      <c r="D833" s="11" t="s">
        <v>71</v>
      </c>
      <c r="E833" s="11" t="s">
        <v>26</v>
      </c>
      <c r="F833" s="11" t="s">
        <v>1378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1601</v>
      </c>
      <c r="D834" s="15" t="s">
        <v>80</v>
      </c>
      <c r="E834" s="11" t="s">
        <v>61</v>
      </c>
      <c r="F834" s="11" t="s">
        <v>1602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984</v>
      </c>
      <c r="D835" s="11" t="s">
        <v>57</v>
      </c>
      <c r="E835" s="11" t="s">
        <v>61</v>
      </c>
      <c r="F835" s="11" t="s">
        <v>985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436</v>
      </c>
      <c r="D836" s="15" t="s">
        <v>45</v>
      </c>
      <c r="E836" s="11" t="s">
        <v>26</v>
      </c>
      <c r="F836" s="11" t="s">
        <v>437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1754</v>
      </c>
      <c r="D837" s="11" t="s">
        <v>57</v>
      </c>
      <c r="E837" s="11" t="s">
        <v>26</v>
      </c>
      <c r="F837" s="11" t="s">
        <v>1755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1096</v>
      </c>
      <c r="D838" s="15" t="s">
        <v>57</v>
      </c>
      <c r="E838" s="11" t="s">
        <v>61</v>
      </c>
      <c r="F838" s="11" t="s">
        <v>1097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10</v>
      </c>
      <c r="C839" s="11" t="s">
        <v>1589</v>
      </c>
      <c r="D839" s="15" t="s">
        <v>60</v>
      </c>
      <c r="E839" s="11" t="s">
        <v>61</v>
      </c>
      <c r="F839" s="11" t="s">
        <v>1592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10</v>
      </c>
      <c r="C840" s="11" t="s">
        <v>1701</v>
      </c>
      <c r="D840" s="11" t="s">
        <v>57</v>
      </c>
      <c r="E840" s="11" t="s">
        <v>61</v>
      </c>
      <c r="F840" s="11" t="s">
        <v>1702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1252</v>
      </c>
      <c r="D841" s="11" t="s">
        <v>71</v>
      </c>
      <c r="E841" s="11" t="s">
        <v>61</v>
      </c>
      <c r="F841" s="11" t="s">
        <v>1253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1385</v>
      </c>
      <c r="D842" s="15" t="s">
        <v>60</v>
      </c>
      <c r="E842" s="11" t="s">
        <v>61</v>
      </c>
      <c r="F842" s="11" t="s">
        <v>1386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757</v>
      </c>
      <c r="D843" s="15" t="s">
        <v>80</v>
      </c>
      <c r="E843" s="11" t="s">
        <v>61</v>
      </c>
      <c r="F843" s="11" t="s">
        <v>758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859</v>
      </c>
      <c r="D844" s="15" t="s">
        <v>80</v>
      </c>
      <c r="E844" s="11" t="s">
        <v>26</v>
      </c>
      <c r="F844" s="11" t="s">
        <v>860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1642</v>
      </c>
      <c r="D845" s="15" t="s">
        <v>45</v>
      </c>
      <c r="E845" s="11" t="s">
        <v>26</v>
      </c>
      <c r="F845" s="11" t="s">
        <v>1643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1691</v>
      </c>
      <c r="D846" s="11" t="s">
        <v>57</v>
      </c>
      <c r="E846" s="11" t="s">
        <v>61</v>
      </c>
      <c r="F846" s="11" t="s">
        <v>1692</v>
      </c>
      <c r="G846" s="12">
        <v>1898</v>
      </c>
      <c r="H846" s="12"/>
      <c r="I846" s="12"/>
      <c r="J846" s="12">
        <v>1881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16</v>
      </c>
      <c r="C847" s="11" t="s">
        <v>1308</v>
      </c>
      <c r="D847" s="15" t="s">
        <v>45</v>
      </c>
      <c r="E847" s="11" t="s">
        <v>26</v>
      </c>
      <c r="F847" s="11" t="s">
        <v>1309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1849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780</v>
      </c>
      <c r="D848" s="11" t="s">
        <v>71</v>
      </c>
      <c r="E848" s="11" t="s">
        <v>26</v>
      </c>
      <c r="F848" s="11" t="s">
        <v>781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663</v>
      </c>
      <c r="D849" s="15" t="s">
        <v>80</v>
      </c>
      <c r="E849" s="11" t="s">
        <v>61</v>
      </c>
      <c r="F849" s="11" t="s">
        <v>664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428</v>
      </c>
      <c r="D850" s="15" t="s">
        <v>60</v>
      </c>
      <c r="E850" s="11" t="s">
        <v>61</v>
      </c>
      <c r="F850" s="11" t="s">
        <v>431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350</v>
      </c>
      <c r="D851" s="15" t="s">
        <v>60</v>
      </c>
      <c r="E851" s="11" t="s">
        <v>26</v>
      </c>
      <c r="F851" s="11" t="s">
        <v>351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851</v>
      </c>
      <c r="D852" s="11" t="s">
        <v>57</v>
      </c>
      <c r="E852" s="11" t="s">
        <v>26</v>
      </c>
      <c r="F852" s="11" t="s">
        <v>852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1221</v>
      </c>
      <c r="D853" s="11" t="s">
        <v>71</v>
      </c>
      <c r="E853" s="11" t="s">
        <v>61</v>
      </c>
      <c r="F853" s="11" t="s">
        <v>1222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16" customFormat="1" ht="28.5" customHeight="1">
      <c r="A854" s="11" t="str">
        <f t="shared" si="173"/>
        <v/>
      </c>
      <c r="B854" s="11" t="s">
        <v>6</v>
      </c>
      <c r="C854" s="11" t="s">
        <v>84</v>
      </c>
      <c r="D854" s="15" t="s">
        <v>45</v>
      </c>
      <c r="E854" s="11" t="s">
        <v>26</v>
      </c>
      <c r="F854" s="11" t="s">
        <v>85</v>
      </c>
      <c r="G854" s="12">
        <v>1899</v>
      </c>
      <c r="H854" s="12"/>
      <c r="I854" s="12"/>
      <c r="J854" s="12">
        <v>1894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1894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1117</v>
      </c>
      <c r="D855" s="11" t="s">
        <v>57</v>
      </c>
      <c r="E855" s="11" t="s">
        <v>26</v>
      </c>
      <c r="F855" s="11" t="s">
        <v>1118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1328</v>
      </c>
      <c r="D856" s="15" t="s">
        <v>45</v>
      </c>
      <c r="E856" s="11" t="s">
        <v>26</v>
      </c>
      <c r="F856" s="11" t="s">
        <v>1329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996</v>
      </c>
      <c r="D857" s="15" t="s">
        <v>45</v>
      </c>
      <c r="E857" s="11" t="s">
        <v>61</v>
      </c>
      <c r="F857" s="11" t="s">
        <v>997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1165</v>
      </c>
      <c r="D858" s="15" t="s">
        <v>45</v>
      </c>
      <c r="E858" s="11" t="s">
        <v>26</v>
      </c>
      <c r="F858" s="11" t="s">
        <v>1166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168</v>
      </c>
      <c r="D859" s="15" t="s">
        <v>60</v>
      </c>
      <c r="E859" s="11" t="s">
        <v>26</v>
      </c>
      <c r="F859" s="11" t="s">
        <v>169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521</v>
      </c>
      <c r="D860" s="15" t="s">
        <v>60</v>
      </c>
      <c r="E860" s="11" t="s">
        <v>61</v>
      </c>
      <c r="F860" s="11" t="s">
        <v>522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990</v>
      </c>
      <c r="D861" s="15" t="s">
        <v>60</v>
      </c>
      <c r="E861" s="11" t="s">
        <v>61</v>
      </c>
      <c r="F861" s="11" t="s">
        <v>991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1644</v>
      </c>
      <c r="D862" s="15" t="s">
        <v>80</v>
      </c>
      <c r="E862" s="11" t="s">
        <v>61</v>
      </c>
      <c r="F862" s="11" t="s">
        <v>1645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1125</v>
      </c>
      <c r="D864" s="15" t="s">
        <v>45</v>
      </c>
      <c r="E864" s="11" t="s">
        <v>26</v>
      </c>
      <c r="F864" s="11" t="s">
        <v>1126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10</v>
      </c>
      <c r="C865" s="11" t="s">
        <v>531</v>
      </c>
      <c r="D865" s="15" t="s">
        <v>80</v>
      </c>
      <c r="E865" s="11" t="s">
        <v>61</v>
      </c>
      <c r="F865" s="11" t="s">
        <v>532</v>
      </c>
      <c r="G865" s="12">
        <v>1919</v>
      </c>
      <c r="H865" s="12"/>
      <c r="I865" s="12"/>
      <c r="J865" s="12">
        <v>1906</v>
      </c>
      <c r="K865" s="12">
        <f t="shared" si="172"/>
        <v>0</v>
      </c>
      <c r="L865" s="12">
        <f t="shared" si="174"/>
        <v>1919</v>
      </c>
      <c r="M865" s="12" t="str">
        <f t="shared" si="175"/>
        <v/>
      </c>
      <c r="N865" s="12">
        <f t="shared" si="176"/>
        <v>1906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853</v>
      </c>
      <c r="D866" s="15" t="s">
        <v>60</v>
      </c>
      <c r="E866" s="11" t="s">
        <v>26</v>
      </c>
      <c r="F866" s="11" t="s">
        <v>854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741</v>
      </c>
      <c r="D867" s="15" t="s">
        <v>60</v>
      </c>
      <c r="E867" s="11" t="s">
        <v>61</v>
      </c>
      <c r="F867" s="11" t="s">
        <v>742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721</v>
      </c>
      <c r="D868" s="15" t="s">
        <v>80</v>
      </c>
      <c r="E868" s="11" t="s">
        <v>61</v>
      </c>
      <c r="F868" s="11" t="s">
        <v>722</v>
      </c>
      <c r="G868" s="12">
        <v>1929</v>
      </c>
      <c r="H868" s="12"/>
      <c r="I868" s="12"/>
      <c r="J868" s="12">
        <v>1895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855</v>
      </c>
      <c r="D869" s="15" t="s">
        <v>45</v>
      </c>
      <c r="E869" s="11" t="s">
        <v>61</v>
      </c>
      <c r="F869" s="11" t="s">
        <v>856</v>
      </c>
      <c r="G869" s="12">
        <v>1929</v>
      </c>
      <c r="H869" s="12"/>
      <c r="I869" s="12"/>
      <c r="J869" s="12">
        <v>1928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1356</v>
      </c>
      <c r="D870" s="11" t="s">
        <v>57</v>
      </c>
      <c r="E870" s="11" t="s">
        <v>61</v>
      </c>
      <c r="F870" s="11" t="s">
        <v>1357</v>
      </c>
      <c r="G870" s="12">
        <v>1929</v>
      </c>
      <c r="H870" s="12"/>
      <c r="I870" s="12"/>
      <c r="J870" s="12">
        <v>1929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621</v>
      </c>
      <c r="D871" s="11" t="s">
        <v>57</v>
      </c>
      <c r="E871" s="11" t="s">
        <v>61</v>
      </c>
      <c r="F871" s="11" t="s">
        <v>622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284</v>
      </c>
      <c r="D872" s="15" t="s">
        <v>80</v>
      </c>
      <c r="E872" s="11" t="s">
        <v>26</v>
      </c>
      <c r="F872" s="11" t="s">
        <v>285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1499</v>
      </c>
      <c r="D873" s="15" t="s">
        <v>57</v>
      </c>
      <c r="E873" s="11" t="s">
        <v>26</v>
      </c>
      <c r="F873" s="11" t="s">
        <v>1500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7" customFormat="1" ht="28.5" customHeight="1">
      <c r="A874" s="11" t="str">
        <f t="shared" si="173"/>
        <v/>
      </c>
      <c r="B874" s="11" t="s">
        <v>6</v>
      </c>
      <c r="C874" s="11" t="s">
        <v>1722</v>
      </c>
      <c r="D874" s="15" t="s">
        <v>80</v>
      </c>
      <c r="E874" s="11" t="s">
        <v>26</v>
      </c>
      <c r="F874" s="11" t="s">
        <v>1724</v>
      </c>
      <c r="G874" s="12">
        <v>1977</v>
      </c>
      <c r="H874" s="12"/>
      <c r="I874" s="12"/>
      <c r="J874" s="12">
        <v>1977</v>
      </c>
      <c r="K874" s="12">
        <f t="shared" si="185"/>
        <v>0</v>
      </c>
      <c r="L874" s="12">
        <f t="shared" si="174"/>
        <v>1977</v>
      </c>
      <c r="M874" s="12" t="str">
        <f t="shared" si="175"/>
        <v/>
      </c>
      <c r="N874" s="12">
        <f t="shared" si="176"/>
        <v>1977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6</v>
      </c>
      <c r="C875" s="11" t="s">
        <v>788</v>
      </c>
      <c r="D875" s="15" t="s">
        <v>80</v>
      </c>
      <c r="E875" s="11" t="s">
        <v>26</v>
      </c>
      <c r="F875" s="11" t="s">
        <v>789</v>
      </c>
      <c r="G875" s="12">
        <v>2199</v>
      </c>
      <c r="H875" s="12"/>
      <c r="I875" s="12"/>
      <c r="J875" s="12">
        <v>2199</v>
      </c>
      <c r="K875" s="12">
        <f t="shared" si="185"/>
        <v>0</v>
      </c>
      <c r="L875" s="12">
        <f t="shared" si="174"/>
        <v>2199</v>
      </c>
      <c r="M875" s="12" t="str">
        <f t="shared" si="175"/>
        <v/>
      </c>
      <c r="N875" s="12">
        <f t="shared" si="176"/>
        <v>2199</v>
      </c>
      <c r="O875" s="12" t="str">
        <f t="shared" si="177"/>
        <v/>
      </c>
      <c r="P875" s="12" t="str">
        <f t="shared" si="178"/>
        <v/>
      </c>
      <c r="Q875" s="12" t="s">
        <v>63</v>
      </c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63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1764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/>
      <c r="B4" s="20"/>
      <c r="C4" s="20"/>
      <c r="D4" s="20"/>
      <c r="E4" s="26"/>
      <c r="F4" s="26"/>
      <c r="G4" s="26"/>
      <c r="H4" s="26"/>
      <c r="I4" s="26"/>
      <c r="J4" s="26"/>
      <c r="K4" s="26"/>
      <c r="L4" s="26"/>
      <c r="M4" s="26"/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