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<sst xmlns="http://schemas.openxmlformats.org/spreadsheetml/2006/main" count="4710" uniqueCount="1767">
  <si>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</si>
  <si>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</si>
  <si>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</si>
  <si>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</si>
  <si>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</si>
  <si>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</si>
  <si>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</si>
  <si>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</si>
  <si>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</si>
  <si>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</si>
  <si>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</si>
  <si>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</si>
  <si>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</si>
  <si>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</si>
  <si>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</si>
  <si>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</si>
  <si>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</si>
  <si>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</si>
  <si>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</si>
  <si>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</si>
  <si>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</si>
  <si>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</si>
  <si>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</si>
  <si>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</si>
  <si>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</si>
  <si>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</si>
  <si>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</si>
  <si>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</si>
  <si>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</si>
  <si>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</si>
  <si>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</si>
  <si>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</si>
  <si>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</si>
  <si>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</si>
  <si>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</si>
  <si>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</si>
  <si>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</si>
  <si>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</si>
  <si>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</si>
  <si>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</si>
  <si>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</si>
  <si>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</si>
  <si>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</si>
  <si>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</si>
  <si>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</si>
  <si>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</si>
  <si>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</si>
  <si>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</si>
  <si>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</si>
  <si>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</si>
  <si>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</si>
  <si>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</si>
  <si>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</si>
  <si>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</si>
  <si>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</si>
  <si>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</si>
  <si>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</si>
  <si>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</si>
  <si>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</si>
  <si>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</si>
  <si>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</si>
  <si>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</si>
  <si>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</si>
  <si>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</si>
  <si>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</si>
  <si>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</si>
  <si>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</si>
  <si>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</si>
  <si>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</si>
  <si>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</si>
  <si>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</si>
  <si>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</si>
  <si>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</si>
  <si>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</si>
  <si>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</si>
  <si>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</si>
  <si>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</si>
  <si>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</si>
  <si>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</si>
  <si>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</si>
  <si>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</si>
  <si>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</si>
  <si>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</si>
  <si>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</si>
  <si>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</si>
  <si>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</si>
  <si>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</si>
  <si>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</si>
  <si>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</si>
  <si>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</si>
  <si>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</si>
  <si>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</si>
  <si>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</si>
  <si>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</si>
  <si>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</si>
  <si>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</si>
  <si>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</si>
  <si>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</si>
  <si>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</si>
  <si>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</si>
  <si>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</si>
  <si>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</si>
  <si>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</si>
  <si>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</si>
  <si>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</si>
  <si>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</si>
  <si>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</si>
  <si>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</si>
  <si>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</si>
  <si>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</si>
  <si>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</si>
  <si>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</si>
  <si>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</si>
  <si>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</si>
  <si>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</si>
  <si>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</si>
  <si>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</si>
  <si>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</si>
  <si>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</si>
  <si>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</si>
  <si>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</si>
  <si>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</si>
  <si>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</si>
  <si>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</si>
  <si>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</si>
  <si>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</si>
  <si>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</si>
  <si>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</si>
  <si>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</si>
  <si>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</si>
  <si>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</si>
  <si>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</si>
  <si>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</si>
  <si>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</si>
  <si>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</si>
  <si>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</si>
  <si>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</si>
  <si>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</si>
  <si>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</si>
  <si>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</si>
  <si>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</si>
  <si>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</si>
  <si>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</si>
  <si>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</si>
  <si>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</si>
  <si>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</si>
  <si>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</si>
  <si>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</si>
  <si>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</si>
  <si>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</si>
  <si>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</si>
  <si>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</si>
  <si>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</si>
  <si>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</si>
  <si>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</si>
  <si>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</si>
  <si>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</si>
  <si>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</si>
  <si>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</si>
  <si>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</si>
  <si>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</si>
  <si>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</si>
  <si>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</si>
  <si>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</si>
  <si>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</si>
  <si>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</si>
  <si>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</si>
  <si>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</si>
  <si>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</si>
  <si>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</si>
  <si>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</si>
  <si>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</si>
  <si>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</si>
  <si>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</si>
  <si>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</si>
  <si>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</si>
  <si>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</si>
  <si>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</si>
  <si>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</si>
  <si>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</si>
  <si>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</si>
  <si>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</si>
  <si>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</si>
  <si>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</si>
  <si>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</si>
  <si>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</si>
  <si>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</si>
  <si>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</si>
  <si>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</si>
  <si>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</si>
  <si>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</si>
  <si>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</si>
  <si>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</si>
  <si>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</si>
  <si>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</si>
  <si>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</si>
  <si>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</si>
  <si>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</si>
  <si>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</si>
  <si>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</si>
  <si>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</si>
  <si>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</si>
  <si>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</si>
  <si>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</si>
  <si>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</si>
  <si>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</si>
  <si>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</si>
  <si>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</si>
  <si>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</si>
  <si>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</si>
  <si>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</si>
  <si>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</si>
  <si>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</si>
  <si>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</si>
  <si>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</si>
  <si>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</si>
  <si>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</si>
  <si>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</si>
  <si>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</si>
  <si>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</si>
  <si>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</si>
  <si>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</si>
  <si>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</si>
  <si>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</si>
  <si>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</si>
  <si>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</si>
  <si>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</si>
  <si>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</si>
  <si>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</si>
  <si>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</si>
  <si>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</si>
  <si>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</si>
  <si>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</si>
  <si>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</si>
  <si>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</si>
  <si>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</si>
  <si>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</si>
  <si>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</si>
  <si>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</si>
  <si>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</si>
  <si>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</si>
  <si>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</si>
  <si>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</si>
  <si>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</si>
  <si>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</si>
  <si>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</si>
  <si>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</si>
  <si>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</si>
  <si>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</si>
  <si>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</si>
  <si>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</si>
  <si>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</si>
  <si>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</si>
  <si>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</si>
  <si>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</si>
  <si>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</si>
  <si>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</si>
  <si>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</si>
  <si>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</si>
  <si>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</si>
  <si>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</si>
  <si>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</si>
  <si>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</si>
  <si>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</si>
  <si>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</si>
  <si>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</si>
  <si>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</si>
  <si>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</si>
  <si>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</si>
  <si>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</si>
  <si>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</si>
  <si>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</si>
  <si>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</si>
  <si>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</si>
  <si>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</si>
  <si>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</si>
  <si>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</si>
  <si>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</si>
  <si>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</si>
  <si>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</si>
  <si>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</si>
  <si>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</si>
  <si>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</si>
  <si>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</si>
  <si>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</si>
  <si>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</si>
  <si>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</si>
  <si>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</si>
  <si>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</si>
  <si>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</si>
  <si>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</si>
  <si>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</si>
  <si>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</si>
  <si>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</si>
  <si>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</si>
  <si>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</si>
  <si>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</si>
  <si>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</si>
  <si>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</si>
  <si>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</si>
  <si>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</si>
  <si>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</si>
  <si>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</si>
  <si>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</si>
  <si>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</si>
  <si>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</si>
  <si>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</si>
  <si>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</si>
  <si>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</si>
  <si>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</si>
  <si>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</si>
  <si>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</si>
  <si>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</si>
  <si>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</si>
  <si>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</si>
  <si>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</si>
  <si>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</si>
  <si>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</si>
  <si>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</si>
  <si>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</si>
  <si>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</si>
  <si>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</si>
  <si>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</si>
  <si>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</si>
  <si>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</si>
  <si>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</si>
  <si>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</si>
  <si>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</si>
  <si>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</si>
  <si>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</si>
  <si>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</si>
  <si>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</si>
  <si>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</si>
  <si>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</si>
  <si>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</si>
  <si>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</si>
  <si>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</si>
  <si>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</si>
  <si>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</si>
  <si>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</si>
  <si>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</si>
  <si>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</si>
  <si>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</si>
  <si>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</si>
  <si>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</si>
  <si>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</si>
  <si>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</si>
  <si>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</si>
  <si>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</si>
  <si>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</si>
  <si>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</si>
  <si>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</si>
  <si>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</si>
  <si>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</si>
  <si>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</si>
  <si>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</si>
  <si>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</si>
  <si>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</si>
  <si>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</si>
  <si>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</si>
  <si>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</si>
  <si>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</si>
  <si>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</si>
  <si>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</si>
  <si>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</si>
  <si>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</si>
  <si>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</si>
  <si>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</si>
  <si>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</si>
  <si>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</si>
  <si>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</si>
  <si>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</si>
  <si>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</si>
  <si>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</si>
  <si>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</si>
  <si>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</si>
  <si>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</si>
  <si>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</si>
  <si>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</si>
  <si>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</si>
  <si>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</si>
  <si>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</si>
  <si>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</si>
  <si>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</si>
  <si>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</si>
  <si>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</si>
  <si>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</si>
  <si>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</si>
  <si>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</si>
  <si>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</si>
  <si>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</si>
  <si>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</si>
  <si>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</si>
  <si>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</si>
  <si>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</si>
  <si>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</si>
  <si>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</si>
  <si>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</si>
  <si>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</si>
  <si>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</si>
  <si>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</si>
  <si>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</si>
  <si>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</si>
  <si>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</si>
  <si>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</si>
  <si>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</si>
  <si>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</si>
  <si>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</si>
  <si>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</si>
  <si>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</si>
  <si>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</si>
  <si>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</si>
  <si>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</si>
  <si>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</si>
  <si>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</si>
  <si>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</si>
  <si>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</si>
  <si>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</si>
  <si>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</si>
  <si>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</si>
  <si>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</si>
  <si>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</si>
  <si>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</si>
  <si>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</si>
  <si>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</si>
  <si>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</si>
  <si>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</si>
  <si>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</si>
  <si>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</si>
  <si>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</si>
  <si>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</si>
  <si>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</si>
  <si>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</si>
  <si>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</si>
  <si>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</si>
  <si>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</si>
  <si>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</si>
  <si>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</si>
  <si>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</si>
  <si>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</si>
  <si>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</si>
  <si>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</si>
  <si>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</si>
  <si>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</si>
  <si>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</si>
  <si>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</si>
  <si>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</si>
  <si>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</si>
  <si>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</si>
  <si>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</si>
  <si>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</si>
  <si>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</si>
  <si>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</si>
  <si>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</si>
  <si>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</si>
  <si>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</si>
  <si>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</si>
  <si>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</si>
  <si>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</si>
  <si>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</si>
  <si>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</si>
  <si>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</si>
  <si>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</si>
  <si>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</si>
  <si>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</si>
  <si>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</si>
  <si>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</si>
  <si>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</si>
  <si>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</si>
  <si>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</si>
  <si>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</si>
  <si>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</si>
  <si>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</si>
  <si>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</si>
  <si>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</si>
  <si>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</si>
  <si>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</si>
  <si>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</si>
  <si>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</si>
  <si>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</si>
  <si>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</si>
  <si>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</si>
  <si>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</si>
  <si>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</si>
  <si>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</si>
  <si>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</si>
  <si>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</si>
  <si>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</si>
  <si>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</si>
  <si>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</si>
  <si>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</si>
  <si>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</si>
  <si>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</si>
  <si>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</si>
  <si>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</si>
  <si>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</si>
  <si>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</si>
  <si>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</si>
  <si>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</si>
  <si>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</si>
  <si>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</si>
  <si>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</si>
  <si>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</si>
  <si>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</si>
  <si>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</si>
  <si>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</si>
  <si>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</si>
  <si>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</si>
  <si>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</si>
  <si>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</si>
  <si>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</si>
  <si>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</si>
  <si>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</si>
  <si>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</si>
  <si>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</si>
  <si>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</si>
  <si>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</si>
  <si>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</si>
  <si>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</si>
  <si>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</si>
  <si>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</si>
  <si>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</si>
  <si>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</si>
  <si>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</si>
  <si>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</si>
  <si>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</si>
  <si>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</si>
  <si>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</si>
  <si>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</si>
  <si>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</si>
  <si>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</si>
  <si>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</si>
  <si>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</si>
  <si>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</si>
  <si>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</si>
  <si>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</si>
  <si>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</si>
  <si>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</si>
  <si>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</si>
  <si>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</si>
  <si>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</si>
  <si>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</si>
  <si>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</si>
  <si>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</si>
  <si>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</si>
  <si>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</si>
  <si>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</si>
  <si>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</si>
  <si>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</si>
  <si>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</si>
  <si>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</si>
  <si>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</si>
  <si>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</si>
  <si>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</si>
  <si>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</si>
  <si>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</si>
  <si>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</si>
  <si>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</si>
  <si>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</si>
  <si>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</si>
  <si>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</si>
  <si>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</si>
  <si>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</si>
  <si>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</si>
  <si>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</si>
  <si>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</si>
  <si>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</si>
  <si>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</si>
  <si>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</si>
  <si>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</si>
  <si>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</si>
  <si>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</si>
  <si>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</si>
  <si>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</si>
  <si>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</si>
  <si>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</si>
  <si>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</si>
  <si>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</si>
  <si>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</si>
  <si>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</si>
  <si>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</si>
  <si>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</si>
  <si>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</si>
  <si>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</si>
  <si>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</si>
  <si>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</si>
  <si>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</si>
  <si>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</si>
  <si>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</si>
  <si>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</si>
  <si>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</si>
  <si>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</si>
  <si>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</si>
  <si>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</si>
  <si>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</si>
  <si>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</si>
  <si>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</si>
  <si>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</si>
  <si>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</si>
  <si>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</si>
  <si>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</si>
  <si>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</si>
  <si>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</si>
  <si>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</si>
  <si>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</si>
  <si>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</si>
  <si>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</si>
  <si>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</si>
  <si>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</si>
  <si>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</si>
  <si>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</si>
  <si>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</si>
  <si>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</si>
  <si>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</si>
  <si>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</si>
  <si>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</si>
  <si>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</si>
  <si>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</si>
  <si>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</si>
  <si>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</si>
  <si>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</si>
  <si>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</si>
  <si>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</si>
  <si>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</si>
  <si>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</si>
  <si>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</si>
  <si>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</si>
  <si>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</si>
  <si>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</si>
  <si>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</si>
  <si>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</si>
  <si>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</si>
  <si>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</si>
  <si>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</si>
  <si>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</si>
  <si>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</si>
  <si>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</si>
  <si>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</si>
  <si>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</si>
  <si>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</si>
  <si>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</si>
  <si>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</si>
  <si>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</si>
  <si>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</si>
  <si>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</si>
  <si>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</si>
  <si>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</si>
  <si>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</si>
  <si>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</si>
  <si>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</si>
  <si>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</si>
  <si>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</si>
  <si>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</si>
  <si>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</si>
  <si>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</si>
  <si>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</si>
  <si>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</si>
  <si>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</si>
  <si>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</si>
  <si>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</si>
  <si>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</si>
  <si>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</si>
  <si>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</si>
  <si>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</si>
  <si>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</si>
  <si>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</si>
  <si>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</si>
  <si>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</si>
  <si>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</si>
  <si>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</si>
  <si>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</si>
  <si>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</si>
  <si>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</si>
  <si>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</si>
  <si>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</si>
  <si>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</si>
  <si>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</si>
  <si>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</si>
  <si>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</si>
  <si>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</si>
  <si>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</si>
  <si>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</si>
  <si>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</si>
  <si>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</si>
  <si>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</si>
  <si>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</si>
  <si>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</si>
  <si>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</si>
  <si>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</si>
  <si>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</si>
  <si>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</si>
  <si>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</si>
  <si>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</si>
  <si>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</si>
  <si>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</si>
  <si>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</si>
  <si>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</si>
  <si>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</si>
  <si>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</si>
  <si>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</si>
  <si>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</si>
  <si>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</si>
  <si>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</si>
  <si>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</si>
  <si>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</si>
  <si>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</si>
  <si>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</si>
  <si>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</si>
  <si>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</si>
  <si>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</si>
  <si>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</si>
  <si>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</si>
  <si>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</si>
  <si>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</si>
  <si>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</si>
  <si>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</si>
  <si>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</si>
  <si>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</si>
  <si>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</si>
  <si>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</si>
  <si>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</si>
  <si>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</si>
  <si>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</si>
  <si>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</si>
  <si>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</si>
  <si>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</si>
  <si>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</si>
  <si>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</si>
  <si>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</si>
  <si>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</si>
  <si>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</si>
  <si>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</si>
  <si>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</si>
  <si>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</si>
  <si>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</si>
  <si>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</si>
  <si>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</si>
  <si>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</si>
  <si>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</si>
  <si>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</si>
  <si>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</si>
  <si>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</si>
  <si>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</si>
  <si>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</si>
  <si>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</si>
  <si>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</si>
  <si>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</si>
  <si>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</si>
  <si>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</si>
  <si>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</si>
  <si>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</si>
  <si>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</si>
  <si>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</si>
  <si>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</si>
  <si>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</si>
  <si>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</si>
  <si>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</si>
  <si>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</si>
  <si>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</si>
  <si>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</si>
  <si>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</si>
  <si>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</si>
  <si>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</si>
  <si>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</si>
  <si>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</si>
  <si>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</si>
  <si>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</si>
  <si>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</si>
  <si>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</si>
  <si>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</si>
  <si>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</si>
  <si>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</si>
  <si>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</si>
  <si>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</si>
  <si>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</si>
  <si>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</si>
  <si>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</si>
  <si>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</si>
  <si>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</si>
  <si>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</si>
  <si>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</si>
  <si>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</si>
  <si>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</si>
  <si>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</si>
  <si>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</si>
  <si>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</si>
  <si>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</si>
  <si>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</si>
  <si>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</si>
  <si>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</si>
  <si>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</si>
  <si>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</si>
  <si>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</si>
  <si>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</si>
  <si>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</si>
  <si>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</si>
  <si>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</si>
  <si>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</si>
  <si>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</si>
  <si>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</si>
  <si>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</si>
  <si>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</si>
  <si>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</si>
  <si>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</si>
  <si>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</si>
  <si>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</si>
  <si>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</si>
  <si>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</si>
  <si>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</si>
  <si>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</si>
  <si>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</si>
  <si>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</si>
  <si>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</si>
  <si>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</si>
  <si>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</si>
  <si>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</si>
  <si>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</si>
  <si>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</si>
  <si>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</si>
  <si>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</si>
  <si>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</si>
  <si>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</si>
  <si>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</si>
  <si>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</si>
  <si>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</si>
  <si>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</si>
  <si>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</si>
  <si>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</si>
  <si>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</si>
  <si>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</si>
  <si>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</si>
  <si>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</si>
  <si>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</si>
  <si>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</si>
  <si>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</si>
  <si>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</si>
  <si>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</si>
  <si>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</si>
  <si>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</si>
  <si>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</si>
  <si>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</si>
  <si>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</si>
  <si>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</si>
  <si>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</si>
  <si>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</si>
  <si>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</si>
  <si>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</si>
  <si>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</si>
  <si>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</si>
  <si>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</si>
  <si>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</si>
  <si>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</si>
  <si>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</si>
  <si>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</si>
  <si>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</si>
  <si>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</si>
  <si>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</si>
  <si>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</si>
  <si>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</si>
  <si>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</si>
  <si>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</si>
  <si>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</si>
  <si>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</si>
  <si>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</si>
  <si>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</si>
  <si>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</si>
  <si>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</si>
  <si>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</si>
  <si>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</si>
  <si>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</si>
  <si>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</si>
  <si>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</si>
  <si>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</si>
  <si>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</si>
  <si>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</si>
  <si>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</si>
  <si>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</si>
  <si>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</si>
  <si>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</si>
  <si>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</si>
  <si>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</si>
  <si>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</si>
  <si>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</si>
  <si>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</si>
  <si>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</si>
  <si>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</si>
  <si>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</si>
  <si>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</si>
  <si>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</si>
  <si>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</si>
  <si>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</si>
  <si>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</si>
  <si>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</si>
  <si>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</si>
  <si>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</si>
  <si>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</si>
  <si>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</si>
  <si>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</si>
  <si>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</si>
  <si>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</si>
  <si>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</si>
  <si>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</si>
  <si>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</si>
  <si>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</si>
  <si>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</si>
  <si>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</si>
  <si>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</si>
  <si>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</si>
  <si>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</si>
  <si>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</si>
  <si>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</si>
  <si>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</si>
  <si>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</si>
  <si>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</si>
  <si>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</si>
  <si>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</si>
  <si>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</si>
  <si>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</si>
  <si>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</si>
  <si>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</si>
  <si>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</si>
  <si>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</si>
  <si>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</si>
  <si>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</si>
  <si>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</si>
  <si>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</si>
  <si>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</si>
  <si>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</si>
  <si>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</si>
  <si>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</si>
  <si>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</si>
  <si>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</si>
  <si>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</si>
  <si>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</si>
  <si>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</si>
  <si>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</si>
  <si>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</si>
  <si>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</si>
  <si>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</si>
  <si>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</si>
  <si>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</si>
  <si>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</si>
  <si>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</si>
  <si>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</si>
  <si>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</si>
  <si>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</si>
  <si>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</si>
  <si>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</si>
  <si>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</si>
  <si>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</si>
  <si>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</si>
  <si>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</si>
  <si>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</si>
  <si>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</si>
  <si>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</si>
  <si>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</si>
  <si>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</si>
  <si>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</si>
  <si>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</si>
  <si>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</si>
  <si>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</si>
  <si>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</si>
  <si>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</si>
  <si>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</si>
  <si>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</si>
  <si>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</si>
  <si>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</si>
  <si>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</si>
  <si>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</si>
  <si>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</si>
  <si>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</si>
  <si>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</si>
  <si>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</si>
  <si>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</si>
  <si>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</si>
  <si>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</si>
  <si>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</si>
  <si>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</si>
  <si>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</si>
  <si>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</si>
  <si>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</si>
  <si>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</si>
  <si>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</si>
  <si>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</si>
  <si>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</si>
  <si>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</si>
  <si>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</si>
  <si>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</si>
  <si>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</si>
  <si>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</si>
  <si>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</si>
  <si>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</si>
  <si>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</si>
  <si>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</si>
  <si>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</si>
  <si>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</si>
  <si>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</si>
  <si>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</si>
  <si>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</si>
  <si>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</si>
  <si>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</si>
  <si>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</si>
  <si>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</si>
  <si>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</si>
  <si>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</si>
  <si>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</si>
  <si>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</si>
  <si>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</si>
  <si>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</si>
  <si>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</si>
  <si>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</si>
  <si>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</si>
  <si>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</si>
  <si>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</si>
  <si>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</si>
  <si>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</si>
  <si>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</si>
  <si>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</si>
  <si>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</si>
  <si>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</si>
  <si>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</si>
  <si>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</si>
  <si>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</si>
  <si>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</si>
  <si>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</si>
  <si>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</si>
  <si>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</si>
  <si>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</si>
  <si>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</si>
  <si>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</si>
  <si>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</si>
  <si>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</si>
  <si>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</si>
  <si>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</si>
  <si>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</si>
  <si>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</si>
  <si>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</si>
  <si>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</si>
  <si>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</si>
  <si>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</si>
  <si>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</si>
  <si>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</si>
  <si>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</si>
  <si>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</si>
  <si>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</si>
  <si>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</si>
  <si>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</si>
  <si>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</si>
  <si>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</si>
  <si>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</si>
  <si>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</si>
  <si>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</si>
  <si>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</si>
  <si>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</si>
  <si>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</si>
  <si>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</si>
  <si>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</si>
  <si>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</si>
  <si>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</si>
  <si>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</si>
  <si>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</si>
  <si>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</si>
  <si>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</si>
  <si>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</si>
  <si>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</si>
  <si>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</si>
  <si>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</si>
  <si>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</si>
  <si>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</si>
  <si>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</si>
  <si>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</si>
  <si>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</si>
  <si>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</si>
  <si>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</si>
  <si>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</si>
  <si>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</si>
  <si>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</si>
  <si>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</si>
  <si>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</si>
  <si>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</si>
  <si>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</si>
  <si>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</si>
  <si>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</si>
  <si>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</si>
  <si>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</si>
  <si>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</si>
  <si>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</si>
  <si>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</si>
  <si>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</si>
  <si>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</si>
  <si>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</si>
  <si>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</si>
  <si>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</si>
  <si>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</si>
  <si>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</si>
  <si>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</si>
  <si>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</si>
  <si>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</si>
  <si>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</si>
  <si>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</si>
  <si>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</si>
  <si>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</si>
  <si>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</si>
  <si>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</si>
  <si>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</si>
  <si>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</si>
  <si>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</si>
  <si>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</si>
  <si>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</si>
  <si>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</si>
  <si>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</si>
  <si>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</si>
  <si>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</si>
  <si>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</si>
  <si>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</si>
  <si>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</si>
  <si>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</si>
  <si>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</si>
  <si>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</si>
  <si>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</si>
  <si>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</si>
  <si>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</si>
  <si>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</si>
  <si>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</si>
  <si>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</si>
  <si>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</si>
  <si>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</si>
  <si>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</si>
  <si>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</si>
  <si>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</si>
  <si>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</si>
  <si>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</si>
  <si>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</si>
  <si>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</si>
  <si>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</si>
  <si>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</si>
  <si>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</si>
  <si>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</si>
  <si>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</si>
  <si>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</si>
  <si>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</si>
  <si>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</si>
  <si>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</si>
  <si>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</si>
  <si>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</si>
  <si>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</si>
  <si>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</si>
  <si>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</si>
  <si>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</si>
  <si>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</si>
  <si>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</si>
  <si>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</si>
  <si>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</si>
  <si>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</si>
  <si>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</si>
  <si>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</si>
  <si>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</si>
  <si>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</si>
  <si>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</si>
  <si>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</si>
  <si>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</si>
  <si>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</si>
  <si>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</si>
  <si>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</si>
  <si>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</si>
  <si>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</si>
  <si>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</si>
  <si>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</si>
  <si>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</si>
  <si>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</si>
  <si>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</si>
  <si>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</si>
  <si>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</si>
  <si>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</si>
  <si>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</si>
  <si>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</si>
  <si>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</si>
  <si>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</si>
  <si>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</si>
  <si>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</si>
  <si>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</si>
  <si>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</si>
  <si>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</si>
  <si>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</si>
  <si>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</si>
  <si>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</si>
  <si>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</si>
  <si>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</si>
  <si>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</si>
  <si>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</si>
  <si>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</si>
  <si>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</si>
  <si>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</si>
  <si>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</si>
  <si>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</si>
  <si>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</si>
  <si>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</si>
  <si>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</si>
  <si>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</si>
  <si>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</si>
  <si>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</si>
  <si>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</si>
  <si>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</si>
  <si>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</si>
  <si>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</si>
  <si>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</si>
  <si>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</si>
  <si>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</si>
  <si>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</si>
  <si>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</si>
  <si>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</si>
  <si>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</si>
  <si>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</si>
  <si>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</si>
  <si>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</si>
  <si>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</si>
  <si>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</si>
  <si>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</si>
  <si>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</si>
  <si>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</si>
  <si>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</si>
  <si>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</si>
  <si>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</si>
  <si>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</si>
  <si>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</si>
  <si>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</si>
  <si>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</si>
  <si>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</si>
  <si>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</si>
  <si>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</si>
  <si>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</si>
  <si>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</si>
  <si>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</si>
  <si>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</si>
  <si>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</si>
  <si>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</si>
  <si>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</si>
  <si>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</si>
  <si>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</si>
  <si>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</si>
  <si>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</si>
  <si>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</si>
  <si>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</si>
  <si>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</si>
  <si>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</si>
  <si>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</si>
  <si>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</si>
  <si>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</si>
  <si>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</si>
  <si>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</si>
  <si>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</si>
  <si>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</si>
  <si>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</si>
  <si>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</si>
  <si>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</si>
  <si>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</si>
  <si>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</si>
  <si>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</si>
  <si>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</si>
  <si>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</si>
  <si>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</si>
  <si>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</si>
  <si>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</si>
  <si>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</si>
  <si>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</si>
  <si>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</si>
  <si>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</si>
  <si>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</si>
  <si>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</si>
  <si>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</si>
  <si>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</si>
  <si>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</si>
  <si>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</si>
  <si>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</si>
  <si>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</si>
  <si>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</si>
  <si>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</si>
  <si>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</si>
  <si>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</si>
  <si>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</si>
  <si>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</si>
  <si>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</si>
  <si>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</si>
  <si>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</si>
  <si>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</si>
  <si>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</si>
  <si>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</si>
  <si>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</si>
  <si>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</si>
  <si>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</si>
  <si>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</si>
  <si>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</si>
  <si>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</si>
  <si>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</si>
  <si>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</si>
  <si>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</si>
  <si>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</si>
  <si>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</si>
  <si>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</si>
  <si>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</si>
  <si>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</si>
  <si>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</si>
  <si>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</si>
  <si>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</si>
  <si>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</si>
  <si>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</si>
  <si>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</si>
  <si>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</si>
  <si>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</si>
  <si>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</si>
  <si>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</si>
  <si>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</si>
  <si>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</si>
  <si>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</si>
  <si>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</si>
  <si>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</si>
  <si>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</si>
  <si>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</si>
  <si>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</si>
  <si>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</si>
  <si>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</si>
  <si>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</si>
  <si>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</si>
  <si>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</si>
  <si>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</si>
  <si>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</si>
  <si>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</si>
  <si>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</si>
  <si>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</si>
  <si>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</si>
  <si>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</si>
  <si>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</si>
  <si>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</si>
  <si>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</si>
  <si>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</si>
  <si>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</si>
  <si>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</si>
  <si>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</si>
  <si>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</si>
  <si>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</si>
  <si>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</si>
  <si>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</si>
  <si>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</si>
  <si>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</si>
  <si>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</si>
  <si>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</si>
  <si>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</si>
  <si>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</si>
  <si>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</si>
  <si>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</si>
  <si>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</si>
  <si>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</si>
  <si>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</si>
  <si>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</si>
  <si>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</si>
  <si>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</si>
  <si>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</si>
  <si>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</si>
  <si>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</si>
  <si>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</si>
  <si>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</si>
  <si>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</si>
  <si>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</si>
  <si>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</si>
  <si>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</si>
  <si>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</si>
  <si>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</si>
  <si>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</si>
  <si>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</si>
  <si>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</si>
  <si>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</si>
  <si>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</si>
  <si>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</si>
  <si>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</si>
  <si>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</si>
  <si>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</si>
  <si>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</si>
  <si>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</si>
  <si>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</si>
  <si>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</si>
  <si>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</si>
  <si>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</si>
  <si>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</si>
  <si>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</si>
  <si>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</si>
  <si>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</si>
  <si>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</si>
  <si>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</si>
  <si>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</si>
  <si>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</si>
  <si>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</si>
  <si>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</si>
  <si>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</si>
  <si>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</si>
  <si>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</si>
  <si>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</si>
  <si>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</si>
  <si>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</si>
  <si>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</si>
  <si>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</si>
  <si>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</si>
  <si>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</si>
  <si>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</si>
  <si>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</si>
  <si>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</si>
  <si>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</si>
  <si>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</si>
  <si>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</si>
  <si>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</si>
  <si>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</si>
  <si>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</si>
  <si>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</si>
  <si>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</si>
  <si>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</si>
  <si>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</si>
  <si>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</si>
  <si>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</si>
  <si>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</si>
  <si>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</si>
  <si>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</si>
  <si>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</si>
  <si>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</si>
  <si>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</si>
  <si>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</si>
  <si>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</si>
  <si>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</si>
  <si>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</si>
  <si>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</si>
  <si>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</si>
  <si>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</si>
  <si>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</si>
  <si>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</si>
  <si>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</si>
  <si>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</si>
  <si>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</si>
  <si>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</si>
  <si>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</si>
  <si>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</si>
  <si>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</si>
  <si>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</si>
  <si>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</si>
  <si>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</si>
  <si>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</si>
  <si>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</si>
  <si>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</si>
  <si>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</si>
  <si>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</si>
  <si>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</si>
  <si>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</si>
  <si>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</si>
  <si>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</si>
  <si>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</si>
  <si>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</si>
  <si>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</si>
  <si>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</si>
  <si>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</si>
  <si>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</si>
  <si>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</si>
  <si>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</si>
  <si>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</si>
  <si>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</si>
  <si>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</si>
  <si>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</si>
  <si>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</si>
  <si>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</si>
  <si>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</si>
  <si>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</si>
  <si>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</si>
  <si>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</si>
  <si>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</si>
  <si>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</si>
  <si>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</si>
  <si>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</si>
  <si>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</si>
  <si>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</si>
  <si>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</si>
  <si>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</si>
  <si>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</si>
  <si>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</si>
  <si>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</si>
  <si>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</si>
  <si>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</si>
  <si>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</si>
  <si>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</si>
  <si>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</si>
  <si>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</si>
  <si>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</si>
  <si>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</si>
  <si>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</si>
  <si>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</si>
  <si>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</si>
  <si>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</si>
  <si>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</si>
  <si>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</si>
  <si>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</si>
  <si>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</si>
  <si>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</si>
  <si>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</si>
  <si>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</si>
  <si>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</si>
  <si>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</si>
  <si>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</si>
  <si>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</si>
  <si>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</si>
  <si>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</si>
  <si>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</si>
  <si>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</si>
  <si>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</si>
  <si>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</si>
  <si>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</si>
  <si>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</si>
  <si>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</si>
  <si>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</si>
  <si>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</si>
  <si>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</si>
  <si>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</si>
  <si>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</si>
  <si>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</si>
  <si>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</si>
  <si>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</si>
  <si>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</si>
  <si>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</si>
  <si>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</si>
  <si>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</si>
  <si>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</si>
  <si>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</si>
  <si>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</si>
  <si>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</si>
  <si>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</si>
  <si>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</si>
  <si>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</si>
  <si>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</si>
  <si>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</si>
  <si>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</si>
  <si>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</si>
  <si>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</si>
  <si>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</si>
  <si>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</si>
  <si>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</si>
  <si>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</si>
  <si>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</si>
  <si>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</si>
  <si>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</si>
  <si>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</si>
  <si>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</si>
  <si>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</si>
  <si>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</si>
  <si>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</si>
  <si>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</si>
  <si>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</si>
  <si>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</si>
  <si>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</si>
  <si>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</si>
  <si>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</si>
  <si>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</si>
  <si>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</si>
  <si>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</si>
  <si>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</si>
  <si>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</si>
  <si>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</si>
  <si>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</si>
  <si>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</si>
  <si>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</si>
  <si>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</si>
  <si>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</si>
  <si>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</si>
  <si>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</si>
  <si>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</si>
  <si>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</si>
  <si>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</si>
  <si>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</si>
  <si>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</si>
  <si>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</si>
  <si>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</si>
  <si>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</si>
  <si>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</si>
  <si>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</si>
  <si>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</si>
  <si>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</si>
  <si>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</si>
  <si>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</si>
  <si>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</si>
  <si>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</si>
  <si>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</si>
  <si>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</si>
  <si>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</si>
  <si>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</si>
  <si>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</si>
  <si>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</si>
  <si>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</si>
  <si>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</si>
  <si>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</si>
  <si>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</si>
  <si>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</si>
  <si>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</si>
  <si>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</si>
  <si>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</si>
  <si>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</si>
  <si>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</si>
  <si>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</si>
  <si>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</si>
  <si>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</si>
  <si>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</si>
  <si>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</si>
  <si>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</si>
  <si>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</si>
  <si>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</si>
  <si>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</si>
  <si>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</si>
  <si>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</si>
  <si>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</si>
  <si>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</si>
  <si>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</si>
  <si>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</si>
  <si>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</si>
  <si>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</si>
  <si>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</si>
  <si>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</si>
  <si>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</si>
  <si>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</si>
  <si>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</si>
  <si>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</si>
  <si>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</si>
  <si>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</si>
  <si>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</si>
  <si>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</si>
  <si>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</si>
  <si>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</si>
  <si>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</si>
  <si>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</si>
  <si>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</si>
  <si>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</si>
  <si>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</si>
  <si>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</si>
  <si>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</si>
  <si>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</si>
  <si>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</si>
  <si>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</si>
  <si>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</si>
  <si>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</si>
  <si>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</si>
  <si>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</si>
  <si>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</si>
  <si>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</si>
  <si>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</si>
  <si>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</si>
  <si>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</si>
  <si>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</si>
  <si>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</si>
  <si>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</si>
  <si>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</si>
  <si>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</si>
  <si>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</si>
  <si>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</si>
  <si>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</si>
  <si>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</si>
  <si>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</si>
  <si>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</si>
  <si>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</si>
  <si>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</si>
  <si>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</si>
  <si>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</si>
  <si>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</si>
  <si>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</si>
  <si>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</si>
  <si>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</si>
  <si>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</si>
  <si>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</si>
  <si>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</si>
  <si>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</si>
  <si>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</si>
  <si>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</si>
  <si>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</si>
  <si>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</si>
  <si>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</si>
  <si>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</si>
  <si>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</si>
  <si>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</si>
  <si>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</si>
  <si>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</si>
  <si>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</si>
  <si>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</si>
  <si>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</si>
  <si>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</si>
  <si>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</si>
  <si>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</si>
  <si>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</si>
  <si>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</si>
  <si>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</si>
  <si>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</si>
  <si>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</si>
  <si>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</si>
  <si>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</si>
  <si>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</si>
  <si>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</si>
  <si>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</si>
  <si>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</si>
  <si>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</si>
  <si>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</si>
  <si>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</si>
  <si>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</si>
  <si>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</si>
  <si>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</si>
  <si>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</si>
  <si>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</si>
  <si>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</si>
  <si>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</si>
  <si>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</si>
  <si>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</si>
  <si>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</si>
  <si>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</si>
  <si>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</si>
  <si>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</si>
  <si>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</si>
  <si>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</si>
  <si>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</si>
  <si>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</si>
  <si>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</si>
  <si>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</si>
  <si>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</si>
  <si>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</si>
  <si>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</si>
  <si>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</si>
  <si>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</si>
  <si>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</si>
  <si>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</si>
  <si>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</si>
  <si>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</si>
  <si>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</si>
  <si>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</si>
  <si>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</si>
  <si>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</si>
  <si>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</si>
  <si>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</si>
  <si>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</si>
  <si>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</si>
  <si>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</si>
  <si>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</si>
  <si>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</si>
  <si>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</si>
  <si>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</si>
  <si>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</si>
  <si>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</si>
  <si>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</si>
  <si>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</si>
  <si>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</si>
  <si>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</si>
  <si>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</si>
  <si>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</si>
  <si>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</si>
  <si>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</si>
  <si>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</si>
  <si>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</si>
  <si>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</si>
  <si>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</si>
  <si>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</si>
  <si>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</si>
  <si>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</si>
  <si>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</si>
  <si>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</si>
  <si>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</si>
  <si>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</si>
  <si>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</si>
  <si>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</si>
  <si>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</si>
  <si>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</si>
  <si>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현행화 일자: 2026-08-21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</si>
</sst>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1840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1840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46,000원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89800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10776</v>
      </c>
      <c r="T15" s="13">
        <f t="shared" ref="T15:T78" si="9">IF($P15="","",$P15-$S15)</f>
        <v>79024</v>
      </c>
      <c r="U15" s="13">
        <f t="shared" ref="U15:U78" si="10">IF($T15="","",IF($B$10=0,"",$T15/$B$10))</f>
        <v>1756.088888888889</v>
      </c>
      <c r="V15" s="13">
        <f t="shared" ref="V15:V78" si="11">IF($P15="","",IF($B$10=0,"",$P15/$B$10))</f>
        <v>1995.5555555555557</v>
      </c>
      <c r="W15" s="15">
        <f t="shared" ref="W15:W78" si="12">IF($T15="",1000000000000000,$T15)</f>
        <v>79024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8" customFormat="1" ht="28.5" customHeight="1">
      <c r="A29" s="12">
        <f t="shared" si="0"/>
        <v>15</v>
      </c>
      <c r="B29" s="12" t="s">
        <v>8</v>
      </c>
      <c r="C29" s="12" t="s">
        <v>103</v>
      </c>
      <c r="D29" s="16" t="s">
        <v>52</v>
      </c>
      <c r="E29" s="12" t="s">
        <v>26</v>
      </c>
      <c r="F29" s="12" t="s">
        <v>104</v>
      </c>
      <c r="G29" s="13">
        <v>1850</v>
      </c>
      <c r="H29" s="13">
        <v>2280</v>
      </c>
      <c r="I29" s="13"/>
      <c r="J29" s="13">
        <v>1820</v>
      </c>
      <c r="K29" s="13">
        <f t="shared" si="1"/>
        <v>0</v>
      </c>
      <c r="L29" s="13">
        <f t="shared" si="2"/>
        <v>1850</v>
      </c>
      <c r="M29" s="13">
        <f t="shared" si="3"/>
        <v>2280</v>
      </c>
      <c r="N29" s="13">
        <f t="shared" si="4"/>
        <v>1820</v>
      </c>
      <c r="O29" s="13" t="str">
        <f t="shared" si="5"/>
        <v>휘발유 46,250원 / 고급유 45,600원</v>
      </c>
      <c r="P29" s="13">
        <f t="shared" si="6"/>
        <v>91850</v>
      </c>
      <c r="Q29" s="13" t="s">
        <v>47</v>
      </c>
      <c r="R29" s="14">
        <f t="shared" si="7"/>
        <v>0.1</v>
      </c>
      <c r="S29" s="13">
        <f t="shared" si="8"/>
        <v>9185</v>
      </c>
      <c r="T29" s="13">
        <f t="shared" si="9"/>
        <v>82665</v>
      </c>
      <c r="U29" s="13">
        <f t="shared" si="10"/>
        <v>1837</v>
      </c>
      <c r="V29" s="13">
        <f t="shared" si="11"/>
        <v>2041.1111111111111</v>
      </c>
      <c r="W29" s="15">
        <f t="shared" si="12"/>
        <v>82665</v>
      </c>
    </row>
    <row r="30" spans="1:23" s="8" customFormat="1" ht="28.5" customHeight="1">
      <c r="A30" s="12">
        <f t="shared" si="0"/>
        <v>16</v>
      </c>
      <c r="B30" s="12" t="s">
        <v>10</v>
      </c>
      <c r="C30" s="12" t="s">
        <v>82</v>
      </c>
      <c r="D30" s="12" t="s">
        <v>83</v>
      </c>
      <c r="E30" s="12" t="s">
        <v>26</v>
      </c>
      <c r="F30" s="12" t="s">
        <v>84</v>
      </c>
      <c r="G30" s="13">
        <v>1838</v>
      </c>
      <c r="H30" s="13">
        <v>2298</v>
      </c>
      <c r="I30" s="13"/>
      <c r="J30" s="13">
        <v>1818</v>
      </c>
      <c r="K30" s="13">
        <f t="shared" si="1"/>
        <v>0</v>
      </c>
      <c r="L30" s="13">
        <f t="shared" si="2"/>
        <v>1838</v>
      </c>
      <c r="M30" s="13">
        <f t="shared" si="3"/>
        <v>2298</v>
      </c>
      <c r="N30" s="13">
        <f t="shared" si="4"/>
        <v>1818</v>
      </c>
      <c r="O30" s="13" t="str">
        <f t="shared" si="5"/>
        <v>휘발유 45,950원 / 고급유 45,960원</v>
      </c>
      <c r="P30" s="13">
        <f t="shared" si="6"/>
        <v>91910</v>
      </c>
      <c r="Q30" s="13" t="s">
        <v>47</v>
      </c>
      <c r="R30" s="14">
        <f t="shared" si="7"/>
        <v>0.1</v>
      </c>
      <c r="S30" s="13">
        <f t="shared" si="8"/>
        <v>9191</v>
      </c>
      <c r="T30" s="13">
        <f t="shared" si="9"/>
        <v>82719</v>
      </c>
      <c r="U30" s="13">
        <f t="shared" si="10"/>
        <v>1838.2</v>
      </c>
      <c r="V30" s="13">
        <f t="shared" si="11"/>
        <v>2042.4444444444443</v>
      </c>
      <c r="W30" s="15">
        <f t="shared" si="12"/>
        <v>82719</v>
      </c>
    </row>
    <row r="31" spans="1:23" s="2" customFormat="1" ht="28.5" customHeight="1">
      <c r="A31" s="12">
        <f t="shared" si="0"/>
        <v>17</v>
      </c>
      <c r="B31" s="12" t="s">
        <v>10</v>
      </c>
      <c r="C31" s="12" t="s">
        <v>74</v>
      </c>
      <c r="D31" s="16" t="s">
        <v>61</v>
      </c>
      <c r="E31" s="12" t="s">
        <v>26</v>
      </c>
      <c r="F31" s="12" t="s">
        <v>75</v>
      </c>
      <c r="G31" s="13">
        <v>1847</v>
      </c>
      <c r="H31" s="13">
        <v>2287</v>
      </c>
      <c r="I31" s="13"/>
      <c r="J31" s="13">
        <v>1847</v>
      </c>
      <c r="K31" s="13">
        <f t="shared" si="1"/>
        <v>0</v>
      </c>
      <c r="L31" s="13">
        <f t="shared" si="2"/>
        <v>1847</v>
      </c>
      <c r="M31" s="13">
        <f t="shared" si="3"/>
        <v>2287</v>
      </c>
      <c r="N31" s="13">
        <f t="shared" si="4"/>
        <v>1847</v>
      </c>
      <c r="O31" s="13" t="str">
        <f t="shared" si="5"/>
        <v>휘발유 46,175원 / 고급유 45,740원</v>
      </c>
      <c r="P31" s="13">
        <f t="shared" si="6"/>
        <v>91915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82724</v>
      </c>
      <c r="U31" s="13">
        <f t="shared" si="10"/>
        <v>1838.3111111111111</v>
      </c>
      <c r="V31" s="13">
        <f t="shared" si="11"/>
        <v>2042.5555555555557</v>
      </c>
      <c r="W31" s="15">
        <f t="shared" si="12"/>
        <v>82724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76</v>
      </c>
      <c r="D32" s="16" t="s">
        <v>52</v>
      </c>
      <c r="E32" s="12" t="s">
        <v>26</v>
      </c>
      <c r="F32" s="12" t="s">
        <v>77</v>
      </c>
      <c r="G32" s="13">
        <v>1839</v>
      </c>
      <c r="H32" s="13">
        <v>2299</v>
      </c>
      <c r="I32" s="13"/>
      <c r="J32" s="13">
        <v>1819</v>
      </c>
      <c r="K32" s="13">
        <f t="shared" si="1"/>
        <v>0</v>
      </c>
      <c r="L32" s="13">
        <f t="shared" si="2"/>
        <v>1839</v>
      </c>
      <c r="M32" s="13">
        <f t="shared" si="3"/>
        <v>2299</v>
      </c>
      <c r="N32" s="13">
        <f t="shared" si="4"/>
        <v>1819</v>
      </c>
      <c r="O32" s="13" t="str">
        <f t="shared" si="5"/>
        <v>휘발유 45,975원 / 고급유 45,980원</v>
      </c>
      <c r="P32" s="13">
        <f t="shared" si="6"/>
        <v>91955</v>
      </c>
      <c r="Q32" s="13" t="s">
        <v>47</v>
      </c>
      <c r="R32" s="14">
        <f t="shared" si="7"/>
        <v>0.1</v>
      </c>
      <c r="S32" s="13">
        <f t="shared" si="8"/>
        <v>9195</v>
      </c>
      <c r="T32" s="13">
        <f t="shared" si="9"/>
        <v>82760</v>
      </c>
      <c r="U32" s="13">
        <f t="shared" si="10"/>
        <v>1839.1111111111111</v>
      </c>
      <c r="V32" s="13">
        <f t="shared" si="11"/>
        <v>2043.4444444444443</v>
      </c>
      <c r="W32" s="15">
        <f t="shared" si="12"/>
        <v>82760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749</v>
      </c>
      <c r="D48" s="16" t="s">
        <v>61</v>
      </c>
      <c r="E48" s="12" t="s">
        <v>70</v>
      </c>
      <c r="F48" s="12" t="s">
        <v>750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2210</v>
      </c>
      <c r="I53" s="13"/>
      <c r="J53" s="13">
        <v>1810</v>
      </c>
      <c r="K53" s="13">
        <f t="shared" si="1"/>
        <v>0</v>
      </c>
      <c r="L53" s="13">
        <f t="shared" si="2"/>
        <v>1827</v>
      </c>
      <c r="M53" s="13">
        <f t="shared" si="3"/>
        <v>2210</v>
      </c>
      <c r="N53" s="13">
        <f t="shared" si="4"/>
        <v>1810</v>
      </c>
      <c r="O53" s="13" t="str">
        <f t="shared" si="5"/>
        <v>휘발유 45,675원 / 고급유 44,200원</v>
      </c>
      <c r="P53" s="13">
        <f t="shared" si="6"/>
        <v>89875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89875</v>
      </c>
      <c r="U53" s="13">
        <f t="shared" si="10"/>
        <v>1997.2222222222222</v>
      </c>
      <c r="V53" s="13">
        <f t="shared" si="11"/>
        <v>1997.2222222222222</v>
      </c>
      <c r="W53" s="15">
        <f t="shared" si="12"/>
        <v>89875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1074</v>
      </c>
      <c r="D69" s="12" t="s">
        <v>45</v>
      </c>
      <c r="E69" s="12" t="s">
        <v>26</v>
      </c>
      <c r="F69" s="12" t="s">
        <v>1075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182</v>
      </c>
      <c r="D76" s="16" t="s">
        <v>61</v>
      </c>
      <c r="E76" s="12" t="s">
        <v>26</v>
      </c>
      <c r="F76" s="12" t="s">
        <v>183</v>
      </c>
      <c r="G76" s="13">
        <v>1809</v>
      </c>
      <c r="H76" s="13">
        <v>2280</v>
      </c>
      <c r="I76" s="13"/>
      <c r="J76" s="13">
        <v>1814</v>
      </c>
      <c r="K76" s="13">
        <f t="shared" si="1"/>
        <v>0</v>
      </c>
      <c r="L76" s="13">
        <f t="shared" si="2"/>
        <v>1809</v>
      </c>
      <c r="M76" s="13">
        <f t="shared" si="3"/>
        <v>2280</v>
      </c>
      <c r="N76" s="13">
        <f t="shared" si="4"/>
        <v>1814</v>
      </c>
      <c r="O76" s="13" t="str">
        <f t="shared" si="5"/>
        <v>휘발유 45,225원 / 고급유 45,600원</v>
      </c>
      <c r="P76" s="13">
        <f t="shared" si="6"/>
        <v>90825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90825</v>
      </c>
      <c r="U76" s="13">
        <f t="shared" si="10"/>
        <v>2018.3333333333333</v>
      </c>
      <c r="V76" s="13">
        <f t="shared" si="11"/>
        <v>2018.3333333333333</v>
      </c>
      <c r="W76" s="15">
        <f t="shared" si="12"/>
        <v>90825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139</v>
      </c>
      <c r="D77" s="12" t="s">
        <v>140</v>
      </c>
      <c r="E77" s="12" t="s">
        <v>26</v>
      </c>
      <c r="F77" s="12" t="s">
        <v>141</v>
      </c>
      <c r="G77" s="13">
        <v>1819</v>
      </c>
      <c r="H77" s="13">
        <v>2268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2268</v>
      </c>
      <c r="N77" s="13">
        <f t="shared" si="4"/>
        <v>1799</v>
      </c>
      <c r="O77" s="13" t="str">
        <f t="shared" si="5"/>
        <v>휘발유 45,475원 / 고급유 45,360원</v>
      </c>
      <c r="P77" s="13">
        <f t="shared" si="6"/>
        <v>90835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90835</v>
      </c>
      <c r="U77" s="13">
        <f t="shared" si="10"/>
        <v>2018.5555555555557</v>
      </c>
      <c r="V77" s="13">
        <f t="shared" si="11"/>
        <v>2018.5555555555557</v>
      </c>
      <c r="W77" s="15">
        <f t="shared" si="12"/>
        <v>90835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146</v>
      </c>
      <c r="D78" s="16" t="s">
        <v>49</v>
      </c>
      <c r="E78" s="12" t="s">
        <v>26</v>
      </c>
      <c r="F78" s="12" t="s">
        <v>147</v>
      </c>
      <c r="G78" s="13">
        <v>1819</v>
      </c>
      <c r="H78" s="13">
        <v>2275</v>
      </c>
      <c r="I78" s="13"/>
      <c r="J78" s="13">
        <v>1798</v>
      </c>
      <c r="K78" s="13">
        <f t="shared" si="1"/>
        <v>0</v>
      </c>
      <c r="L78" s="13">
        <f t="shared" si="2"/>
        <v>1819</v>
      </c>
      <c r="M78" s="13">
        <f t="shared" si="3"/>
        <v>2275</v>
      </c>
      <c r="N78" s="13">
        <f t="shared" si="4"/>
        <v>1798</v>
      </c>
      <c r="O78" s="13" t="str">
        <f t="shared" si="5"/>
        <v>휘발유 45,475원 / 고급유 45,500원</v>
      </c>
      <c r="P78" s="13">
        <f t="shared" si="6"/>
        <v>90975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90975</v>
      </c>
      <c r="U78" s="13">
        <f t="shared" si="10"/>
        <v>2021.6666666666667</v>
      </c>
      <c r="V78" s="13">
        <f t="shared" si="11"/>
        <v>2021.6666666666667</v>
      </c>
      <c r="W78" s="15">
        <f t="shared" si="12"/>
        <v>90975</v>
      </c>
    </row>
    <row r="79" spans="1:23" s="2" customFormat="1" ht="28.5" customHeight="1">
      <c r="A79" s="12">
        <f t="shared" ref="A79:A142" si="13">IF($T79="","",1+COUNTIF($W$15:$W$884,"&lt;"&amp;W79))</f>
        <v>65</v>
      </c>
      <c r="B79" s="12" t="s">
        <v>6</v>
      </c>
      <c r="C79" s="12" t="s">
        <v>150</v>
      </c>
      <c r="D79" s="16" t="s">
        <v>61</v>
      </c>
      <c r="E79" s="12" t="s">
        <v>70</v>
      </c>
      <c r="F79" s="12" t="s">
        <v>151</v>
      </c>
      <c r="G79" s="13">
        <v>1828</v>
      </c>
      <c r="H79" s="13">
        <v>2265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1828</v>
      </c>
      <c r="M79" s="13">
        <f t="shared" ref="M79:M142" si="16">IF($H79="","",$H79+$K79)</f>
        <v>2265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45,700원 / 고급유 45,300원</v>
      </c>
      <c r="P79" s="13">
        <f t="shared" ref="P79:P142" si="19">IF($B$10=0,"",IFERROR(IF($B$4&gt;0,IF($L79="",1/0,$L79*$B$4),0)+IF($B$5&gt;0,IF($M79="",1/0,$M79*$B$5),0)+IF($B$6&gt;0,IF($N79="",1/0,$N79*$B$6),0),""))</f>
        <v>91000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91000</v>
      </c>
      <c r="U79" s="13">
        <f t="shared" ref="U79:U142" si="23">IF($T79="","",IF($B$10=0,"",$T79/$B$10))</f>
        <v>2022.2222222222222</v>
      </c>
      <c r="V79" s="13">
        <f t="shared" ref="V79:V142" si="24">IF($P79="","",IF($B$10=0,"",$P79/$B$10))</f>
        <v>2022.2222222222222</v>
      </c>
      <c r="W79" s="15">
        <f t="shared" ref="W79:W142" si="25">IF($T79="",1000000000000000,$T79)</f>
        <v>91000</v>
      </c>
    </row>
    <row r="80" spans="1:23" s="2" customFormat="1" ht="28.5" customHeight="1">
      <c r="A80" s="12">
        <f t="shared" si="13"/>
        <v>66</v>
      </c>
      <c r="B80" s="12" t="s">
        <v>6</v>
      </c>
      <c r="C80" s="12" t="s">
        <v>222</v>
      </c>
      <c r="D80" s="16" t="s">
        <v>61</v>
      </c>
      <c r="E80" s="12" t="s">
        <v>26</v>
      </c>
      <c r="F80" s="12" t="s">
        <v>223</v>
      </c>
      <c r="G80" s="13">
        <v>1845</v>
      </c>
      <c r="H80" s="13">
        <v>2249</v>
      </c>
      <c r="I80" s="13"/>
      <c r="J80" s="13">
        <v>1849</v>
      </c>
      <c r="K80" s="13">
        <f t="shared" si="14"/>
        <v>0</v>
      </c>
      <c r="L80" s="13">
        <f t="shared" si="15"/>
        <v>1845</v>
      </c>
      <c r="M80" s="13">
        <f t="shared" si="16"/>
        <v>2249</v>
      </c>
      <c r="N80" s="13">
        <f t="shared" si="17"/>
        <v>1849</v>
      </c>
      <c r="O80" s="13" t="str">
        <f t="shared" si="18"/>
        <v>휘발유 46,125원 / 고급유 44,980원</v>
      </c>
      <c r="P80" s="13">
        <f t="shared" si="19"/>
        <v>91105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91105</v>
      </c>
      <c r="U80" s="13">
        <f t="shared" si="23"/>
        <v>2024.5555555555557</v>
      </c>
      <c r="V80" s="13">
        <f t="shared" si="24"/>
        <v>2024.5555555555557</v>
      </c>
      <c r="W80" s="15">
        <f t="shared" si="25"/>
        <v>91105</v>
      </c>
    </row>
    <row r="81" spans="1:23" s="2" customFormat="1" ht="28.5" customHeight="1">
      <c r="A81" s="12">
        <f t="shared" si="13"/>
        <v>66</v>
      </c>
      <c r="B81" s="12" t="s">
        <v>6</v>
      </c>
      <c r="C81" s="12" t="s">
        <v>224</v>
      </c>
      <c r="D81" s="16" t="s">
        <v>61</v>
      </c>
      <c r="E81" s="12" t="s">
        <v>26</v>
      </c>
      <c r="F81" s="12" t="s">
        <v>225</v>
      </c>
      <c r="G81" s="13">
        <v>1845</v>
      </c>
      <c r="H81" s="13">
        <v>2249</v>
      </c>
      <c r="I81" s="13"/>
      <c r="J81" s="13">
        <v>1849</v>
      </c>
      <c r="K81" s="13">
        <f t="shared" si="14"/>
        <v>0</v>
      </c>
      <c r="L81" s="13">
        <f t="shared" si="15"/>
        <v>1845</v>
      </c>
      <c r="M81" s="13">
        <f t="shared" si="16"/>
        <v>2249</v>
      </c>
      <c r="N81" s="13">
        <f t="shared" si="17"/>
        <v>1849</v>
      </c>
      <c r="O81" s="13" t="str">
        <f t="shared" si="18"/>
        <v>휘발유 46,125원 / 고급유 44,980원</v>
      </c>
      <c r="P81" s="13">
        <f t="shared" si="19"/>
        <v>91105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91105</v>
      </c>
      <c r="U81" s="13">
        <f t="shared" si="23"/>
        <v>2024.5555555555557</v>
      </c>
      <c r="V81" s="13">
        <f t="shared" si="24"/>
        <v>2024.5555555555557</v>
      </c>
      <c r="W81" s="15">
        <f t="shared" si="25"/>
        <v>91105</v>
      </c>
    </row>
    <row r="82" spans="1:23" s="2" customFormat="1" ht="28.5" customHeight="1">
      <c r="A82" s="12">
        <f t="shared" si="13"/>
        <v>68</v>
      </c>
      <c r="B82" s="12" t="s">
        <v>12</v>
      </c>
      <c r="C82" s="12" t="s">
        <v>164</v>
      </c>
      <c r="D82" s="16" t="s">
        <v>61</v>
      </c>
      <c r="E82" s="12" t="s">
        <v>26</v>
      </c>
      <c r="F82" s="12" t="s">
        <v>165</v>
      </c>
      <c r="G82" s="13">
        <v>1809</v>
      </c>
      <c r="H82" s="13">
        <v>2295</v>
      </c>
      <c r="I82" s="13"/>
      <c r="J82" s="13">
        <v>1809</v>
      </c>
      <c r="K82" s="13">
        <f t="shared" si="14"/>
        <v>0</v>
      </c>
      <c r="L82" s="13">
        <f t="shared" si="15"/>
        <v>1809</v>
      </c>
      <c r="M82" s="13">
        <f t="shared" si="16"/>
        <v>2295</v>
      </c>
      <c r="N82" s="13">
        <f t="shared" si="17"/>
        <v>1809</v>
      </c>
      <c r="O82" s="13" t="str">
        <f t="shared" si="18"/>
        <v>휘발유 45,225원 / 고급유 45,900원</v>
      </c>
      <c r="P82" s="13">
        <f t="shared" si="19"/>
        <v>91125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91125</v>
      </c>
      <c r="U82" s="13">
        <f t="shared" si="23"/>
        <v>2025</v>
      </c>
      <c r="V82" s="13">
        <f t="shared" si="24"/>
        <v>2025</v>
      </c>
      <c r="W82" s="15">
        <f t="shared" si="25"/>
        <v>91125</v>
      </c>
    </row>
    <row r="83" spans="1:23" s="2" customFormat="1" ht="28.5" customHeight="1">
      <c r="A83" s="12">
        <f t="shared" si="13"/>
        <v>68</v>
      </c>
      <c r="B83" s="12" t="s">
        <v>16</v>
      </c>
      <c r="C83" s="12" t="s">
        <v>358</v>
      </c>
      <c r="D83" s="16" t="s">
        <v>49</v>
      </c>
      <c r="E83" s="12" t="s">
        <v>26</v>
      </c>
      <c r="F83" s="12" t="s">
        <v>359</v>
      </c>
      <c r="G83" s="13">
        <v>1865</v>
      </c>
      <c r="H83" s="13">
        <v>2225</v>
      </c>
      <c r="I83" s="13"/>
      <c r="J83" s="13">
        <v>1855</v>
      </c>
      <c r="K83" s="13">
        <f t="shared" si="14"/>
        <v>0</v>
      </c>
      <c r="L83" s="13">
        <f t="shared" si="15"/>
        <v>1865</v>
      </c>
      <c r="M83" s="13">
        <f t="shared" si="16"/>
        <v>2225</v>
      </c>
      <c r="N83" s="13">
        <f t="shared" si="17"/>
        <v>1855</v>
      </c>
      <c r="O83" s="13" t="str">
        <f t="shared" si="18"/>
        <v>휘발유 46,625원 / 고급유 44,500원</v>
      </c>
      <c r="P83" s="13">
        <f t="shared" si="19"/>
        <v>91125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91125</v>
      </c>
      <c r="U83" s="13">
        <f t="shared" si="23"/>
        <v>2025</v>
      </c>
      <c r="V83" s="13">
        <f t="shared" si="24"/>
        <v>2025</v>
      </c>
      <c r="W83" s="15">
        <f t="shared" si="25"/>
        <v>91125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158</v>
      </c>
      <c r="D84" s="16" t="s">
        <v>49</v>
      </c>
      <c r="E84" s="12" t="s">
        <v>26</v>
      </c>
      <c r="F84" s="12" t="s">
        <v>159</v>
      </c>
      <c r="G84" s="13">
        <v>1807</v>
      </c>
      <c r="H84" s="13">
        <v>2298</v>
      </c>
      <c r="I84" s="13"/>
      <c r="J84" s="13">
        <v>1795</v>
      </c>
      <c r="K84" s="13">
        <f t="shared" si="14"/>
        <v>0</v>
      </c>
      <c r="L84" s="13">
        <f t="shared" si="15"/>
        <v>1807</v>
      </c>
      <c r="M84" s="13">
        <f t="shared" si="16"/>
        <v>2298</v>
      </c>
      <c r="N84" s="13">
        <f t="shared" si="17"/>
        <v>1795</v>
      </c>
      <c r="O84" s="13" t="str">
        <f t="shared" si="18"/>
        <v>휘발유 45,175원 / 고급유 45,960원</v>
      </c>
      <c r="P84" s="13">
        <f t="shared" si="19"/>
        <v>91135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91135</v>
      </c>
      <c r="U84" s="13">
        <f t="shared" si="23"/>
        <v>2025.2222222222222</v>
      </c>
      <c r="V84" s="13">
        <f t="shared" si="24"/>
        <v>2025.2222222222222</v>
      </c>
      <c r="W84" s="15">
        <f t="shared" si="25"/>
        <v>91135</v>
      </c>
    </row>
    <row r="85" spans="1:23" s="2" customFormat="1" ht="28.5" customHeight="1">
      <c r="A85" s="12">
        <f t="shared" si="13"/>
        <v>70</v>
      </c>
      <c r="B85" s="12" t="s">
        <v>6</v>
      </c>
      <c r="C85" s="12" t="s">
        <v>160</v>
      </c>
      <c r="D85" s="16" t="s">
        <v>49</v>
      </c>
      <c r="E85" s="12" t="s">
        <v>26</v>
      </c>
      <c r="F85" s="12" t="s">
        <v>161</v>
      </c>
      <c r="G85" s="13">
        <v>1807</v>
      </c>
      <c r="H85" s="13">
        <v>2298</v>
      </c>
      <c r="I85" s="13"/>
      <c r="J85" s="13">
        <v>1798</v>
      </c>
      <c r="K85" s="13">
        <f t="shared" si="14"/>
        <v>0</v>
      </c>
      <c r="L85" s="13">
        <f t="shared" si="15"/>
        <v>1807</v>
      </c>
      <c r="M85" s="13">
        <f t="shared" si="16"/>
        <v>2298</v>
      </c>
      <c r="N85" s="13">
        <f t="shared" si="17"/>
        <v>1798</v>
      </c>
      <c r="O85" s="13" t="str">
        <f t="shared" si="18"/>
        <v>휘발유 45,175원 / 고급유 45,960원</v>
      </c>
      <c r="P85" s="13">
        <f t="shared" si="19"/>
        <v>91135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91135</v>
      </c>
      <c r="U85" s="13">
        <f t="shared" si="23"/>
        <v>2025.2222222222222</v>
      </c>
      <c r="V85" s="13">
        <f t="shared" si="24"/>
        <v>2025.2222222222222</v>
      </c>
      <c r="W85" s="15">
        <f t="shared" si="25"/>
        <v>91135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252</v>
      </c>
      <c r="D86" s="16" t="s">
        <v>61</v>
      </c>
      <c r="E86" s="12" t="s">
        <v>26</v>
      </c>
      <c r="F86" s="12" t="s">
        <v>253</v>
      </c>
      <c r="G86" s="13">
        <v>1825</v>
      </c>
      <c r="H86" s="13">
        <v>2278</v>
      </c>
      <c r="I86" s="13"/>
      <c r="J86" s="13">
        <v>1809</v>
      </c>
      <c r="K86" s="13">
        <f t="shared" si="14"/>
        <v>0</v>
      </c>
      <c r="L86" s="13">
        <f t="shared" si="15"/>
        <v>1825</v>
      </c>
      <c r="M86" s="13">
        <f t="shared" si="16"/>
        <v>2278</v>
      </c>
      <c r="N86" s="13">
        <f t="shared" si="17"/>
        <v>1809</v>
      </c>
      <c r="O86" s="13" t="str">
        <f t="shared" si="18"/>
        <v>휘발유 45,625원 / 고급유 45,560원</v>
      </c>
      <c r="P86" s="13">
        <f t="shared" si="19"/>
        <v>91185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91185</v>
      </c>
      <c r="U86" s="13">
        <f t="shared" si="23"/>
        <v>2026.3333333333333</v>
      </c>
      <c r="V86" s="13">
        <f t="shared" si="24"/>
        <v>2026.3333333333333</v>
      </c>
      <c r="W86" s="15">
        <f t="shared" si="25"/>
        <v>91185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244</v>
      </c>
      <c r="D87" s="16" t="s">
        <v>52</v>
      </c>
      <c r="E87" s="12" t="s">
        <v>26</v>
      </c>
      <c r="F87" s="12" t="s">
        <v>245</v>
      </c>
      <c r="G87" s="13">
        <v>1815</v>
      </c>
      <c r="H87" s="13">
        <v>2295</v>
      </c>
      <c r="I87" s="13"/>
      <c r="J87" s="13">
        <v>1799</v>
      </c>
      <c r="K87" s="13">
        <f t="shared" si="14"/>
        <v>0</v>
      </c>
      <c r="L87" s="13">
        <f t="shared" si="15"/>
        <v>1815</v>
      </c>
      <c r="M87" s="13">
        <f t="shared" si="16"/>
        <v>2295</v>
      </c>
      <c r="N87" s="13">
        <f t="shared" si="17"/>
        <v>1799</v>
      </c>
      <c r="O87" s="13" t="str">
        <f t="shared" si="18"/>
        <v>휘발유 45,375원 / 고급유 45,900원</v>
      </c>
      <c r="P87" s="13">
        <f t="shared" si="19"/>
        <v>91275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91275</v>
      </c>
      <c r="U87" s="13">
        <f t="shared" si="23"/>
        <v>2028.3333333333333</v>
      </c>
      <c r="V87" s="13">
        <f t="shared" si="24"/>
        <v>2028.3333333333333</v>
      </c>
      <c r="W87" s="15">
        <f t="shared" si="25"/>
        <v>91275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286</v>
      </c>
      <c r="D88" s="12" t="s">
        <v>49</v>
      </c>
      <c r="E88" s="12" t="s">
        <v>26</v>
      </c>
      <c r="F88" s="12" t="s">
        <v>288</v>
      </c>
      <c r="G88" s="13">
        <v>1824</v>
      </c>
      <c r="H88" s="13">
        <v>2284</v>
      </c>
      <c r="I88" s="13"/>
      <c r="J88" s="13">
        <v>1809</v>
      </c>
      <c r="K88" s="13">
        <f t="shared" si="14"/>
        <v>0</v>
      </c>
      <c r="L88" s="13">
        <f t="shared" si="15"/>
        <v>1824</v>
      </c>
      <c r="M88" s="13">
        <f t="shared" si="16"/>
        <v>2284</v>
      </c>
      <c r="N88" s="13">
        <f t="shared" si="17"/>
        <v>1809</v>
      </c>
      <c r="O88" s="13" t="str">
        <f t="shared" si="18"/>
        <v>휘발유 45,600원 / 고급유 45,680원</v>
      </c>
      <c r="P88" s="13">
        <f t="shared" si="19"/>
        <v>91280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91280</v>
      </c>
      <c r="U88" s="13">
        <f t="shared" si="23"/>
        <v>2028.4444444444443</v>
      </c>
      <c r="V88" s="13">
        <f t="shared" si="24"/>
        <v>2028.4444444444443</v>
      </c>
      <c r="W88" s="15">
        <f t="shared" si="25"/>
        <v>91280</v>
      </c>
    </row>
    <row r="89" spans="1:23" s="8" customFormat="1" ht="28.5" customHeight="1">
      <c r="A89" s="12">
        <f t="shared" si="13"/>
        <v>75</v>
      </c>
      <c r="B89" s="12" t="s">
        <v>6</v>
      </c>
      <c r="C89" s="12" t="s">
        <v>186</v>
      </c>
      <c r="D89" s="12" t="s">
        <v>83</v>
      </c>
      <c r="E89" s="12" t="s">
        <v>70</v>
      </c>
      <c r="F89" s="12" t="s">
        <v>187</v>
      </c>
      <c r="G89" s="13">
        <v>1979</v>
      </c>
      <c r="H89" s="13">
        <v>2598</v>
      </c>
      <c r="I89" s="13"/>
      <c r="J89" s="13">
        <v>1979</v>
      </c>
      <c r="K89" s="13">
        <f t="shared" si="14"/>
        <v>0</v>
      </c>
      <c r="L89" s="13">
        <f t="shared" si="15"/>
        <v>1979</v>
      </c>
      <c r="M89" s="13">
        <f t="shared" si="16"/>
        <v>2598</v>
      </c>
      <c r="N89" s="13">
        <f t="shared" si="17"/>
        <v>1979</v>
      </c>
      <c r="O89" s="13" t="str">
        <f t="shared" si="18"/>
        <v>휘발유 49,475원 / 고급유 51,960원</v>
      </c>
      <c r="P89" s="13">
        <f t="shared" si="19"/>
        <v>101435</v>
      </c>
      <c r="Q89" s="13" t="s">
        <v>47</v>
      </c>
      <c r="R89" s="14">
        <f t="shared" si="20"/>
        <v>0.1</v>
      </c>
      <c r="S89" s="13">
        <f t="shared" si="21"/>
        <v>10143</v>
      </c>
      <c r="T89" s="13">
        <f t="shared" si="22"/>
        <v>91292</v>
      </c>
      <c r="U89" s="13">
        <f t="shared" si="23"/>
        <v>2028.7111111111112</v>
      </c>
      <c r="V89" s="13">
        <f t="shared" si="24"/>
        <v>2254.1111111111113</v>
      </c>
      <c r="W89" s="15">
        <f t="shared" si="25"/>
        <v>91292</v>
      </c>
    </row>
    <row r="90" spans="1:23" s="2" customFormat="1" ht="28.5" customHeight="1">
      <c r="A90" s="12">
        <f t="shared" si="13"/>
        <v>76</v>
      </c>
      <c r="B90" s="12" t="s">
        <v>10</v>
      </c>
      <c r="C90" s="12" t="s">
        <v>174</v>
      </c>
      <c r="D90" s="12" t="s">
        <v>83</v>
      </c>
      <c r="E90" s="12" t="s">
        <v>26</v>
      </c>
      <c r="F90" s="12" t="s">
        <v>175</v>
      </c>
      <c r="G90" s="13">
        <v>1829</v>
      </c>
      <c r="H90" s="13">
        <v>2280</v>
      </c>
      <c r="I90" s="13"/>
      <c r="J90" s="13">
        <v>1829</v>
      </c>
      <c r="K90" s="13">
        <f t="shared" si="14"/>
        <v>0</v>
      </c>
      <c r="L90" s="13">
        <f t="shared" si="15"/>
        <v>1829</v>
      </c>
      <c r="M90" s="13">
        <f t="shared" si="16"/>
        <v>2280</v>
      </c>
      <c r="N90" s="13">
        <f t="shared" si="17"/>
        <v>1829</v>
      </c>
      <c r="O90" s="13" t="str">
        <f t="shared" si="18"/>
        <v>휘발유 45,725원 / 고급유 45,600원</v>
      </c>
      <c r="P90" s="13">
        <f t="shared" si="19"/>
        <v>91325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91325</v>
      </c>
      <c r="U90" s="13">
        <f t="shared" si="23"/>
        <v>2029.4444444444443</v>
      </c>
      <c r="V90" s="13">
        <f t="shared" si="24"/>
        <v>2029.4444444444443</v>
      </c>
      <c r="W90" s="15">
        <f t="shared" si="25"/>
        <v>91325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270</v>
      </c>
      <c r="D91" s="16" t="s">
        <v>49</v>
      </c>
      <c r="E91" s="12" t="s">
        <v>26</v>
      </c>
      <c r="F91" s="12" t="s">
        <v>271</v>
      </c>
      <c r="G91" s="13">
        <v>1822</v>
      </c>
      <c r="H91" s="13">
        <v>2290</v>
      </c>
      <c r="I91" s="13"/>
      <c r="J91" s="13">
        <v>1812</v>
      </c>
      <c r="K91" s="13">
        <f t="shared" si="14"/>
        <v>0</v>
      </c>
      <c r="L91" s="13">
        <f t="shared" si="15"/>
        <v>1822</v>
      </c>
      <c r="M91" s="13">
        <f t="shared" si="16"/>
        <v>2290</v>
      </c>
      <c r="N91" s="13">
        <f t="shared" si="17"/>
        <v>1812</v>
      </c>
      <c r="O91" s="13" t="str">
        <f t="shared" si="18"/>
        <v>휘발유 45,550원 / 고급유 45,800원</v>
      </c>
      <c r="P91" s="13">
        <f t="shared" si="19"/>
        <v>91350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91350</v>
      </c>
      <c r="U91" s="13">
        <f t="shared" si="23"/>
        <v>2030</v>
      </c>
      <c r="V91" s="13">
        <f t="shared" si="24"/>
        <v>2030</v>
      </c>
      <c r="W91" s="15">
        <f t="shared" si="25"/>
        <v>91350</v>
      </c>
    </row>
    <row r="92" spans="1:23" s="2" customFormat="1" ht="28.5" customHeight="1">
      <c r="A92" s="12">
        <f t="shared" si="13"/>
        <v>77</v>
      </c>
      <c r="B92" s="12" t="s">
        <v>6</v>
      </c>
      <c r="C92" s="12" t="s">
        <v>166</v>
      </c>
      <c r="D92" s="16" t="s">
        <v>52</v>
      </c>
      <c r="E92" s="12" t="s">
        <v>26</v>
      </c>
      <c r="F92" s="12" t="s">
        <v>167</v>
      </c>
      <c r="G92" s="13">
        <v>1858</v>
      </c>
      <c r="H92" s="13">
        <v>2245</v>
      </c>
      <c r="I92" s="13"/>
      <c r="J92" s="13">
        <v>1795</v>
      </c>
      <c r="K92" s="13">
        <f t="shared" si="14"/>
        <v>0</v>
      </c>
      <c r="L92" s="13">
        <f t="shared" si="15"/>
        <v>1858</v>
      </c>
      <c r="M92" s="13">
        <f t="shared" si="16"/>
        <v>2245</v>
      </c>
      <c r="N92" s="13">
        <f t="shared" si="17"/>
        <v>1795</v>
      </c>
      <c r="O92" s="13" t="str">
        <f t="shared" si="18"/>
        <v>휘발유 46,450원 / 고급유 44,900원</v>
      </c>
      <c r="P92" s="13">
        <f t="shared" si="19"/>
        <v>91350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91350</v>
      </c>
      <c r="U92" s="13">
        <f t="shared" si="23"/>
        <v>2030</v>
      </c>
      <c r="V92" s="13">
        <f t="shared" si="24"/>
        <v>2030</v>
      </c>
      <c r="W92" s="15">
        <f t="shared" si="25"/>
        <v>91350</v>
      </c>
    </row>
    <row r="93" spans="1:23" s="17" customFormat="1" ht="28.5" customHeight="1">
      <c r="A93" s="12">
        <f t="shared" si="13"/>
        <v>79</v>
      </c>
      <c r="B93" s="12" t="s">
        <v>10</v>
      </c>
      <c r="C93" s="12" t="s">
        <v>176</v>
      </c>
      <c r="D93" s="16" t="s">
        <v>52</v>
      </c>
      <c r="E93" s="12" t="s">
        <v>26</v>
      </c>
      <c r="F93" s="12" t="s">
        <v>177</v>
      </c>
      <c r="G93" s="13">
        <v>1824</v>
      </c>
      <c r="H93" s="13">
        <v>2289</v>
      </c>
      <c r="I93" s="13"/>
      <c r="J93" s="13">
        <v>1798</v>
      </c>
      <c r="K93" s="13">
        <f t="shared" si="14"/>
        <v>0</v>
      </c>
      <c r="L93" s="13">
        <f t="shared" si="15"/>
        <v>1824</v>
      </c>
      <c r="M93" s="13">
        <f t="shared" si="16"/>
        <v>2289</v>
      </c>
      <c r="N93" s="13">
        <f t="shared" si="17"/>
        <v>1798</v>
      </c>
      <c r="O93" s="13" t="str">
        <f t="shared" si="18"/>
        <v>휘발유 45,600원 / 고급유 45,780원</v>
      </c>
      <c r="P93" s="13">
        <f t="shared" si="19"/>
        <v>91380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91380</v>
      </c>
      <c r="U93" s="13">
        <f t="shared" si="23"/>
        <v>2030.6666666666667</v>
      </c>
      <c r="V93" s="13">
        <f t="shared" si="24"/>
        <v>2030.6666666666667</v>
      </c>
      <c r="W93" s="15">
        <f t="shared" si="25"/>
        <v>91380</v>
      </c>
    </row>
    <row r="94" spans="1:23" s="2" customFormat="1" ht="28.5" customHeight="1">
      <c r="A94" s="12">
        <f t="shared" si="13"/>
        <v>80</v>
      </c>
      <c r="B94" s="12" t="s">
        <v>8</v>
      </c>
      <c r="C94" s="12" t="s">
        <v>204</v>
      </c>
      <c r="D94" s="16" t="s">
        <v>52</v>
      </c>
      <c r="E94" s="12" t="s">
        <v>26</v>
      </c>
      <c r="F94" s="12" t="s">
        <v>205</v>
      </c>
      <c r="G94" s="13">
        <v>1839</v>
      </c>
      <c r="H94" s="13">
        <v>2271</v>
      </c>
      <c r="I94" s="13"/>
      <c r="J94" s="13">
        <v>1839</v>
      </c>
      <c r="K94" s="13">
        <f t="shared" si="14"/>
        <v>0</v>
      </c>
      <c r="L94" s="13">
        <f t="shared" si="15"/>
        <v>1839</v>
      </c>
      <c r="M94" s="13">
        <f t="shared" si="16"/>
        <v>2271</v>
      </c>
      <c r="N94" s="13">
        <f t="shared" si="17"/>
        <v>1839</v>
      </c>
      <c r="O94" s="13" t="str">
        <f t="shared" si="18"/>
        <v>휘발유 45,975원 / 고급유 45,420원</v>
      </c>
      <c r="P94" s="13">
        <f t="shared" si="19"/>
        <v>91395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91395</v>
      </c>
      <c r="U94" s="13">
        <f t="shared" si="23"/>
        <v>2031</v>
      </c>
      <c r="V94" s="13">
        <f t="shared" si="24"/>
        <v>2031</v>
      </c>
      <c r="W94" s="15">
        <f t="shared" si="25"/>
        <v>91395</v>
      </c>
    </row>
    <row r="95" spans="1:23" s="8" customFormat="1" ht="28.5" customHeight="1">
      <c r="A95" s="12">
        <f t="shared" si="13"/>
        <v>81</v>
      </c>
      <c r="B95" s="12" t="s">
        <v>12</v>
      </c>
      <c r="C95" s="12" t="s">
        <v>170</v>
      </c>
      <c r="D95" s="16" t="s">
        <v>61</v>
      </c>
      <c r="E95" s="12" t="s">
        <v>26</v>
      </c>
      <c r="F95" s="12" t="s">
        <v>171</v>
      </c>
      <c r="G95" s="13">
        <v>1829</v>
      </c>
      <c r="H95" s="13">
        <v>2285</v>
      </c>
      <c r="I95" s="13"/>
      <c r="J95" s="13">
        <v>1819</v>
      </c>
      <c r="K95" s="13">
        <f t="shared" si="14"/>
        <v>0</v>
      </c>
      <c r="L95" s="13">
        <f t="shared" si="15"/>
        <v>1829</v>
      </c>
      <c r="M95" s="13">
        <f t="shared" si="16"/>
        <v>2285</v>
      </c>
      <c r="N95" s="13">
        <f t="shared" si="17"/>
        <v>1819</v>
      </c>
      <c r="O95" s="13" t="str">
        <f t="shared" si="18"/>
        <v>휘발유 45,725원 / 고급유 45,700원</v>
      </c>
      <c r="P95" s="13">
        <f t="shared" si="19"/>
        <v>91425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91425</v>
      </c>
      <c r="U95" s="13">
        <f t="shared" si="23"/>
        <v>2031.6666666666667</v>
      </c>
      <c r="V95" s="13">
        <f t="shared" si="24"/>
        <v>2031.6666666666667</v>
      </c>
      <c r="W95" s="15">
        <f t="shared" si="25"/>
        <v>91425</v>
      </c>
    </row>
    <row r="96" spans="1:23" s="17" customFormat="1" ht="28.5" customHeight="1">
      <c r="A96" s="12">
        <f t="shared" si="13"/>
        <v>82</v>
      </c>
      <c r="B96" s="12" t="s">
        <v>8</v>
      </c>
      <c r="C96" s="12" t="s">
        <v>180</v>
      </c>
      <c r="D96" s="16" t="s">
        <v>49</v>
      </c>
      <c r="E96" s="12" t="s">
        <v>26</v>
      </c>
      <c r="F96" s="12" t="s">
        <v>181</v>
      </c>
      <c r="G96" s="13">
        <v>1829</v>
      </c>
      <c r="H96" s="13">
        <v>2289</v>
      </c>
      <c r="I96" s="13"/>
      <c r="J96" s="13">
        <v>1815</v>
      </c>
      <c r="K96" s="13">
        <f t="shared" si="14"/>
        <v>0</v>
      </c>
      <c r="L96" s="13">
        <f t="shared" si="15"/>
        <v>1829</v>
      </c>
      <c r="M96" s="13">
        <f t="shared" si="16"/>
        <v>2289</v>
      </c>
      <c r="N96" s="13">
        <f t="shared" si="17"/>
        <v>1815</v>
      </c>
      <c r="O96" s="13" t="str">
        <f t="shared" si="18"/>
        <v>휘발유 45,725원 / 고급유 45,780원</v>
      </c>
      <c r="P96" s="13">
        <f t="shared" si="19"/>
        <v>91505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91505</v>
      </c>
      <c r="U96" s="13">
        <f t="shared" si="23"/>
        <v>2033.4444444444443</v>
      </c>
      <c r="V96" s="13">
        <f t="shared" si="24"/>
        <v>2033.4444444444443</v>
      </c>
      <c r="W96" s="15">
        <f t="shared" si="25"/>
        <v>91505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178</v>
      </c>
      <c r="D97" s="12" t="s">
        <v>83</v>
      </c>
      <c r="E97" s="12" t="s">
        <v>26</v>
      </c>
      <c r="F97" s="12" t="s">
        <v>179</v>
      </c>
      <c r="G97" s="13">
        <v>1847</v>
      </c>
      <c r="H97" s="13">
        <v>2267</v>
      </c>
      <c r="I97" s="13"/>
      <c r="J97" s="13">
        <v>1827</v>
      </c>
      <c r="K97" s="13">
        <f t="shared" si="14"/>
        <v>0</v>
      </c>
      <c r="L97" s="13">
        <f t="shared" si="15"/>
        <v>1847</v>
      </c>
      <c r="M97" s="13">
        <f t="shared" si="16"/>
        <v>2267</v>
      </c>
      <c r="N97" s="13">
        <f t="shared" si="17"/>
        <v>1827</v>
      </c>
      <c r="O97" s="13" t="str">
        <f t="shared" si="18"/>
        <v>휘발유 46,175원 / 고급유 45,340원</v>
      </c>
      <c r="P97" s="13">
        <f t="shared" si="19"/>
        <v>91515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91515</v>
      </c>
      <c r="U97" s="13">
        <f t="shared" si="23"/>
        <v>2033.6666666666667</v>
      </c>
      <c r="V97" s="13">
        <f t="shared" si="24"/>
        <v>2033.6666666666667</v>
      </c>
      <c r="W97" s="15">
        <f t="shared" si="25"/>
        <v>91515</v>
      </c>
    </row>
    <row r="98" spans="1:23" s="2" customFormat="1" ht="28.5" customHeight="1">
      <c r="A98" s="12">
        <f t="shared" si="13"/>
        <v>84</v>
      </c>
      <c r="B98" s="12" t="s">
        <v>6</v>
      </c>
      <c r="C98" s="12" t="s">
        <v>214</v>
      </c>
      <c r="D98" s="16" t="s">
        <v>52</v>
      </c>
      <c r="E98" s="12" t="s">
        <v>70</v>
      </c>
      <c r="F98" s="12" t="s">
        <v>215</v>
      </c>
      <c r="G98" s="13">
        <v>1823</v>
      </c>
      <c r="H98" s="13">
        <v>2298</v>
      </c>
      <c r="I98" s="13"/>
      <c r="J98" s="13">
        <v>1829</v>
      </c>
      <c r="K98" s="13">
        <f t="shared" si="14"/>
        <v>0</v>
      </c>
      <c r="L98" s="13">
        <f t="shared" si="15"/>
        <v>1823</v>
      </c>
      <c r="M98" s="13">
        <f t="shared" si="16"/>
        <v>2298</v>
      </c>
      <c r="N98" s="13">
        <f t="shared" si="17"/>
        <v>1829</v>
      </c>
      <c r="O98" s="13" t="str">
        <f t="shared" si="18"/>
        <v>휘발유 45,575원 / 고급유 45,960원</v>
      </c>
      <c r="P98" s="13">
        <f t="shared" si="19"/>
        <v>91535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91535</v>
      </c>
      <c r="U98" s="13">
        <f t="shared" si="23"/>
        <v>2034.1111111111111</v>
      </c>
      <c r="V98" s="13">
        <f t="shared" si="24"/>
        <v>2034.1111111111111</v>
      </c>
      <c r="W98" s="15">
        <f t="shared" si="25"/>
        <v>91535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303</v>
      </c>
      <c r="D99" s="12" t="s">
        <v>45</v>
      </c>
      <c r="E99" s="12" t="s">
        <v>26</v>
      </c>
      <c r="F99" s="12" t="s">
        <v>304</v>
      </c>
      <c r="G99" s="13">
        <v>1823</v>
      </c>
      <c r="H99" s="13">
        <v>2299</v>
      </c>
      <c r="I99" s="13"/>
      <c r="J99" s="13">
        <v>1798</v>
      </c>
      <c r="K99" s="13">
        <f t="shared" si="14"/>
        <v>0</v>
      </c>
      <c r="L99" s="13">
        <f t="shared" si="15"/>
        <v>1823</v>
      </c>
      <c r="M99" s="13">
        <f t="shared" si="16"/>
        <v>2299</v>
      </c>
      <c r="N99" s="13">
        <f t="shared" si="17"/>
        <v>1798</v>
      </c>
      <c r="O99" s="13" t="str">
        <f t="shared" si="18"/>
        <v>휘발유 45,575원 / 고급유 45,980원</v>
      </c>
      <c r="P99" s="13">
        <f t="shared" si="19"/>
        <v>91555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91555</v>
      </c>
      <c r="U99" s="13">
        <f t="shared" si="23"/>
        <v>2034.5555555555557</v>
      </c>
      <c r="V99" s="13">
        <f t="shared" si="24"/>
        <v>2034.5555555555557</v>
      </c>
      <c r="W99" s="15">
        <f t="shared" si="25"/>
        <v>91555</v>
      </c>
    </row>
    <row r="100" spans="1:23" s="17" customFormat="1" ht="28.5" customHeight="1">
      <c r="A100" s="12">
        <f t="shared" si="13"/>
        <v>86</v>
      </c>
      <c r="B100" s="12" t="s">
        <v>10</v>
      </c>
      <c r="C100" s="12" t="s">
        <v>184</v>
      </c>
      <c r="D100" s="12" t="s">
        <v>45</v>
      </c>
      <c r="E100" s="12" t="s">
        <v>26</v>
      </c>
      <c r="F100" s="12" t="s">
        <v>185</v>
      </c>
      <c r="G100" s="13">
        <v>1836</v>
      </c>
      <c r="H100" s="13">
        <v>2287</v>
      </c>
      <c r="I100" s="13"/>
      <c r="J100" s="13">
        <v>1799</v>
      </c>
      <c r="K100" s="13">
        <f t="shared" si="14"/>
        <v>0</v>
      </c>
      <c r="L100" s="13">
        <f t="shared" si="15"/>
        <v>1836</v>
      </c>
      <c r="M100" s="13">
        <f t="shared" si="16"/>
        <v>2287</v>
      </c>
      <c r="N100" s="13">
        <f t="shared" si="17"/>
        <v>1799</v>
      </c>
      <c r="O100" s="13" t="str">
        <f t="shared" si="18"/>
        <v>휘발유 45,900원 / 고급유 45,740원</v>
      </c>
      <c r="P100" s="13">
        <f t="shared" si="19"/>
        <v>91640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91640</v>
      </c>
      <c r="U100" s="13">
        <f t="shared" si="23"/>
        <v>2036.4444444444443</v>
      </c>
      <c r="V100" s="13">
        <f t="shared" si="24"/>
        <v>2036.4444444444443</v>
      </c>
      <c r="W100" s="15">
        <f t="shared" si="25"/>
        <v>91640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348</v>
      </c>
      <c r="D101" s="16" t="s">
        <v>52</v>
      </c>
      <c r="E101" s="12" t="s">
        <v>26</v>
      </c>
      <c r="F101" s="12" t="s">
        <v>349</v>
      </c>
      <c r="G101" s="13">
        <v>1828</v>
      </c>
      <c r="H101" s="13">
        <v>2298</v>
      </c>
      <c r="I101" s="13"/>
      <c r="J101" s="13">
        <v>1811</v>
      </c>
      <c r="K101" s="13">
        <f t="shared" si="14"/>
        <v>0</v>
      </c>
      <c r="L101" s="13">
        <f t="shared" si="15"/>
        <v>1828</v>
      </c>
      <c r="M101" s="13">
        <f t="shared" si="16"/>
        <v>2298</v>
      </c>
      <c r="N101" s="13">
        <f t="shared" si="17"/>
        <v>1811</v>
      </c>
      <c r="O101" s="13" t="str">
        <f t="shared" si="18"/>
        <v>휘발유 45,700원 / 고급유 45,960원</v>
      </c>
      <c r="P101" s="13">
        <f t="shared" si="19"/>
        <v>91660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91660</v>
      </c>
      <c r="U101" s="13">
        <f t="shared" si="23"/>
        <v>2036.8888888888889</v>
      </c>
      <c r="V101" s="13">
        <f t="shared" si="24"/>
        <v>2036.8888888888889</v>
      </c>
      <c r="W101" s="15">
        <f t="shared" si="25"/>
        <v>91660</v>
      </c>
    </row>
    <row r="102" spans="1:23" s="2" customFormat="1" ht="28.5" customHeight="1">
      <c r="A102" s="12">
        <f t="shared" si="13"/>
        <v>88</v>
      </c>
      <c r="B102" s="12" t="s">
        <v>14</v>
      </c>
      <c r="C102" s="12" t="s">
        <v>198</v>
      </c>
      <c r="D102" s="12" t="s">
        <v>83</v>
      </c>
      <c r="E102" s="12" t="s">
        <v>26</v>
      </c>
      <c r="F102" s="12" t="s">
        <v>199</v>
      </c>
      <c r="G102" s="13">
        <v>1839</v>
      </c>
      <c r="H102" s="13">
        <v>2285</v>
      </c>
      <c r="I102" s="13"/>
      <c r="J102" s="13">
        <v>1815</v>
      </c>
      <c r="K102" s="13">
        <f t="shared" si="14"/>
        <v>0</v>
      </c>
      <c r="L102" s="13">
        <f t="shared" si="15"/>
        <v>1839</v>
      </c>
      <c r="M102" s="13">
        <f t="shared" si="16"/>
        <v>2285</v>
      </c>
      <c r="N102" s="13">
        <f t="shared" si="17"/>
        <v>1815</v>
      </c>
      <c r="O102" s="13" t="str">
        <f t="shared" si="18"/>
        <v>휘발유 45,975원 / 고급유 45,700원</v>
      </c>
      <c r="P102" s="13">
        <f t="shared" si="19"/>
        <v>91675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91675</v>
      </c>
      <c r="U102" s="13">
        <f t="shared" si="23"/>
        <v>2037.2222222222222</v>
      </c>
      <c r="V102" s="13">
        <f t="shared" si="24"/>
        <v>2037.2222222222222</v>
      </c>
      <c r="W102" s="15">
        <f t="shared" si="25"/>
        <v>91675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280</v>
      </c>
      <c r="D103" s="16" t="s">
        <v>52</v>
      </c>
      <c r="E103" s="12" t="s">
        <v>26</v>
      </c>
      <c r="F103" s="12" t="s">
        <v>281</v>
      </c>
      <c r="G103" s="13">
        <v>1844</v>
      </c>
      <c r="H103" s="13">
        <v>2279</v>
      </c>
      <c r="I103" s="13"/>
      <c r="J103" s="13">
        <v>1819</v>
      </c>
      <c r="K103" s="13">
        <f t="shared" si="14"/>
        <v>0</v>
      </c>
      <c r="L103" s="13">
        <f t="shared" si="15"/>
        <v>1844</v>
      </c>
      <c r="M103" s="13">
        <f t="shared" si="16"/>
        <v>2279</v>
      </c>
      <c r="N103" s="13">
        <f t="shared" si="17"/>
        <v>1819</v>
      </c>
      <c r="O103" s="13" t="str">
        <f t="shared" si="18"/>
        <v>휘발유 46,100원 / 고급유 45,580원</v>
      </c>
      <c r="P103" s="13">
        <f t="shared" si="19"/>
        <v>91680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91680</v>
      </c>
      <c r="U103" s="13">
        <f t="shared" si="23"/>
        <v>2037.3333333333333</v>
      </c>
      <c r="V103" s="13">
        <f t="shared" si="24"/>
        <v>2037.3333333333333</v>
      </c>
      <c r="W103" s="15">
        <f t="shared" si="25"/>
        <v>91680</v>
      </c>
    </row>
    <row r="104" spans="1:23" s="2" customFormat="1" ht="28.5" customHeight="1">
      <c r="A104" s="12">
        <f t="shared" si="13"/>
        <v>90</v>
      </c>
      <c r="B104" s="12" t="s">
        <v>6</v>
      </c>
      <c r="C104" s="12" t="s">
        <v>218</v>
      </c>
      <c r="D104" s="12" t="s">
        <v>83</v>
      </c>
      <c r="E104" s="12" t="s">
        <v>26</v>
      </c>
      <c r="F104" s="12" t="s">
        <v>219</v>
      </c>
      <c r="G104" s="13">
        <v>1829</v>
      </c>
      <c r="H104" s="13">
        <v>2298</v>
      </c>
      <c r="I104" s="13"/>
      <c r="J104" s="13">
        <v>1814</v>
      </c>
      <c r="K104" s="13">
        <f t="shared" si="14"/>
        <v>0</v>
      </c>
      <c r="L104" s="13">
        <f t="shared" si="15"/>
        <v>1829</v>
      </c>
      <c r="M104" s="13">
        <f t="shared" si="16"/>
        <v>2298</v>
      </c>
      <c r="N104" s="13">
        <f t="shared" si="17"/>
        <v>1814</v>
      </c>
      <c r="O104" s="13" t="str">
        <f t="shared" si="18"/>
        <v>휘발유 45,725원 / 고급유 45,960원</v>
      </c>
      <c r="P104" s="13">
        <f t="shared" si="19"/>
        <v>91685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91685</v>
      </c>
      <c r="U104" s="13">
        <f t="shared" si="23"/>
        <v>2037.4444444444443</v>
      </c>
      <c r="V104" s="13">
        <f t="shared" si="24"/>
        <v>2037.4444444444443</v>
      </c>
      <c r="W104" s="15">
        <f t="shared" si="25"/>
        <v>91685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210</v>
      </c>
      <c r="D105" s="12" t="s">
        <v>83</v>
      </c>
      <c r="E105" s="12" t="s">
        <v>26</v>
      </c>
      <c r="F105" s="12" t="s">
        <v>211</v>
      </c>
      <c r="G105" s="13">
        <v>1839</v>
      </c>
      <c r="H105" s="13">
        <v>2289</v>
      </c>
      <c r="I105" s="13"/>
      <c r="J105" s="13">
        <v>1819</v>
      </c>
      <c r="K105" s="13">
        <f t="shared" si="14"/>
        <v>0</v>
      </c>
      <c r="L105" s="13">
        <f t="shared" si="15"/>
        <v>1839</v>
      </c>
      <c r="M105" s="13">
        <f t="shared" si="16"/>
        <v>2289</v>
      </c>
      <c r="N105" s="13">
        <f t="shared" si="17"/>
        <v>1819</v>
      </c>
      <c r="O105" s="13" t="str">
        <f t="shared" si="18"/>
        <v>휘발유 45,975원 / 고급유 45,780원</v>
      </c>
      <c r="P105" s="13">
        <f t="shared" si="19"/>
        <v>91755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91755</v>
      </c>
      <c r="U105" s="13">
        <f t="shared" si="23"/>
        <v>2039</v>
      </c>
      <c r="V105" s="13">
        <f t="shared" si="24"/>
        <v>2039</v>
      </c>
      <c r="W105" s="15">
        <f t="shared" si="25"/>
        <v>91755</v>
      </c>
    </row>
    <row r="106" spans="1:23" s="2" customFormat="1" ht="28.5" customHeight="1">
      <c r="A106" s="12">
        <f t="shared" si="13"/>
        <v>91</v>
      </c>
      <c r="B106" s="12" t="s">
        <v>6</v>
      </c>
      <c r="C106" s="12" t="s">
        <v>188</v>
      </c>
      <c r="D106" s="16" t="s">
        <v>61</v>
      </c>
      <c r="E106" s="12" t="s">
        <v>26</v>
      </c>
      <c r="F106" s="12" t="s">
        <v>189</v>
      </c>
      <c r="G106" s="13">
        <v>1855</v>
      </c>
      <c r="H106" s="13">
        <v>2269</v>
      </c>
      <c r="I106" s="13"/>
      <c r="J106" s="13">
        <v>1835</v>
      </c>
      <c r="K106" s="13">
        <f t="shared" si="14"/>
        <v>0</v>
      </c>
      <c r="L106" s="13">
        <f t="shared" si="15"/>
        <v>1855</v>
      </c>
      <c r="M106" s="13">
        <f t="shared" si="16"/>
        <v>2269</v>
      </c>
      <c r="N106" s="13">
        <f t="shared" si="17"/>
        <v>1835</v>
      </c>
      <c r="O106" s="13" t="str">
        <f t="shared" si="18"/>
        <v>휘발유 46,375원 / 고급유 45,380원</v>
      </c>
      <c r="P106" s="13">
        <f t="shared" si="19"/>
        <v>91755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91755</v>
      </c>
      <c r="U106" s="13">
        <f t="shared" si="23"/>
        <v>2039</v>
      </c>
      <c r="V106" s="13">
        <f t="shared" si="24"/>
        <v>2039</v>
      </c>
      <c r="W106" s="15">
        <f t="shared" si="25"/>
        <v>91755</v>
      </c>
    </row>
    <row r="107" spans="1:23" s="17" customFormat="1" ht="28.5" customHeight="1">
      <c r="A107" s="12">
        <f t="shared" si="13"/>
        <v>93</v>
      </c>
      <c r="B107" s="12" t="s">
        <v>16</v>
      </c>
      <c r="C107" s="12" t="s">
        <v>190</v>
      </c>
      <c r="D107" s="16" t="s">
        <v>61</v>
      </c>
      <c r="E107" s="12" t="s">
        <v>26</v>
      </c>
      <c r="F107" s="12" t="s">
        <v>191</v>
      </c>
      <c r="G107" s="13">
        <v>1895</v>
      </c>
      <c r="H107" s="13">
        <v>2220</v>
      </c>
      <c r="I107" s="13"/>
      <c r="J107" s="13">
        <v>1875</v>
      </c>
      <c r="K107" s="13">
        <f t="shared" si="14"/>
        <v>0</v>
      </c>
      <c r="L107" s="13">
        <f t="shared" si="15"/>
        <v>1895</v>
      </c>
      <c r="M107" s="13">
        <f t="shared" si="16"/>
        <v>2220</v>
      </c>
      <c r="N107" s="13">
        <f t="shared" si="17"/>
        <v>1875</v>
      </c>
      <c r="O107" s="13" t="str">
        <f t="shared" si="18"/>
        <v>휘발유 47,375원 / 고급유 44,400원</v>
      </c>
      <c r="P107" s="13">
        <f t="shared" si="19"/>
        <v>91775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91775</v>
      </c>
      <c r="U107" s="13">
        <f t="shared" si="23"/>
        <v>2039.4444444444443</v>
      </c>
      <c r="V107" s="13">
        <f t="shared" si="24"/>
        <v>2039.4444444444443</v>
      </c>
      <c r="W107" s="15">
        <f t="shared" si="25"/>
        <v>91775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192</v>
      </c>
      <c r="D108" s="16" t="s">
        <v>52</v>
      </c>
      <c r="E108" s="12" t="s">
        <v>26</v>
      </c>
      <c r="F108" s="12" t="s">
        <v>193</v>
      </c>
      <c r="G108" s="13">
        <v>1848</v>
      </c>
      <c r="H108" s="13">
        <v>2280</v>
      </c>
      <c r="I108" s="13"/>
      <c r="J108" s="13">
        <v>1789</v>
      </c>
      <c r="K108" s="13">
        <f t="shared" si="14"/>
        <v>0</v>
      </c>
      <c r="L108" s="13">
        <f t="shared" si="15"/>
        <v>1848</v>
      </c>
      <c r="M108" s="13">
        <f t="shared" si="16"/>
        <v>2280</v>
      </c>
      <c r="N108" s="13">
        <f t="shared" si="17"/>
        <v>1789</v>
      </c>
      <c r="O108" s="13" t="str">
        <f t="shared" si="18"/>
        <v>휘발유 46,200원 / 고급유 45,600원</v>
      </c>
      <c r="P108" s="13">
        <f t="shared" si="19"/>
        <v>91800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91800</v>
      </c>
      <c r="U108" s="13">
        <f t="shared" si="23"/>
        <v>2040</v>
      </c>
      <c r="V108" s="13">
        <f t="shared" si="24"/>
        <v>2040</v>
      </c>
      <c r="W108" s="15">
        <f t="shared" si="25"/>
        <v>91800</v>
      </c>
    </row>
    <row r="109" spans="1:23" s="2" customFormat="1" ht="28.5" customHeight="1">
      <c r="A109" s="12">
        <f t="shared" si="13"/>
        <v>95</v>
      </c>
      <c r="B109" s="12" t="s">
        <v>10</v>
      </c>
      <c r="C109" s="12" t="s">
        <v>194</v>
      </c>
      <c r="D109" s="12" t="s">
        <v>45</v>
      </c>
      <c r="E109" s="12" t="s">
        <v>26</v>
      </c>
      <c r="F109" s="12" t="s">
        <v>195</v>
      </c>
      <c r="G109" s="13">
        <v>1834</v>
      </c>
      <c r="H109" s="13">
        <v>2299</v>
      </c>
      <c r="I109" s="13"/>
      <c r="J109" s="13">
        <v>1822</v>
      </c>
      <c r="K109" s="13">
        <f t="shared" si="14"/>
        <v>0</v>
      </c>
      <c r="L109" s="13">
        <f t="shared" si="15"/>
        <v>1834</v>
      </c>
      <c r="M109" s="13">
        <f t="shared" si="16"/>
        <v>2299</v>
      </c>
      <c r="N109" s="13">
        <f t="shared" si="17"/>
        <v>1822</v>
      </c>
      <c r="O109" s="13" t="str">
        <f t="shared" si="18"/>
        <v>휘발유 45,850원 / 고급유 45,980원</v>
      </c>
      <c r="P109" s="13">
        <f t="shared" si="19"/>
        <v>91830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91830</v>
      </c>
      <c r="U109" s="13">
        <f t="shared" si="23"/>
        <v>2040.6666666666667</v>
      </c>
      <c r="V109" s="13">
        <f t="shared" si="24"/>
        <v>2040.6666666666667</v>
      </c>
      <c r="W109" s="15">
        <f t="shared" si="25"/>
        <v>91830</v>
      </c>
    </row>
    <row r="110" spans="1:23" s="8" customFormat="1" ht="28.5" customHeight="1">
      <c r="A110" s="12">
        <f t="shared" si="13"/>
        <v>96</v>
      </c>
      <c r="B110" s="12" t="s">
        <v>12</v>
      </c>
      <c r="C110" s="12" t="s">
        <v>200</v>
      </c>
      <c r="D110" s="16" t="s">
        <v>52</v>
      </c>
      <c r="E110" s="12" t="s">
        <v>26</v>
      </c>
      <c r="F110" s="12" t="s">
        <v>201</v>
      </c>
      <c r="G110" s="13">
        <v>1858</v>
      </c>
      <c r="H110" s="13">
        <v>2275</v>
      </c>
      <c r="I110" s="13"/>
      <c r="J110" s="13">
        <v>1789</v>
      </c>
      <c r="K110" s="13">
        <f t="shared" si="14"/>
        <v>0</v>
      </c>
      <c r="L110" s="13">
        <f t="shared" si="15"/>
        <v>1858</v>
      </c>
      <c r="M110" s="13">
        <f t="shared" si="16"/>
        <v>2275</v>
      </c>
      <c r="N110" s="13">
        <f t="shared" si="17"/>
        <v>1789</v>
      </c>
      <c r="O110" s="13" t="str">
        <f t="shared" si="18"/>
        <v>휘발유 46,450원 / 고급유 45,500원</v>
      </c>
      <c r="P110" s="13">
        <f t="shared" si="19"/>
        <v>91950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91950</v>
      </c>
      <c r="U110" s="13">
        <f t="shared" si="23"/>
        <v>2043.3333333333333</v>
      </c>
      <c r="V110" s="13">
        <f t="shared" si="24"/>
        <v>2043.3333333333333</v>
      </c>
      <c r="W110" s="15">
        <f t="shared" si="25"/>
        <v>91950</v>
      </c>
    </row>
    <row r="111" spans="1:23" s="2" customFormat="1" ht="28.5" customHeight="1">
      <c r="A111" s="12">
        <f t="shared" si="13"/>
        <v>96</v>
      </c>
      <c r="B111" s="12" t="s">
        <v>12</v>
      </c>
      <c r="C111" s="12" t="s">
        <v>202</v>
      </c>
      <c r="D111" s="16" t="s">
        <v>52</v>
      </c>
      <c r="E111" s="12" t="s">
        <v>26</v>
      </c>
      <c r="F111" s="12" t="s">
        <v>203</v>
      </c>
      <c r="G111" s="13">
        <v>1858</v>
      </c>
      <c r="H111" s="13">
        <v>2275</v>
      </c>
      <c r="I111" s="13"/>
      <c r="J111" s="13">
        <v>1789</v>
      </c>
      <c r="K111" s="13">
        <f t="shared" si="14"/>
        <v>0</v>
      </c>
      <c r="L111" s="13">
        <f t="shared" si="15"/>
        <v>1858</v>
      </c>
      <c r="M111" s="13">
        <f t="shared" si="16"/>
        <v>2275</v>
      </c>
      <c r="N111" s="13">
        <f t="shared" si="17"/>
        <v>1789</v>
      </c>
      <c r="O111" s="13" t="str">
        <f t="shared" si="18"/>
        <v>휘발유 46,450원 / 고급유 45,500원</v>
      </c>
      <c r="P111" s="13">
        <f t="shared" si="19"/>
        <v>91950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91950</v>
      </c>
      <c r="U111" s="13">
        <f t="shared" si="23"/>
        <v>2043.3333333333333</v>
      </c>
      <c r="V111" s="13">
        <f t="shared" si="24"/>
        <v>2043.3333333333333</v>
      </c>
      <c r="W111" s="15">
        <f t="shared" si="25"/>
        <v>91950</v>
      </c>
    </row>
    <row r="112" spans="1:23" s="2" customFormat="1" ht="28.5" customHeight="1">
      <c r="A112" s="12">
        <f t="shared" si="13"/>
        <v>98</v>
      </c>
      <c r="B112" s="12" t="s">
        <v>18</v>
      </c>
      <c r="C112" s="12" t="s">
        <v>206</v>
      </c>
      <c r="D112" s="16" t="s">
        <v>52</v>
      </c>
      <c r="E112" s="12" t="s">
        <v>26</v>
      </c>
      <c r="F112" s="12" t="s">
        <v>207</v>
      </c>
      <c r="G112" s="13">
        <v>1839</v>
      </c>
      <c r="H112" s="13">
        <v>2299</v>
      </c>
      <c r="I112" s="13"/>
      <c r="J112" s="13">
        <v>1819</v>
      </c>
      <c r="K112" s="13">
        <f t="shared" si="14"/>
        <v>0</v>
      </c>
      <c r="L112" s="13">
        <f t="shared" si="15"/>
        <v>1839</v>
      </c>
      <c r="M112" s="13">
        <f t="shared" si="16"/>
        <v>2299</v>
      </c>
      <c r="N112" s="13">
        <f t="shared" si="17"/>
        <v>1819</v>
      </c>
      <c r="O112" s="13" t="str">
        <f t="shared" si="18"/>
        <v>휘발유 45,975원 / 고급유 45,980원</v>
      </c>
      <c r="P112" s="13">
        <f t="shared" si="19"/>
        <v>91955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91955</v>
      </c>
      <c r="U112" s="13">
        <f t="shared" si="23"/>
        <v>2043.4444444444443</v>
      </c>
      <c r="V112" s="13">
        <f t="shared" si="24"/>
        <v>2043.4444444444443</v>
      </c>
      <c r="W112" s="15">
        <f t="shared" si="25"/>
        <v>91955</v>
      </c>
    </row>
    <row r="113" spans="1:23" s="17" customFormat="1" ht="28.5" customHeight="1">
      <c r="A113" s="12">
        <f t="shared" si="13"/>
        <v>99</v>
      </c>
      <c r="B113" s="12" t="s">
        <v>10</v>
      </c>
      <c r="C113" s="12" t="s">
        <v>354</v>
      </c>
      <c r="D113" s="16" t="s">
        <v>52</v>
      </c>
      <c r="E113" s="12" t="s">
        <v>26</v>
      </c>
      <c r="F113" s="12" t="s">
        <v>355</v>
      </c>
      <c r="G113" s="13">
        <v>1848</v>
      </c>
      <c r="H113" s="13">
        <v>2289</v>
      </c>
      <c r="I113" s="13"/>
      <c r="J113" s="13">
        <v>1819</v>
      </c>
      <c r="K113" s="13">
        <f t="shared" si="14"/>
        <v>0</v>
      </c>
      <c r="L113" s="13">
        <f t="shared" si="15"/>
        <v>1848</v>
      </c>
      <c r="M113" s="13">
        <f t="shared" si="16"/>
        <v>2289</v>
      </c>
      <c r="N113" s="13">
        <f t="shared" si="17"/>
        <v>1819</v>
      </c>
      <c r="O113" s="13" t="str">
        <f t="shared" si="18"/>
        <v>휘발유 46,200원 / 고급유 45,780원</v>
      </c>
      <c r="P113" s="13">
        <f t="shared" si="19"/>
        <v>91980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91980</v>
      </c>
      <c r="U113" s="13">
        <f t="shared" si="23"/>
        <v>2044</v>
      </c>
      <c r="V113" s="13">
        <f t="shared" si="24"/>
        <v>2044</v>
      </c>
      <c r="W113" s="15">
        <f t="shared" si="25"/>
        <v>91980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340</v>
      </c>
      <c r="D114" s="16" t="s">
        <v>49</v>
      </c>
      <c r="E114" s="12" t="s">
        <v>26</v>
      </c>
      <c r="F114" s="12" t="s">
        <v>341</v>
      </c>
      <c r="G114" s="13">
        <v>1845</v>
      </c>
      <c r="H114" s="13">
        <v>2293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2293</v>
      </c>
      <c r="N114" s="13">
        <f t="shared" si="17"/>
        <v>1835</v>
      </c>
      <c r="O114" s="13" t="str">
        <f t="shared" si="18"/>
        <v>휘발유 46,125원 / 고급유 45,860원</v>
      </c>
      <c r="P114" s="13">
        <f t="shared" si="19"/>
        <v>91985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91985</v>
      </c>
      <c r="U114" s="13">
        <f t="shared" si="23"/>
        <v>2044.1111111111111</v>
      </c>
      <c r="V114" s="13">
        <f t="shared" si="24"/>
        <v>2044.1111111111111</v>
      </c>
      <c r="W114" s="15">
        <f t="shared" si="25"/>
        <v>91985</v>
      </c>
    </row>
    <row r="115" spans="1:23" s="17" customFormat="1" ht="28.5" customHeight="1">
      <c r="A115" s="12">
        <f t="shared" si="13"/>
        <v>101</v>
      </c>
      <c r="B115" s="12" t="s">
        <v>10</v>
      </c>
      <c r="C115" s="12" t="s">
        <v>208</v>
      </c>
      <c r="D115" s="16" t="s">
        <v>52</v>
      </c>
      <c r="E115" s="12" t="s">
        <v>26</v>
      </c>
      <c r="F115" s="12" t="s">
        <v>209</v>
      </c>
      <c r="G115" s="13">
        <v>1828</v>
      </c>
      <c r="H115" s="13">
        <v>2315</v>
      </c>
      <c r="I115" s="13"/>
      <c r="J115" s="13">
        <v>1799</v>
      </c>
      <c r="K115" s="13">
        <f t="shared" si="14"/>
        <v>0</v>
      </c>
      <c r="L115" s="13">
        <f t="shared" si="15"/>
        <v>1828</v>
      </c>
      <c r="M115" s="13">
        <f t="shared" si="16"/>
        <v>2315</v>
      </c>
      <c r="N115" s="13">
        <f t="shared" si="17"/>
        <v>1799</v>
      </c>
      <c r="O115" s="13" t="str">
        <f t="shared" si="18"/>
        <v>휘발유 45,700원 / 고급유 46,300원</v>
      </c>
      <c r="P115" s="13">
        <f t="shared" si="19"/>
        <v>92000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92000</v>
      </c>
      <c r="U115" s="13">
        <f t="shared" si="23"/>
        <v>2044.4444444444443</v>
      </c>
      <c r="V115" s="13">
        <f t="shared" si="24"/>
        <v>2044.4444444444443</v>
      </c>
      <c r="W115" s="15">
        <f t="shared" si="25"/>
        <v>92000</v>
      </c>
    </row>
    <row r="116" spans="1:23" s="17" customFormat="1" ht="28.5" customHeight="1">
      <c r="A116" s="12">
        <f t="shared" si="13"/>
        <v>102</v>
      </c>
      <c r="B116" s="12" t="s">
        <v>6</v>
      </c>
      <c r="C116" s="12" t="s">
        <v>297</v>
      </c>
      <c r="D116" s="16" t="s">
        <v>61</v>
      </c>
      <c r="E116" s="12" t="s">
        <v>26</v>
      </c>
      <c r="F116" s="12" t="s">
        <v>298</v>
      </c>
      <c r="G116" s="13">
        <v>1825</v>
      </c>
      <c r="H116" s="13">
        <v>2320</v>
      </c>
      <c r="I116" s="13"/>
      <c r="J116" s="13">
        <v>1815</v>
      </c>
      <c r="K116" s="13">
        <f t="shared" si="14"/>
        <v>0</v>
      </c>
      <c r="L116" s="13">
        <f t="shared" si="15"/>
        <v>1825</v>
      </c>
      <c r="M116" s="13">
        <f t="shared" si="16"/>
        <v>2320</v>
      </c>
      <c r="N116" s="13">
        <f t="shared" si="17"/>
        <v>1815</v>
      </c>
      <c r="O116" s="13" t="str">
        <f t="shared" si="18"/>
        <v>휘발유 45,625원 / 고급유 46,400원</v>
      </c>
      <c r="P116" s="13">
        <f t="shared" si="19"/>
        <v>92025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92025</v>
      </c>
      <c r="U116" s="13">
        <f t="shared" si="23"/>
        <v>2045</v>
      </c>
      <c r="V116" s="13">
        <f t="shared" si="24"/>
        <v>2045</v>
      </c>
      <c r="W116" s="15">
        <f t="shared" si="25"/>
        <v>92025</v>
      </c>
    </row>
    <row r="117" spans="1:23" s="17" customFormat="1" ht="28.5" customHeight="1">
      <c r="A117" s="12">
        <f t="shared" si="13"/>
        <v>102</v>
      </c>
      <c r="B117" s="12" t="s">
        <v>12</v>
      </c>
      <c r="C117" s="12" t="s">
        <v>284</v>
      </c>
      <c r="D117" s="16" t="s">
        <v>83</v>
      </c>
      <c r="E117" s="12" t="s">
        <v>26</v>
      </c>
      <c r="F117" s="12" t="s">
        <v>285</v>
      </c>
      <c r="G117" s="13">
        <v>1829</v>
      </c>
      <c r="H117" s="13">
        <v>2315</v>
      </c>
      <c r="I117" s="13"/>
      <c r="J117" s="13">
        <v>1829</v>
      </c>
      <c r="K117" s="13">
        <f t="shared" si="14"/>
        <v>0</v>
      </c>
      <c r="L117" s="13">
        <f t="shared" si="15"/>
        <v>1829</v>
      </c>
      <c r="M117" s="13">
        <f t="shared" si="16"/>
        <v>2315</v>
      </c>
      <c r="N117" s="13">
        <f t="shared" si="17"/>
        <v>1829</v>
      </c>
      <c r="O117" s="13" t="str">
        <f t="shared" si="18"/>
        <v>휘발유 45,725원 / 고급유 46,300원</v>
      </c>
      <c r="P117" s="13">
        <f t="shared" si="19"/>
        <v>92025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92025</v>
      </c>
      <c r="U117" s="13">
        <f t="shared" si="23"/>
        <v>2045</v>
      </c>
      <c r="V117" s="13">
        <f t="shared" si="24"/>
        <v>2045</v>
      </c>
      <c r="W117" s="15">
        <f t="shared" si="25"/>
        <v>92025</v>
      </c>
    </row>
    <row r="118" spans="1:23" s="17" customFormat="1" ht="28.5" customHeight="1">
      <c r="A118" s="12">
        <f t="shared" si="13"/>
        <v>104</v>
      </c>
      <c r="B118" s="12" t="s">
        <v>8</v>
      </c>
      <c r="C118" s="12" t="s">
        <v>216</v>
      </c>
      <c r="D118" s="16" t="s">
        <v>52</v>
      </c>
      <c r="E118" s="12" t="s">
        <v>26</v>
      </c>
      <c r="F118" s="12" t="s">
        <v>217</v>
      </c>
      <c r="G118" s="13">
        <v>1858</v>
      </c>
      <c r="H118" s="13">
        <v>2280</v>
      </c>
      <c r="I118" s="13"/>
      <c r="J118" s="13">
        <v>1789</v>
      </c>
      <c r="K118" s="13">
        <f t="shared" si="14"/>
        <v>0</v>
      </c>
      <c r="L118" s="13">
        <f t="shared" si="15"/>
        <v>1858</v>
      </c>
      <c r="M118" s="13">
        <f t="shared" si="16"/>
        <v>2280</v>
      </c>
      <c r="N118" s="13">
        <f t="shared" si="17"/>
        <v>1789</v>
      </c>
      <c r="O118" s="13" t="str">
        <f t="shared" si="18"/>
        <v>휘발유 46,450원 / 고급유 45,600원</v>
      </c>
      <c r="P118" s="13">
        <f t="shared" si="19"/>
        <v>92050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92050</v>
      </c>
      <c r="U118" s="13">
        <f t="shared" si="23"/>
        <v>2045.5555555555557</v>
      </c>
      <c r="V118" s="13">
        <f t="shared" si="24"/>
        <v>2045.5555555555557</v>
      </c>
      <c r="W118" s="15">
        <f t="shared" si="25"/>
        <v>92050</v>
      </c>
    </row>
    <row r="119" spans="1:23" s="2" customFormat="1" ht="28.5" customHeight="1">
      <c r="A119" s="12">
        <f t="shared" si="13"/>
        <v>105</v>
      </c>
      <c r="B119" s="12" t="s">
        <v>14</v>
      </c>
      <c r="C119" s="12" t="s">
        <v>220</v>
      </c>
      <c r="D119" s="16" t="s">
        <v>61</v>
      </c>
      <c r="E119" s="12" t="s">
        <v>26</v>
      </c>
      <c r="F119" s="12" t="s">
        <v>221</v>
      </c>
      <c r="G119" s="13">
        <v>1839</v>
      </c>
      <c r="H119" s="13">
        <v>2305</v>
      </c>
      <c r="I119" s="13"/>
      <c r="J119" s="13">
        <v>1829</v>
      </c>
      <c r="K119" s="13">
        <f t="shared" si="14"/>
        <v>0</v>
      </c>
      <c r="L119" s="13">
        <f t="shared" si="15"/>
        <v>1839</v>
      </c>
      <c r="M119" s="13">
        <f t="shared" si="16"/>
        <v>2305</v>
      </c>
      <c r="N119" s="13">
        <f t="shared" si="17"/>
        <v>1829</v>
      </c>
      <c r="O119" s="13" t="str">
        <f t="shared" si="18"/>
        <v>휘발유 45,975원 / 고급유 46,100원</v>
      </c>
      <c r="P119" s="13">
        <f t="shared" si="19"/>
        <v>92075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92075</v>
      </c>
      <c r="U119" s="13">
        <f t="shared" si="23"/>
        <v>2046.1111111111111</v>
      </c>
      <c r="V119" s="13">
        <f t="shared" si="24"/>
        <v>2046.1111111111111</v>
      </c>
      <c r="W119" s="15">
        <f t="shared" si="25"/>
        <v>92075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226</v>
      </c>
      <c r="D120" s="16" t="s">
        <v>61</v>
      </c>
      <c r="E120" s="12" t="s">
        <v>26</v>
      </c>
      <c r="F120" s="12" t="s">
        <v>227</v>
      </c>
      <c r="G120" s="13">
        <v>1845</v>
      </c>
      <c r="H120" s="13">
        <v>2299</v>
      </c>
      <c r="I120" s="13"/>
      <c r="J120" s="13">
        <v>1849</v>
      </c>
      <c r="K120" s="13">
        <f t="shared" si="14"/>
        <v>0</v>
      </c>
      <c r="L120" s="13">
        <f t="shared" si="15"/>
        <v>1845</v>
      </c>
      <c r="M120" s="13">
        <f t="shared" si="16"/>
        <v>2299</v>
      </c>
      <c r="N120" s="13">
        <f t="shared" si="17"/>
        <v>1849</v>
      </c>
      <c r="O120" s="13" t="str">
        <f t="shared" si="18"/>
        <v>휘발유 46,125원 / 고급유 45,980원</v>
      </c>
      <c r="P120" s="13">
        <f t="shared" si="19"/>
        <v>92105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92105</v>
      </c>
      <c r="U120" s="13">
        <f t="shared" si="23"/>
        <v>2046.7777777777778</v>
      </c>
      <c r="V120" s="13">
        <f t="shared" si="24"/>
        <v>2046.7777777777778</v>
      </c>
      <c r="W120" s="15">
        <f t="shared" si="25"/>
        <v>92105</v>
      </c>
    </row>
    <row r="121" spans="1:23" s="8" customFormat="1" ht="28.5" customHeight="1">
      <c r="A121" s="12">
        <f t="shared" si="13"/>
        <v>106</v>
      </c>
      <c r="B121" s="12" t="s">
        <v>6</v>
      </c>
      <c r="C121" s="12" t="s">
        <v>228</v>
      </c>
      <c r="D121" s="16" t="s">
        <v>61</v>
      </c>
      <c r="E121" s="12" t="s">
        <v>26</v>
      </c>
      <c r="F121" s="12" t="s">
        <v>229</v>
      </c>
      <c r="G121" s="13">
        <v>1845</v>
      </c>
      <c r="H121" s="13">
        <v>2299</v>
      </c>
      <c r="I121" s="13"/>
      <c r="J121" s="13">
        <v>1849</v>
      </c>
      <c r="K121" s="13">
        <f t="shared" si="14"/>
        <v>0</v>
      </c>
      <c r="L121" s="13">
        <f t="shared" si="15"/>
        <v>1845</v>
      </c>
      <c r="M121" s="13">
        <f t="shared" si="16"/>
        <v>2299</v>
      </c>
      <c r="N121" s="13">
        <f t="shared" si="17"/>
        <v>1849</v>
      </c>
      <c r="O121" s="13" t="str">
        <f t="shared" si="18"/>
        <v>휘발유 46,125원 / 고급유 45,980원</v>
      </c>
      <c r="P121" s="13">
        <f t="shared" si="19"/>
        <v>92105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92105</v>
      </c>
      <c r="U121" s="13">
        <f t="shared" si="23"/>
        <v>2046.7777777777778</v>
      </c>
      <c r="V121" s="13">
        <f t="shared" si="24"/>
        <v>2046.7777777777778</v>
      </c>
      <c r="W121" s="15">
        <f t="shared" si="25"/>
        <v>92105</v>
      </c>
    </row>
    <row r="122" spans="1:23" s="17" customFormat="1" ht="28.5" customHeight="1">
      <c r="A122" s="12">
        <f t="shared" si="13"/>
        <v>106</v>
      </c>
      <c r="B122" s="12" t="s">
        <v>6</v>
      </c>
      <c r="C122" s="12" t="s">
        <v>230</v>
      </c>
      <c r="D122" s="16" t="s">
        <v>61</v>
      </c>
      <c r="E122" s="12" t="s">
        <v>26</v>
      </c>
      <c r="F122" s="12" t="s">
        <v>231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2" customFormat="1" ht="28.5" customHeight="1">
      <c r="A123" s="12">
        <f t="shared" si="13"/>
        <v>106</v>
      </c>
      <c r="B123" s="12" t="s">
        <v>10</v>
      </c>
      <c r="C123" s="12" t="s">
        <v>232</v>
      </c>
      <c r="D123" s="16" t="s">
        <v>61</v>
      </c>
      <c r="E123" s="12" t="s">
        <v>26</v>
      </c>
      <c r="F123" s="12" t="s">
        <v>233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106</v>
      </c>
      <c r="B124" s="12" t="s">
        <v>10</v>
      </c>
      <c r="C124" s="12" t="s">
        <v>332</v>
      </c>
      <c r="D124" s="16" t="s">
        <v>61</v>
      </c>
      <c r="E124" s="12" t="s">
        <v>70</v>
      </c>
      <c r="F124" s="12" t="s">
        <v>333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242</v>
      </c>
      <c r="D125" s="16" t="s">
        <v>49</v>
      </c>
      <c r="E125" s="12" t="s">
        <v>26</v>
      </c>
      <c r="F125" s="12" t="s">
        <v>243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291</v>
      </c>
      <c r="D127" s="16" t="s">
        <v>61</v>
      </c>
      <c r="E127" s="12" t="s">
        <v>26</v>
      </c>
      <c r="F127" s="12" t="s">
        <v>292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238</v>
      </c>
      <c r="D128" s="16" t="s">
        <v>61</v>
      </c>
      <c r="E128" s="12" t="s">
        <v>26</v>
      </c>
      <c r="F128" s="12" t="s">
        <v>239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240</v>
      </c>
      <c r="D129" s="16" t="s">
        <v>61</v>
      </c>
      <c r="E129" s="12" t="s">
        <v>26</v>
      </c>
      <c r="F129" s="12" t="s">
        <v>241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246</v>
      </c>
      <c r="D130" s="16" t="s">
        <v>49</v>
      </c>
      <c r="E130" s="12" t="s">
        <v>26</v>
      </c>
      <c r="F130" s="12" t="s">
        <v>247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248</v>
      </c>
      <c r="D131" s="16" t="s">
        <v>49</v>
      </c>
      <c r="E131" s="12" t="s">
        <v>26</v>
      </c>
      <c r="F131" s="12" t="s">
        <v>249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17" customFormat="1" ht="28.5" customHeight="1">
      <c r="A132" s="12">
        <f t="shared" si="13"/>
        <v>118</v>
      </c>
      <c r="B132" s="12" t="s">
        <v>8</v>
      </c>
      <c r="C132" s="12" t="s">
        <v>250</v>
      </c>
      <c r="D132" s="16" t="s">
        <v>52</v>
      </c>
      <c r="E132" s="12" t="s">
        <v>26</v>
      </c>
      <c r="F132" s="12" t="s">
        <v>251</v>
      </c>
      <c r="G132" s="13">
        <v>1854</v>
      </c>
      <c r="H132" s="13">
        <v>2299</v>
      </c>
      <c r="I132" s="13"/>
      <c r="J132" s="13">
        <v>1842</v>
      </c>
      <c r="K132" s="13">
        <f t="shared" si="14"/>
        <v>0</v>
      </c>
      <c r="L132" s="13">
        <f t="shared" si="15"/>
        <v>1854</v>
      </c>
      <c r="M132" s="13">
        <f t="shared" si="16"/>
        <v>2299</v>
      </c>
      <c r="N132" s="13">
        <f t="shared" si="17"/>
        <v>1842</v>
      </c>
      <c r="O132" s="13" t="str">
        <f t="shared" si="18"/>
        <v>휘발유 46,350원 / 고급유 45,980원</v>
      </c>
      <c r="P132" s="13">
        <f t="shared" si="19"/>
        <v>92330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92330</v>
      </c>
      <c r="U132" s="13">
        <f t="shared" si="23"/>
        <v>2051.7777777777778</v>
      </c>
      <c r="V132" s="13">
        <f t="shared" si="24"/>
        <v>2051.7777777777778</v>
      </c>
      <c r="W132" s="15">
        <f t="shared" si="25"/>
        <v>92330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1487</v>
      </c>
      <c r="D135" s="16" t="s">
        <v>61</v>
      </c>
      <c r="E135" s="12" t="s">
        <v>26</v>
      </c>
      <c r="F135" s="12" t="s">
        <v>1488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1819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1819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IF($T143="","",1+COUNTIF($W$15:$W$884,"&lt;"&amp;W143))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1127</v>
      </c>
      <c r="D148" s="16" t="s">
        <v>49</v>
      </c>
      <c r="E148" s="12" t="s">
        <v>26</v>
      </c>
      <c r="F148" s="12" t="s">
        <v>1128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8" customFormat="1" ht="28.5" customHeight="1">
      <c r="A169" s="12">
        <f t="shared" si="26"/>
        <v>155</v>
      </c>
      <c r="B169" s="12" t="s">
        <v>8</v>
      </c>
      <c r="C169" s="12" t="s">
        <v>336</v>
      </c>
      <c r="D169" s="12" t="s">
        <v>83</v>
      </c>
      <c r="E169" s="12" t="s">
        <v>26</v>
      </c>
      <c r="F169" s="12" t="s">
        <v>337</v>
      </c>
      <c r="G169" s="13">
        <v>1859</v>
      </c>
      <c r="H169" s="13">
        <v>2359</v>
      </c>
      <c r="I169" s="13"/>
      <c r="J169" s="13">
        <v>1839</v>
      </c>
      <c r="K169" s="13">
        <f t="shared" si="27"/>
        <v>0</v>
      </c>
      <c r="L169" s="13">
        <f t="shared" si="28"/>
        <v>1859</v>
      </c>
      <c r="M169" s="13">
        <f t="shared" si="29"/>
        <v>2359</v>
      </c>
      <c r="N169" s="13">
        <f t="shared" si="30"/>
        <v>1839</v>
      </c>
      <c r="O169" s="13" t="str">
        <f t="shared" si="31"/>
        <v>휘발유 46,475원 / 고급유 47,180원</v>
      </c>
      <c r="P169" s="13">
        <f t="shared" si="32"/>
        <v>93655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93655</v>
      </c>
      <c r="U169" s="13">
        <f t="shared" si="36"/>
        <v>2081.2222222222222</v>
      </c>
      <c r="V169" s="13">
        <f t="shared" si="37"/>
        <v>2081.2222222222222</v>
      </c>
      <c r="W169" s="15">
        <f t="shared" si="38"/>
        <v>93655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342</v>
      </c>
      <c r="D171" s="16" t="s">
        <v>61</v>
      </c>
      <c r="E171" s="12" t="s">
        <v>26</v>
      </c>
      <c r="F171" s="12" t="s">
        <v>343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346</v>
      </c>
      <c r="D172" s="16" t="s">
        <v>49</v>
      </c>
      <c r="E172" s="12" t="s">
        <v>26</v>
      </c>
      <c r="F172" s="12" t="s">
        <v>347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350</v>
      </c>
      <c r="D173" s="16" t="s">
        <v>49</v>
      </c>
      <c r="E173" s="12" t="s">
        <v>26</v>
      </c>
      <c r="F173" s="12" t="s">
        <v>351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352</v>
      </c>
      <c r="D174" s="16" t="s">
        <v>61</v>
      </c>
      <c r="E174" s="12" t="s">
        <v>26</v>
      </c>
      <c r="F174" s="12" t="s">
        <v>353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368</v>
      </c>
      <c r="D176" s="16" t="s">
        <v>49</v>
      </c>
      <c r="E176" s="12" t="s">
        <v>26</v>
      </c>
      <c r="F176" s="12" t="s">
        <v>369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6" t="s">
        <v>49</v>
      </c>
      <c r="E177" s="12" t="s">
        <v>70</v>
      </c>
      <c r="F177" s="12" t="s">
        <v>371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374</v>
      </c>
      <c r="D178" s="12" t="s">
        <v>83</v>
      </c>
      <c r="E178" s="12" t="s">
        <v>26</v>
      </c>
      <c r="F178" s="12" t="s">
        <v>375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61</v>
      </c>
      <c r="E179" s="12" t="s">
        <v>26</v>
      </c>
      <c r="F179" s="12" t="s">
        <v>373</v>
      </c>
      <c r="G179" s="13">
        <v>1815</v>
      </c>
      <c r="H179" s="13">
        <v>2495</v>
      </c>
      <c r="I179" s="13"/>
      <c r="J179" s="13">
        <v>1805</v>
      </c>
      <c r="K179" s="13">
        <f t="shared" si="27"/>
        <v>0</v>
      </c>
      <c r="L179" s="13">
        <f t="shared" si="28"/>
        <v>1815</v>
      </c>
      <c r="M179" s="13">
        <f t="shared" si="29"/>
        <v>2495</v>
      </c>
      <c r="N179" s="13">
        <f t="shared" si="30"/>
        <v>1805</v>
      </c>
      <c r="O179" s="13" t="str">
        <f t="shared" si="31"/>
        <v>휘발유 45,375원 / 고급유 49,900원</v>
      </c>
      <c r="P179" s="13">
        <f t="shared" si="32"/>
        <v>95275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95275</v>
      </c>
      <c r="U179" s="13">
        <f t="shared" si="36"/>
        <v>2117.2222222222222</v>
      </c>
      <c r="V179" s="13">
        <f t="shared" si="37"/>
        <v>2117.2222222222222</v>
      </c>
      <c r="W179" s="15">
        <f t="shared" si="38"/>
        <v>95275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376</v>
      </c>
      <c r="D180" s="12" t="s">
        <v>83</v>
      </c>
      <c r="E180" s="12" t="s">
        <v>26</v>
      </c>
      <c r="F180" s="12" t="s">
        <v>377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49</v>
      </c>
      <c r="E181" s="12" t="s">
        <v>26</v>
      </c>
      <c r="F181" s="12" t="s">
        <v>379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380</v>
      </c>
      <c r="D182" s="16" t="s">
        <v>52</v>
      </c>
      <c r="E182" s="12" t="s">
        <v>70</v>
      </c>
      <c r="F182" s="12" t="s">
        <v>381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384</v>
      </c>
      <c r="D183" s="16" t="s">
        <v>61</v>
      </c>
      <c r="E183" s="12" t="s">
        <v>26</v>
      </c>
      <c r="F183" s="12" t="s">
        <v>385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17" customFormat="1" ht="28.5" customHeight="1">
      <c r="A184" s="12" t="str">
        <f t="shared" si="26"/>
        <v/>
      </c>
      <c r="B184" s="12" t="s">
        <v>16</v>
      </c>
      <c r="C184" s="12" t="s">
        <v>388</v>
      </c>
      <c r="D184" s="16" t="s">
        <v>52</v>
      </c>
      <c r="E184" s="12" t="s">
        <v>26</v>
      </c>
      <c r="F184" s="12" t="s">
        <v>389</v>
      </c>
      <c r="G184" s="13">
        <v>1840</v>
      </c>
      <c r="H184" s="13"/>
      <c r="I184" s="13"/>
      <c r="J184" s="13">
        <v>1790</v>
      </c>
      <c r="K184" s="13">
        <f t="shared" si="27"/>
        <v>0</v>
      </c>
      <c r="L184" s="13">
        <f t="shared" si="28"/>
        <v>1840</v>
      </c>
      <c r="M184" s="13" t="str">
        <f t="shared" si="29"/>
        <v/>
      </c>
      <c r="N184" s="13">
        <f t="shared" si="30"/>
        <v>1790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390</v>
      </c>
      <c r="D185" s="16" t="s">
        <v>61</v>
      </c>
      <c r="E185" s="12" t="s">
        <v>26</v>
      </c>
      <c r="F185" s="12" t="s">
        <v>391</v>
      </c>
      <c r="G185" s="13">
        <v>1840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1840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392</v>
      </c>
      <c r="D186" s="16" t="s">
        <v>49</v>
      </c>
      <c r="E186" s="12" t="s">
        <v>26</v>
      </c>
      <c r="F186" s="12" t="s">
        <v>393</v>
      </c>
      <c r="G186" s="13">
        <v>1840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1840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619</v>
      </c>
      <c r="D187" s="12" t="s">
        <v>83</v>
      </c>
      <c r="E187" s="12" t="s">
        <v>26</v>
      </c>
      <c r="F187" s="12" t="s">
        <v>620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406</v>
      </c>
      <c r="D188" s="16" t="s">
        <v>49</v>
      </c>
      <c r="E188" s="12" t="s">
        <v>26</v>
      </c>
      <c r="F188" s="12" t="s">
        <v>407</v>
      </c>
      <c r="G188" s="13">
        <v>1849</v>
      </c>
      <c r="H188" s="13"/>
      <c r="I188" s="13"/>
      <c r="J188" s="13">
        <v>1839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1839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386</v>
      </c>
      <c r="D189" s="16" t="s">
        <v>49</v>
      </c>
      <c r="E189" s="12" t="s">
        <v>70</v>
      </c>
      <c r="F189" s="12" t="s">
        <v>387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10</v>
      </c>
      <c r="C190" s="12" t="s">
        <v>432</v>
      </c>
      <c r="D190" s="12" t="s">
        <v>287</v>
      </c>
      <c r="E190" s="12" t="s">
        <v>26</v>
      </c>
      <c r="F190" s="12" t="s">
        <v>433</v>
      </c>
      <c r="G190" s="13">
        <v>1809</v>
      </c>
      <c r="H190" s="13"/>
      <c r="I190" s="13"/>
      <c r="J190" s="13">
        <v>1799</v>
      </c>
      <c r="K190" s="13">
        <f t="shared" si="27"/>
        <v>0</v>
      </c>
      <c r="L190" s="13">
        <f t="shared" si="28"/>
        <v>1809</v>
      </c>
      <c r="M190" s="13" t="str">
        <f t="shared" si="29"/>
        <v/>
      </c>
      <c r="N190" s="13">
        <f t="shared" si="30"/>
        <v>1799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394</v>
      </c>
      <c r="D191" s="16" t="s">
        <v>52</v>
      </c>
      <c r="E191" s="12" t="s">
        <v>26</v>
      </c>
      <c r="F191" s="12" t="s">
        <v>395</v>
      </c>
      <c r="G191" s="13">
        <v>1809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408</v>
      </c>
      <c r="D192" s="16" t="s">
        <v>52</v>
      </c>
      <c r="E192" s="12" t="s">
        <v>26</v>
      </c>
      <c r="F192" s="12" t="s">
        <v>409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18</v>
      </c>
      <c r="C193" s="12" t="s">
        <v>430</v>
      </c>
      <c r="D193" s="16" t="s">
        <v>61</v>
      </c>
      <c r="E193" s="12" t="s">
        <v>26</v>
      </c>
      <c r="F193" s="12" t="s">
        <v>431</v>
      </c>
      <c r="G193" s="13">
        <v>1852</v>
      </c>
      <c r="H193" s="13"/>
      <c r="I193" s="13"/>
      <c r="J193" s="13">
        <v>1812</v>
      </c>
      <c r="K193" s="13">
        <f t="shared" si="27"/>
        <v>0</v>
      </c>
      <c r="L193" s="13">
        <f t="shared" si="28"/>
        <v>1852</v>
      </c>
      <c r="M193" s="13" t="str">
        <f t="shared" si="29"/>
        <v/>
      </c>
      <c r="N193" s="13">
        <f t="shared" si="30"/>
        <v>1812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398</v>
      </c>
      <c r="D194" s="12" t="s">
        <v>83</v>
      </c>
      <c r="E194" s="12" t="s">
        <v>26</v>
      </c>
      <c r="F194" s="12" t="s">
        <v>399</v>
      </c>
      <c r="G194" s="13">
        <v>1852</v>
      </c>
      <c r="H194" s="13"/>
      <c r="I194" s="13"/>
      <c r="J194" s="13">
        <v>1832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1832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6</v>
      </c>
      <c r="C195" s="12" t="s">
        <v>483</v>
      </c>
      <c r="D195" s="16" t="s">
        <v>49</v>
      </c>
      <c r="E195" s="12" t="s">
        <v>26</v>
      </c>
      <c r="F195" s="12" t="s">
        <v>484</v>
      </c>
      <c r="G195" s="13">
        <v>1811</v>
      </c>
      <c r="H195" s="13"/>
      <c r="I195" s="13"/>
      <c r="J195" s="13">
        <v>1811</v>
      </c>
      <c r="K195" s="13">
        <f t="shared" si="27"/>
        <v>0</v>
      </c>
      <c r="L195" s="13">
        <f t="shared" si="28"/>
        <v>1811</v>
      </c>
      <c r="M195" s="13" t="str">
        <f t="shared" si="29"/>
        <v/>
      </c>
      <c r="N195" s="13">
        <f t="shared" si="30"/>
        <v>1811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16</v>
      </c>
      <c r="C196" s="12" t="s">
        <v>455</v>
      </c>
      <c r="D196" s="12" t="s">
        <v>83</v>
      </c>
      <c r="E196" s="12" t="s">
        <v>26</v>
      </c>
      <c r="F196" s="12" t="s">
        <v>456</v>
      </c>
      <c r="G196" s="13">
        <v>1854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1854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410</v>
      </c>
      <c r="D197" s="12" t="s">
        <v>83</v>
      </c>
      <c r="E197" s="12" t="s">
        <v>26</v>
      </c>
      <c r="F197" s="12" t="s">
        <v>411</v>
      </c>
      <c r="G197" s="13">
        <v>1813</v>
      </c>
      <c r="H197" s="13"/>
      <c r="I197" s="13"/>
      <c r="J197" s="13">
        <v>1810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1810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404</v>
      </c>
      <c r="D198" s="12" t="s">
        <v>83</v>
      </c>
      <c r="E198" s="12" t="s">
        <v>26</v>
      </c>
      <c r="F198" s="12" t="s">
        <v>405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382</v>
      </c>
      <c r="D199" s="16" t="s">
        <v>52</v>
      </c>
      <c r="E199" s="12" t="s">
        <v>70</v>
      </c>
      <c r="F199" s="12" t="s">
        <v>383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489</v>
      </c>
      <c r="D200" s="16" t="s">
        <v>49</v>
      </c>
      <c r="E200" s="12" t="s">
        <v>70</v>
      </c>
      <c r="F200" s="12" t="s">
        <v>490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6</v>
      </c>
      <c r="C201" s="12" t="s">
        <v>531</v>
      </c>
      <c r="D201" s="16" t="s">
        <v>49</v>
      </c>
      <c r="E201" s="12" t="s">
        <v>26</v>
      </c>
      <c r="F201" s="12" t="s">
        <v>532</v>
      </c>
      <c r="G201" s="13">
        <v>1814</v>
      </c>
      <c r="H201" s="13"/>
      <c r="I201" s="13"/>
      <c r="J201" s="13">
        <v>1794</v>
      </c>
      <c r="K201" s="13">
        <f t="shared" si="27"/>
        <v>0</v>
      </c>
      <c r="L201" s="13">
        <f t="shared" si="28"/>
        <v>1814</v>
      </c>
      <c r="M201" s="13" t="str">
        <f t="shared" si="29"/>
        <v/>
      </c>
      <c r="N201" s="13">
        <f t="shared" si="30"/>
        <v>1794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436</v>
      </c>
      <c r="D202" s="16" t="s">
        <v>52</v>
      </c>
      <c r="E202" s="12" t="s">
        <v>70</v>
      </c>
      <c r="F202" s="12" t="s">
        <v>437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17" customFormat="1" ht="28.5" customHeight="1">
      <c r="A203" s="12" t="str">
        <f t="shared" si="26"/>
        <v/>
      </c>
      <c r="B203" s="12" t="s">
        <v>16</v>
      </c>
      <c r="C203" s="12" t="s">
        <v>412</v>
      </c>
      <c r="D203" s="16" t="s">
        <v>61</v>
      </c>
      <c r="E203" s="12" t="s">
        <v>26</v>
      </c>
      <c r="F203" s="12" t="s">
        <v>413</v>
      </c>
      <c r="G203" s="13">
        <v>1857</v>
      </c>
      <c r="H203" s="13"/>
      <c r="I203" s="13"/>
      <c r="J203" s="13">
        <v>1810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1810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449</v>
      </c>
      <c r="D204" s="16" t="s">
        <v>52</v>
      </c>
      <c r="E204" s="12" t="s">
        <v>70</v>
      </c>
      <c r="F204" s="12" t="s">
        <v>450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451</v>
      </c>
      <c r="D205" s="16" t="s">
        <v>49</v>
      </c>
      <c r="E205" s="12" t="s">
        <v>70</v>
      </c>
      <c r="F205" s="12" t="s">
        <v>452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414</v>
      </c>
      <c r="D206" s="16" t="s">
        <v>61</v>
      </c>
      <c r="E206" s="12" t="s">
        <v>70</v>
      </c>
      <c r="F206" s="12" t="s">
        <v>415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IF($T207="","",1+COUNTIF($W$15:$W$884,"&lt;"&amp;W207))</f>
        <v/>
      </c>
      <c r="B207" s="12" t="s">
        <v>18</v>
      </c>
      <c r="C207" s="12" t="s">
        <v>416</v>
      </c>
      <c r="D207" s="16" t="s">
        <v>52</v>
      </c>
      <c r="E207" s="12" t="s">
        <v>70</v>
      </c>
      <c r="F207" s="12" t="s">
        <v>417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418</v>
      </c>
      <c r="D208" s="12" t="s">
        <v>83</v>
      </c>
      <c r="E208" s="12" t="s">
        <v>70</v>
      </c>
      <c r="F208" s="12" t="s">
        <v>419</v>
      </c>
      <c r="G208" s="13">
        <v>1859</v>
      </c>
      <c r="H208" s="13"/>
      <c r="I208" s="13"/>
      <c r="J208" s="13">
        <v>1839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1839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420</v>
      </c>
      <c r="D209" s="12" t="s">
        <v>83</v>
      </c>
      <c r="E209" s="12" t="s">
        <v>26</v>
      </c>
      <c r="F209" s="12" t="s">
        <v>421</v>
      </c>
      <c r="G209" s="13">
        <v>1859</v>
      </c>
      <c r="H209" s="13"/>
      <c r="I209" s="13"/>
      <c r="J209" s="13">
        <v>1849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1849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17" customFormat="1" ht="28.5" customHeight="1">
      <c r="A210" s="12" t="str">
        <f t="shared" si="39"/>
        <v/>
      </c>
      <c r="B210" s="12" t="s">
        <v>18</v>
      </c>
      <c r="C210" s="12" t="s">
        <v>422</v>
      </c>
      <c r="D210" s="16" t="s">
        <v>61</v>
      </c>
      <c r="E210" s="12" t="s">
        <v>70</v>
      </c>
      <c r="F210" s="12" t="s">
        <v>423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14</v>
      </c>
      <c r="C211" s="12" t="s">
        <v>515</v>
      </c>
      <c r="D211" s="16" t="s">
        <v>49</v>
      </c>
      <c r="E211" s="12" t="s">
        <v>26</v>
      </c>
      <c r="F211" s="12" t="s">
        <v>516</v>
      </c>
      <c r="G211" s="13">
        <v>1818</v>
      </c>
      <c r="H211" s="13"/>
      <c r="I211" s="13"/>
      <c r="J211" s="13">
        <v>1788</v>
      </c>
      <c r="K211" s="13">
        <f t="shared" si="40"/>
        <v>0</v>
      </c>
      <c r="L211" s="13">
        <f t="shared" si="41"/>
        <v>1818</v>
      </c>
      <c r="M211" s="13" t="str">
        <f t="shared" si="42"/>
        <v/>
      </c>
      <c r="N211" s="13">
        <f t="shared" si="43"/>
        <v>1788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12</v>
      </c>
      <c r="C212" s="12" t="s">
        <v>579</v>
      </c>
      <c r="D212" s="16" t="s">
        <v>49</v>
      </c>
      <c r="E212" s="12" t="s">
        <v>26</v>
      </c>
      <c r="F212" s="12" t="s">
        <v>580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16</v>
      </c>
      <c r="C213" s="12" t="s">
        <v>467</v>
      </c>
      <c r="D213" s="16" t="s">
        <v>52</v>
      </c>
      <c r="E213" s="12" t="s">
        <v>26</v>
      </c>
      <c r="F213" s="12" t="s">
        <v>468</v>
      </c>
      <c r="G213" s="13">
        <v>1860</v>
      </c>
      <c r="H213" s="13"/>
      <c r="I213" s="13"/>
      <c r="J213" s="13">
        <v>1825</v>
      </c>
      <c r="K213" s="13">
        <f t="shared" si="40"/>
        <v>0</v>
      </c>
      <c r="L213" s="13">
        <f t="shared" si="41"/>
        <v>1860</v>
      </c>
      <c r="M213" s="13" t="str">
        <f t="shared" si="42"/>
        <v/>
      </c>
      <c r="N213" s="13">
        <f t="shared" si="43"/>
        <v>1825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18</v>
      </c>
      <c r="C214" s="12" t="s">
        <v>424</v>
      </c>
      <c r="D214" s="12" t="s">
        <v>83</v>
      </c>
      <c r="E214" s="12" t="s">
        <v>26</v>
      </c>
      <c r="F214" s="12" t="s">
        <v>425</v>
      </c>
      <c r="G214" s="13">
        <v>1860</v>
      </c>
      <c r="H214" s="13"/>
      <c r="I214" s="13"/>
      <c r="J214" s="13">
        <v>1860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1860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6</v>
      </c>
      <c r="C215" s="12" t="s">
        <v>428</v>
      </c>
      <c r="D215" s="16" t="s">
        <v>49</v>
      </c>
      <c r="E215" s="12" t="s">
        <v>26</v>
      </c>
      <c r="F215" s="12" t="s">
        <v>429</v>
      </c>
      <c r="G215" s="13">
        <v>1819</v>
      </c>
      <c r="H215" s="13"/>
      <c r="I215" s="13"/>
      <c r="J215" s="13">
        <v>1798</v>
      </c>
      <c r="K215" s="13">
        <f t="shared" si="40"/>
        <v>0</v>
      </c>
      <c r="L215" s="13">
        <f t="shared" si="41"/>
        <v>1819</v>
      </c>
      <c r="M215" s="13" t="str">
        <f t="shared" si="42"/>
        <v/>
      </c>
      <c r="N215" s="13">
        <f t="shared" si="43"/>
        <v>1798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426</v>
      </c>
      <c r="D216" s="16" t="s">
        <v>52</v>
      </c>
      <c r="E216" s="12" t="s">
        <v>70</v>
      </c>
      <c r="F216" s="12" t="s">
        <v>427</v>
      </c>
      <c r="G216" s="13">
        <v>1819</v>
      </c>
      <c r="H216" s="13"/>
      <c r="I216" s="13"/>
      <c r="J216" s="13">
        <v>1809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1809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434</v>
      </c>
      <c r="D217" s="12" t="s">
        <v>45</v>
      </c>
      <c r="E217" s="12" t="s">
        <v>26</v>
      </c>
      <c r="F217" s="12" t="s">
        <v>435</v>
      </c>
      <c r="G217" s="13">
        <v>1822</v>
      </c>
      <c r="H217" s="13"/>
      <c r="I217" s="13"/>
      <c r="J217" s="13">
        <v>1802</v>
      </c>
      <c r="K217" s="13">
        <f t="shared" si="40"/>
        <v>0</v>
      </c>
      <c r="L217" s="13">
        <f t="shared" si="41"/>
        <v>1822</v>
      </c>
      <c r="M217" s="13" t="str">
        <f t="shared" si="42"/>
        <v/>
      </c>
      <c r="N217" s="13">
        <f t="shared" si="43"/>
        <v>1802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440</v>
      </c>
      <c r="D218" s="16" t="s">
        <v>52</v>
      </c>
      <c r="E218" s="12" t="s">
        <v>26</v>
      </c>
      <c r="F218" s="12" t="s">
        <v>441</v>
      </c>
      <c r="G218" s="13">
        <v>1865</v>
      </c>
      <c r="H218" s="13"/>
      <c r="I218" s="13"/>
      <c r="J218" s="13">
        <v>1825</v>
      </c>
      <c r="K218" s="13">
        <f t="shared" si="40"/>
        <v>0</v>
      </c>
      <c r="L218" s="13">
        <f t="shared" si="41"/>
        <v>1865</v>
      </c>
      <c r="M218" s="13" t="str">
        <f t="shared" si="42"/>
        <v/>
      </c>
      <c r="N218" s="13">
        <f t="shared" si="43"/>
        <v>1825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18</v>
      </c>
      <c r="C219" s="12" t="s">
        <v>487</v>
      </c>
      <c r="D219" s="12" t="s">
        <v>83</v>
      </c>
      <c r="E219" s="12" t="s">
        <v>70</v>
      </c>
      <c r="F219" s="12" t="s">
        <v>488</v>
      </c>
      <c r="G219" s="13">
        <v>1865</v>
      </c>
      <c r="H219" s="13"/>
      <c r="I219" s="13"/>
      <c r="J219" s="13">
        <v>1835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1835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442</v>
      </c>
      <c r="D220" s="12" t="s">
        <v>287</v>
      </c>
      <c r="E220" s="12" t="s">
        <v>26</v>
      </c>
      <c r="F220" s="12" t="s">
        <v>443</v>
      </c>
      <c r="G220" s="13">
        <v>1865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8</v>
      </c>
      <c r="C221" s="12" t="s">
        <v>354</v>
      </c>
      <c r="D221" s="16" t="s">
        <v>52</v>
      </c>
      <c r="E221" s="12" t="s">
        <v>26</v>
      </c>
      <c r="F221" s="12" t="s">
        <v>444</v>
      </c>
      <c r="G221" s="13">
        <v>1824</v>
      </c>
      <c r="H221" s="13"/>
      <c r="I221" s="13"/>
      <c r="J221" s="13">
        <v>1813</v>
      </c>
      <c r="K221" s="13">
        <f t="shared" si="40"/>
        <v>0</v>
      </c>
      <c r="L221" s="13">
        <f t="shared" si="41"/>
        <v>1824</v>
      </c>
      <c r="M221" s="13" t="str">
        <f t="shared" si="42"/>
        <v/>
      </c>
      <c r="N221" s="13">
        <f t="shared" si="43"/>
        <v>1813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12</v>
      </c>
      <c r="C222" s="12" t="s">
        <v>495</v>
      </c>
      <c r="D222" s="16" t="s">
        <v>49</v>
      </c>
      <c r="E222" s="12" t="s">
        <v>26</v>
      </c>
      <c r="F222" s="12" t="s">
        <v>496</v>
      </c>
      <c r="G222" s="13">
        <v>1825</v>
      </c>
      <c r="H222" s="13"/>
      <c r="I222" s="13"/>
      <c r="J222" s="13">
        <v>1809</v>
      </c>
      <c r="K222" s="13">
        <f t="shared" si="40"/>
        <v>0</v>
      </c>
      <c r="L222" s="13">
        <f t="shared" si="41"/>
        <v>1825</v>
      </c>
      <c r="M222" s="13" t="str">
        <f t="shared" si="42"/>
        <v/>
      </c>
      <c r="N222" s="13">
        <f t="shared" si="43"/>
        <v>1809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14</v>
      </c>
      <c r="C223" s="12" t="s">
        <v>521</v>
      </c>
      <c r="D223" s="16" t="s">
        <v>49</v>
      </c>
      <c r="E223" s="12" t="s">
        <v>26</v>
      </c>
      <c r="F223" s="12" t="s">
        <v>522</v>
      </c>
      <c r="G223" s="13">
        <v>1825</v>
      </c>
      <c r="H223" s="13"/>
      <c r="I223" s="13"/>
      <c r="J223" s="13">
        <v>1818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1818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485</v>
      </c>
      <c r="D224" s="12" t="s">
        <v>83</v>
      </c>
      <c r="E224" s="12" t="s">
        <v>26</v>
      </c>
      <c r="F224" s="12" t="s">
        <v>486</v>
      </c>
      <c r="G224" s="13">
        <v>1825</v>
      </c>
      <c r="H224" s="13"/>
      <c r="I224" s="13"/>
      <c r="J224" s="13">
        <v>1819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16</v>
      </c>
      <c r="C225" s="12" t="s">
        <v>453</v>
      </c>
      <c r="D225" s="16" t="s">
        <v>52</v>
      </c>
      <c r="E225" s="12" t="s">
        <v>70</v>
      </c>
      <c r="F225" s="12" t="s">
        <v>454</v>
      </c>
      <c r="G225" s="13">
        <v>1867</v>
      </c>
      <c r="H225" s="13"/>
      <c r="I225" s="13"/>
      <c r="J225" s="13">
        <v>1857</v>
      </c>
      <c r="K225" s="13">
        <f t="shared" si="40"/>
        <v>0</v>
      </c>
      <c r="L225" s="13">
        <f t="shared" si="41"/>
        <v>1867</v>
      </c>
      <c r="M225" s="13" t="str">
        <f t="shared" si="42"/>
        <v/>
      </c>
      <c r="N225" s="13">
        <f t="shared" si="43"/>
        <v>1857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12</v>
      </c>
      <c r="C226" s="12" t="s">
        <v>400</v>
      </c>
      <c r="D226" s="16" t="s">
        <v>49</v>
      </c>
      <c r="E226" s="12" t="s">
        <v>26</v>
      </c>
      <c r="F226" s="12" t="s">
        <v>401</v>
      </c>
      <c r="G226" s="13">
        <v>1827</v>
      </c>
      <c r="H226" s="13"/>
      <c r="I226" s="13"/>
      <c r="J226" s="13">
        <v>1797</v>
      </c>
      <c r="K226" s="13">
        <f t="shared" si="40"/>
        <v>0</v>
      </c>
      <c r="L226" s="13">
        <f t="shared" si="41"/>
        <v>1827</v>
      </c>
      <c r="M226" s="13" t="str">
        <f t="shared" si="42"/>
        <v/>
      </c>
      <c r="N226" s="13">
        <f t="shared" si="43"/>
        <v>1797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16</v>
      </c>
      <c r="C227" s="12" t="s">
        <v>457</v>
      </c>
      <c r="D227" s="16" t="s">
        <v>61</v>
      </c>
      <c r="E227" s="12" t="s">
        <v>70</v>
      </c>
      <c r="F227" s="12" t="s">
        <v>458</v>
      </c>
      <c r="G227" s="13">
        <v>1869</v>
      </c>
      <c r="H227" s="13"/>
      <c r="I227" s="13"/>
      <c r="J227" s="13">
        <v>1829</v>
      </c>
      <c r="K227" s="13">
        <f t="shared" si="40"/>
        <v>0</v>
      </c>
      <c r="L227" s="13">
        <f t="shared" si="41"/>
        <v>1869</v>
      </c>
      <c r="M227" s="13" t="str">
        <f t="shared" si="42"/>
        <v/>
      </c>
      <c r="N227" s="13">
        <f t="shared" si="43"/>
        <v>1829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17" customFormat="1" ht="28.5" customHeight="1">
      <c r="A228" s="12" t="str">
        <f t="shared" si="39"/>
        <v/>
      </c>
      <c r="B228" s="12" t="s">
        <v>16</v>
      </c>
      <c r="C228" s="12" t="s">
        <v>469</v>
      </c>
      <c r="D228" s="12" t="s">
        <v>45</v>
      </c>
      <c r="E228" s="12" t="s">
        <v>26</v>
      </c>
      <c r="F228" s="12" t="s">
        <v>470</v>
      </c>
      <c r="G228" s="13">
        <v>1869</v>
      </c>
      <c r="H228" s="13"/>
      <c r="I228" s="13"/>
      <c r="J228" s="13">
        <v>1850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1850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459</v>
      </c>
      <c r="D229" s="16" t="s">
        <v>52</v>
      </c>
      <c r="E229" s="12" t="s">
        <v>70</v>
      </c>
      <c r="F229" s="12" t="s">
        <v>460</v>
      </c>
      <c r="G229" s="13">
        <v>1869</v>
      </c>
      <c r="H229" s="13"/>
      <c r="I229" s="13"/>
      <c r="J229" s="13">
        <v>1854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1854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461</v>
      </c>
      <c r="D230" s="16" t="s">
        <v>83</v>
      </c>
      <c r="E230" s="12" t="s">
        <v>26</v>
      </c>
      <c r="F230" s="12" t="s">
        <v>462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6</v>
      </c>
      <c r="C231" s="12" t="s">
        <v>473</v>
      </c>
      <c r="D231" s="16" t="s">
        <v>52</v>
      </c>
      <c r="E231" s="12" t="s">
        <v>26</v>
      </c>
      <c r="F231" s="12" t="s">
        <v>474</v>
      </c>
      <c r="G231" s="13">
        <v>1828</v>
      </c>
      <c r="H231" s="13"/>
      <c r="I231" s="13"/>
      <c r="J231" s="13">
        <v>1809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1809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463</v>
      </c>
      <c r="D232" s="16" t="s">
        <v>52</v>
      </c>
      <c r="E232" s="12" t="s">
        <v>70</v>
      </c>
      <c r="F232" s="12" t="s">
        <v>464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465</v>
      </c>
      <c r="D233" s="16" t="s">
        <v>49</v>
      </c>
      <c r="E233" s="12" t="s">
        <v>26</v>
      </c>
      <c r="F233" s="12" t="s">
        <v>466</v>
      </c>
      <c r="G233" s="13">
        <v>1870</v>
      </c>
      <c r="H233" s="13"/>
      <c r="I233" s="13"/>
      <c r="J233" s="13">
        <v>1840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1840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16</v>
      </c>
      <c r="C234" s="12" t="s">
        <v>569</v>
      </c>
      <c r="D234" s="16" t="s">
        <v>49</v>
      </c>
      <c r="E234" s="12" t="s">
        <v>26</v>
      </c>
      <c r="F234" s="12" t="s">
        <v>570</v>
      </c>
      <c r="G234" s="13">
        <v>1870</v>
      </c>
      <c r="H234" s="13"/>
      <c r="I234" s="13"/>
      <c r="J234" s="13">
        <v>1850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1850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471</v>
      </c>
      <c r="D235" s="12" t="s">
        <v>83</v>
      </c>
      <c r="E235" s="12" t="s">
        <v>70</v>
      </c>
      <c r="F235" s="12" t="s">
        <v>472</v>
      </c>
      <c r="G235" s="13">
        <v>1870</v>
      </c>
      <c r="H235" s="13"/>
      <c r="I235" s="13"/>
      <c r="J235" s="13">
        <v>1870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1870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513</v>
      </c>
      <c r="D236" s="16" t="s">
        <v>49</v>
      </c>
      <c r="E236" s="12" t="s">
        <v>26</v>
      </c>
      <c r="F236" s="12" t="s">
        <v>514</v>
      </c>
      <c r="G236" s="13">
        <v>1829</v>
      </c>
      <c r="H236" s="13"/>
      <c r="I236" s="13"/>
      <c r="J236" s="13">
        <v>1789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1789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479</v>
      </c>
      <c r="D237" s="16" t="s">
        <v>49</v>
      </c>
      <c r="E237" s="12" t="s">
        <v>26</v>
      </c>
      <c r="F237" s="12" t="s">
        <v>480</v>
      </c>
      <c r="G237" s="13">
        <v>1829</v>
      </c>
      <c r="H237" s="13"/>
      <c r="I237" s="13"/>
      <c r="J237" s="13">
        <v>1799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1799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10</v>
      </c>
      <c r="C238" s="12" t="s">
        <v>475</v>
      </c>
      <c r="D238" s="16" t="s">
        <v>52</v>
      </c>
      <c r="E238" s="12" t="s">
        <v>26</v>
      </c>
      <c r="F238" s="12" t="s">
        <v>476</v>
      </c>
      <c r="G238" s="13">
        <v>1829</v>
      </c>
      <c r="H238" s="13"/>
      <c r="I238" s="13"/>
      <c r="J238" s="13">
        <v>1809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1809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481</v>
      </c>
      <c r="D239" s="16" t="s">
        <v>83</v>
      </c>
      <c r="E239" s="12" t="s">
        <v>26</v>
      </c>
      <c r="F239" s="12" t="s">
        <v>482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527</v>
      </c>
      <c r="D240" s="16" t="s">
        <v>49</v>
      </c>
      <c r="E240" s="12" t="s">
        <v>70</v>
      </c>
      <c r="F240" s="12" t="s">
        <v>528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533</v>
      </c>
      <c r="D241" s="12" t="s">
        <v>45</v>
      </c>
      <c r="E241" s="12" t="s">
        <v>26</v>
      </c>
      <c r="F241" s="12" t="s">
        <v>534</v>
      </c>
      <c r="G241" s="13">
        <v>1832</v>
      </c>
      <c r="H241" s="13"/>
      <c r="I241" s="13"/>
      <c r="J241" s="13">
        <v>1823</v>
      </c>
      <c r="K241" s="13">
        <f t="shared" si="40"/>
        <v>0</v>
      </c>
      <c r="L241" s="13">
        <f t="shared" si="41"/>
        <v>1832</v>
      </c>
      <c r="M241" s="13" t="str">
        <f t="shared" si="42"/>
        <v/>
      </c>
      <c r="N241" s="13">
        <f t="shared" si="43"/>
        <v>1823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503</v>
      </c>
      <c r="D242" s="16" t="s">
        <v>52</v>
      </c>
      <c r="E242" s="12" t="s">
        <v>26</v>
      </c>
      <c r="F242" s="12" t="s">
        <v>504</v>
      </c>
      <c r="G242" s="13">
        <v>1833</v>
      </c>
      <c r="H242" s="13"/>
      <c r="I242" s="13"/>
      <c r="J242" s="13">
        <v>1821</v>
      </c>
      <c r="K242" s="13">
        <f t="shared" si="40"/>
        <v>0</v>
      </c>
      <c r="L242" s="13">
        <f t="shared" si="41"/>
        <v>1833</v>
      </c>
      <c r="M242" s="13" t="str">
        <f t="shared" si="42"/>
        <v/>
      </c>
      <c r="N242" s="13">
        <f t="shared" si="43"/>
        <v>1821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605</v>
      </c>
      <c r="D243" s="16" t="s">
        <v>52</v>
      </c>
      <c r="E243" s="12" t="s">
        <v>70</v>
      </c>
      <c r="F243" s="12" t="s">
        <v>606</v>
      </c>
      <c r="G243" s="13">
        <v>1875</v>
      </c>
      <c r="H243" s="13"/>
      <c r="I243" s="13"/>
      <c r="J243" s="13">
        <v>1855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1855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6</v>
      </c>
      <c r="C244" s="12" t="s">
        <v>547</v>
      </c>
      <c r="D244" s="16" t="s">
        <v>83</v>
      </c>
      <c r="E244" s="12" t="s">
        <v>26</v>
      </c>
      <c r="F244" s="12" t="s">
        <v>548</v>
      </c>
      <c r="G244" s="13">
        <v>1835</v>
      </c>
      <c r="H244" s="13"/>
      <c r="I244" s="13"/>
      <c r="J244" s="13">
        <v>1813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545</v>
      </c>
      <c r="D245" s="12" t="s">
        <v>83</v>
      </c>
      <c r="E245" s="12" t="s">
        <v>26</v>
      </c>
      <c r="F245" s="12" t="s">
        <v>546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493</v>
      </c>
      <c r="D246" s="16" t="s">
        <v>52</v>
      </c>
      <c r="E246" s="12" t="s">
        <v>26</v>
      </c>
      <c r="F246" s="12" t="s">
        <v>494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497</v>
      </c>
      <c r="D247" s="16" t="s">
        <v>49</v>
      </c>
      <c r="E247" s="12" t="s">
        <v>70</v>
      </c>
      <c r="F247" s="12" t="s">
        <v>498</v>
      </c>
      <c r="G247" s="13">
        <v>1878</v>
      </c>
      <c r="H247" s="13"/>
      <c r="I247" s="13"/>
      <c r="J247" s="13">
        <v>1858</v>
      </c>
      <c r="K247" s="13">
        <f t="shared" si="40"/>
        <v>0</v>
      </c>
      <c r="L247" s="13">
        <f t="shared" si="41"/>
        <v>1878</v>
      </c>
      <c r="M247" s="13" t="str">
        <f t="shared" si="42"/>
        <v/>
      </c>
      <c r="N247" s="13">
        <f t="shared" si="43"/>
        <v>1858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537</v>
      </c>
      <c r="D248" s="16" t="s">
        <v>52</v>
      </c>
      <c r="E248" s="12" t="s">
        <v>70</v>
      </c>
      <c r="F248" s="12" t="s">
        <v>538</v>
      </c>
      <c r="G248" s="13">
        <v>1878</v>
      </c>
      <c r="H248" s="13"/>
      <c r="I248" s="13"/>
      <c r="J248" s="13">
        <v>1868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1868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501</v>
      </c>
      <c r="D249" s="16" t="s">
        <v>52</v>
      </c>
      <c r="E249" s="12" t="s">
        <v>26</v>
      </c>
      <c r="F249" s="12" t="s">
        <v>502</v>
      </c>
      <c r="G249" s="13">
        <v>1837</v>
      </c>
      <c r="H249" s="13"/>
      <c r="I249" s="13"/>
      <c r="J249" s="13">
        <v>1808</v>
      </c>
      <c r="K249" s="13">
        <f t="shared" si="40"/>
        <v>0</v>
      </c>
      <c r="L249" s="13">
        <f t="shared" si="41"/>
        <v>1837</v>
      </c>
      <c r="M249" s="13" t="str">
        <f t="shared" si="42"/>
        <v/>
      </c>
      <c r="N249" s="13">
        <f t="shared" si="43"/>
        <v>1808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8" customFormat="1" ht="28.5" customHeight="1">
      <c r="A250" s="12" t="str">
        <f t="shared" si="39"/>
        <v/>
      </c>
      <c r="B250" s="12" t="s">
        <v>6</v>
      </c>
      <c r="C250" s="12" t="s">
        <v>499</v>
      </c>
      <c r="D250" s="16" t="s">
        <v>49</v>
      </c>
      <c r="E250" s="12" t="s">
        <v>70</v>
      </c>
      <c r="F250" s="12" t="s">
        <v>500</v>
      </c>
      <c r="G250" s="13">
        <v>1837</v>
      </c>
      <c r="H250" s="13"/>
      <c r="I250" s="13"/>
      <c r="J250" s="13">
        <v>1817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1817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6</v>
      </c>
      <c r="C251" s="12" t="s">
        <v>551</v>
      </c>
      <c r="D251" s="16" t="s">
        <v>52</v>
      </c>
      <c r="E251" s="12" t="s">
        <v>26</v>
      </c>
      <c r="F251" s="12" t="s">
        <v>552</v>
      </c>
      <c r="G251" s="13">
        <v>1837</v>
      </c>
      <c r="H251" s="13"/>
      <c r="I251" s="13"/>
      <c r="J251" s="13">
        <v>1819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16</v>
      </c>
      <c r="C252" s="12" t="s">
        <v>557</v>
      </c>
      <c r="D252" s="16" t="s">
        <v>49</v>
      </c>
      <c r="E252" s="12" t="s">
        <v>26</v>
      </c>
      <c r="F252" s="12" t="s">
        <v>558</v>
      </c>
      <c r="G252" s="13">
        <v>1879</v>
      </c>
      <c r="H252" s="13"/>
      <c r="I252" s="13"/>
      <c r="J252" s="13">
        <v>1847</v>
      </c>
      <c r="K252" s="13">
        <f t="shared" si="40"/>
        <v>0</v>
      </c>
      <c r="L252" s="13">
        <f t="shared" si="41"/>
        <v>1879</v>
      </c>
      <c r="M252" s="13" t="str">
        <f t="shared" si="42"/>
        <v/>
      </c>
      <c r="N252" s="13">
        <f t="shared" si="43"/>
        <v>1847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10</v>
      </c>
      <c r="C253" s="12" t="s">
        <v>631</v>
      </c>
      <c r="D253" s="16" t="s">
        <v>61</v>
      </c>
      <c r="E253" s="12" t="s">
        <v>26</v>
      </c>
      <c r="F253" s="12" t="s">
        <v>632</v>
      </c>
      <c r="G253" s="13">
        <v>1838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1838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505</v>
      </c>
      <c r="D254" s="16" t="s">
        <v>49</v>
      </c>
      <c r="E254" s="12" t="s">
        <v>70</v>
      </c>
      <c r="F254" s="12" t="s">
        <v>506</v>
      </c>
      <c r="G254" s="13">
        <v>1838</v>
      </c>
      <c r="H254" s="13"/>
      <c r="I254" s="13"/>
      <c r="J254" s="13">
        <v>1838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1838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507</v>
      </c>
      <c r="D255" s="16" t="s">
        <v>61</v>
      </c>
      <c r="E255" s="12" t="s">
        <v>70</v>
      </c>
      <c r="F255" s="12" t="s">
        <v>508</v>
      </c>
      <c r="G255" s="13">
        <v>1880</v>
      </c>
      <c r="H255" s="13"/>
      <c r="I255" s="13"/>
      <c r="J255" s="13">
        <v>1860</v>
      </c>
      <c r="K255" s="13">
        <f t="shared" si="40"/>
        <v>0</v>
      </c>
      <c r="L255" s="13">
        <f t="shared" si="41"/>
        <v>1880</v>
      </c>
      <c r="M255" s="13" t="str">
        <f t="shared" si="42"/>
        <v/>
      </c>
      <c r="N255" s="13">
        <f t="shared" si="43"/>
        <v>1860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18</v>
      </c>
      <c r="C256" s="12" t="s">
        <v>509</v>
      </c>
      <c r="D256" s="16" t="s">
        <v>52</v>
      </c>
      <c r="E256" s="12" t="s">
        <v>70</v>
      </c>
      <c r="F256" s="12" t="s">
        <v>510</v>
      </c>
      <c r="G256" s="13">
        <v>1880</v>
      </c>
      <c r="H256" s="13"/>
      <c r="I256" s="13"/>
      <c r="J256" s="13">
        <v>1870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1870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16</v>
      </c>
      <c r="C257" s="12" t="s">
        <v>511</v>
      </c>
      <c r="D257" s="16" t="s">
        <v>61</v>
      </c>
      <c r="E257" s="12" t="s">
        <v>70</v>
      </c>
      <c r="F257" s="12" t="s">
        <v>512</v>
      </c>
      <c r="G257" s="13">
        <v>1880</v>
      </c>
      <c r="H257" s="13"/>
      <c r="I257" s="13"/>
      <c r="J257" s="13">
        <v>1880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1880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14</v>
      </c>
      <c r="C258" s="12" t="s">
        <v>517</v>
      </c>
      <c r="D258" s="12" t="s">
        <v>83</v>
      </c>
      <c r="E258" s="12" t="s">
        <v>26</v>
      </c>
      <c r="F258" s="12" t="s">
        <v>518</v>
      </c>
      <c r="G258" s="13">
        <v>1839</v>
      </c>
      <c r="H258" s="13"/>
      <c r="I258" s="13"/>
      <c r="J258" s="13">
        <v>1809</v>
      </c>
      <c r="K258" s="13">
        <f t="shared" si="40"/>
        <v>0</v>
      </c>
      <c r="L258" s="13">
        <f t="shared" si="41"/>
        <v>1839</v>
      </c>
      <c r="M258" s="13" t="str">
        <f t="shared" si="42"/>
        <v/>
      </c>
      <c r="N258" s="13">
        <f t="shared" si="43"/>
        <v>1809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10</v>
      </c>
      <c r="C259" s="12" t="s">
        <v>519</v>
      </c>
      <c r="D259" s="12" t="s">
        <v>83</v>
      </c>
      <c r="E259" s="12" t="s">
        <v>26</v>
      </c>
      <c r="F259" s="12" t="s">
        <v>520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6</v>
      </c>
      <c r="C260" s="12" t="s">
        <v>491</v>
      </c>
      <c r="D260" s="16" t="s">
        <v>49</v>
      </c>
      <c r="E260" s="12" t="s">
        <v>26</v>
      </c>
      <c r="F260" s="12" t="s">
        <v>492</v>
      </c>
      <c r="G260" s="13">
        <v>1839</v>
      </c>
      <c r="H260" s="13"/>
      <c r="I260" s="13"/>
      <c r="J260" s="13">
        <v>1815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1815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8</v>
      </c>
      <c r="C261" s="12" t="s">
        <v>523</v>
      </c>
      <c r="D261" s="16" t="s">
        <v>49</v>
      </c>
      <c r="E261" s="12" t="s">
        <v>26</v>
      </c>
      <c r="F261" s="12" t="s">
        <v>524</v>
      </c>
      <c r="G261" s="13">
        <v>1839</v>
      </c>
      <c r="H261" s="13"/>
      <c r="I261" s="13"/>
      <c r="J261" s="13">
        <v>1829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1829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12</v>
      </c>
      <c r="C262" s="12" t="s">
        <v>525</v>
      </c>
      <c r="D262" s="16" t="s">
        <v>52</v>
      </c>
      <c r="E262" s="12" t="s">
        <v>26</v>
      </c>
      <c r="F262" s="12" t="s">
        <v>526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10</v>
      </c>
      <c r="C263" s="12" t="s">
        <v>529</v>
      </c>
      <c r="D263" s="16" t="s">
        <v>52</v>
      </c>
      <c r="E263" s="12" t="s">
        <v>26</v>
      </c>
      <c r="F263" s="12" t="s">
        <v>530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10</v>
      </c>
      <c r="C264" s="12" t="s">
        <v>477</v>
      </c>
      <c r="D264" s="16" t="s">
        <v>52</v>
      </c>
      <c r="E264" s="12" t="s">
        <v>70</v>
      </c>
      <c r="F264" s="12" t="s">
        <v>478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445</v>
      </c>
      <c r="D265" s="16" t="s">
        <v>83</v>
      </c>
      <c r="E265" s="12" t="s">
        <v>26</v>
      </c>
      <c r="F265" s="12" t="s">
        <v>446</v>
      </c>
      <c r="G265" s="13">
        <v>1842</v>
      </c>
      <c r="H265" s="13"/>
      <c r="I265" s="13"/>
      <c r="J265" s="13">
        <v>1845</v>
      </c>
      <c r="K265" s="13">
        <f t="shared" si="40"/>
        <v>0</v>
      </c>
      <c r="L265" s="13">
        <f t="shared" si="41"/>
        <v>1842</v>
      </c>
      <c r="M265" s="13" t="str">
        <f t="shared" si="42"/>
        <v/>
      </c>
      <c r="N265" s="13">
        <f t="shared" si="43"/>
        <v>1845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535</v>
      </c>
      <c r="D266" s="12" t="s">
        <v>287</v>
      </c>
      <c r="E266" s="12" t="s">
        <v>26</v>
      </c>
      <c r="F266" s="12" t="s">
        <v>536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601</v>
      </c>
      <c r="D267" s="16" t="s">
        <v>52</v>
      </c>
      <c r="E267" s="12" t="s">
        <v>70</v>
      </c>
      <c r="F267" s="12" t="s">
        <v>602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539</v>
      </c>
      <c r="D268" s="16" t="s">
        <v>49</v>
      </c>
      <c r="E268" s="12" t="s">
        <v>26</v>
      </c>
      <c r="F268" s="12" t="s">
        <v>540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541</v>
      </c>
      <c r="D269" s="12" t="s">
        <v>83</v>
      </c>
      <c r="E269" s="12" t="s">
        <v>26</v>
      </c>
      <c r="F269" s="12" t="s">
        <v>542</v>
      </c>
      <c r="G269" s="13">
        <v>1844</v>
      </c>
      <c r="H269" s="13"/>
      <c r="I269" s="13"/>
      <c r="J269" s="13">
        <v>1814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1814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6</v>
      </c>
      <c r="C270" s="12" t="s">
        <v>543</v>
      </c>
      <c r="D270" s="16" t="s">
        <v>61</v>
      </c>
      <c r="E270" s="12" t="s">
        <v>26</v>
      </c>
      <c r="F270" s="12" t="s">
        <v>544</v>
      </c>
      <c r="G270" s="13">
        <v>1844</v>
      </c>
      <c r="H270" s="13"/>
      <c r="I270" s="13"/>
      <c r="J270" s="13">
        <v>1819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10</v>
      </c>
      <c r="C271" s="12" t="s">
        <v>611</v>
      </c>
      <c r="D271" s="16" t="s">
        <v>61</v>
      </c>
      <c r="E271" s="12" t="s">
        <v>26</v>
      </c>
      <c r="F271" s="12" t="s">
        <v>612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549</v>
      </c>
      <c r="D272" s="12" t="s">
        <v>83</v>
      </c>
      <c r="E272" s="12" t="s">
        <v>26</v>
      </c>
      <c r="F272" s="12" t="s">
        <v>550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591</v>
      </c>
      <c r="D273" s="16" t="s">
        <v>61</v>
      </c>
      <c r="E273" s="12" t="s">
        <v>26</v>
      </c>
      <c r="F273" s="12" t="s">
        <v>592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553</v>
      </c>
      <c r="D274" s="16" t="s">
        <v>49</v>
      </c>
      <c r="E274" s="12" t="s">
        <v>26</v>
      </c>
      <c r="F274" s="12" t="s">
        <v>554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650</v>
      </c>
      <c r="D275" s="16" t="s">
        <v>52</v>
      </c>
      <c r="E275" s="12" t="s">
        <v>26</v>
      </c>
      <c r="F275" s="12" t="s">
        <v>651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555</v>
      </c>
      <c r="D276" s="12" t="s">
        <v>83</v>
      </c>
      <c r="E276" s="12" t="s">
        <v>70</v>
      </c>
      <c r="F276" s="12" t="s">
        <v>556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559</v>
      </c>
      <c r="D277" s="16" t="s">
        <v>49</v>
      </c>
      <c r="E277" s="12" t="s">
        <v>26</v>
      </c>
      <c r="F277" s="12" t="s">
        <v>560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52</v>
      </c>
      <c r="E278" s="12" t="s">
        <v>70</v>
      </c>
      <c r="F278" s="12" t="s">
        <v>562</v>
      </c>
      <c r="G278" s="13">
        <v>1890</v>
      </c>
      <c r="H278" s="13"/>
      <c r="I278" s="13"/>
      <c r="J278" s="13">
        <v>1869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1869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563</v>
      </c>
      <c r="D279" s="16" t="s">
        <v>52</v>
      </c>
      <c r="E279" s="12" t="s">
        <v>70</v>
      </c>
      <c r="F279" s="12" t="s">
        <v>564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565</v>
      </c>
      <c r="D280" s="16" t="s">
        <v>49</v>
      </c>
      <c r="E280" s="12" t="s">
        <v>26</v>
      </c>
      <c r="F280" s="12" t="s">
        <v>566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567</v>
      </c>
      <c r="D281" s="16" t="s">
        <v>49</v>
      </c>
      <c r="E281" s="12" t="s">
        <v>70</v>
      </c>
      <c r="F281" s="12" t="s">
        <v>568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571</v>
      </c>
      <c r="D282" s="12" t="s">
        <v>83</v>
      </c>
      <c r="E282" s="12" t="s">
        <v>70</v>
      </c>
      <c r="F282" s="12" t="s">
        <v>572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573</v>
      </c>
      <c r="D283" s="16" t="s">
        <v>49</v>
      </c>
      <c r="E283" s="12" t="s">
        <v>70</v>
      </c>
      <c r="F283" s="12" t="s">
        <v>574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575</v>
      </c>
      <c r="D284" s="16" t="s">
        <v>49</v>
      </c>
      <c r="E284" s="12" t="s">
        <v>70</v>
      </c>
      <c r="F284" s="12" t="s">
        <v>576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577</v>
      </c>
      <c r="D285" s="12" t="s">
        <v>83</v>
      </c>
      <c r="E285" s="12" t="s">
        <v>26</v>
      </c>
      <c r="F285" s="12" t="s">
        <v>578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581</v>
      </c>
      <c r="D286" s="16" t="s">
        <v>52</v>
      </c>
      <c r="E286" s="12" t="s">
        <v>26</v>
      </c>
      <c r="F286" s="12" t="s">
        <v>582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583</v>
      </c>
      <c r="D287" s="16" t="s">
        <v>52</v>
      </c>
      <c r="E287" s="12" t="s">
        <v>26</v>
      </c>
      <c r="F287" s="12" t="s">
        <v>584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595</v>
      </c>
      <c r="D288" s="12" t="s">
        <v>83</v>
      </c>
      <c r="E288" s="12" t="s">
        <v>26</v>
      </c>
      <c r="F288" s="12" t="s">
        <v>596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667</v>
      </c>
      <c r="D289" s="16" t="s">
        <v>49</v>
      </c>
      <c r="E289" s="12" t="s">
        <v>26</v>
      </c>
      <c r="F289" s="12" t="s">
        <v>668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585</v>
      </c>
      <c r="D290" s="12" t="s">
        <v>83</v>
      </c>
      <c r="E290" s="12" t="s">
        <v>26</v>
      </c>
      <c r="F290" s="12" t="s">
        <v>586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587</v>
      </c>
      <c r="D291" s="16" t="s">
        <v>49</v>
      </c>
      <c r="E291" s="12" t="s">
        <v>70</v>
      </c>
      <c r="F291" s="12" t="s">
        <v>588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12</v>
      </c>
      <c r="C292" s="12" t="s">
        <v>589</v>
      </c>
      <c r="D292" s="16" t="s">
        <v>52</v>
      </c>
      <c r="E292" s="12" t="s">
        <v>26</v>
      </c>
      <c r="F292" s="12" t="s">
        <v>590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593</v>
      </c>
      <c r="D293" s="12" t="s">
        <v>45</v>
      </c>
      <c r="E293" s="12" t="s">
        <v>26</v>
      </c>
      <c r="F293" s="12" t="s">
        <v>594</v>
      </c>
      <c r="G293" s="13">
        <v>1849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597</v>
      </c>
      <c r="D294" s="16" t="s">
        <v>49</v>
      </c>
      <c r="E294" s="12" t="s">
        <v>26</v>
      </c>
      <c r="F294" s="12" t="s">
        <v>598</v>
      </c>
      <c r="G294" s="13">
        <v>1892</v>
      </c>
      <c r="H294" s="13"/>
      <c r="I294" s="13"/>
      <c r="J294" s="13">
        <v>1882</v>
      </c>
      <c r="K294" s="13">
        <f t="shared" si="53"/>
        <v>0</v>
      </c>
      <c r="L294" s="13">
        <f t="shared" si="54"/>
        <v>1892</v>
      </c>
      <c r="M294" s="13" t="str">
        <f t="shared" si="55"/>
        <v/>
      </c>
      <c r="N294" s="13">
        <f t="shared" si="56"/>
        <v>1882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599</v>
      </c>
      <c r="D295" s="12" t="s">
        <v>45</v>
      </c>
      <c r="E295" s="12" t="s">
        <v>70</v>
      </c>
      <c r="F295" s="12" t="s">
        <v>600</v>
      </c>
      <c r="G295" s="13">
        <v>1852</v>
      </c>
      <c r="H295" s="13"/>
      <c r="I295" s="13"/>
      <c r="J295" s="13">
        <v>1839</v>
      </c>
      <c r="K295" s="13">
        <f t="shared" si="53"/>
        <v>0</v>
      </c>
      <c r="L295" s="13">
        <f t="shared" si="54"/>
        <v>1852</v>
      </c>
      <c r="M295" s="13" t="str">
        <f t="shared" si="55"/>
        <v/>
      </c>
      <c r="N295" s="13">
        <f t="shared" si="56"/>
        <v>1839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603</v>
      </c>
      <c r="D296" s="16" t="s">
        <v>52</v>
      </c>
      <c r="E296" s="12" t="s">
        <v>26</v>
      </c>
      <c r="F296" s="12" t="s">
        <v>604</v>
      </c>
      <c r="G296" s="13">
        <v>1895</v>
      </c>
      <c r="H296" s="13"/>
      <c r="I296" s="13"/>
      <c r="J296" s="13">
        <v>1855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1855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607</v>
      </c>
      <c r="D297" s="16" t="s">
        <v>61</v>
      </c>
      <c r="E297" s="12" t="s">
        <v>26</v>
      </c>
      <c r="F297" s="12" t="s">
        <v>608</v>
      </c>
      <c r="G297" s="13">
        <v>1895</v>
      </c>
      <c r="H297" s="13"/>
      <c r="I297" s="13"/>
      <c r="J297" s="13">
        <v>1875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1875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609</v>
      </c>
      <c r="D298" s="16" t="s">
        <v>61</v>
      </c>
      <c r="E298" s="12" t="s">
        <v>70</v>
      </c>
      <c r="F298" s="12" t="s">
        <v>610</v>
      </c>
      <c r="G298" s="13">
        <v>1895</v>
      </c>
      <c r="H298" s="13"/>
      <c r="I298" s="13"/>
      <c r="J298" s="13">
        <v>1895</v>
      </c>
      <c r="K298" s="13">
        <f t="shared" si="53"/>
        <v>0</v>
      </c>
      <c r="L298" s="13">
        <f t="shared" si="54"/>
        <v>1895</v>
      </c>
      <c r="M298" s="13" t="str">
        <f t="shared" si="55"/>
        <v/>
      </c>
      <c r="N298" s="13">
        <f t="shared" si="56"/>
        <v>1895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8</v>
      </c>
      <c r="C299" s="12" t="s">
        <v>613</v>
      </c>
      <c r="D299" s="12" t="s">
        <v>83</v>
      </c>
      <c r="E299" s="12" t="s">
        <v>26</v>
      </c>
      <c r="F299" s="12" t="s">
        <v>614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8</v>
      </c>
      <c r="C300" s="12" t="s">
        <v>615</v>
      </c>
      <c r="D300" s="16" t="s">
        <v>61</v>
      </c>
      <c r="E300" s="12" t="s">
        <v>26</v>
      </c>
      <c r="F300" s="12" t="s">
        <v>616</v>
      </c>
      <c r="G300" s="13">
        <v>1855</v>
      </c>
      <c r="H300" s="13"/>
      <c r="I300" s="13"/>
      <c r="J300" s="13">
        <v>1825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1825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6</v>
      </c>
      <c r="C301" s="12" t="s">
        <v>617</v>
      </c>
      <c r="D301" s="16" t="s">
        <v>49</v>
      </c>
      <c r="E301" s="12" t="s">
        <v>26</v>
      </c>
      <c r="F301" s="12" t="s">
        <v>618</v>
      </c>
      <c r="G301" s="13">
        <v>1855</v>
      </c>
      <c r="H301" s="13"/>
      <c r="I301" s="13"/>
      <c r="J301" s="13">
        <v>1839</v>
      </c>
      <c r="K301" s="13">
        <f t="shared" si="53"/>
        <v>0</v>
      </c>
      <c r="L301" s="13">
        <f t="shared" si="54"/>
        <v>1855</v>
      </c>
      <c r="M301" s="13" t="str">
        <f t="shared" si="55"/>
        <v/>
      </c>
      <c r="N301" s="13">
        <f t="shared" si="56"/>
        <v>1839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621</v>
      </c>
      <c r="D302" s="16" t="s">
        <v>52</v>
      </c>
      <c r="E302" s="12" t="s">
        <v>26</v>
      </c>
      <c r="F302" s="12" t="s">
        <v>622</v>
      </c>
      <c r="G302" s="13">
        <v>1899</v>
      </c>
      <c r="H302" s="13"/>
      <c r="I302" s="13"/>
      <c r="J302" s="13">
        <v>1849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1849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8" customFormat="1" ht="28.5" customHeight="1">
      <c r="A303" s="12" t="str">
        <f t="shared" si="52"/>
        <v/>
      </c>
      <c r="B303" s="12" t="s">
        <v>18</v>
      </c>
      <c r="C303" s="12" t="s">
        <v>625</v>
      </c>
      <c r="D303" s="12" t="s">
        <v>83</v>
      </c>
      <c r="E303" s="12" t="s">
        <v>70</v>
      </c>
      <c r="F303" s="12" t="s">
        <v>626</v>
      </c>
      <c r="G303" s="13">
        <v>1899</v>
      </c>
      <c r="H303" s="13"/>
      <c r="I303" s="13"/>
      <c r="J303" s="13">
        <v>1859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1859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18</v>
      </c>
      <c r="C304" s="12" t="s">
        <v>623</v>
      </c>
      <c r="D304" s="16" t="s">
        <v>52</v>
      </c>
      <c r="E304" s="12" t="s">
        <v>26</v>
      </c>
      <c r="F304" s="12" t="s">
        <v>624</v>
      </c>
      <c r="G304" s="13">
        <v>1899</v>
      </c>
      <c r="H304" s="13"/>
      <c r="I304" s="13"/>
      <c r="J304" s="13">
        <v>1869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1869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18</v>
      </c>
      <c r="C305" s="12" t="s">
        <v>705</v>
      </c>
      <c r="D305" s="12" t="s">
        <v>83</v>
      </c>
      <c r="E305" s="12" t="s">
        <v>70</v>
      </c>
      <c r="F305" s="12" t="s">
        <v>706</v>
      </c>
      <c r="G305" s="13">
        <v>1899</v>
      </c>
      <c r="H305" s="13"/>
      <c r="I305" s="13"/>
      <c r="J305" s="13">
        <v>1899</v>
      </c>
      <c r="K305" s="13">
        <f t="shared" si="53"/>
        <v>0</v>
      </c>
      <c r="L305" s="13">
        <f t="shared" si="54"/>
        <v>1899</v>
      </c>
      <c r="M305" s="13" t="str">
        <f t="shared" si="55"/>
        <v/>
      </c>
      <c r="N305" s="13">
        <f t="shared" si="56"/>
        <v>1899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627</v>
      </c>
      <c r="D306" s="16" t="s">
        <v>61</v>
      </c>
      <c r="E306" s="12" t="s">
        <v>26</v>
      </c>
      <c r="F306" s="12" t="s">
        <v>628</v>
      </c>
      <c r="G306" s="13">
        <v>1857</v>
      </c>
      <c r="H306" s="13"/>
      <c r="I306" s="13"/>
      <c r="J306" s="13">
        <v>1827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1827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17" customFormat="1" ht="28.5" customHeight="1">
      <c r="A307" s="12" t="str">
        <f t="shared" si="52"/>
        <v/>
      </c>
      <c r="B307" s="12" t="s">
        <v>10</v>
      </c>
      <c r="C307" s="12" t="s">
        <v>629</v>
      </c>
      <c r="D307" s="12" t="s">
        <v>83</v>
      </c>
      <c r="E307" s="12" t="s">
        <v>70</v>
      </c>
      <c r="F307" s="12" t="s">
        <v>630</v>
      </c>
      <c r="G307" s="13">
        <v>1857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754</v>
      </c>
      <c r="D308" s="16" t="s">
        <v>83</v>
      </c>
      <c r="E308" s="12" t="s">
        <v>26</v>
      </c>
      <c r="F308" s="12" t="s">
        <v>755</v>
      </c>
      <c r="G308" s="13">
        <v>1857</v>
      </c>
      <c r="H308" s="13"/>
      <c r="I308" s="13"/>
      <c r="J308" s="13">
        <v>1857</v>
      </c>
      <c r="K308" s="13">
        <f t="shared" si="53"/>
        <v>0</v>
      </c>
      <c r="L308" s="13">
        <f t="shared" si="54"/>
        <v>1857</v>
      </c>
      <c r="M308" s="13" t="str">
        <f t="shared" si="55"/>
        <v/>
      </c>
      <c r="N308" s="13">
        <f t="shared" si="56"/>
        <v>1857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451</v>
      </c>
      <c r="D309" s="16" t="s">
        <v>52</v>
      </c>
      <c r="E309" s="12" t="s">
        <v>26</v>
      </c>
      <c r="F309" s="12" t="s">
        <v>678</v>
      </c>
      <c r="G309" s="13">
        <v>1858</v>
      </c>
      <c r="H309" s="13"/>
      <c r="I309" s="13"/>
      <c r="J309" s="13">
        <v>1828</v>
      </c>
      <c r="K309" s="13">
        <f t="shared" si="53"/>
        <v>0</v>
      </c>
      <c r="L309" s="13">
        <f t="shared" si="54"/>
        <v>1858</v>
      </c>
      <c r="M309" s="13" t="str">
        <f t="shared" si="55"/>
        <v/>
      </c>
      <c r="N309" s="13">
        <f t="shared" si="56"/>
        <v>1828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661</v>
      </c>
      <c r="D310" s="16" t="s">
        <v>61</v>
      </c>
      <c r="E310" s="12" t="s">
        <v>26</v>
      </c>
      <c r="F310" s="12" t="s">
        <v>662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8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633</v>
      </c>
      <c r="D311" s="16" t="s">
        <v>61</v>
      </c>
      <c r="E311" s="12" t="s">
        <v>70</v>
      </c>
      <c r="F311" s="12" t="s">
        <v>634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551</v>
      </c>
      <c r="D312" s="16" t="s">
        <v>52</v>
      </c>
      <c r="E312" s="12" t="s">
        <v>70</v>
      </c>
      <c r="F312" s="12" t="s">
        <v>635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636</v>
      </c>
      <c r="D313" s="12" t="s">
        <v>287</v>
      </c>
      <c r="E313" s="12" t="s">
        <v>70</v>
      </c>
      <c r="F313" s="12" t="s">
        <v>637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638</v>
      </c>
      <c r="D314" s="12" t="s">
        <v>83</v>
      </c>
      <c r="E314" s="12" t="s">
        <v>26</v>
      </c>
      <c r="F314" s="12" t="s">
        <v>639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8</v>
      </c>
      <c r="C315" s="12" t="s">
        <v>631</v>
      </c>
      <c r="D315" s="16" t="s">
        <v>49</v>
      </c>
      <c r="E315" s="12" t="s">
        <v>26</v>
      </c>
      <c r="F315" s="12" t="s">
        <v>671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640</v>
      </c>
      <c r="D316" s="16" t="s">
        <v>52</v>
      </c>
      <c r="E316" s="12" t="s">
        <v>26</v>
      </c>
      <c r="F316" s="12" t="s">
        <v>641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10</v>
      </c>
      <c r="C317" s="12" t="s">
        <v>642</v>
      </c>
      <c r="D317" s="12" t="s">
        <v>83</v>
      </c>
      <c r="E317" s="12" t="s">
        <v>26</v>
      </c>
      <c r="F317" s="12" t="s">
        <v>643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644</v>
      </c>
      <c r="D318" s="12" t="s">
        <v>83</v>
      </c>
      <c r="E318" s="12" t="s">
        <v>26</v>
      </c>
      <c r="F318" s="12" t="s">
        <v>645</v>
      </c>
      <c r="G318" s="13">
        <v>1859</v>
      </c>
      <c r="H318" s="13"/>
      <c r="I318" s="13"/>
      <c r="J318" s="13">
        <v>1859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1859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646</v>
      </c>
      <c r="D319" s="12" t="s">
        <v>83</v>
      </c>
      <c r="E319" s="12" t="s">
        <v>26</v>
      </c>
      <c r="F319" s="12" t="s">
        <v>647</v>
      </c>
      <c r="G319" s="13">
        <v>1860</v>
      </c>
      <c r="H319" s="13"/>
      <c r="I319" s="13"/>
      <c r="J319" s="13">
        <v>1830</v>
      </c>
      <c r="K319" s="13">
        <f t="shared" si="53"/>
        <v>0</v>
      </c>
      <c r="L319" s="13">
        <f t="shared" si="54"/>
        <v>1860</v>
      </c>
      <c r="M319" s="13" t="str">
        <f t="shared" si="55"/>
        <v/>
      </c>
      <c r="N319" s="13">
        <f t="shared" si="56"/>
        <v>1830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648</v>
      </c>
      <c r="D320" s="16" t="s">
        <v>61</v>
      </c>
      <c r="E320" s="12" t="s">
        <v>26</v>
      </c>
      <c r="F320" s="12" t="s">
        <v>649</v>
      </c>
      <c r="G320" s="13">
        <v>1864</v>
      </c>
      <c r="H320" s="13"/>
      <c r="I320" s="13"/>
      <c r="J320" s="13">
        <v>1853</v>
      </c>
      <c r="K320" s="13">
        <f t="shared" si="53"/>
        <v>0</v>
      </c>
      <c r="L320" s="13">
        <f t="shared" si="54"/>
        <v>1864</v>
      </c>
      <c r="M320" s="13" t="str">
        <f t="shared" si="55"/>
        <v/>
      </c>
      <c r="N320" s="13">
        <f t="shared" si="56"/>
        <v>1853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656</v>
      </c>
      <c r="D321" s="16" t="s">
        <v>52</v>
      </c>
      <c r="E321" s="12" t="s">
        <v>26</v>
      </c>
      <c r="F321" s="12" t="s">
        <v>657</v>
      </c>
      <c r="G321" s="13">
        <v>1865</v>
      </c>
      <c r="H321" s="13"/>
      <c r="I321" s="13"/>
      <c r="J321" s="13">
        <v>1847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1847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652</v>
      </c>
      <c r="D322" s="16" t="s">
        <v>52</v>
      </c>
      <c r="E322" s="12" t="s">
        <v>70</v>
      </c>
      <c r="F322" s="12" t="s">
        <v>653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752</v>
      </c>
      <c r="D323" s="12" t="s">
        <v>83</v>
      </c>
      <c r="E323" s="12" t="s">
        <v>26</v>
      </c>
      <c r="F323" s="12" t="s">
        <v>753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654</v>
      </c>
      <c r="D324" s="16" t="s">
        <v>83</v>
      </c>
      <c r="E324" s="12" t="s">
        <v>26</v>
      </c>
      <c r="F324" s="12" t="s">
        <v>655</v>
      </c>
      <c r="G324" s="13">
        <v>1867</v>
      </c>
      <c r="H324" s="13"/>
      <c r="I324" s="13"/>
      <c r="J324" s="13">
        <v>1827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1827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17" customFormat="1" ht="28.5" customHeight="1">
      <c r="A325" s="12" t="str">
        <f t="shared" si="52"/>
        <v/>
      </c>
      <c r="B325" s="12" t="s">
        <v>8</v>
      </c>
      <c r="C325" s="12" t="s">
        <v>709</v>
      </c>
      <c r="D325" s="16" t="s">
        <v>61</v>
      </c>
      <c r="E325" s="12" t="s">
        <v>26</v>
      </c>
      <c r="F325" s="12" t="s">
        <v>710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658</v>
      </c>
      <c r="D326" s="16" t="s">
        <v>52</v>
      </c>
      <c r="E326" s="12" t="s">
        <v>26</v>
      </c>
      <c r="F326" s="12" t="s">
        <v>659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180</v>
      </c>
      <c r="D327" s="16" t="s">
        <v>49</v>
      </c>
      <c r="E327" s="12" t="s">
        <v>70</v>
      </c>
      <c r="F327" s="12" t="s">
        <v>660</v>
      </c>
      <c r="G327" s="13">
        <v>1868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52</v>
      </c>
      <c r="E328" s="12" t="s">
        <v>70</v>
      </c>
      <c r="F328" s="12" t="s">
        <v>664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665</v>
      </c>
      <c r="D329" s="16" t="s">
        <v>61</v>
      </c>
      <c r="E329" s="12" t="s">
        <v>70</v>
      </c>
      <c r="F329" s="12" t="s">
        <v>666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669</v>
      </c>
      <c r="D330" s="16" t="s">
        <v>49</v>
      </c>
      <c r="E330" s="12" t="s">
        <v>70</v>
      </c>
      <c r="F330" s="12" t="s">
        <v>670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691</v>
      </c>
      <c r="D331" s="16" t="s">
        <v>61</v>
      </c>
      <c r="E331" s="12" t="s">
        <v>26</v>
      </c>
      <c r="F331" s="12" t="s">
        <v>692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631</v>
      </c>
      <c r="D332" s="12" t="s">
        <v>83</v>
      </c>
      <c r="E332" s="12" t="s">
        <v>26</v>
      </c>
      <c r="F332" s="12" t="s">
        <v>876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717</v>
      </c>
      <c r="D333" s="16" t="s">
        <v>49</v>
      </c>
      <c r="E333" s="12" t="s">
        <v>26</v>
      </c>
      <c r="F333" s="12" t="s">
        <v>718</v>
      </c>
      <c r="G333" s="13">
        <v>1869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6</v>
      </c>
      <c r="C334" s="12" t="s">
        <v>672</v>
      </c>
      <c r="D334" s="16" t="s">
        <v>61</v>
      </c>
      <c r="E334" s="12" t="s">
        <v>70</v>
      </c>
      <c r="F334" s="12" t="s">
        <v>673</v>
      </c>
      <c r="G334" s="13">
        <v>1869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14</v>
      </c>
      <c r="C335" s="12" t="s">
        <v>697</v>
      </c>
      <c r="D335" s="12" t="s">
        <v>83</v>
      </c>
      <c r="E335" s="12" t="s">
        <v>70</v>
      </c>
      <c r="F335" s="12" t="s">
        <v>698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674</v>
      </c>
      <c r="D336" s="16" t="s">
        <v>83</v>
      </c>
      <c r="E336" s="12" t="s">
        <v>70</v>
      </c>
      <c r="F336" s="12" t="s">
        <v>675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676</v>
      </c>
      <c r="D337" s="16" t="s">
        <v>52</v>
      </c>
      <c r="E337" s="12" t="s">
        <v>70</v>
      </c>
      <c r="F337" s="12" t="s">
        <v>677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734</v>
      </c>
      <c r="D338" s="12" t="s">
        <v>83</v>
      </c>
      <c r="E338" s="12" t="s">
        <v>70</v>
      </c>
      <c r="F338" s="12" t="s">
        <v>735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679</v>
      </c>
      <c r="D339" s="16" t="s">
        <v>49</v>
      </c>
      <c r="E339" s="12" t="s">
        <v>70</v>
      </c>
      <c r="F339" s="12" t="s">
        <v>680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681</v>
      </c>
      <c r="D340" s="16" t="s">
        <v>61</v>
      </c>
      <c r="E340" s="12" t="s">
        <v>70</v>
      </c>
      <c r="F340" s="12" t="s">
        <v>682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8" customFormat="1" ht="28.5" customHeight="1">
      <c r="A341" s="12" t="str">
        <f t="shared" si="65"/>
        <v/>
      </c>
      <c r="B341" s="12" t="s">
        <v>14</v>
      </c>
      <c r="C341" s="12" t="s">
        <v>683</v>
      </c>
      <c r="D341" s="12" t="s">
        <v>83</v>
      </c>
      <c r="E341" s="12" t="s">
        <v>70</v>
      </c>
      <c r="F341" s="12" t="s">
        <v>684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775</v>
      </c>
      <c r="D342" s="12" t="s">
        <v>83</v>
      </c>
      <c r="E342" s="12" t="s">
        <v>70</v>
      </c>
      <c r="F342" s="12" t="s">
        <v>776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685</v>
      </c>
      <c r="D343" s="16" t="s">
        <v>49</v>
      </c>
      <c r="E343" s="12" t="s">
        <v>26</v>
      </c>
      <c r="F343" s="12" t="s">
        <v>686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687</v>
      </c>
      <c r="D344" s="12" t="s">
        <v>83</v>
      </c>
      <c r="E344" s="12" t="s">
        <v>26</v>
      </c>
      <c r="F344" s="12" t="s">
        <v>688</v>
      </c>
      <c r="G344" s="13">
        <v>1879</v>
      </c>
      <c r="H344" s="13"/>
      <c r="I344" s="13"/>
      <c r="J344" s="13">
        <v>1864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1864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784</v>
      </c>
      <c r="D345" s="16" t="s">
        <v>49</v>
      </c>
      <c r="E345" s="12" t="s">
        <v>70</v>
      </c>
      <c r="F345" s="12" t="s">
        <v>785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8</v>
      </c>
      <c r="C346" s="12" t="s">
        <v>800</v>
      </c>
      <c r="D346" s="12" t="s">
        <v>83</v>
      </c>
      <c r="E346" s="12" t="s">
        <v>26</v>
      </c>
      <c r="F346" s="12" t="s">
        <v>801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14</v>
      </c>
      <c r="C347" s="12" t="s">
        <v>689</v>
      </c>
      <c r="D347" s="12" t="s">
        <v>140</v>
      </c>
      <c r="E347" s="12" t="s">
        <v>26</v>
      </c>
      <c r="F347" s="12" t="s">
        <v>690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693</v>
      </c>
      <c r="D348" s="16" t="s">
        <v>61</v>
      </c>
      <c r="E348" s="12" t="s">
        <v>70</v>
      </c>
      <c r="F348" s="12" t="s">
        <v>694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823</v>
      </c>
      <c r="D349" s="16" t="s">
        <v>49</v>
      </c>
      <c r="E349" s="12" t="s">
        <v>70</v>
      </c>
      <c r="F349" s="12" t="s">
        <v>824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12</v>
      </c>
      <c r="C350" s="12" t="s">
        <v>695</v>
      </c>
      <c r="D350" s="16" t="s">
        <v>49</v>
      </c>
      <c r="E350" s="12" t="s">
        <v>70</v>
      </c>
      <c r="F350" s="12" t="s">
        <v>696</v>
      </c>
      <c r="G350" s="13">
        <v>1879</v>
      </c>
      <c r="H350" s="13"/>
      <c r="I350" s="13"/>
      <c r="J350" s="13">
        <v>1879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1879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6</v>
      </c>
      <c r="C351" s="12" t="s">
        <v>699</v>
      </c>
      <c r="D351" s="12" t="s">
        <v>83</v>
      </c>
      <c r="E351" s="12" t="s">
        <v>26</v>
      </c>
      <c r="F351" s="12" t="s">
        <v>700</v>
      </c>
      <c r="G351" s="13">
        <v>1883</v>
      </c>
      <c r="H351" s="13"/>
      <c r="I351" s="13"/>
      <c r="J351" s="13">
        <v>1874</v>
      </c>
      <c r="K351" s="13">
        <f t="shared" si="66"/>
        <v>0</v>
      </c>
      <c r="L351" s="13">
        <f t="shared" si="67"/>
        <v>1883</v>
      </c>
      <c r="M351" s="13" t="str">
        <f t="shared" si="68"/>
        <v/>
      </c>
      <c r="N351" s="13">
        <f t="shared" si="69"/>
        <v>1874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10</v>
      </c>
      <c r="C352" s="12" t="s">
        <v>701</v>
      </c>
      <c r="D352" s="16" t="s">
        <v>49</v>
      </c>
      <c r="E352" s="12" t="s">
        <v>26</v>
      </c>
      <c r="F352" s="12" t="s">
        <v>702</v>
      </c>
      <c r="G352" s="13">
        <v>1884</v>
      </c>
      <c r="H352" s="13"/>
      <c r="I352" s="13"/>
      <c r="J352" s="13">
        <v>1873</v>
      </c>
      <c r="K352" s="13">
        <f t="shared" si="66"/>
        <v>0</v>
      </c>
      <c r="L352" s="13">
        <f t="shared" si="67"/>
        <v>1884</v>
      </c>
      <c r="M352" s="13" t="str">
        <f t="shared" si="68"/>
        <v/>
      </c>
      <c r="N352" s="13">
        <f t="shared" si="69"/>
        <v>1873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6</v>
      </c>
      <c r="C353" s="12" t="s">
        <v>703</v>
      </c>
      <c r="D353" s="16" t="s">
        <v>52</v>
      </c>
      <c r="E353" s="12" t="s">
        <v>26</v>
      </c>
      <c r="F353" s="12" t="s">
        <v>704</v>
      </c>
      <c r="G353" s="13">
        <v>1885</v>
      </c>
      <c r="H353" s="13"/>
      <c r="I353" s="13"/>
      <c r="J353" s="13">
        <v>1875</v>
      </c>
      <c r="K353" s="13">
        <f t="shared" si="66"/>
        <v>0</v>
      </c>
      <c r="L353" s="13">
        <f t="shared" si="67"/>
        <v>1885</v>
      </c>
      <c r="M353" s="13" t="str">
        <f t="shared" si="68"/>
        <v/>
      </c>
      <c r="N353" s="13">
        <f t="shared" si="69"/>
        <v>1875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711</v>
      </c>
      <c r="D354" s="16" t="s">
        <v>61</v>
      </c>
      <c r="E354" s="12" t="s">
        <v>26</v>
      </c>
      <c r="F354" s="12" t="s">
        <v>712</v>
      </c>
      <c r="G354" s="13">
        <v>1887</v>
      </c>
      <c r="H354" s="13"/>
      <c r="I354" s="13"/>
      <c r="J354" s="13">
        <v>1868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1868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715</v>
      </c>
      <c r="D355" s="16" t="s">
        <v>49</v>
      </c>
      <c r="E355" s="12" t="s">
        <v>70</v>
      </c>
      <c r="F355" s="12" t="s">
        <v>716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719</v>
      </c>
      <c r="D356" s="16" t="s">
        <v>49</v>
      </c>
      <c r="E356" s="12" t="s">
        <v>26</v>
      </c>
      <c r="F356" s="12" t="s">
        <v>720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10</v>
      </c>
      <c r="C357" s="12" t="s">
        <v>721</v>
      </c>
      <c r="D357" s="12" t="s">
        <v>83</v>
      </c>
      <c r="E357" s="12" t="s">
        <v>26</v>
      </c>
      <c r="F357" s="12" t="s">
        <v>722</v>
      </c>
      <c r="G357" s="13">
        <v>1889</v>
      </c>
      <c r="H357" s="13"/>
      <c r="I357" s="13"/>
      <c r="J357" s="13">
        <v>1889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1889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10</v>
      </c>
      <c r="C358" s="12" t="s">
        <v>723</v>
      </c>
      <c r="D358" s="16" t="s">
        <v>49</v>
      </c>
      <c r="E358" s="12" t="s">
        <v>26</v>
      </c>
      <c r="F358" s="12" t="s">
        <v>724</v>
      </c>
      <c r="G358" s="13">
        <v>1890</v>
      </c>
      <c r="H358" s="13"/>
      <c r="I358" s="13"/>
      <c r="J358" s="13">
        <v>1870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1870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725</v>
      </c>
      <c r="D359" s="16" t="s">
        <v>49</v>
      </c>
      <c r="E359" s="12" t="s">
        <v>70</v>
      </c>
      <c r="F359" s="12" t="s">
        <v>726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8</v>
      </c>
      <c r="C360" s="12" t="s">
        <v>727</v>
      </c>
      <c r="D360" s="16" t="s">
        <v>49</v>
      </c>
      <c r="E360" s="12" t="s">
        <v>26</v>
      </c>
      <c r="F360" s="12" t="s">
        <v>728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729</v>
      </c>
      <c r="D361" s="16" t="s">
        <v>52</v>
      </c>
      <c r="E361" s="12" t="s">
        <v>26</v>
      </c>
      <c r="F361" s="12" t="s">
        <v>730</v>
      </c>
      <c r="G361" s="13">
        <v>1890</v>
      </c>
      <c r="H361" s="13"/>
      <c r="I361" s="13"/>
      <c r="J361" s="13">
        <v>1980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1980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850</v>
      </c>
      <c r="D362" s="16" t="s">
        <v>49</v>
      </c>
      <c r="E362" s="12" t="s">
        <v>26</v>
      </c>
      <c r="F362" s="12" t="s">
        <v>851</v>
      </c>
      <c r="G362" s="13">
        <v>1891</v>
      </c>
      <c r="H362" s="13"/>
      <c r="I362" s="13"/>
      <c r="J362" s="13">
        <v>1859</v>
      </c>
      <c r="K362" s="13">
        <f t="shared" si="66"/>
        <v>0</v>
      </c>
      <c r="L362" s="13">
        <f t="shared" si="67"/>
        <v>1891</v>
      </c>
      <c r="M362" s="13" t="str">
        <f t="shared" si="68"/>
        <v/>
      </c>
      <c r="N362" s="13">
        <f t="shared" si="69"/>
        <v>1859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12</v>
      </c>
      <c r="C363" s="12" t="s">
        <v>731</v>
      </c>
      <c r="D363" s="16" t="s">
        <v>49</v>
      </c>
      <c r="E363" s="12" t="s">
        <v>26</v>
      </c>
      <c r="F363" s="12" t="s">
        <v>732</v>
      </c>
      <c r="G363" s="13">
        <v>1894</v>
      </c>
      <c r="H363" s="13"/>
      <c r="I363" s="13"/>
      <c r="J363" s="13">
        <v>1864</v>
      </c>
      <c r="K363" s="13">
        <f t="shared" si="66"/>
        <v>0</v>
      </c>
      <c r="L363" s="13">
        <f t="shared" si="67"/>
        <v>1894</v>
      </c>
      <c r="M363" s="13" t="str">
        <f t="shared" si="68"/>
        <v/>
      </c>
      <c r="N363" s="13">
        <f t="shared" si="69"/>
        <v>1864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587</v>
      </c>
      <c r="D364" s="12" t="s">
        <v>83</v>
      </c>
      <c r="E364" s="12" t="s">
        <v>70</v>
      </c>
      <c r="F364" s="12" t="s">
        <v>733</v>
      </c>
      <c r="G364" s="13">
        <v>1895</v>
      </c>
      <c r="H364" s="13"/>
      <c r="I364" s="13"/>
      <c r="J364" s="13">
        <v>1845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1845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842</v>
      </c>
      <c r="D365" s="12" t="s">
        <v>83</v>
      </c>
      <c r="E365" s="12" t="s">
        <v>70</v>
      </c>
      <c r="F365" s="12" t="s">
        <v>843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779</v>
      </c>
      <c r="D366" s="16" t="s">
        <v>61</v>
      </c>
      <c r="E366" s="12" t="s">
        <v>70</v>
      </c>
      <c r="F366" s="12" t="s">
        <v>780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736</v>
      </c>
      <c r="D367" s="16" t="s">
        <v>49</v>
      </c>
      <c r="E367" s="12" t="s">
        <v>70</v>
      </c>
      <c r="F367" s="12" t="s">
        <v>737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738</v>
      </c>
      <c r="D368" s="16" t="s">
        <v>83</v>
      </c>
      <c r="E368" s="12" t="s">
        <v>26</v>
      </c>
      <c r="F368" s="12" t="s">
        <v>739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740</v>
      </c>
      <c r="D369" s="16" t="s">
        <v>49</v>
      </c>
      <c r="E369" s="12" t="s">
        <v>70</v>
      </c>
      <c r="F369" s="12" t="s">
        <v>741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742</v>
      </c>
      <c r="D370" s="12" t="s">
        <v>83</v>
      </c>
      <c r="E370" s="12" t="s">
        <v>26</v>
      </c>
      <c r="F370" s="12" t="s">
        <v>743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744</v>
      </c>
      <c r="D371" s="16" t="s">
        <v>49</v>
      </c>
      <c r="E371" s="12" t="s">
        <v>70</v>
      </c>
      <c r="F371" s="12" t="s">
        <v>745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642</v>
      </c>
      <c r="D372" s="16" t="s">
        <v>49</v>
      </c>
      <c r="E372" s="12" t="s">
        <v>70</v>
      </c>
      <c r="F372" s="12" t="s">
        <v>746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825</v>
      </c>
      <c r="D373" s="16" t="s">
        <v>49</v>
      </c>
      <c r="E373" s="12" t="s">
        <v>70</v>
      </c>
      <c r="F373" s="12" t="s">
        <v>826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747</v>
      </c>
      <c r="D374" s="12" t="s">
        <v>83</v>
      </c>
      <c r="E374" s="12" t="s">
        <v>26</v>
      </c>
      <c r="F374" s="12" t="s">
        <v>748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605</v>
      </c>
      <c r="D375" s="12" t="s">
        <v>83</v>
      </c>
      <c r="E375" s="12" t="s">
        <v>70</v>
      </c>
      <c r="F375" s="12" t="s">
        <v>751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756</v>
      </c>
      <c r="D376" s="16" t="s">
        <v>49</v>
      </c>
      <c r="E376" s="12" t="s">
        <v>70</v>
      </c>
      <c r="F376" s="12" t="s">
        <v>757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831</v>
      </c>
      <c r="D377" s="16" t="s">
        <v>83</v>
      </c>
      <c r="E377" s="12" t="s">
        <v>70</v>
      </c>
      <c r="F377" s="12" t="s">
        <v>832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854</v>
      </c>
      <c r="D378" s="16" t="s">
        <v>49</v>
      </c>
      <c r="E378" s="12" t="s">
        <v>70</v>
      </c>
      <c r="F378" s="12" t="s">
        <v>855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758</v>
      </c>
      <c r="D379" s="16" t="s">
        <v>83</v>
      </c>
      <c r="E379" s="12" t="s">
        <v>70</v>
      </c>
      <c r="F379" s="12" t="s">
        <v>759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760</v>
      </c>
      <c r="D380" s="16" t="s">
        <v>49</v>
      </c>
      <c r="E380" s="12" t="s">
        <v>26</v>
      </c>
      <c r="F380" s="12" t="s">
        <v>761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707</v>
      </c>
      <c r="D381" s="16" t="s">
        <v>49</v>
      </c>
      <c r="E381" s="12" t="s">
        <v>26</v>
      </c>
      <c r="F381" s="12" t="s">
        <v>708</v>
      </c>
      <c r="G381" s="13">
        <v>1898</v>
      </c>
      <c r="H381" s="13"/>
      <c r="I381" s="13"/>
      <c r="J381" s="13">
        <v>1847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1847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762</v>
      </c>
      <c r="D382" s="16" t="s">
        <v>83</v>
      </c>
      <c r="E382" s="12" t="s">
        <v>26</v>
      </c>
      <c r="F382" s="12" t="s">
        <v>763</v>
      </c>
      <c r="G382" s="13">
        <v>1898</v>
      </c>
      <c r="H382" s="13"/>
      <c r="I382" s="13"/>
      <c r="J382" s="13">
        <v>1867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1867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764</v>
      </c>
      <c r="D383" s="16" t="s">
        <v>61</v>
      </c>
      <c r="E383" s="12" t="s">
        <v>70</v>
      </c>
      <c r="F383" s="12" t="s">
        <v>765</v>
      </c>
      <c r="G383" s="13">
        <v>1898</v>
      </c>
      <c r="H383" s="13"/>
      <c r="I383" s="13"/>
      <c r="J383" s="13">
        <v>1878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1878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652</v>
      </c>
      <c r="D384" s="16" t="s">
        <v>49</v>
      </c>
      <c r="E384" s="12" t="s">
        <v>70</v>
      </c>
      <c r="F384" s="12" t="s">
        <v>766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767</v>
      </c>
      <c r="D385" s="16" t="s">
        <v>52</v>
      </c>
      <c r="E385" s="12" t="s">
        <v>26</v>
      </c>
      <c r="F385" s="12" t="s">
        <v>768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769</v>
      </c>
      <c r="D386" s="16" t="s">
        <v>61</v>
      </c>
      <c r="E386" s="12" t="s">
        <v>26</v>
      </c>
      <c r="F386" s="12" t="s">
        <v>770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771</v>
      </c>
      <c r="D387" s="12" t="s">
        <v>83</v>
      </c>
      <c r="E387" s="12" t="s">
        <v>26</v>
      </c>
      <c r="F387" s="12" t="s">
        <v>772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493</v>
      </c>
      <c r="D388" s="16" t="s">
        <v>49</v>
      </c>
      <c r="E388" s="12" t="s">
        <v>70</v>
      </c>
      <c r="F388" s="12" t="s">
        <v>781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773</v>
      </c>
      <c r="D389" s="16" t="s">
        <v>61</v>
      </c>
      <c r="E389" s="12" t="s">
        <v>70</v>
      </c>
      <c r="F389" s="12" t="s">
        <v>774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777</v>
      </c>
      <c r="D390" s="16" t="s">
        <v>49</v>
      </c>
      <c r="E390" s="12" t="s">
        <v>26</v>
      </c>
      <c r="F390" s="12" t="s">
        <v>778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12</v>
      </c>
      <c r="C391" s="12" t="s">
        <v>794</v>
      </c>
      <c r="D391" s="16" t="s">
        <v>52</v>
      </c>
      <c r="E391" s="12" t="s">
        <v>26</v>
      </c>
      <c r="F391" s="12" t="s">
        <v>795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17" customFormat="1" ht="28.5" customHeight="1">
      <c r="A392" s="12" t="str">
        <f t="shared" si="65"/>
        <v/>
      </c>
      <c r="B392" s="12" t="s">
        <v>10</v>
      </c>
      <c r="C392" s="12" t="s">
        <v>792</v>
      </c>
      <c r="D392" s="16" t="s">
        <v>52</v>
      </c>
      <c r="E392" s="12" t="s">
        <v>70</v>
      </c>
      <c r="F392" s="12" t="s">
        <v>793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10</v>
      </c>
      <c r="C393" s="12" t="s">
        <v>782</v>
      </c>
      <c r="D393" s="16" t="s">
        <v>61</v>
      </c>
      <c r="E393" s="12" t="s">
        <v>70</v>
      </c>
      <c r="F393" s="12" t="s">
        <v>783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6</v>
      </c>
      <c r="C394" s="12" t="s">
        <v>713</v>
      </c>
      <c r="D394" s="16" t="s">
        <v>52</v>
      </c>
      <c r="E394" s="12" t="s">
        <v>26</v>
      </c>
      <c r="F394" s="12" t="s">
        <v>714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786</v>
      </c>
      <c r="D395" s="12" t="s">
        <v>83</v>
      </c>
      <c r="E395" s="12" t="s">
        <v>70</v>
      </c>
      <c r="F395" s="12" t="s">
        <v>787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788</v>
      </c>
      <c r="D396" s="16" t="s">
        <v>83</v>
      </c>
      <c r="E396" s="12" t="s">
        <v>70</v>
      </c>
      <c r="F396" s="12" t="s">
        <v>789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790</v>
      </c>
      <c r="D397" s="16" t="s">
        <v>49</v>
      </c>
      <c r="E397" s="12" t="s">
        <v>26</v>
      </c>
      <c r="F397" s="12" t="s">
        <v>791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837</v>
      </c>
      <c r="D398" s="16" t="s">
        <v>49</v>
      </c>
      <c r="E398" s="12" t="s">
        <v>70</v>
      </c>
      <c r="F398" s="12" t="s">
        <v>838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IF($T399="","",1+COUNTIF($W$15:$W$884,"&lt;"&amp;W399))</f>
        <v/>
      </c>
      <c r="B399" s="12" t="s">
        <v>10</v>
      </c>
      <c r="C399" s="12" t="s">
        <v>796</v>
      </c>
      <c r="D399" s="16" t="s">
        <v>49</v>
      </c>
      <c r="E399" s="12" t="s">
        <v>70</v>
      </c>
      <c r="F399" s="12" t="s">
        <v>797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798</v>
      </c>
      <c r="D400" s="16" t="s">
        <v>52</v>
      </c>
      <c r="E400" s="12" t="s">
        <v>70</v>
      </c>
      <c r="F400" s="12" t="s">
        <v>799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729</v>
      </c>
      <c r="D401" s="12" t="s">
        <v>83</v>
      </c>
      <c r="E401" s="12" t="s">
        <v>26</v>
      </c>
      <c r="F401" s="12" t="s">
        <v>802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14</v>
      </c>
      <c r="C402" s="12" t="s">
        <v>803</v>
      </c>
      <c r="D402" s="12" t="s">
        <v>83</v>
      </c>
      <c r="E402" s="12" t="s">
        <v>70</v>
      </c>
      <c r="F402" s="12" t="s">
        <v>804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807</v>
      </c>
      <c r="D403" s="12" t="s">
        <v>83</v>
      </c>
      <c r="E403" s="12" t="s">
        <v>70</v>
      </c>
      <c r="F403" s="12" t="s">
        <v>808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809</v>
      </c>
      <c r="D404" s="12" t="s">
        <v>83</v>
      </c>
      <c r="E404" s="12" t="s">
        <v>70</v>
      </c>
      <c r="F404" s="12" t="s">
        <v>810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811</v>
      </c>
      <c r="D405" s="16" t="s">
        <v>83</v>
      </c>
      <c r="E405" s="12" t="s">
        <v>26</v>
      </c>
      <c r="F405" s="12" t="s">
        <v>812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813</v>
      </c>
      <c r="D406" s="16" t="s">
        <v>49</v>
      </c>
      <c r="E406" s="12" t="s">
        <v>70</v>
      </c>
      <c r="F406" s="12" t="s">
        <v>814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815</v>
      </c>
      <c r="D407" s="16" t="s">
        <v>52</v>
      </c>
      <c r="E407" s="12" t="s">
        <v>26</v>
      </c>
      <c r="F407" s="12" t="s">
        <v>816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817</v>
      </c>
      <c r="D408" s="16" t="s">
        <v>83</v>
      </c>
      <c r="E408" s="12" t="s">
        <v>26</v>
      </c>
      <c r="F408" s="12" t="s">
        <v>818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819</v>
      </c>
      <c r="D409" s="16" t="s">
        <v>49</v>
      </c>
      <c r="E409" s="12" t="s">
        <v>26</v>
      </c>
      <c r="F409" s="12" t="s">
        <v>820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873</v>
      </c>
      <c r="D410" s="12" t="s">
        <v>83</v>
      </c>
      <c r="E410" s="12" t="s">
        <v>70</v>
      </c>
      <c r="F410" s="12" t="s">
        <v>874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821</v>
      </c>
      <c r="D411" s="16" t="s">
        <v>52</v>
      </c>
      <c r="E411" s="12" t="s">
        <v>70</v>
      </c>
      <c r="F411" s="12" t="s">
        <v>822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14</v>
      </c>
      <c r="C412" s="12" t="s">
        <v>805</v>
      </c>
      <c r="D412" s="16" t="s">
        <v>49</v>
      </c>
      <c r="E412" s="12" t="s">
        <v>26</v>
      </c>
      <c r="F412" s="12" t="s">
        <v>806</v>
      </c>
      <c r="G412" s="13">
        <v>1899</v>
      </c>
      <c r="H412" s="13"/>
      <c r="I412" s="13"/>
      <c r="J412" s="13">
        <v>1929</v>
      </c>
      <c r="K412" s="13">
        <f t="shared" si="79"/>
        <v>0</v>
      </c>
      <c r="L412" s="13">
        <f t="shared" si="80"/>
        <v>1899</v>
      </c>
      <c r="M412" s="13" t="str">
        <f t="shared" si="81"/>
        <v/>
      </c>
      <c r="N412" s="13">
        <f t="shared" si="82"/>
        <v>1929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12</v>
      </c>
      <c r="C413" s="12" t="s">
        <v>827</v>
      </c>
      <c r="D413" s="16" t="s">
        <v>52</v>
      </c>
      <c r="E413" s="12" t="s">
        <v>26</v>
      </c>
      <c r="F413" s="12" t="s">
        <v>828</v>
      </c>
      <c r="G413" s="13">
        <v>1900</v>
      </c>
      <c r="H413" s="13"/>
      <c r="I413" s="13"/>
      <c r="J413" s="13">
        <v>1900</v>
      </c>
      <c r="K413" s="13">
        <f t="shared" si="79"/>
        <v>0</v>
      </c>
      <c r="L413" s="13">
        <f t="shared" si="80"/>
        <v>1900</v>
      </c>
      <c r="M413" s="13" t="str">
        <f t="shared" si="81"/>
        <v/>
      </c>
      <c r="N413" s="13">
        <f t="shared" si="82"/>
        <v>1900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18</v>
      </c>
      <c r="C414" s="12" t="s">
        <v>829</v>
      </c>
      <c r="D414" s="12" t="s">
        <v>83</v>
      </c>
      <c r="E414" s="12" t="s">
        <v>70</v>
      </c>
      <c r="F414" s="12" t="s">
        <v>830</v>
      </c>
      <c r="G414" s="13">
        <v>1949</v>
      </c>
      <c r="H414" s="13"/>
      <c r="I414" s="13"/>
      <c r="J414" s="13">
        <v>1899</v>
      </c>
      <c r="K414" s="13">
        <f t="shared" si="79"/>
        <v>0</v>
      </c>
      <c r="L414" s="13">
        <f t="shared" si="80"/>
        <v>1949</v>
      </c>
      <c r="M414" s="13" t="str">
        <f t="shared" si="81"/>
        <v/>
      </c>
      <c r="N414" s="13">
        <f t="shared" si="82"/>
        <v>1899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833</v>
      </c>
      <c r="D415" s="16" t="s">
        <v>61</v>
      </c>
      <c r="E415" s="12" t="s">
        <v>70</v>
      </c>
      <c r="F415" s="12" t="s">
        <v>834</v>
      </c>
      <c r="G415" s="13">
        <v>1908</v>
      </c>
      <c r="H415" s="13"/>
      <c r="I415" s="13"/>
      <c r="J415" s="13">
        <v>1898</v>
      </c>
      <c r="K415" s="13">
        <f t="shared" si="79"/>
        <v>0</v>
      </c>
      <c r="L415" s="13">
        <f t="shared" si="80"/>
        <v>1908</v>
      </c>
      <c r="M415" s="13" t="str">
        <f t="shared" si="81"/>
        <v/>
      </c>
      <c r="N415" s="13">
        <f t="shared" si="82"/>
        <v>1898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14</v>
      </c>
      <c r="C416" s="12" t="s">
        <v>835</v>
      </c>
      <c r="D416" s="12" t="s">
        <v>83</v>
      </c>
      <c r="E416" s="12" t="s">
        <v>70</v>
      </c>
      <c r="F416" s="12" t="s">
        <v>836</v>
      </c>
      <c r="G416" s="13">
        <v>1909</v>
      </c>
      <c r="H416" s="13"/>
      <c r="I416" s="13"/>
      <c r="J416" s="13">
        <v>1879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1879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10</v>
      </c>
      <c r="C417" s="12" t="s">
        <v>762</v>
      </c>
      <c r="D417" s="16" t="s">
        <v>61</v>
      </c>
      <c r="E417" s="12" t="s">
        <v>70</v>
      </c>
      <c r="F417" s="12" t="s">
        <v>839</v>
      </c>
      <c r="G417" s="13">
        <v>1909</v>
      </c>
      <c r="H417" s="13"/>
      <c r="I417" s="13"/>
      <c r="J417" s="13">
        <v>1909</v>
      </c>
      <c r="K417" s="13">
        <f t="shared" si="79"/>
        <v>0</v>
      </c>
      <c r="L417" s="13">
        <f t="shared" si="80"/>
        <v>1909</v>
      </c>
      <c r="M417" s="13" t="str">
        <f t="shared" si="81"/>
        <v/>
      </c>
      <c r="N417" s="13">
        <f t="shared" si="82"/>
        <v>1909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8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1910</v>
      </c>
      <c r="H418" s="13"/>
      <c r="I418" s="13"/>
      <c r="J418" s="13">
        <v>1870</v>
      </c>
      <c r="K418" s="13">
        <f t="shared" si="79"/>
        <v>0</v>
      </c>
      <c r="L418" s="13">
        <f t="shared" si="80"/>
        <v>1910</v>
      </c>
      <c r="M418" s="13" t="str">
        <f t="shared" si="81"/>
        <v/>
      </c>
      <c r="N418" s="13">
        <f t="shared" si="82"/>
        <v>1870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12</v>
      </c>
      <c r="C419" s="12" t="s">
        <v>844</v>
      </c>
      <c r="D419" s="16" t="s">
        <v>61</v>
      </c>
      <c r="E419" s="12" t="s">
        <v>70</v>
      </c>
      <c r="F419" s="12" t="s">
        <v>845</v>
      </c>
      <c r="G419" s="13">
        <v>1915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1915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846</v>
      </c>
      <c r="D420" s="12" t="s">
        <v>83</v>
      </c>
      <c r="E420" s="12" t="s">
        <v>26</v>
      </c>
      <c r="F420" s="12" t="s">
        <v>847</v>
      </c>
      <c r="G420" s="13">
        <v>1918</v>
      </c>
      <c r="H420" s="13"/>
      <c r="I420" s="13"/>
      <c r="J420" s="13">
        <v>1897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1897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12</v>
      </c>
      <c r="C421" s="12" t="s">
        <v>848</v>
      </c>
      <c r="D421" s="16" t="s">
        <v>49</v>
      </c>
      <c r="E421" s="12" t="s">
        <v>70</v>
      </c>
      <c r="F421" s="12" t="s">
        <v>849</v>
      </c>
      <c r="G421" s="13">
        <v>1918</v>
      </c>
      <c r="H421" s="13"/>
      <c r="I421" s="13"/>
      <c r="J421" s="13">
        <v>1908</v>
      </c>
      <c r="K421" s="13">
        <f t="shared" si="79"/>
        <v>0</v>
      </c>
      <c r="L421" s="13">
        <f t="shared" si="80"/>
        <v>1918</v>
      </c>
      <c r="M421" s="13" t="str">
        <f t="shared" si="81"/>
        <v/>
      </c>
      <c r="N421" s="13">
        <f t="shared" si="82"/>
        <v>1908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49</v>
      </c>
      <c r="E422" s="12" t="s">
        <v>70</v>
      </c>
      <c r="F422" s="12" t="s">
        <v>853</v>
      </c>
      <c r="G422" s="13">
        <v>1929</v>
      </c>
      <c r="H422" s="13"/>
      <c r="I422" s="13"/>
      <c r="J422" s="13">
        <v>1929</v>
      </c>
      <c r="K422" s="13">
        <f t="shared" si="79"/>
        <v>0</v>
      </c>
      <c r="L422" s="13">
        <f t="shared" si="80"/>
        <v>1929</v>
      </c>
      <c r="M422" s="13" t="str">
        <f t="shared" si="81"/>
        <v/>
      </c>
      <c r="N422" s="13">
        <f t="shared" si="82"/>
        <v>1929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858</v>
      </c>
      <c r="D423" s="16" t="s">
        <v>52</v>
      </c>
      <c r="E423" s="12" t="s">
        <v>70</v>
      </c>
      <c r="F423" s="12" t="s">
        <v>859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860</v>
      </c>
      <c r="D424" s="16" t="s">
        <v>61</v>
      </c>
      <c r="E424" s="12" t="s">
        <v>70</v>
      </c>
      <c r="F424" s="12" t="s">
        <v>861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862</v>
      </c>
      <c r="D425" s="16" t="s">
        <v>61</v>
      </c>
      <c r="E425" s="12" t="s">
        <v>70</v>
      </c>
      <c r="F425" s="12" t="s">
        <v>863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784</v>
      </c>
      <c r="D426" s="12" t="s">
        <v>83</v>
      </c>
      <c r="E426" s="12" t="s">
        <v>26</v>
      </c>
      <c r="F426" s="12" t="s">
        <v>864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865</v>
      </c>
      <c r="D427" s="16" t="s">
        <v>52</v>
      </c>
      <c r="E427" s="12" t="s">
        <v>70</v>
      </c>
      <c r="F427" s="12" t="s">
        <v>866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10</v>
      </c>
      <c r="C428" s="12" t="s">
        <v>856</v>
      </c>
      <c r="D428" s="12" t="s">
        <v>83</v>
      </c>
      <c r="E428" s="12" t="s">
        <v>70</v>
      </c>
      <c r="F428" s="12" t="s">
        <v>857</v>
      </c>
      <c r="G428" s="13">
        <v>1948</v>
      </c>
      <c r="H428" s="13"/>
      <c r="I428" s="13"/>
      <c r="J428" s="13"/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 t="str">
        <f t="shared" si="82"/>
        <v/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867</v>
      </c>
      <c r="D429" s="16" t="s">
        <v>49</v>
      </c>
      <c r="E429" s="12" t="s">
        <v>70</v>
      </c>
      <c r="F429" s="12" t="s">
        <v>868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898</v>
      </c>
      <c r="D430" s="16" t="s">
        <v>61</v>
      </c>
      <c r="E430" s="12" t="s">
        <v>70</v>
      </c>
      <c r="F430" s="12" t="s">
        <v>899</v>
      </c>
      <c r="G430" s="13">
        <v>1949</v>
      </c>
      <c r="H430" s="13"/>
      <c r="I430" s="13"/>
      <c r="J430" s="13">
        <v>1939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1939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14</v>
      </c>
      <c r="C431" s="12" t="s">
        <v>869</v>
      </c>
      <c r="D431" s="16" t="s">
        <v>61</v>
      </c>
      <c r="E431" s="12" t="s">
        <v>70</v>
      </c>
      <c r="F431" s="12" t="s">
        <v>870</v>
      </c>
      <c r="G431" s="13">
        <v>1950</v>
      </c>
      <c r="H431" s="13"/>
      <c r="I431" s="13"/>
      <c r="J431" s="13">
        <v>1920</v>
      </c>
      <c r="K431" s="13">
        <f t="shared" si="79"/>
        <v>0</v>
      </c>
      <c r="L431" s="13">
        <f t="shared" si="80"/>
        <v>1950</v>
      </c>
      <c r="M431" s="13" t="str">
        <f t="shared" si="81"/>
        <v/>
      </c>
      <c r="N431" s="13">
        <f t="shared" si="82"/>
        <v>1920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871</v>
      </c>
      <c r="D432" s="16" t="s">
        <v>52</v>
      </c>
      <c r="E432" s="12" t="s">
        <v>70</v>
      </c>
      <c r="F432" s="12" t="s">
        <v>872</v>
      </c>
      <c r="G432" s="13">
        <v>1958</v>
      </c>
      <c r="H432" s="13"/>
      <c r="I432" s="13"/>
      <c r="J432" s="13">
        <v>1948</v>
      </c>
      <c r="K432" s="13">
        <f t="shared" si="79"/>
        <v>0</v>
      </c>
      <c r="L432" s="13">
        <f t="shared" si="80"/>
        <v>1958</v>
      </c>
      <c r="M432" s="13" t="str">
        <f t="shared" si="81"/>
        <v/>
      </c>
      <c r="N432" s="13">
        <f t="shared" si="82"/>
        <v>1948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12</v>
      </c>
      <c r="C433" s="12" t="s">
        <v>477</v>
      </c>
      <c r="D433" s="16" t="s">
        <v>61</v>
      </c>
      <c r="E433" s="12" t="s">
        <v>70</v>
      </c>
      <c r="F433" s="12" t="s">
        <v>875</v>
      </c>
      <c r="G433" s="13">
        <v>1960</v>
      </c>
      <c r="H433" s="13"/>
      <c r="I433" s="13"/>
      <c r="J433" s="13">
        <v>1950</v>
      </c>
      <c r="K433" s="13">
        <f t="shared" si="79"/>
        <v>0</v>
      </c>
      <c r="L433" s="13">
        <f t="shared" si="80"/>
        <v>1960</v>
      </c>
      <c r="M433" s="13" t="str">
        <f t="shared" si="81"/>
        <v/>
      </c>
      <c r="N433" s="13">
        <f t="shared" si="82"/>
        <v>1950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10</v>
      </c>
      <c r="C434" s="12" t="s">
        <v>844</v>
      </c>
      <c r="D434" s="16" t="s">
        <v>52</v>
      </c>
      <c r="E434" s="12" t="s">
        <v>70</v>
      </c>
      <c r="F434" s="12" t="s">
        <v>877</v>
      </c>
      <c r="G434" s="13">
        <v>1969</v>
      </c>
      <c r="H434" s="13"/>
      <c r="I434" s="13"/>
      <c r="J434" s="13">
        <v>1909</v>
      </c>
      <c r="K434" s="13">
        <f t="shared" si="79"/>
        <v>0</v>
      </c>
      <c r="L434" s="13">
        <f t="shared" si="80"/>
        <v>1969</v>
      </c>
      <c r="M434" s="13" t="str">
        <f t="shared" si="81"/>
        <v/>
      </c>
      <c r="N434" s="13">
        <f t="shared" si="82"/>
        <v>1909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880</v>
      </c>
      <c r="D435" s="16" t="s">
        <v>83</v>
      </c>
      <c r="E435" s="12" t="s">
        <v>26</v>
      </c>
      <c r="F435" s="12" t="s">
        <v>881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878</v>
      </c>
      <c r="D436" s="16" t="s">
        <v>83</v>
      </c>
      <c r="E436" s="12" t="s">
        <v>26</v>
      </c>
      <c r="F436" s="12" t="s">
        <v>879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882</v>
      </c>
      <c r="D437" s="16" t="s">
        <v>61</v>
      </c>
      <c r="E437" s="12" t="s">
        <v>26</v>
      </c>
      <c r="F437" s="12" t="s">
        <v>883</v>
      </c>
      <c r="G437" s="13">
        <v>1794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886</v>
      </c>
      <c r="D438" s="16" t="s">
        <v>83</v>
      </c>
      <c r="E438" s="12" t="s">
        <v>70</v>
      </c>
      <c r="F438" s="12" t="s">
        <v>887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896</v>
      </c>
      <c r="D439" s="16" t="s">
        <v>52</v>
      </c>
      <c r="E439" s="12" t="s">
        <v>26</v>
      </c>
      <c r="F439" s="12" t="s">
        <v>897</v>
      </c>
      <c r="G439" s="13">
        <v>1796</v>
      </c>
      <c r="H439" s="13"/>
      <c r="I439" s="13"/>
      <c r="J439" s="13">
        <v>1789</v>
      </c>
      <c r="K439" s="13">
        <f t="shared" si="79"/>
        <v>0</v>
      </c>
      <c r="L439" s="13">
        <f t="shared" si="80"/>
        <v>1796</v>
      </c>
      <c r="M439" s="13" t="str">
        <f t="shared" si="81"/>
        <v/>
      </c>
      <c r="N439" s="13">
        <f t="shared" si="82"/>
        <v>1789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884</v>
      </c>
      <c r="D440" s="16" t="s">
        <v>52</v>
      </c>
      <c r="E440" s="12" t="s">
        <v>26</v>
      </c>
      <c r="F440" s="12" t="s">
        <v>885</v>
      </c>
      <c r="G440" s="13">
        <v>1798</v>
      </c>
      <c r="H440" s="13"/>
      <c r="I440" s="13"/>
      <c r="J440" s="13">
        <v>1769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1769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890</v>
      </c>
      <c r="D441" s="16" t="s">
        <v>61</v>
      </c>
      <c r="E441" s="12" t="s">
        <v>70</v>
      </c>
      <c r="F441" s="12" t="s">
        <v>891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900</v>
      </c>
      <c r="D442" s="16" t="s">
        <v>49</v>
      </c>
      <c r="E442" s="12" t="s">
        <v>70</v>
      </c>
      <c r="F442" s="12" t="s">
        <v>901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948</v>
      </c>
      <c r="D443" s="16" t="s">
        <v>83</v>
      </c>
      <c r="E443" s="12" t="s">
        <v>26</v>
      </c>
      <c r="F443" s="12" t="s">
        <v>949</v>
      </c>
      <c r="G443" s="13">
        <v>1805</v>
      </c>
      <c r="H443" s="13"/>
      <c r="I443" s="13"/>
      <c r="J443" s="13">
        <v>1805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1805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950</v>
      </c>
      <c r="D444" s="16" t="s">
        <v>49</v>
      </c>
      <c r="E444" s="12" t="s">
        <v>26</v>
      </c>
      <c r="F444" s="12" t="s">
        <v>951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1178</v>
      </c>
      <c r="D445" s="12" t="s">
        <v>45</v>
      </c>
      <c r="E445" s="12" t="s">
        <v>26</v>
      </c>
      <c r="F445" s="12" t="s">
        <v>1179</v>
      </c>
      <c r="G445" s="13">
        <v>1806</v>
      </c>
      <c r="H445" s="13"/>
      <c r="I445" s="13"/>
      <c r="J445" s="13">
        <v>1799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1799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402</v>
      </c>
      <c r="D446" s="16" t="s">
        <v>49</v>
      </c>
      <c r="E446" s="12" t="s">
        <v>26</v>
      </c>
      <c r="F446" s="12" t="s">
        <v>403</v>
      </c>
      <c r="G446" s="13">
        <v>1806</v>
      </c>
      <c r="H446" s="13"/>
      <c r="I446" s="13"/>
      <c r="J446" s="13">
        <v>1856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1856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908</v>
      </c>
      <c r="D447" s="12" t="s">
        <v>83</v>
      </c>
      <c r="E447" s="12" t="s">
        <v>26</v>
      </c>
      <c r="F447" s="12" t="s">
        <v>909</v>
      </c>
      <c r="G447" s="13">
        <v>1807</v>
      </c>
      <c r="H447" s="13"/>
      <c r="I447" s="13"/>
      <c r="J447" s="13">
        <v>1787</v>
      </c>
      <c r="K447" s="13">
        <f t="shared" si="79"/>
        <v>0</v>
      </c>
      <c r="L447" s="13">
        <f t="shared" si="80"/>
        <v>1807</v>
      </c>
      <c r="M447" s="13" t="str">
        <f t="shared" si="81"/>
        <v/>
      </c>
      <c r="N447" s="13">
        <f t="shared" si="82"/>
        <v>1787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910</v>
      </c>
      <c r="D448" s="16" t="s">
        <v>52</v>
      </c>
      <c r="E448" s="12" t="s">
        <v>26</v>
      </c>
      <c r="F448" s="12" t="s">
        <v>911</v>
      </c>
      <c r="G448" s="13">
        <v>1807</v>
      </c>
      <c r="H448" s="13"/>
      <c r="I448" s="13"/>
      <c r="J448" s="13">
        <v>1795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1795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928</v>
      </c>
      <c r="D449" s="16" t="s">
        <v>49</v>
      </c>
      <c r="E449" s="12" t="s">
        <v>26</v>
      </c>
      <c r="F449" s="12" t="s">
        <v>929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912</v>
      </c>
      <c r="D450" s="12" t="s">
        <v>83</v>
      </c>
      <c r="E450" s="12" t="s">
        <v>26</v>
      </c>
      <c r="F450" s="12" t="s">
        <v>913</v>
      </c>
      <c r="G450" s="13">
        <v>1808</v>
      </c>
      <c r="H450" s="13"/>
      <c r="I450" s="13"/>
      <c r="J450" s="13">
        <v>1788</v>
      </c>
      <c r="K450" s="13">
        <f t="shared" si="79"/>
        <v>0</v>
      </c>
      <c r="L450" s="13">
        <f t="shared" si="80"/>
        <v>1808</v>
      </c>
      <c r="M450" s="13" t="str">
        <f t="shared" si="81"/>
        <v/>
      </c>
      <c r="N450" s="13">
        <f t="shared" si="82"/>
        <v>1788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1006</v>
      </c>
      <c r="D451" s="12" t="s">
        <v>83</v>
      </c>
      <c r="E451" s="12" t="s">
        <v>26</v>
      </c>
      <c r="F451" s="12" t="s">
        <v>1007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1008</v>
      </c>
      <c r="D452" s="16" t="s">
        <v>49</v>
      </c>
      <c r="E452" s="12" t="s">
        <v>26</v>
      </c>
      <c r="F452" s="12" t="s">
        <v>1009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920</v>
      </c>
      <c r="D453" s="12" t="s">
        <v>83</v>
      </c>
      <c r="E453" s="12" t="s">
        <v>26</v>
      </c>
      <c r="F453" s="12" t="s">
        <v>921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1137</v>
      </c>
      <c r="D454" s="16" t="s">
        <v>52</v>
      </c>
      <c r="E454" s="12" t="s">
        <v>26</v>
      </c>
      <c r="F454" s="12" t="s">
        <v>1138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902</v>
      </c>
      <c r="D455" s="16" t="s">
        <v>52</v>
      </c>
      <c r="E455" s="12" t="s">
        <v>26</v>
      </c>
      <c r="F455" s="12" t="s">
        <v>903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892</v>
      </c>
      <c r="D456" s="16" t="s">
        <v>49</v>
      </c>
      <c r="E456" s="12" t="s">
        <v>26</v>
      </c>
      <c r="F456" s="12" t="s">
        <v>893</v>
      </c>
      <c r="G456" s="13">
        <v>1809</v>
      </c>
      <c r="H456" s="13"/>
      <c r="I456" s="13"/>
      <c r="J456" s="13">
        <v>1789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1789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956</v>
      </c>
      <c r="D457" s="16" t="s">
        <v>52</v>
      </c>
      <c r="E457" s="12" t="s">
        <v>26</v>
      </c>
      <c r="F457" s="12" t="s">
        <v>957</v>
      </c>
      <c r="G457" s="13">
        <v>1809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1157</v>
      </c>
      <c r="D458" s="16" t="s">
        <v>61</v>
      </c>
      <c r="E458" s="12" t="s">
        <v>26</v>
      </c>
      <c r="F458" s="12" t="s">
        <v>1158</v>
      </c>
      <c r="G458" s="13">
        <v>1809</v>
      </c>
      <c r="H458" s="13"/>
      <c r="I458" s="13"/>
      <c r="J458" s="13">
        <v>1795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944</v>
      </c>
      <c r="D459" s="16" t="s">
        <v>49</v>
      </c>
      <c r="E459" s="12" t="s">
        <v>26</v>
      </c>
      <c r="F459" s="12" t="s">
        <v>945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932</v>
      </c>
      <c r="D460" s="12" t="s">
        <v>45</v>
      </c>
      <c r="E460" s="12" t="s">
        <v>26</v>
      </c>
      <c r="F460" s="12" t="s">
        <v>933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904</v>
      </c>
      <c r="D461" s="16" t="s">
        <v>61</v>
      </c>
      <c r="E461" s="12" t="s">
        <v>26</v>
      </c>
      <c r="F461" s="12" t="s">
        <v>905</v>
      </c>
      <c r="G461" s="13">
        <v>1809</v>
      </c>
      <c r="H461" s="13"/>
      <c r="I461" s="13"/>
      <c r="J461" s="13">
        <v>1797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1797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906</v>
      </c>
      <c r="D462" s="12" t="s">
        <v>83</v>
      </c>
      <c r="E462" s="12" t="s">
        <v>26</v>
      </c>
      <c r="F462" s="12" t="s">
        <v>907</v>
      </c>
      <c r="G462" s="13">
        <v>1809</v>
      </c>
      <c r="H462" s="13"/>
      <c r="I462" s="13"/>
      <c r="J462" s="13">
        <v>1797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1797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IF($T463="","",1+COUNTIF($W$15:$W$884,"&lt;"&amp;W463))</f>
        <v/>
      </c>
      <c r="B463" s="12" t="s">
        <v>12</v>
      </c>
      <c r="C463" s="12" t="s">
        <v>894</v>
      </c>
      <c r="D463" s="16" t="s">
        <v>49</v>
      </c>
      <c r="E463" s="12" t="s">
        <v>26</v>
      </c>
      <c r="F463" s="12" t="s">
        <v>895</v>
      </c>
      <c r="G463" s="13">
        <v>1809</v>
      </c>
      <c r="H463" s="13"/>
      <c r="I463" s="13"/>
      <c r="J463" s="13">
        <v>1799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12</v>
      </c>
      <c r="C464" s="12" t="s">
        <v>922</v>
      </c>
      <c r="D464" s="16" t="s">
        <v>61</v>
      </c>
      <c r="E464" s="12" t="s">
        <v>26</v>
      </c>
      <c r="F464" s="12" t="s">
        <v>923</v>
      </c>
      <c r="G464" s="13">
        <v>1809</v>
      </c>
      <c r="H464" s="13"/>
      <c r="I464" s="13"/>
      <c r="J464" s="13">
        <v>1809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1809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1139</v>
      </c>
      <c r="D465" s="16" t="s">
        <v>52</v>
      </c>
      <c r="E465" s="12" t="s">
        <v>26</v>
      </c>
      <c r="F465" s="12" t="s">
        <v>1140</v>
      </c>
      <c r="G465" s="13">
        <v>1809</v>
      </c>
      <c r="H465" s="13"/>
      <c r="I465" s="13"/>
      <c r="J465" s="13">
        <v>1823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1823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12</v>
      </c>
      <c r="C466" s="12" t="s">
        <v>396</v>
      </c>
      <c r="D466" s="16" t="s">
        <v>83</v>
      </c>
      <c r="E466" s="12" t="s">
        <v>26</v>
      </c>
      <c r="F466" s="12" t="s">
        <v>397</v>
      </c>
      <c r="G466" s="13">
        <v>1809</v>
      </c>
      <c r="H466" s="13"/>
      <c r="I466" s="13"/>
      <c r="J466" s="13">
        <v>1879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1879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962</v>
      </c>
      <c r="D467" s="16" t="s">
        <v>61</v>
      </c>
      <c r="E467" s="12" t="s">
        <v>26</v>
      </c>
      <c r="F467" s="12" t="s">
        <v>963</v>
      </c>
      <c r="G467" s="13">
        <v>1812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1812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6</v>
      </c>
      <c r="C468" s="12" t="s">
        <v>914</v>
      </c>
      <c r="D468" s="16" t="s">
        <v>61</v>
      </c>
      <c r="E468" s="12" t="s">
        <v>26</v>
      </c>
      <c r="F468" s="12" t="s">
        <v>915</v>
      </c>
      <c r="G468" s="13">
        <v>1812</v>
      </c>
      <c r="H468" s="13"/>
      <c r="I468" s="13"/>
      <c r="J468" s="13">
        <v>1803</v>
      </c>
      <c r="K468" s="13">
        <f t="shared" si="92"/>
        <v>0</v>
      </c>
      <c r="L468" s="13">
        <f t="shared" si="93"/>
        <v>1812</v>
      </c>
      <c r="M468" s="13" t="str">
        <f t="shared" si="94"/>
        <v/>
      </c>
      <c r="N468" s="13">
        <f t="shared" si="95"/>
        <v>1803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6</v>
      </c>
      <c r="C469" s="12" t="s">
        <v>1254</v>
      </c>
      <c r="D469" s="16" t="s">
        <v>61</v>
      </c>
      <c r="E469" s="12" t="s">
        <v>26</v>
      </c>
      <c r="F469" s="12" t="s">
        <v>1255</v>
      </c>
      <c r="G469" s="13">
        <v>1813</v>
      </c>
      <c r="H469" s="13"/>
      <c r="I469" s="13"/>
      <c r="J469" s="13">
        <v>1793</v>
      </c>
      <c r="K469" s="13">
        <f t="shared" si="92"/>
        <v>0</v>
      </c>
      <c r="L469" s="13">
        <f t="shared" si="93"/>
        <v>1813</v>
      </c>
      <c r="M469" s="13" t="str">
        <f t="shared" si="94"/>
        <v/>
      </c>
      <c r="N469" s="13">
        <f t="shared" si="95"/>
        <v>1793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934</v>
      </c>
      <c r="D470" s="16" t="s">
        <v>52</v>
      </c>
      <c r="E470" s="12" t="s">
        <v>26</v>
      </c>
      <c r="F470" s="12" t="s">
        <v>935</v>
      </c>
      <c r="G470" s="13">
        <v>1813</v>
      </c>
      <c r="H470" s="13"/>
      <c r="I470" s="13"/>
      <c r="J470" s="13">
        <v>1793</v>
      </c>
      <c r="K470" s="13">
        <f t="shared" si="92"/>
        <v>0</v>
      </c>
      <c r="L470" s="13">
        <f t="shared" si="93"/>
        <v>1813</v>
      </c>
      <c r="M470" s="13" t="str">
        <f t="shared" si="94"/>
        <v/>
      </c>
      <c r="N470" s="13">
        <f t="shared" si="95"/>
        <v>1793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936</v>
      </c>
      <c r="D471" s="16" t="s">
        <v>52</v>
      </c>
      <c r="E471" s="12" t="s">
        <v>26</v>
      </c>
      <c r="F471" s="12" t="s">
        <v>937</v>
      </c>
      <c r="G471" s="13">
        <v>1813</v>
      </c>
      <c r="H471" s="13"/>
      <c r="I471" s="13"/>
      <c r="J471" s="13">
        <v>1793</v>
      </c>
      <c r="K471" s="13">
        <f t="shared" si="92"/>
        <v>0</v>
      </c>
      <c r="L471" s="13">
        <f t="shared" si="93"/>
        <v>1813</v>
      </c>
      <c r="M471" s="13" t="str">
        <f t="shared" si="94"/>
        <v/>
      </c>
      <c r="N471" s="13">
        <f t="shared" si="95"/>
        <v>1793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12</v>
      </c>
      <c r="C472" s="12" t="s">
        <v>916</v>
      </c>
      <c r="D472" s="12" t="s">
        <v>83</v>
      </c>
      <c r="E472" s="12" t="s">
        <v>26</v>
      </c>
      <c r="F472" s="12" t="s">
        <v>917</v>
      </c>
      <c r="G472" s="13">
        <v>1814</v>
      </c>
      <c r="H472" s="13"/>
      <c r="I472" s="13"/>
      <c r="J472" s="13">
        <v>1788</v>
      </c>
      <c r="K472" s="13">
        <f t="shared" si="92"/>
        <v>0</v>
      </c>
      <c r="L472" s="13">
        <f t="shared" si="93"/>
        <v>1814</v>
      </c>
      <c r="M472" s="13" t="str">
        <f t="shared" si="94"/>
        <v/>
      </c>
      <c r="N472" s="13">
        <f t="shared" si="95"/>
        <v>1788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12</v>
      </c>
      <c r="C473" s="12" t="s">
        <v>1120</v>
      </c>
      <c r="D473" s="16" t="s">
        <v>49</v>
      </c>
      <c r="E473" s="12" t="s">
        <v>26</v>
      </c>
      <c r="F473" s="12" t="s">
        <v>1121</v>
      </c>
      <c r="G473" s="13">
        <v>1814</v>
      </c>
      <c r="H473" s="13"/>
      <c r="I473" s="13"/>
      <c r="J473" s="13">
        <v>1794</v>
      </c>
      <c r="K473" s="13">
        <f t="shared" si="92"/>
        <v>0</v>
      </c>
      <c r="L473" s="13">
        <f t="shared" si="93"/>
        <v>1814</v>
      </c>
      <c r="M473" s="13" t="str">
        <f t="shared" si="94"/>
        <v/>
      </c>
      <c r="N473" s="13">
        <f t="shared" si="95"/>
        <v>1794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918</v>
      </c>
      <c r="D474" s="16" t="s">
        <v>83</v>
      </c>
      <c r="E474" s="12" t="s">
        <v>26</v>
      </c>
      <c r="F474" s="12" t="s">
        <v>919</v>
      </c>
      <c r="G474" s="13">
        <v>1814</v>
      </c>
      <c r="H474" s="13"/>
      <c r="I474" s="13"/>
      <c r="J474" s="13">
        <v>1794</v>
      </c>
      <c r="K474" s="13">
        <f t="shared" si="92"/>
        <v>0</v>
      </c>
      <c r="L474" s="13">
        <f t="shared" si="93"/>
        <v>1814</v>
      </c>
      <c r="M474" s="13" t="str">
        <f t="shared" si="94"/>
        <v/>
      </c>
      <c r="N474" s="13">
        <f t="shared" si="95"/>
        <v>1794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1628</v>
      </c>
      <c r="D475" s="16" t="s">
        <v>49</v>
      </c>
      <c r="E475" s="12" t="s">
        <v>26</v>
      </c>
      <c r="F475" s="12" t="s">
        <v>1629</v>
      </c>
      <c r="G475" s="13">
        <v>1814</v>
      </c>
      <c r="H475" s="13"/>
      <c r="I475" s="13"/>
      <c r="J475" s="13">
        <v>1797</v>
      </c>
      <c r="K475" s="13">
        <f t="shared" si="92"/>
        <v>0</v>
      </c>
      <c r="L475" s="13">
        <f t="shared" si="93"/>
        <v>1814</v>
      </c>
      <c r="M475" s="13" t="str">
        <f t="shared" si="94"/>
        <v/>
      </c>
      <c r="N475" s="13">
        <f t="shared" si="95"/>
        <v>1797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12</v>
      </c>
      <c r="C476" s="12" t="s">
        <v>1180</v>
      </c>
      <c r="D476" s="12" t="s">
        <v>83</v>
      </c>
      <c r="E476" s="12" t="s">
        <v>26</v>
      </c>
      <c r="F476" s="12" t="s">
        <v>1181</v>
      </c>
      <c r="G476" s="13">
        <v>1814</v>
      </c>
      <c r="H476" s="13"/>
      <c r="I476" s="13"/>
      <c r="J476" s="13">
        <v>1799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1799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1135</v>
      </c>
      <c r="D477" s="16" t="s">
        <v>49</v>
      </c>
      <c r="E477" s="12" t="s">
        <v>26</v>
      </c>
      <c r="F477" s="12" t="s">
        <v>1136</v>
      </c>
      <c r="G477" s="13">
        <v>1814</v>
      </c>
      <c r="H477" s="13"/>
      <c r="I477" s="13"/>
      <c r="J477" s="13">
        <v>1814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1814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1081</v>
      </c>
      <c r="D478" s="16" t="s">
        <v>49</v>
      </c>
      <c r="E478" s="12" t="s">
        <v>26</v>
      </c>
      <c r="F478" s="12" t="s">
        <v>1082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926</v>
      </c>
      <c r="D479" s="16" t="s">
        <v>49</v>
      </c>
      <c r="E479" s="12" t="s">
        <v>70</v>
      </c>
      <c r="F479" s="12" t="s">
        <v>1124</v>
      </c>
      <c r="G479" s="13">
        <v>1814</v>
      </c>
      <c r="H479" s="13"/>
      <c r="I479" s="13"/>
      <c r="J479" s="13">
        <v>1824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1824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952</v>
      </c>
      <c r="D480" s="16" t="s">
        <v>61</v>
      </c>
      <c r="E480" s="12" t="s">
        <v>26</v>
      </c>
      <c r="F480" s="12" t="s">
        <v>953</v>
      </c>
      <c r="G480" s="13">
        <v>1814</v>
      </c>
      <c r="H480" s="13"/>
      <c r="I480" s="13"/>
      <c r="J480" s="13">
        <v>1999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1999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924</v>
      </c>
      <c r="D481" s="16" t="s">
        <v>61</v>
      </c>
      <c r="E481" s="12" t="s">
        <v>26</v>
      </c>
      <c r="F481" s="12" t="s">
        <v>925</v>
      </c>
      <c r="G481" s="13">
        <v>1815</v>
      </c>
      <c r="H481" s="13"/>
      <c r="I481" s="13"/>
      <c r="J481" s="13">
        <v>1769</v>
      </c>
      <c r="K481" s="13">
        <f t="shared" si="92"/>
        <v>0</v>
      </c>
      <c r="L481" s="13">
        <f t="shared" si="93"/>
        <v>1815</v>
      </c>
      <c r="M481" s="13" t="str">
        <f t="shared" si="94"/>
        <v/>
      </c>
      <c r="N481" s="13">
        <f t="shared" si="95"/>
        <v>1769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926</v>
      </c>
      <c r="D482" s="16" t="s">
        <v>49</v>
      </c>
      <c r="E482" s="12" t="s">
        <v>26</v>
      </c>
      <c r="F482" s="12" t="s">
        <v>927</v>
      </c>
      <c r="G482" s="13">
        <v>1815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1018</v>
      </c>
      <c r="D483" s="16" t="s">
        <v>52</v>
      </c>
      <c r="E483" s="12" t="s">
        <v>26</v>
      </c>
      <c r="F483" s="12" t="s">
        <v>1019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930</v>
      </c>
      <c r="D484" s="16" t="s">
        <v>52</v>
      </c>
      <c r="E484" s="12" t="s">
        <v>26</v>
      </c>
      <c r="F484" s="12" t="s">
        <v>931</v>
      </c>
      <c r="G484" s="13">
        <v>1815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974</v>
      </c>
      <c r="D485" s="16" t="s">
        <v>52</v>
      </c>
      <c r="E485" s="12" t="s">
        <v>70</v>
      </c>
      <c r="F485" s="12" t="s">
        <v>975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976</v>
      </c>
      <c r="D486" s="16" t="s">
        <v>49</v>
      </c>
      <c r="E486" s="12" t="s">
        <v>26</v>
      </c>
      <c r="F486" s="12" t="s">
        <v>977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978</v>
      </c>
      <c r="D487" s="16" t="s">
        <v>49</v>
      </c>
      <c r="E487" s="12" t="s">
        <v>26</v>
      </c>
      <c r="F487" s="12" t="s">
        <v>979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980</v>
      </c>
      <c r="D488" s="16" t="s">
        <v>49</v>
      </c>
      <c r="E488" s="12" t="s">
        <v>26</v>
      </c>
      <c r="F488" s="12" t="s">
        <v>981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938</v>
      </c>
      <c r="D489" s="16" t="s">
        <v>49</v>
      </c>
      <c r="E489" s="12" t="s">
        <v>26</v>
      </c>
      <c r="F489" s="12" t="s">
        <v>939</v>
      </c>
      <c r="G489" s="13">
        <v>1815</v>
      </c>
      <c r="H489" s="13"/>
      <c r="I489" s="13"/>
      <c r="J489" s="13">
        <v>1805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1805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940</v>
      </c>
      <c r="D490" s="16" t="s">
        <v>49</v>
      </c>
      <c r="E490" s="12" t="s">
        <v>26</v>
      </c>
      <c r="F490" s="12" t="s">
        <v>941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12</v>
      </c>
      <c r="C491" s="12" t="s">
        <v>942</v>
      </c>
      <c r="D491" s="16" t="s">
        <v>49</v>
      </c>
      <c r="E491" s="12" t="s">
        <v>26</v>
      </c>
      <c r="F491" s="12" t="s">
        <v>943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946</v>
      </c>
      <c r="D492" s="16" t="s">
        <v>49</v>
      </c>
      <c r="E492" s="12" t="s">
        <v>26</v>
      </c>
      <c r="F492" s="12" t="s">
        <v>947</v>
      </c>
      <c r="G492" s="13">
        <v>1815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1131</v>
      </c>
      <c r="D493" s="16" t="s">
        <v>49</v>
      </c>
      <c r="E493" s="12" t="s">
        <v>26</v>
      </c>
      <c r="F493" s="12" t="s">
        <v>1132</v>
      </c>
      <c r="G493" s="13">
        <v>1816</v>
      </c>
      <c r="H493" s="13"/>
      <c r="I493" s="13"/>
      <c r="J493" s="13">
        <v>1809</v>
      </c>
      <c r="K493" s="13">
        <f t="shared" si="92"/>
        <v>0</v>
      </c>
      <c r="L493" s="13">
        <f t="shared" si="93"/>
        <v>1816</v>
      </c>
      <c r="M493" s="13" t="str">
        <f t="shared" si="94"/>
        <v/>
      </c>
      <c r="N493" s="13">
        <f t="shared" si="95"/>
        <v>1809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12</v>
      </c>
      <c r="C494" s="12" t="s">
        <v>954</v>
      </c>
      <c r="D494" s="16" t="s">
        <v>52</v>
      </c>
      <c r="E494" s="12" t="s">
        <v>26</v>
      </c>
      <c r="F494" s="12" t="s">
        <v>955</v>
      </c>
      <c r="G494" s="13">
        <v>1816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992</v>
      </c>
      <c r="D495" s="12" t="s">
        <v>83</v>
      </c>
      <c r="E495" s="12" t="s">
        <v>70</v>
      </c>
      <c r="F495" s="12" t="s">
        <v>993</v>
      </c>
      <c r="G495" s="13">
        <v>1817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1817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994</v>
      </c>
      <c r="D496" s="16" t="s">
        <v>61</v>
      </c>
      <c r="E496" s="12" t="s">
        <v>26</v>
      </c>
      <c r="F496" s="12" t="s">
        <v>995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1000</v>
      </c>
      <c r="D497" s="16" t="s">
        <v>52</v>
      </c>
      <c r="E497" s="12" t="s">
        <v>26</v>
      </c>
      <c r="F497" s="12" t="s">
        <v>1001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17" customFormat="1" ht="28.5" customHeight="1">
      <c r="A498" s="12" t="str">
        <f t="shared" si="91"/>
        <v/>
      </c>
      <c r="B498" s="12" t="s">
        <v>6</v>
      </c>
      <c r="C498" s="12" t="s">
        <v>1562</v>
      </c>
      <c r="D498" s="16" t="s">
        <v>49</v>
      </c>
      <c r="E498" s="12" t="s">
        <v>26</v>
      </c>
      <c r="F498" s="12" t="s">
        <v>1563</v>
      </c>
      <c r="G498" s="13">
        <v>1817</v>
      </c>
      <c r="H498" s="13"/>
      <c r="I498" s="13"/>
      <c r="J498" s="13">
        <v>1804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1804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14</v>
      </c>
      <c r="C499" s="12" t="s">
        <v>998</v>
      </c>
      <c r="D499" s="16" t="s">
        <v>61</v>
      </c>
      <c r="E499" s="12" t="s">
        <v>26</v>
      </c>
      <c r="F499" s="12" t="s">
        <v>999</v>
      </c>
      <c r="G499" s="13">
        <v>1817</v>
      </c>
      <c r="H499" s="13"/>
      <c r="I499" s="13"/>
      <c r="J499" s="13">
        <v>1808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1808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12</v>
      </c>
      <c r="C500" s="12" t="s">
        <v>958</v>
      </c>
      <c r="D500" s="16" t="s">
        <v>83</v>
      </c>
      <c r="E500" s="12" t="s">
        <v>26</v>
      </c>
      <c r="F500" s="12" t="s">
        <v>959</v>
      </c>
      <c r="G500" s="13">
        <v>1817</v>
      </c>
      <c r="H500" s="13"/>
      <c r="I500" s="13"/>
      <c r="J500" s="13">
        <v>1819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1819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6" t="s">
        <v>49</v>
      </c>
      <c r="E501" s="12" t="s">
        <v>26</v>
      </c>
      <c r="F501" s="12" t="s">
        <v>971</v>
      </c>
      <c r="G501" s="13">
        <v>1818</v>
      </c>
      <c r="H501" s="13"/>
      <c r="I501" s="13"/>
      <c r="J501" s="13">
        <v>1796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1796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972</v>
      </c>
      <c r="D502" s="12" t="s">
        <v>83</v>
      </c>
      <c r="E502" s="12" t="s">
        <v>26</v>
      </c>
      <c r="F502" s="12" t="s">
        <v>973</v>
      </c>
      <c r="G502" s="13">
        <v>1818</v>
      </c>
      <c r="H502" s="13"/>
      <c r="I502" s="13"/>
      <c r="J502" s="13">
        <v>1797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1797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1004</v>
      </c>
      <c r="D503" s="16" t="s">
        <v>49</v>
      </c>
      <c r="E503" s="12" t="s">
        <v>26</v>
      </c>
      <c r="F503" s="12" t="s">
        <v>1005</v>
      </c>
      <c r="G503" s="13">
        <v>1818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6</v>
      </c>
      <c r="C504" s="12" t="s">
        <v>1270</v>
      </c>
      <c r="D504" s="16" t="s">
        <v>52</v>
      </c>
      <c r="E504" s="12" t="s">
        <v>26</v>
      </c>
      <c r="F504" s="12" t="s">
        <v>1271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6</v>
      </c>
      <c r="C505" s="12" t="s">
        <v>1268</v>
      </c>
      <c r="D505" s="16" t="s">
        <v>52</v>
      </c>
      <c r="E505" s="12" t="s">
        <v>26</v>
      </c>
      <c r="F505" s="12" t="s">
        <v>1269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1350</v>
      </c>
      <c r="D506" s="16" t="s">
        <v>49</v>
      </c>
      <c r="E506" s="12" t="s">
        <v>26</v>
      </c>
      <c r="F506" s="12" t="s">
        <v>1351</v>
      </c>
      <c r="G506" s="13">
        <v>1818</v>
      </c>
      <c r="H506" s="13"/>
      <c r="I506" s="13"/>
      <c r="J506" s="13">
        <v>1799</v>
      </c>
      <c r="K506" s="13">
        <f t="shared" si="92"/>
        <v>0</v>
      </c>
      <c r="L506" s="13">
        <f t="shared" si="93"/>
        <v>1818</v>
      </c>
      <c r="M506" s="13" t="str">
        <f t="shared" si="94"/>
        <v/>
      </c>
      <c r="N506" s="13">
        <f t="shared" si="95"/>
        <v>1799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1067</v>
      </c>
      <c r="D507" s="12" t="s">
        <v>83</v>
      </c>
      <c r="E507" s="12" t="s">
        <v>26</v>
      </c>
      <c r="F507" s="12" t="s">
        <v>1068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1069</v>
      </c>
      <c r="D508" s="16" t="s">
        <v>49</v>
      </c>
      <c r="E508" s="12" t="s">
        <v>26</v>
      </c>
      <c r="F508" s="12" t="s">
        <v>1070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1071</v>
      </c>
      <c r="D509" s="16" t="s">
        <v>49</v>
      </c>
      <c r="E509" s="12" t="s">
        <v>26</v>
      </c>
      <c r="F509" s="12" t="s">
        <v>1072</v>
      </c>
      <c r="G509" s="13">
        <v>1819</v>
      </c>
      <c r="H509" s="13"/>
      <c r="I509" s="13"/>
      <c r="J509" s="13">
        <v>1789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1789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1204</v>
      </c>
      <c r="D510" s="12" t="s">
        <v>83</v>
      </c>
      <c r="E510" s="12" t="s">
        <v>26</v>
      </c>
      <c r="F510" s="12" t="s">
        <v>1205</v>
      </c>
      <c r="G510" s="13">
        <v>1819</v>
      </c>
      <c r="H510" s="13"/>
      <c r="I510" s="13"/>
      <c r="J510" s="13">
        <v>1791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1791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964</v>
      </c>
      <c r="D511" s="16" t="s">
        <v>52</v>
      </c>
      <c r="E511" s="12" t="s">
        <v>26</v>
      </c>
      <c r="F511" s="12" t="s">
        <v>965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6</v>
      </c>
      <c r="C512" s="12" t="s">
        <v>966</v>
      </c>
      <c r="D512" s="16" t="s">
        <v>52</v>
      </c>
      <c r="E512" s="12" t="s">
        <v>26</v>
      </c>
      <c r="F512" s="12" t="s">
        <v>967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6</v>
      </c>
      <c r="C513" s="12" t="s">
        <v>968</v>
      </c>
      <c r="D513" s="12" t="s">
        <v>83</v>
      </c>
      <c r="E513" s="12" t="s">
        <v>26</v>
      </c>
      <c r="F513" s="12" t="s">
        <v>969</v>
      </c>
      <c r="G513" s="13">
        <v>1819</v>
      </c>
      <c r="H513" s="13"/>
      <c r="I513" s="13"/>
      <c r="J513" s="13">
        <v>1798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17" customFormat="1" ht="28.5" customHeight="1">
      <c r="A514" s="12" t="str">
        <f t="shared" si="91"/>
        <v/>
      </c>
      <c r="B514" s="12" t="s">
        <v>10</v>
      </c>
      <c r="C514" s="12" t="s">
        <v>960</v>
      </c>
      <c r="D514" s="16" t="s">
        <v>49</v>
      </c>
      <c r="E514" s="12" t="s">
        <v>26</v>
      </c>
      <c r="F514" s="12" t="s">
        <v>961</v>
      </c>
      <c r="G514" s="13">
        <v>1819</v>
      </c>
      <c r="H514" s="13"/>
      <c r="I514" s="13"/>
      <c r="J514" s="13">
        <v>1798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6</v>
      </c>
      <c r="C515" s="12" t="s">
        <v>984</v>
      </c>
      <c r="D515" s="16" t="s">
        <v>61</v>
      </c>
      <c r="E515" s="12" t="s">
        <v>26</v>
      </c>
      <c r="F515" s="12" t="s">
        <v>985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6</v>
      </c>
      <c r="C516" s="12" t="s">
        <v>91</v>
      </c>
      <c r="D516" s="12" t="s">
        <v>45</v>
      </c>
      <c r="E516" s="12" t="s">
        <v>26</v>
      </c>
      <c r="F516" s="12" t="s">
        <v>1208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14</v>
      </c>
      <c r="C517" s="12" t="s">
        <v>1089</v>
      </c>
      <c r="D517" s="16" t="s">
        <v>49</v>
      </c>
      <c r="E517" s="12" t="s">
        <v>26</v>
      </c>
      <c r="F517" s="12" t="s">
        <v>1090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633</v>
      </c>
      <c r="D518" s="12" t="s">
        <v>45</v>
      </c>
      <c r="E518" s="12" t="s">
        <v>26</v>
      </c>
      <c r="F518" s="12" t="s">
        <v>1073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1229</v>
      </c>
      <c r="D519" s="16" t="s">
        <v>49</v>
      </c>
      <c r="E519" s="12" t="s">
        <v>26</v>
      </c>
      <c r="F519" s="12" t="s">
        <v>1230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10</v>
      </c>
      <c r="C520" s="12" t="s">
        <v>982</v>
      </c>
      <c r="D520" s="16" t="s">
        <v>61</v>
      </c>
      <c r="E520" s="12" t="s">
        <v>26</v>
      </c>
      <c r="F520" s="12" t="s">
        <v>983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1240</v>
      </c>
      <c r="D521" s="12" t="s">
        <v>45</v>
      </c>
      <c r="E521" s="12" t="s">
        <v>26</v>
      </c>
      <c r="F521" s="12" t="s">
        <v>1241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1242</v>
      </c>
      <c r="D522" s="16" t="s">
        <v>52</v>
      </c>
      <c r="E522" s="12" t="s">
        <v>26</v>
      </c>
      <c r="F522" s="12" t="s">
        <v>1243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986</v>
      </c>
      <c r="D523" s="12" t="s">
        <v>140</v>
      </c>
      <c r="E523" s="12" t="s">
        <v>26</v>
      </c>
      <c r="F523" s="12" t="s">
        <v>987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1093</v>
      </c>
      <c r="D524" s="16" t="s">
        <v>52</v>
      </c>
      <c r="E524" s="12" t="s">
        <v>26</v>
      </c>
      <c r="F524" s="12" t="s">
        <v>1094</v>
      </c>
      <c r="G524" s="13">
        <v>1819</v>
      </c>
      <c r="H524" s="13"/>
      <c r="I524" s="13"/>
      <c r="J524" s="13">
        <v>1814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1814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10</v>
      </c>
      <c r="C525" s="12" t="s">
        <v>988</v>
      </c>
      <c r="D525" s="16" t="s">
        <v>49</v>
      </c>
      <c r="E525" s="12" t="s">
        <v>26</v>
      </c>
      <c r="F525" s="12" t="s">
        <v>989</v>
      </c>
      <c r="G525" s="13">
        <v>1822</v>
      </c>
      <c r="H525" s="13"/>
      <c r="I525" s="13"/>
      <c r="J525" s="13">
        <v>1798</v>
      </c>
      <c r="K525" s="13">
        <f t="shared" si="92"/>
        <v>0</v>
      </c>
      <c r="L525" s="13">
        <f t="shared" si="93"/>
        <v>1822</v>
      </c>
      <c r="M525" s="13" t="str">
        <f t="shared" si="94"/>
        <v/>
      </c>
      <c r="N525" s="13">
        <f t="shared" si="95"/>
        <v>1798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1010</v>
      </c>
      <c r="D526" s="16" t="s">
        <v>52</v>
      </c>
      <c r="E526" s="12" t="s">
        <v>26</v>
      </c>
      <c r="F526" s="12" t="s">
        <v>1011</v>
      </c>
      <c r="G526" s="13">
        <v>1822</v>
      </c>
      <c r="H526" s="13"/>
      <c r="I526" s="13"/>
      <c r="J526" s="13">
        <v>1813</v>
      </c>
      <c r="K526" s="13">
        <f t="shared" si="92"/>
        <v>0</v>
      </c>
      <c r="L526" s="13">
        <f t="shared" si="93"/>
        <v>1822</v>
      </c>
      <c r="M526" s="13" t="str">
        <f t="shared" si="94"/>
        <v/>
      </c>
      <c r="N526" s="13">
        <f t="shared" si="95"/>
        <v>1813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IF($T527="","",1+COUNTIF($W$15:$W$884,"&lt;"&amp;W527))</f>
        <v/>
      </c>
      <c r="B527" s="12" t="s">
        <v>10</v>
      </c>
      <c r="C527" s="12" t="s">
        <v>1231</v>
      </c>
      <c r="D527" s="12" t="s">
        <v>83</v>
      </c>
      <c r="E527" s="12" t="s">
        <v>26</v>
      </c>
      <c r="F527" s="12" t="s">
        <v>1232</v>
      </c>
      <c r="G527" s="13">
        <v>1823</v>
      </c>
      <c r="H527" s="13"/>
      <c r="I527" s="13"/>
      <c r="J527" s="13">
        <v>1798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1798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1238</v>
      </c>
      <c r="D528" s="12" t="s">
        <v>45</v>
      </c>
      <c r="E528" s="12" t="s">
        <v>26</v>
      </c>
      <c r="F528" s="12" t="s">
        <v>1239</v>
      </c>
      <c r="G528" s="13">
        <v>1823</v>
      </c>
      <c r="H528" s="13"/>
      <c r="I528" s="13"/>
      <c r="J528" s="13">
        <v>1798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1798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996</v>
      </c>
      <c r="D529" s="16" t="s">
        <v>49</v>
      </c>
      <c r="E529" s="12" t="s">
        <v>26</v>
      </c>
      <c r="F529" s="12" t="s">
        <v>997</v>
      </c>
      <c r="G529" s="13">
        <v>1823</v>
      </c>
      <c r="H529" s="13"/>
      <c r="I529" s="13"/>
      <c r="J529" s="13">
        <v>1813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1813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10</v>
      </c>
      <c r="C530" s="12" t="s">
        <v>1252</v>
      </c>
      <c r="D530" s="12" t="s">
        <v>140</v>
      </c>
      <c r="E530" s="12" t="s">
        <v>26</v>
      </c>
      <c r="F530" s="12" t="s">
        <v>1253</v>
      </c>
      <c r="G530" s="13">
        <v>1823</v>
      </c>
      <c r="H530" s="13"/>
      <c r="I530" s="13"/>
      <c r="J530" s="13">
        <v>1823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1823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10</v>
      </c>
      <c r="C531" s="12" t="s">
        <v>990</v>
      </c>
      <c r="D531" s="12" t="s">
        <v>83</v>
      </c>
      <c r="E531" s="12" t="s">
        <v>26</v>
      </c>
      <c r="F531" s="12" t="s">
        <v>991</v>
      </c>
      <c r="G531" s="13">
        <v>1823</v>
      </c>
      <c r="H531" s="13"/>
      <c r="I531" s="13"/>
      <c r="J531" s="13">
        <v>1823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1823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6</v>
      </c>
      <c r="C532" s="12" t="s">
        <v>1002</v>
      </c>
      <c r="D532" s="12" t="s">
        <v>83</v>
      </c>
      <c r="E532" s="12" t="s">
        <v>26</v>
      </c>
      <c r="F532" s="12" t="s">
        <v>1003</v>
      </c>
      <c r="G532" s="13">
        <v>1824</v>
      </c>
      <c r="H532" s="13"/>
      <c r="I532" s="13"/>
      <c r="J532" s="13">
        <v>1814</v>
      </c>
      <c r="K532" s="13">
        <f t="shared" si="105"/>
        <v>0</v>
      </c>
      <c r="L532" s="13">
        <f t="shared" si="106"/>
        <v>1824</v>
      </c>
      <c r="M532" s="13" t="str">
        <f t="shared" si="107"/>
        <v/>
      </c>
      <c r="N532" s="13">
        <f t="shared" si="108"/>
        <v>1814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1763</v>
      </c>
      <c r="D533" s="12" t="s">
        <v>83</v>
      </c>
      <c r="E533" s="12" t="s">
        <v>26</v>
      </c>
      <c r="F533" s="12" t="s">
        <v>1764</v>
      </c>
      <c r="G533" s="13">
        <v>1824</v>
      </c>
      <c r="H533" s="13"/>
      <c r="I533" s="13"/>
      <c r="J533" s="13">
        <v>1819</v>
      </c>
      <c r="K533" s="13">
        <f t="shared" si="105"/>
        <v>0</v>
      </c>
      <c r="L533" s="13">
        <f t="shared" si="106"/>
        <v>1824</v>
      </c>
      <c r="M533" s="13" t="str">
        <f t="shared" si="107"/>
        <v/>
      </c>
      <c r="N533" s="13">
        <f t="shared" si="108"/>
        <v>1819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8" customFormat="1" ht="28.5" customHeight="1">
      <c r="A534" s="12" t="str">
        <f t="shared" si="104"/>
        <v/>
      </c>
      <c r="B534" s="12" t="s">
        <v>18</v>
      </c>
      <c r="C534" s="12" t="s">
        <v>1012</v>
      </c>
      <c r="D534" s="12" t="s">
        <v>83</v>
      </c>
      <c r="E534" s="12" t="s">
        <v>26</v>
      </c>
      <c r="F534" s="12" t="s">
        <v>1013</v>
      </c>
      <c r="G534" s="13">
        <v>1825</v>
      </c>
      <c r="H534" s="13"/>
      <c r="I534" s="13"/>
      <c r="J534" s="13">
        <v>1789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1789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1014</v>
      </c>
      <c r="D535" s="16" t="s">
        <v>49</v>
      </c>
      <c r="E535" s="12" t="s">
        <v>26</v>
      </c>
      <c r="F535" s="12" t="s">
        <v>1015</v>
      </c>
      <c r="G535" s="13">
        <v>1825</v>
      </c>
      <c r="H535" s="13"/>
      <c r="I535" s="13"/>
      <c r="J535" s="13">
        <v>1795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1795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18</v>
      </c>
      <c r="C536" s="12" t="s">
        <v>1016</v>
      </c>
      <c r="D536" s="16" t="s">
        <v>49</v>
      </c>
      <c r="E536" s="12" t="s">
        <v>26</v>
      </c>
      <c r="F536" s="12" t="s">
        <v>1017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18</v>
      </c>
      <c r="C537" s="12" t="s">
        <v>1046</v>
      </c>
      <c r="D537" s="12" t="s">
        <v>83</v>
      </c>
      <c r="E537" s="12" t="s">
        <v>26</v>
      </c>
      <c r="F537" s="12" t="s">
        <v>1047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447</v>
      </c>
      <c r="D538" s="12" t="s">
        <v>83</v>
      </c>
      <c r="E538" s="12" t="s">
        <v>26</v>
      </c>
      <c r="F538" s="12" t="s">
        <v>448</v>
      </c>
      <c r="G538" s="13">
        <v>1825</v>
      </c>
      <c r="H538" s="13"/>
      <c r="I538" s="13"/>
      <c r="J538" s="13">
        <v>1795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1022</v>
      </c>
      <c r="D539" s="16" t="s">
        <v>49</v>
      </c>
      <c r="E539" s="12" t="s">
        <v>26</v>
      </c>
      <c r="F539" s="12" t="s">
        <v>1023</v>
      </c>
      <c r="G539" s="13">
        <v>1825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1024</v>
      </c>
      <c r="D540" s="12" t="s">
        <v>45</v>
      </c>
      <c r="E540" s="12" t="s">
        <v>26</v>
      </c>
      <c r="F540" s="12" t="s">
        <v>1025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1026</v>
      </c>
      <c r="D541" s="16" t="s">
        <v>49</v>
      </c>
      <c r="E541" s="12" t="s">
        <v>26</v>
      </c>
      <c r="F541" s="12" t="s">
        <v>1027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10</v>
      </c>
      <c r="C542" s="12" t="s">
        <v>1020</v>
      </c>
      <c r="D542" s="16" t="s">
        <v>49</v>
      </c>
      <c r="E542" s="12" t="s">
        <v>26</v>
      </c>
      <c r="F542" s="12" t="s">
        <v>1021</v>
      </c>
      <c r="G542" s="13">
        <v>1825</v>
      </c>
      <c r="H542" s="13"/>
      <c r="I542" s="13"/>
      <c r="J542" s="13">
        <v>1799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1145</v>
      </c>
      <c r="D543" s="12" t="s">
        <v>83</v>
      </c>
      <c r="E543" s="12" t="s">
        <v>26</v>
      </c>
      <c r="F543" s="12" t="s">
        <v>1146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1030</v>
      </c>
      <c r="D544" s="16" t="s">
        <v>61</v>
      </c>
      <c r="E544" s="12" t="s">
        <v>26</v>
      </c>
      <c r="F544" s="12" t="s">
        <v>1031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8" customFormat="1" ht="28.5" customHeight="1">
      <c r="A545" s="12" t="str">
        <f t="shared" si="104"/>
        <v/>
      </c>
      <c r="B545" s="12" t="s">
        <v>6</v>
      </c>
      <c r="C545" s="12" t="s">
        <v>1032</v>
      </c>
      <c r="D545" s="12" t="s">
        <v>83</v>
      </c>
      <c r="E545" s="12" t="s">
        <v>26</v>
      </c>
      <c r="F545" s="12" t="s">
        <v>1033</v>
      </c>
      <c r="G545" s="13">
        <v>1825</v>
      </c>
      <c r="H545" s="13"/>
      <c r="I545" s="13"/>
      <c r="J545" s="13">
        <v>1805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6</v>
      </c>
      <c r="C546" s="12" t="s">
        <v>1122</v>
      </c>
      <c r="D546" s="16" t="s">
        <v>49</v>
      </c>
      <c r="E546" s="12" t="s">
        <v>26</v>
      </c>
      <c r="F546" s="12" t="s">
        <v>1123</v>
      </c>
      <c r="G546" s="13">
        <v>1825</v>
      </c>
      <c r="H546" s="13"/>
      <c r="I546" s="13"/>
      <c r="J546" s="13">
        <v>1808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1808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1129</v>
      </c>
      <c r="D547" s="16" t="s">
        <v>49</v>
      </c>
      <c r="E547" s="12" t="s">
        <v>26</v>
      </c>
      <c r="F547" s="12" t="s">
        <v>1130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14</v>
      </c>
      <c r="C548" s="12" t="s">
        <v>1198</v>
      </c>
      <c r="D548" s="12" t="s">
        <v>83</v>
      </c>
      <c r="E548" s="12" t="s">
        <v>26</v>
      </c>
      <c r="F548" s="12" t="s">
        <v>1199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1034</v>
      </c>
      <c r="D549" s="12" t="s">
        <v>312</v>
      </c>
      <c r="E549" s="12" t="s">
        <v>26</v>
      </c>
      <c r="F549" s="12" t="s">
        <v>1035</v>
      </c>
      <c r="G549" s="13">
        <v>1825</v>
      </c>
      <c r="H549" s="13"/>
      <c r="I549" s="13"/>
      <c r="J549" s="13">
        <v>1809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1036</v>
      </c>
      <c r="D550" s="16" t="s">
        <v>52</v>
      </c>
      <c r="E550" s="12" t="s">
        <v>26</v>
      </c>
      <c r="F550" s="12" t="s">
        <v>1037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1038</v>
      </c>
      <c r="D551" s="12" t="s">
        <v>45</v>
      </c>
      <c r="E551" s="12" t="s">
        <v>26</v>
      </c>
      <c r="F551" s="12" t="s">
        <v>1039</v>
      </c>
      <c r="G551" s="13">
        <v>1825</v>
      </c>
      <c r="H551" s="13"/>
      <c r="I551" s="13"/>
      <c r="J551" s="13">
        <v>1812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844</v>
      </c>
      <c r="D552" s="16" t="s">
        <v>49</v>
      </c>
      <c r="E552" s="12" t="s">
        <v>26</v>
      </c>
      <c r="F552" s="12" t="s">
        <v>1392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1040</v>
      </c>
      <c r="D553" s="12" t="s">
        <v>83</v>
      </c>
      <c r="E553" s="12" t="s">
        <v>26</v>
      </c>
      <c r="F553" s="12" t="s">
        <v>1041</v>
      </c>
      <c r="G553" s="13">
        <v>1825</v>
      </c>
      <c r="H553" s="13"/>
      <c r="I553" s="13"/>
      <c r="J553" s="13">
        <v>1813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1813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1042</v>
      </c>
      <c r="D554" s="12" t="s">
        <v>83</v>
      </c>
      <c r="E554" s="12" t="s">
        <v>26</v>
      </c>
      <c r="F554" s="12" t="s">
        <v>1043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1044</v>
      </c>
      <c r="D555" s="16" t="s">
        <v>83</v>
      </c>
      <c r="E555" s="12" t="s">
        <v>26</v>
      </c>
      <c r="F555" s="12" t="s">
        <v>1045</v>
      </c>
      <c r="G555" s="13">
        <v>1825</v>
      </c>
      <c r="H555" s="13"/>
      <c r="I555" s="13"/>
      <c r="J555" s="13">
        <v>1815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1815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1048</v>
      </c>
      <c r="D556" s="16" t="s">
        <v>49</v>
      </c>
      <c r="E556" s="12" t="s">
        <v>26</v>
      </c>
      <c r="F556" s="12" t="s">
        <v>1049</v>
      </c>
      <c r="G556" s="13">
        <v>1825</v>
      </c>
      <c r="H556" s="13"/>
      <c r="I556" s="13"/>
      <c r="J556" s="13">
        <v>1825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1825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12</v>
      </c>
      <c r="C557" s="12" t="s">
        <v>1050</v>
      </c>
      <c r="D557" s="16" t="s">
        <v>61</v>
      </c>
      <c r="E557" s="12" t="s">
        <v>26</v>
      </c>
      <c r="F557" s="12" t="s">
        <v>1051</v>
      </c>
      <c r="G557" s="13">
        <v>1827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1827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1338</v>
      </c>
      <c r="D558" s="16" t="s">
        <v>49</v>
      </c>
      <c r="E558" s="12" t="s">
        <v>26</v>
      </c>
      <c r="F558" s="12" t="s">
        <v>1339</v>
      </c>
      <c r="G558" s="13">
        <v>1828</v>
      </c>
      <c r="H558" s="13"/>
      <c r="I558" s="13"/>
      <c r="J558" s="13">
        <v>1805</v>
      </c>
      <c r="K558" s="13">
        <f t="shared" si="105"/>
        <v>0</v>
      </c>
      <c r="L558" s="13">
        <f t="shared" si="106"/>
        <v>1828</v>
      </c>
      <c r="M558" s="13" t="str">
        <f t="shared" si="107"/>
        <v/>
      </c>
      <c r="N558" s="13">
        <f t="shared" si="108"/>
        <v>1805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10</v>
      </c>
      <c r="C559" s="12" t="s">
        <v>1196</v>
      </c>
      <c r="D559" s="12" t="s">
        <v>45</v>
      </c>
      <c r="E559" s="12" t="s">
        <v>26</v>
      </c>
      <c r="F559" s="12" t="s">
        <v>1197</v>
      </c>
      <c r="G559" s="13">
        <v>1828</v>
      </c>
      <c r="H559" s="13"/>
      <c r="I559" s="13"/>
      <c r="J559" s="13">
        <v>1808</v>
      </c>
      <c r="K559" s="13">
        <f t="shared" si="105"/>
        <v>0</v>
      </c>
      <c r="L559" s="13">
        <f t="shared" si="106"/>
        <v>1828</v>
      </c>
      <c r="M559" s="13" t="str">
        <f t="shared" si="107"/>
        <v/>
      </c>
      <c r="N559" s="13">
        <f t="shared" si="108"/>
        <v>1808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1052</v>
      </c>
      <c r="D560" s="12" t="s">
        <v>287</v>
      </c>
      <c r="E560" s="12" t="s">
        <v>70</v>
      </c>
      <c r="F560" s="12" t="s">
        <v>1053</v>
      </c>
      <c r="G560" s="13">
        <v>1828</v>
      </c>
      <c r="H560" s="13"/>
      <c r="I560" s="13"/>
      <c r="J560" s="13">
        <v>1812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1812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1110</v>
      </c>
      <c r="D561" s="16" t="s">
        <v>61</v>
      </c>
      <c r="E561" s="12" t="s">
        <v>26</v>
      </c>
      <c r="F561" s="12" t="s">
        <v>1111</v>
      </c>
      <c r="G561" s="13">
        <v>1828</v>
      </c>
      <c r="H561" s="13"/>
      <c r="I561" s="13"/>
      <c r="J561" s="13">
        <v>1813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1813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1054</v>
      </c>
      <c r="D562" s="16" t="s">
        <v>49</v>
      </c>
      <c r="E562" s="12" t="s">
        <v>26</v>
      </c>
      <c r="F562" s="12" t="s">
        <v>1055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1056</v>
      </c>
      <c r="D563" s="16" t="s">
        <v>49</v>
      </c>
      <c r="E563" s="12" t="s">
        <v>26</v>
      </c>
      <c r="F563" s="12" t="s">
        <v>1057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10</v>
      </c>
      <c r="C564" s="12" t="s">
        <v>1058</v>
      </c>
      <c r="D564" s="16" t="s">
        <v>61</v>
      </c>
      <c r="E564" s="12" t="s">
        <v>26</v>
      </c>
      <c r="F564" s="12" t="s">
        <v>1059</v>
      </c>
      <c r="G564" s="13">
        <v>1828</v>
      </c>
      <c r="H564" s="13"/>
      <c r="I564" s="13"/>
      <c r="J564" s="13">
        <v>1813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1813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1332</v>
      </c>
      <c r="D565" s="16" t="s">
        <v>49</v>
      </c>
      <c r="E565" s="12" t="s">
        <v>26</v>
      </c>
      <c r="F565" s="12" t="s">
        <v>1333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1334</v>
      </c>
      <c r="D566" s="12" t="s">
        <v>83</v>
      </c>
      <c r="E566" s="12" t="s">
        <v>26</v>
      </c>
      <c r="F566" s="12" t="s">
        <v>1335</v>
      </c>
      <c r="G566" s="13">
        <v>1828</v>
      </c>
      <c r="H566" s="13"/>
      <c r="I566" s="13"/>
      <c r="J566" s="13">
        <v>1815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1060</v>
      </c>
      <c r="D567" s="12" t="s">
        <v>83</v>
      </c>
      <c r="E567" s="12" t="s">
        <v>26</v>
      </c>
      <c r="F567" s="12" t="s">
        <v>1061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354</v>
      </c>
      <c r="D568" s="16" t="s">
        <v>49</v>
      </c>
      <c r="E568" s="12" t="s">
        <v>70</v>
      </c>
      <c r="F568" s="12" t="s">
        <v>1062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14</v>
      </c>
      <c r="C569" s="12" t="s">
        <v>1437</v>
      </c>
      <c r="D569" s="16" t="s">
        <v>61</v>
      </c>
      <c r="E569" s="12" t="s">
        <v>26</v>
      </c>
      <c r="F569" s="12" t="s">
        <v>1438</v>
      </c>
      <c r="G569" s="13">
        <v>1828</v>
      </c>
      <c r="H569" s="13"/>
      <c r="I569" s="13"/>
      <c r="J569" s="13">
        <v>1838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1838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10</v>
      </c>
      <c r="C570" s="12" t="s">
        <v>1065</v>
      </c>
      <c r="D570" s="16" t="s">
        <v>52</v>
      </c>
      <c r="E570" s="12" t="s">
        <v>26</v>
      </c>
      <c r="F570" s="12" t="s">
        <v>1066</v>
      </c>
      <c r="G570" s="13">
        <v>1829</v>
      </c>
      <c r="H570" s="13"/>
      <c r="I570" s="13"/>
      <c r="J570" s="13">
        <v>1798</v>
      </c>
      <c r="K570" s="13">
        <f t="shared" si="105"/>
        <v>0</v>
      </c>
      <c r="L570" s="13">
        <f t="shared" si="106"/>
        <v>1829</v>
      </c>
      <c r="M570" s="13" t="str">
        <f t="shared" si="107"/>
        <v/>
      </c>
      <c r="N570" s="13">
        <f t="shared" si="108"/>
        <v>1798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14</v>
      </c>
      <c r="C571" s="12" t="s">
        <v>1079</v>
      </c>
      <c r="D571" s="12" t="s">
        <v>83</v>
      </c>
      <c r="E571" s="12" t="s">
        <v>70</v>
      </c>
      <c r="F571" s="12" t="s">
        <v>1080</v>
      </c>
      <c r="G571" s="13">
        <v>1829</v>
      </c>
      <c r="H571" s="13"/>
      <c r="I571" s="13"/>
      <c r="J571" s="13">
        <v>1799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1200</v>
      </c>
      <c r="D572" s="12" t="s">
        <v>45</v>
      </c>
      <c r="E572" s="12" t="s">
        <v>26</v>
      </c>
      <c r="F572" s="12" t="s">
        <v>1201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1376</v>
      </c>
      <c r="D573" s="16" t="s">
        <v>49</v>
      </c>
      <c r="E573" s="12" t="s">
        <v>26</v>
      </c>
      <c r="F573" s="12" t="s">
        <v>1377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12</v>
      </c>
      <c r="C574" s="12" t="s">
        <v>1221</v>
      </c>
      <c r="D574" s="16" t="s">
        <v>49</v>
      </c>
      <c r="E574" s="12" t="s">
        <v>26</v>
      </c>
      <c r="F574" s="12" t="s">
        <v>1222</v>
      </c>
      <c r="G574" s="13">
        <v>1829</v>
      </c>
      <c r="H574" s="13"/>
      <c r="I574" s="13"/>
      <c r="J574" s="13">
        <v>1809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1809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1076</v>
      </c>
      <c r="D575" s="16" t="s">
        <v>52</v>
      </c>
      <c r="E575" s="12" t="s">
        <v>26</v>
      </c>
      <c r="F575" s="12" t="s">
        <v>1077</v>
      </c>
      <c r="G575" s="13">
        <v>1829</v>
      </c>
      <c r="H575" s="13"/>
      <c r="I575" s="13"/>
      <c r="J575" s="13">
        <v>1809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6</v>
      </c>
      <c r="C576" s="12" t="s">
        <v>1112</v>
      </c>
      <c r="D576" s="12" t="s">
        <v>83</v>
      </c>
      <c r="E576" s="12" t="s">
        <v>26</v>
      </c>
      <c r="F576" s="12" t="s">
        <v>1113</v>
      </c>
      <c r="G576" s="13">
        <v>1829</v>
      </c>
      <c r="H576" s="13"/>
      <c r="I576" s="13"/>
      <c r="J576" s="13">
        <v>1813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1813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6</v>
      </c>
      <c r="C577" s="12" t="s">
        <v>581</v>
      </c>
      <c r="D577" s="12" t="s">
        <v>83</v>
      </c>
      <c r="E577" s="12" t="s">
        <v>26</v>
      </c>
      <c r="F577" s="12" t="s">
        <v>1078</v>
      </c>
      <c r="G577" s="13">
        <v>1829</v>
      </c>
      <c r="H577" s="13"/>
      <c r="I577" s="13"/>
      <c r="J577" s="13">
        <v>1813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1813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6</v>
      </c>
      <c r="C578" s="12" t="s">
        <v>1286</v>
      </c>
      <c r="D578" s="16" t="s">
        <v>52</v>
      </c>
      <c r="E578" s="12" t="s">
        <v>26</v>
      </c>
      <c r="F578" s="12" t="s">
        <v>1287</v>
      </c>
      <c r="G578" s="13">
        <v>1829</v>
      </c>
      <c r="H578" s="13"/>
      <c r="I578" s="13"/>
      <c r="J578" s="13">
        <v>1814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1814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1192</v>
      </c>
      <c r="D579" s="16" t="s">
        <v>52</v>
      </c>
      <c r="E579" s="12" t="s">
        <v>26</v>
      </c>
      <c r="F579" s="12" t="s">
        <v>1193</v>
      </c>
      <c r="G579" s="13">
        <v>1829</v>
      </c>
      <c r="H579" s="13"/>
      <c r="I579" s="13"/>
      <c r="J579" s="13">
        <v>1815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1815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8</v>
      </c>
      <c r="C580" s="12" t="s">
        <v>1108</v>
      </c>
      <c r="D580" s="12" t="s">
        <v>83</v>
      </c>
      <c r="E580" s="12" t="s">
        <v>26</v>
      </c>
      <c r="F580" s="12" t="s">
        <v>1109</v>
      </c>
      <c r="G580" s="13">
        <v>1829</v>
      </c>
      <c r="H580" s="13"/>
      <c r="I580" s="13"/>
      <c r="J580" s="13">
        <v>1815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1815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1155</v>
      </c>
      <c r="D581" s="12" t="s">
        <v>83</v>
      </c>
      <c r="E581" s="12" t="s">
        <v>26</v>
      </c>
      <c r="F581" s="12" t="s">
        <v>1156</v>
      </c>
      <c r="G581" s="13">
        <v>1829</v>
      </c>
      <c r="H581" s="13"/>
      <c r="I581" s="13"/>
      <c r="J581" s="13">
        <v>1819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1083</v>
      </c>
      <c r="D582" s="16" t="s">
        <v>49</v>
      </c>
      <c r="E582" s="12" t="s">
        <v>26</v>
      </c>
      <c r="F582" s="12" t="s">
        <v>1084</v>
      </c>
      <c r="G582" s="13">
        <v>1829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1085</v>
      </c>
      <c r="D583" s="16" t="s">
        <v>61</v>
      </c>
      <c r="E583" s="12" t="s">
        <v>26</v>
      </c>
      <c r="F583" s="12" t="s">
        <v>1086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1087</v>
      </c>
      <c r="D584" s="12" t="s">
        <v>45</v>
      </c>
      <c r="E584" s="12" t="s">
        <v>26</v>
      </c>
      <c r="F584" s="12" t="s">
        <v>1088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12</v>
      </c>
      <c r="C585" s="12" t="s">
        <v>1223</v>
      </c>
      <c r="D585" s="16" t="s">
        <v>83</v>
      </c>
      <c r="E585" s="12" t="s">
        <v>26</v>
      </c>
      <c r="F585" s="12" t="s">
        <v>1224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17" customFormat="1" ht="28.5" customHeight="1">
      <c r="A586" s="12" t="str">
        <f t="shared" si="104"/>
        <v/>
      </c>
      <c r="B586" s="12" t="s">
        <v>10</v>
      </c>
      <c r="C586" s="12" t="s">
        <v>1225</v>
      </c>
      <c r="D586" s="16" t="s">
        <v>49</v>
      </c>
      <c r="E586" s="12" t="s">
        <v>26</v>
      </c>
      <c r="F586" s="12" t="s">
        <v>1226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17" customFormat="1" ht="28.5" customHeight="1">
      <c r="A587" s="12" t="str">
        <f t="shared" si="104"/>
        <v/>
      </c>
      <c r="B587" s="12" t="s">
        <v>10</v>
      </c>
      <c r="C587" s="12" t="s">
        <v>1233</v>
      </c>
      <c r="D587" s="12" t="s">
        <v>83</v>
      </c>
      <c r="E587" s="12" t="s">
        <v>26</v>
      </c>
      <c r="F587" s="12" t="s">
        <v>1234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1236</v>
      </c>
      <c r="D588" s="16" t="s">
        <v>61</v>
      </c>
      <c r="E588" s="12" t="s">
        <v>26</v>
      </c>
      <c r="F588" s="12" t="s">
        <v>1237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1214</v>
      </c>
      <c r="D589" s="16" t="s">
        <v>49</v>
      </c>
      <c r="E589" s="12" t="s">
        <v>26</v>
      </c>
      <c r="F589" s="12" t="s">
        <v>1215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1091</v>
      </c>
      <c r="D590" s="12" t="s">
        <v>140</v>
      </c>
      <c r="E590" s="12" t="s">
        <v>26</v>
      </c>
      <c r="F590" s="12" t="s">
        <v>1092</v>
      </c>
      <c r="G590" s="13">
        <v>1829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IF($T591="","",1+COUNTIF($W$15:$W$884,"&lt;"&amp;W591))</f>
        <v/>
      </c>
      <c r="B591" s="12" t="s">
        <v>10</v>
      </c>
      <c r="C591" s="12" t="s">
        <v>1028</v>
      </c>
      <c r="D591" s="12" t="s">
        <v>140</v>
      </c>
      <c r="E591" s="12" t="s">
        <v>26</v>
      </c>
      <c r="F591" s="12" t="s">
        <v>1029</v>
      </c>
      <c r="G591" s="13">
        <v>1829</v>
      </c>
      <c r="H591" s="13"/>
      <c r="I591" s="13"/>
      <c r="J591" s="13">
        <v>1824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1824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8" customFormat="1" ht="28.5" customHeight="1">
      <c r="A592" s="12" t="str">
        <f t="shared" si="117"/>
        <v/>
      </c>
      <c r="B592" s="12" t="s">
        <v>12</v>
      </c>
      <c r="C592" s="12" t="s">
        <v>1095</v>
      </c>
      <c r="D592" s="16" t="s">
        <v>49</v>
      </c>
      <c r="E592" s="12" t="s">
        <v>26</v>
      </c>
      <c r="F592" s="12" t="s">
        <v>1096</v>
      </c>
      <c r="G592" s="13">
        <v>1829</v>
      </c>
      <c r="H592" s="13"/>
      <c r="I592" s="13"/>
      <c r="J592" s="13">
        <v>1829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12</v>
      </c>
      <c r="C593" s="12" t="s">
        <v>1097</v>
      </c>
      <c r="D593" s="16" t="s">
        <v>140</v>
      </c>
      <c r="E593" s="12" t="s">
        <v>26</v>
      </c>
      <c r="F593" s="12" t="s">
        <v>1098</v>
      </c>
      <c r="G593" s="13">
        <v>1829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8" customFormat="1" ht="28.5" customHeight="1">
      <c r="A594" s="12" t="str">
        <f t="shared" si="117"/>
        <v/>
      </c>
      <c r="B594" s="12" t="s">
        <v>12</v>
      </c>
      <c r="C594" s="12" t="s">
        <v>374</v>
      </c>
      <c r="D594" s="16" t="s">
        <v>61</v>
      </c>
      <c r="E594" s="12" t="s">
        <v>26</v>
      </c>
      <c r="F594" s="12" t="s">
        <v>1099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10</v>
      </c>
      <c r="C595" s="12" t="s">
        <v>1100</v>
      </c>
      <c r="D595" s="12" t="s">
        <v>83</v>
      </c>
      <c r="E595" s="12" t="s">
        <v>26</v>
      </c>
      <c r="F595" s="12" t="s">
        <v>1101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1322</v>
      </c>
      <c r="D596" s="16" t="s">
        <v>52</v>
      </c>
      <c r="E596" s="12" t="s">
        <v>26</v>
      </c>
      <c r="F596" s="12" t="s">
        <v>1323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12</v>
      </c>
      <c r="C597" s="12" t="s">
        <v>1102</v>
      </c>
      <c r="D597" s="16" t="s">
        <v>49</v>
      </c>
      <c r="E597" s="12" t="s">
        <v>26</v>
      </c>
      <c r="F597" s="12" t="s">
        <v>1103</v>
      </c>
      <c r="G597" s="13">
        <v>1829</v>
      </c>
      <c r="H597" s="13"/>
      <c r="I597" s="13"/>
      <c r="J597" s="13">
        <v>1837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1837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12</v>
      </c>
      <c r="C598" s="12" t="s">
        <v>1104</v>
      </c>
      <c r="D598" s="16" t="s">
        <v>140</v>
      </c>
      <c r="E598" s="12" t="s">
        <v>26</v>
      </c>
      <c r="F598" s="12" t="s">
        <v>1105</v>
      </c>
      <c r="G598" s="13">
        <v>1829</v>
      </c>
      <c r="H598" s="13"/>
      <c r="I598" s="13"/>
      <c r="J598" s="13">
        <v>1837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1837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12</v>
      </c>
      <c r="C599" s="12" t="s">
        <v>1106</v>
      </c>
      <c r="D599" s="16" t="s">
        <v>140</v>
      </c>
      <c r="E599" s="12" t="s">
        <v>26</v>
      </c>
      <c r="F599" s="12" t="s">
        <v>1107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1149</v>
      </c>
      <c r="D600" s="16" t="s">
        <v>49</v>
      </c>
      <c r="E600" s="12" t="s">
        <v>26</v>
      </c>
      <c r="F600" s="12" t="s">
        <v>1150</v>
      </c>
      <c r="G600" s="13">
        <v>1830</v>
      </c>
      <c r="H600" s="13"/>
      <c r="I600" s="13"/>
      <c r="J600" s="13">
        <v>1810</v>
      </c>
      <c r="K600" s="13">
        <f t="shared" si="118"/>
        <v>0</v>
      </c>
      <c r="L600" s="13">
        <f t="shared" si="119"/>
        <v>1830</v>
      </c>
      <c r="M600" s="13" t="str">
        <f t="shared" si="120"/>
        <v/>
      </c>
      <c r="N600" s="13">
        <f t="shared" si="121"/>
        <v>1810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12</v>
      </c>
      <c r="C601" s="12" t="s">
        <v>1114</v>
      </c>
      <c r="D601" s="12" t="s">
        <v>312</v>
      </c>
      <c r="E601" s="12" t="s">
        <v>26</v>
      </c>
      <c r="F601" s="12" t="s">
        <v>1115</v>
      </c>
      <c r="G601" s="13">
        <v>1831</v>
      </c>
      <c r="H601" s="13"/>
      <c r="I601" s="13"/>
      <c r="J601" s="13">
        <v>1824</v>
      </c>
      <c r="K601" s="13">
        <f t="shared" si="118"/>
        <v>0</v>
      </c>
      <c r="L601" s="13">
        <f t="shared" si="119"/>
        <v>1831</v>
      </c>
      <c r="M601" s="13" t="str">
        <f t="shared" si="120"/>
        <v/>
      </c>
      <c r="N601" s="13">
        <f t="shared" si="121"/>
        <v>1824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18</v>
      </c>
      <c r="C602" s="12" t="s">
        <v>1125</v>
      </c>
      <c r="D602" s="16" t="s">
        <v>61</v>
      </c>
      <c r="E602" s="12" t="s">
        <v>26</v>
      </c>
      <c r="F602" s="12" t="s">
        <v>1126</v>
      </c>
      <c r="G602" s="13">
        <v>1832</v>
      </c>
      <c r="H602" s="13"/>
      <c r="I602" s="13"/>
      <c r="J602" s="13">
        <v>1812</v>
      </c>
      <c r="K602" s="13">
        <f t="shared" si="118"/>
        <v>0</v>
      </c>
      <c r="L602" s="13">
        <f t="shared" si="119"/>
        <v>1832</v>
      </c>
      <c r="M602" s="13" t="str">
        <f t="shared" si="120"/>
        <v/>
      </c>
      <c r="N602" s="13">
        <f t="shared" si="121"/>
        <v>1812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18</v>
      </c>
      <c r="C603" s="12" t="s">
        <v>1118</v>
      </c>
      <c r="D603" s="16" t="s">
        <v>49</v>
      </c>
      <c r="E603" s="12" t="s">
        <v>26</v>
      </c>
      <c r="F603" s="12" t="s">
        <v>1119</v>
      </c>
      <c r="G603" s="13">
        <v>1832</v>
      </c>
      <c r="H603" s="13"/>
      <c r="I603" s="13"/>
      <c r="J603" s="13">
        <v>1812</v>
      </c>
      <c r="K603" s="13">
        <f t="shared" si="118"/>
        <v>0</v>
      </c>
      <c r="L603" s="13">
        <f t="shared" si="119"/>
        <v>1832</v>
      </c>
      <c r="M603" s="13" t="str">
        <f t="shared" si="120"/>
        <v/>
      </c>
      <c r="N603" s="13">
        <f t="shared" si="121"/>
        <v>1812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12</v>
      </c>
      <c r="C604" s="12" t="s">
        <v>888</v>
      </c>
      <c r="D604" s="16" t="s">
        <v>49</v>
      </c>
      <c r="E604" s="12" t="s">
        <v>26</v>
      </c>
      <c r="F604" s="12" t="s">
        <v>889</v>
      </c>
      <c r="G604" s="13">
        <v>1832</v>
      </c>
      <c r="H604" s="13"/>
      <c r="I604" s="13"/>
      <c r="J604" s="13">
        <v>1812</v>
      </c>
      <c r="K604" s="13">
        <f t="shared" si="118"/>
        <v>0</v>
      </c>
      <c r="L604" s="13">
        <f t="shared" si="119"/>
        <v>1832</v>
      </c>
      <c r="M604" s="13" t="str">
        <f t="shared" si="120"/>
        <v/>
      </c>
      <c r="N604" s="13">
        <f t="shared" si="121"/>
        <v>1812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18</v>
      </c>
      <c r="C605" s="12" t="s">
        <v>1116</v>
      </c>
      <c r="D605" s="12" t="s">
        <v>83</v>
      </c>
      <c r="E605" s="12" t="s">
        <v>26</v>
      </c>
      <c r="F605" s="12" t="s">
        <v>1117</v>
      </c>
      <c r="G605" s="13">
        <v>1832</v>
      </c>
      <c r="H605" s="13"/>
      <c r="I605" s="13"/>
      <c r="J605" s="13">
        <v>1822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1822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1219</v>
      </c>
      <c r="D606" s="16" t="s">
        <v>49</v>
      </c>
      <c r="E606" s="12" t="s">
        <v>26</v>
      </c>
      <c r="F606" s="12" t="s">
        <v>1220</v>
      </c>
      <c r="G606" s="13">
        <v>1832</v>
      </c>
      <c r="H606" s="13"/>
      <c r="I606" s="13"/>
      <c r="J606" s="13">
        <v>1822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1822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18</v>
      </c>
      <c r="C607" s="12" t="s">
        <v>113</v>
      </c>
      <c r="D607" s="12" t="s">
        <v>83</v>
      </c>
      <c r="E607" s="12" t="s">
        <v>26</v>
      </c>
      <c r="F607" s="12" t="s">
        <v>1265</v>
      </c>
      <c r="G607" s="13">
        <v>1832</v>
      </c>
      <c r="H607" s="13"/>
      <c r="I607" s="13"/>
      <c r="J607" s="13">
        <v>1822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1822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14</v>
      </c>
      <c r="C608" s="12" t="s">
        <v>1274</v>
      </c>
      <c r="D608" s="16" t="s">
        <v>52</v>
      </c>
      <c r="E608" s="12" t="s">
        <v>26</v>
      </c>
      <c r="F608" s="12" t="s">
        <v>1275</v>
      </c>
      <c r="G608" s="13">
        <v>1833</v>
      </c>
      <c r="H608" s="13"/>
      <c r="I608" s="13"/>
      <c r="J608" s="13">
        <v>1813</v>
      </c>
      <c r="K608" s="13">
        <f t="shared" si="118"/>
        <v>0</v>
      </c>
      <c r="L608" s="13">
        <f t="shared" si="119"/>
        <v>1833</v>
      </c>
      <c r="M608" s="13" t="str">
        <f t="shared" si="120"/>
        <v/>
      </c>
      <c r="N608" s="13">
        <f t="shared" si="121"/>
        <v>1813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8" customFormat="1" ht="28.5" customHeight="1">
      <c r="A609" s="12" t="str">
        <f t="shared" si="117"/>
        <v/>
      </c>
      <c r="B609" s="12" t="s">
        <v>6</v>
      </c>
      <c r="C609" s="12" t="s">
        <v>1272</v>
      </c>
      <c r="D609" s="16" t="s">
        <v>52</v>
      </c>
      <c r="E609" s="12" t="s">
        <v>26</v>
      </c>
      <c r="F609" s="12" t="s">
        <v>1273</v>
      </c>
      <c r="G609" s="13">
        <v>1834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1834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10</v>
      </c>
      <c r="C610" s="12" t="s">
        <v>1133</v>
      </c>
      <c r="D610" s="12" t="s">
        <v>83</v>
      </c>
      <c r="E610" s="12" t="s">
        <v>26</v>
      </c>
      <c r="F610" s="12" t="s">
        <v>1134</v>
      </c>
      <c r="G610" s="13">
        <v>1834</v>
      </c>
      <c r="H610" s="13"/>
      <c r="I610" s="13"/>
      <c r="J610" s="13">
        <v>1822</v>
      </c>
      <c r="K610" s="13">
        <f t="shared" si="118"/>
        <v>0</v>
      </c>
      <c r="L610" s="13">
        <f t="shared" si="119"/>
        <v>1834</v>
      </c>
      <c r="M610" s="13" t="str">
        <f t="shared" si="120"/>
        <v/>
      </c>
      <c r="N610" s="13">
        <f t="shared" si="121"/>
        <v>1822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12</v>
      </c>
      <c r="C611" s="12" t="s">
        <v>1143</v>
      </c>
      <c r="D611" s="12" t="s">
        <v>312</v>
      </c>
      <c r="E611" s="12" t="s">
        <v>26</v>
      </c>
      <c r="F611" s="12" t="s">
        <v>1144</v>
      </c>
      <c r="G611" s="13">
        <v>1834</v>
      </c>
      <c r="H611" s="13"/>
      <c r="I611" s="13"/>
      <c r="J611" s="13">
        <v>1824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1824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1227</v>
      </c>
      <c r="D612" s="12" t="s">
        <v>312</v>
      </c>
      <c r="E612" s="12" t="s">
        <v>26</v>
      </c>
      <c r="F612" s="12" t="s">
        <v>1228</v>
      </c>
      <c r="G612" s="13">
        <v>1834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1141</v>
      </c>
      <c r="D613" s="12" t="s">
        <v>140</v>
      </c>
      <c r="E613" s="12" t="s">
        <v>26</v>
      </c>
      <c r="F613" s="12" t="s">
        <v>1142</v>
      </c>
      <c r="G613" s="13">
        <v>1834</v>
      </c>
      <c r="H613" s="13"/>
      <c r="I613" s="13"/>
      <c r="J613" s="13">
        <v>1834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1834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6</v>
      </c>
      <c r="C614" s="12" t="s">
        <v>1147</v>
      </c>
      <c r="D614" s="16" t="s">
        <v>52</v>
      </c>
      <c r="E614" s="12" t="s">
        <v>26</v>
      </c>
      <c r="F614" s="12" t="s">
        <v>1148</v>
      </c>
      <c r="G614" s="13">
        <v>1835</v>
      </c>
      <c r="H614" s="13"/>
      <c r="I614" s="13"/>
      <c r="J614" s="13">
        <v>1813</v>
      </c>
      <c r="K614" s="13">
        <f t="shared" si="118"/>
        <v>0</v>
      </c>
      <c r="L614" s="13">
        <f t="shared" si="119"/>
        <v>1835</v>
      </c>
      <c r="M614" s="13" t="str">
        <f t="shared" si="120"/>
        <v/>
      </c>
      <c r="N614" s="13">
        <f t="shared" si="121"/>
        <v>1813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6</v>
      </c>
      <c r="C615" s="12" t="s">
        <v>380</v>
      </c>
      <c r="D615" s="16" t="s">
        <v>49</v>
      </c>
      <c r="E615" s="12" t="s">
        <v>26</v>
      </c>
      <c r="F615" s="12" t="s">
        <v>1298</v>
      </c>
      <c r="G615" s="13">
        <v>1835</v>
      </c>
      <c r="H615" s="13"/>
      <c r="I615" s="13"/>
      <c r="J615" s="13">
        <v>1815</v>
      </c>
      <c r="K615" s="13">
        <f t="shared" si="118"/>
        <v>0</v>
      </c>
      <c r="L615" s="13">
        <f t="shared" si="119"/>
        <v>1835</v>
      </c>
      <c r="M615" s="13" t="str">
        <f t="shared" si="120"/>
        <v/>
      </c>
      <c r="N615" s="13">
        <f t="shared" si="121"/>
        <v>1815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6</v>
      </c>
      <c r="C616" s="12" t="s">
        <v>1263</v>
      </c>
      <c r="D616" s="12" t="s">
        <v>83</v>
      </c>
      <c r="E616" s="12" t="s">
        <v>26</v>
      </c>
      <c r="F616" s="12" t="s">
        <v>1299</v>
      </c>
      <c r="G616" s="13">
        <v>1835</v>
      </c>
      <c r="H616" s="13"/>
      <c r="I616" s="13"/>
      <c r="J616" s="13">
        <v>1815</v>
      </c>
      <c r="K616" s="13">
        <f t="shared" si="118"/>
        <v>0</v>
      </c>
      <c r="L616" s="13">
        <f t="shared" si="119"/>
        <v>1835</v>
      </c>
      <c r="M616" s="13" t="str">
        <f t="shared" si="120"/>
        <v/>
      </c>
      <c r="N616" s="13">
        <f t="shared" si="121"/>
        <v>1815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1151</v>
      </c>
      <c r="D617" s="16" t="s">
        <v>61</v>
      </c>
      <c r="E617" s="12" t="s">
        <v>26</v>
      </c>
      <c r="F617" s="12" t="s">
        <v>1152</v>
      </c>
      <c r="G617" s="13">
        <v>1835</v>
      </c>
      <c r="H617" s="13"/>
      <c r="I617" s="13"/>
      <c r="J617" s="13">
        <v>1815</v>
      </c>
      <c r="K617" s="13">
        <f t="shared" si="118"/>
        <v>0</v>
      </c>
      <c r="L617" s="13">
        <f t="shared" si="119"/>
        <v>1835</v>
      </c>
      <c r="M617" s="13" t="str">
        <f t="shared" si="120"/>
        <v/>
      </c>
      <c r="N617" s="13">
        <f t="shared" si="121"/>
        <v>1815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10</v>
      </c>
      <c r="C618" s="12" t="s">
        <v>1153</v>
      </c>
      <c r="D618" s="12" t="s">
        <v>45</v>
      </c>
      <c r="E618" s="12" t="s">
        <v>26</v>
      </c>
      <c r="F618" s="12" t="s">
        <v>1154</v>
      </c>
      <c r="G618" s="13">
        <v>1835</v>
      </c>
      <c r="H618" s="13"/>
      <c r="I618" s="13"/>
      <c r="J618" s="13">
        <v>1815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1815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519</v>
      </c>
      <c r="D619" s="12" t="s">
        <v>83</v>
      </c>
      <c r="E619" s="12" t="s">
        <v>26</v>
      </c>
      <c r="F619" s="12" t="s">
        <v>1209</v>
      </c>
      <c r="G619" s="13">
        <v>1835</v>
      </c>
      <c r="H619" s="13"/>
      <c r="I619" s="13"/>
      <c r="J619" s="13">
        <v>1819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1159</v>
      </c>
      <c r="D620" s="16" t="s">
        <v>52</v>
      </c>
      <c r="E620" s="12" t="s">
        <v>26</v>
      </c>
      <c r="F620" s="12" t="s">
        <v>1160</v>
      </c>
      <c r="G620" s="13">
        <v>1835</v>
      </c>
      <c r="H620" s="13"/>
      <c r="I620" s="13"/>
      <c r="J620" s="13">
        <v>1819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14</v>
      </c>
      <c r="C621" s="12" t="s">
        <v>1161</v>
      </c>
      <c r="D621" s="16" t="s">
        <v>52</v>
      </c>
      <c r="E621" s="12" t="s">
        <v>26</v>
      </c>
      <c r="F621" s="12" t="s">
        <v>1162</v>
      </c>
      <c r="G621" s="13">
        <v>1835</v>
      </c>
      <c r="H621" s="13"/>
      <c r="I621" s="13"/>
      <c r="J621" s="13">
        <v>1820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1820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8</v>
      </c>
      <c r="C622" s="12" t="s">
        <v>835</v>
      </c>
      <c r="D622" s="12" t="s">
        <v>83</v>
      </c>
      <c r="E622" s="12" t="s">
        <v>26</v>
      </c>
      <c r="F622" s="12" t="s">
        <v>1163</v>
      </c>
      <c r="G622" s="13">
        <v>1835</v>
      </c>
      <c r="H622" s="13"/>
      <c r="I622" s="13"/>
      <c r="J622" s="13">
        <v>1825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1825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12</v>
      </c>
      <c r="C623" s="12" t="s">
        <v>1164</v>
      </c>
      <c r="D623" s="16" t="s">
        <v>49</v>
      </c>
      <c r="E623" s="12" t="s">
        <v>26</v>
      </c>
      <c r="F623" s="12" t="s">
        <v>1165</v>
      </c>
      <c r="G623" s="13">
        <v>1835</v>
      </c>
      <c r="H623" s="13"/>
      <c r="I623" s="13"/>
      <c r="J623" s="13">
        <v>1825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1825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10</v>
      </c>
      <c r="C624" s="12" t="s">
        <v>1166</v>
      </c>
      <c r="D624" s="12" t="s">
        <v>312</v>
      </c>
      <c r="E624" s="12" t="s">
        <v>26</v>
      </c>
      <c r="F624" s="12" t="s">
        <v>1167</v>
      </c>
      <c r="G624" s="13">
        <v>1835</v>
      </c>
      <c r="H624" s="13"/>
      <c r="I624" s="13"/>
      <c r="J624" s="13">
        <v>1825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14</v>
      </c>
      <c r="C625" s="12" t="s">
        <v>1172</v>
      </c>
      <c r="D625" s="12" t="s">
        <v>83</v>
      </c>
      <c r="E625" s="12" t="s">
        <v>26</v>
      </c>
      <c r="F625" s="12" t="s">
        <v>1173</v>
      </c>
      <c r="G625" s="13">
        <v>1835</v>
      </c>
      <c r="H625" s="13"/>
      <c r="I625" s="13"/>
      <c r="J625" s="13">
        <v>1837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1837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10</v>
      </c>
      <c r="C626" s="12" t="s">
        <v>1174</v>
      </c>
      <c r="D626" s="16" t="s">
        <v>52</v>
      </c>
      <c r="E626" s="12" t="s">
        <v>26</v>
      </c>
      <c r="F626" s="12" t="s">
        <v>1175</v>
      </c>
      <c r="G626" s="13">
        <v>1836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1836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1176</v>
      </c>
      <c r="D627" s="16" t="s">
        <v>49</v>
      </c>
      <c r="E627" s="12" t="s">
        <v>26</v>
      </c>
      <c r="F627" s="12" t="s">
        <v>1177</v>
      </c>
      <c r="G627" s="13">
        <v>1836</v>
      </c>
      <c r="H627" s="13"/>
      <c r="I627" s="13"/>
      <c r="J627" s="13">
        <v>1829</v>
      </c>
      <c r="K627" s="13">
        <f t="shared" si="118"/>
        <v>0</v>
      </c>
      <c r="L627" s="13">
        <f t="shared" si="119"/>
        <v>1836</v>
      </c>
      <c r="M627" s="13" t="str">
        <f t="shared" si="120"/>
        <v/>
      </c>
      <c r="N627" s="13">
        <f t="shared" si="121"/>
        <v>1829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1184</v>
      </c>
      <c r="D628" s="16" t="s">
        <v>52</v>
      </c>
      <c r="E628" s="12" t="s">
        <v>26</v>
      </c>
      <c r="F628" s="12" t="s">
        <v>1185</v>
      </c>
      <c r="G628" s="13">
        <v>1838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1838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1342</v>
      </c>
      <c r="D629" s="16" t="s">
        <v>52</v>
      </c>
      <c r="E629" s="12" t="s">
        <v>26</v>
      </c>
      <c r="F629" s="12" t="s">
        <v>1343</v>
      </c>
      <c r="G629" s="13">
        <v>1838</v>
      </c>
      <c r="H629" s="13"/>
      <c r="I629" s="13"/>
      <c r="J629" s="13">
        <v>1818</v>
      </c>
      <c r="K629" s="13">
        <f t="shared" si="118"/>
        <v>0</v>
      </c>
      <c r="L629" s="13">
        <f t="shared" si="119"/>
        <v>1838</v>
      </c>
      <c r="M629" s="13" t="str">
        <f t="shared" si="120"/>
        <v/>
      </c>
      <c r="N629" s="13">
        <f t="shared" si="121"/>
        <v>1818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1188</v>
      </c>
      <c r="D630" s="12" t="s">
        <v>140</v>
      </c>
      <c r="E630" s="12" t="s">
        <v>26</v>
      </c>
      <c r="F630" s="12" t="s">
        <v>1189</v>
      </c>
      <c r="G630" s="13">
        <v>1838</v>
      </c>
      <c r="H630" s="13"/>
      <c r="I630" s="13"/>
      <c r="J630" s="13">
        <v>1819</v>
      </c>
      <c r="K630" s="13">
        <f t="shared" si="118"/>
        <v>0</v>
      </c>
      <c r="L630" s="13">
        <f t="shared" si="119"/>
        <v>1838</v>
      </c>
      <c r="M630" s="13" t="str">
        <f t="shared" si="120"/>
        <v/>
      </c>
      <c r="N630" s="13">
        <f t="shared" si="121"/>
        <v>1819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12</v>
      </c>
      <c r="C631" s="12" t="s">
        <v>1190</v>
      </c>
      <c r="D631" s="16" t="s">
        <v>61</v>
      </c>
      <c r="E631" s="12" t="s">
        <v>26</v>
      </c>
      <c r="F631" s="12" t="s">
        <v>1191</v>
      </c>
      <c r="G631" s="13">
        <v>1838</v>
      </c>
      <c r="H631" s="13"/>
      <c r="I631" s="13"/>
      <c r="J631" s="13">
        <v>1828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1828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1182</v>
      </c>
      <c r="D632" s="16" t="s">
        <v>49</v>
      </c>
      <c r="E632" s="12" t="s">
        <v>26</v>
      </c>
      <c r="F632" s="12" t="s">
        <v>1183</v>
      </c>
      <c r="G632" s="13">
        <v>1838</v>
      </c>
      <c r="H632" s="13"/>
      <c r="I632" s="13"/>
      <c r="J632" s="13">
        <v>1828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1828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10</v>
      </c>
      <c r="C633" s="12" t="s">
        <v>1194</v>
      </c>
      <c r="D633" s="16" t="s">
        <v>52</v>
      </c>
      <c r="E633" s="12" t="s">
        <v>26</v>
      </c>
      <c r="F633" s="12" t="s">
        <v>1195</v>
      </c>
      <c r="G633" s="13">
        <v>1839</v>
      </c>
      <c r="H633" s="13"/>
      <c r="I633" s="13"/>
      <c r="J633" s="13">
        <v>1799</v>
      </c>
      <c r="K633" s="13">
        <f t="shared" si="118"/>
        <v>0</v>
      </c>
      <c r="L633" s="13">
        <f t="shared" si="119"/>
        <v>1839</v>
      </c>
      <c r="M633" s="13" t="str">
        <f t="shared" si="120"/>
        <v/>
      </c>
      <c r="N633" s="13">
        <f t="shared" si="121"/>
        <v>1799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10</v>
      </c>
      <c r="C634" s="12" t="s">
        <v>1468</v>
      </c>
      <c r="D634" s="12" t="s">
        <v>140</v>
      </c>
      <c r="E634" s="12" t="s">
        <v>26</v>
      </c>
      <c r="F634" s="12" t="s">
        <v>1469</v>
      </c>
      <c r="G634" s="13">
        <v>1839</v>
      </c>
      <c r="H634" s="13"/>
      <c r="I634" s="13"/>
      <c r="J634" s="13">
        <v>1808</v>
      </c>
      <c r="K634" s="13">
        <f t="shared" si="118"/>
        <v>0</v>
      </c>
      <c r="L634" s="13">
        <f t="shared" si="119"/>
        <v>1839</v>
      </c>
      <c r="M634" s="13" t="str">
        <f t="shared" si="120"/>
        <v/>
      </c>
      <c r="N634" s="13">
        <f t="shared" si="121"/>
        <v>1808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1352</v>
      </c>
      <c r="D635" s="16" t="s">
        <v>49</v>
      </c>
      <c r="E635" s="12" t="s">
        <v>70</v>
      </c>
      <c r="F635" s="12" t="s">
        <v>1353</v>
      </c>
      <c r="G635" s="13">
        <v>1839</v>
      </c>
      <c r="H635" s="13"/>
      <c r="I635" s="13"/>
      <c r="J635" s="13">
        <v>1809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1809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6</v>
      </c>
      <c r="C636" s="12" t="s">
        <v>1206</v>
      </c>
      <c r="D636" s="16" t="s">
        <v>49</v>
      </c>
      <c r="E636" s="12" t="s">
        <v>26</v>
      </c>
      <c r="F636" s="12" t="s">
        <v>1207</v>
      </c>
      <c r="G636" s="13">
        <v>1839</v>
      </c>
      <c r="H636" s="13"/>
      <c r="I636" s="13"/>
      <c r="J636" s="13">
        <v>1819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1819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1210</v>
      </c>
      <c r="D637" s="12" t="s">
        <v>83</v>
      </c>
      <c r="E637" s="12" t="s">
        <v>26</v>
      </c>
      <c r="F637" s="12" t="s">
        <v>1211</v>
      </c>
      <c r="G637" s="13">
        <v>1839</v>
      </c>
      <c r="H637" s="13"/>
      <c r="I637" s="13"/>
      <c r="J637" s="13">
        <v>1819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1819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1212</v>
      </c>
      <c r="D638" s="16" t="s">
        <v>49</v>
      </c>
      <c r="E638" s="12" t="s">
        <v>26</v>
      </c>
      <c r="F638" s="12" t="s">
        <v>1213</v>
      </c>
      <c r="G638" s="13">
        <v>1839</v>
      </c>
      <c r="H638" s="13"/>
      <c r="I638" s="13"/>
      <c r="J638" s="13">
        <v>1819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1819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1202</v>
      </c>
      <c r="D639" s="16" t="s">
        <v>52</v>
      </c>
      <c r="E639" s="12" t="s">
        <v>26</v>
      </c>
      <c r="F639" s="12" t="s">
        <v>1203</v>
      </c>
      <c r="G639" s="13">
        <v>1839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6</v>
      </c>
      <c r="C640" s="12" t="s">
        <v>844</v>
      </c>
      <c r="D640" s="12" t="s">
        <v>83</v>
      </c>
      <c r="E640" s="12" t="s">
        <v>26</v>
      </c>
      <c r="F640" s="12" t="s">
        <v>1216</v>
      </c>
      <c r="G640" s="13">
        <v>1839</v>
      </c>
      <c r="H640" s="13"/>
      <c r="I640" s="13"/>
      <c r="J640" s="13">
        <v>1827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1827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1217</v>
      </c>
      <c r="D641" s="16" t="s">
        <v>49</v>
      </c>
      <c r="E641" s="12" t="s">
        <v>26</v>
      </c>
      <c r="F641" s="12" t="s">
        <v>1218</v>
      </c>
      <c r="G641" s="13">
        <v>1839</v>
      </c>
      <c r="H641" s="13"/>
      <c r="I641" s="13"/>
      <c r="J641" s="13">
        <v>1828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1828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10</v>
      </c>
      <c r="C642" s="12" t="s">
        <v>537</v>
      </c>
      <c r="D642" s="12" t="s">
        <v>45</v>
      </c>
      <c r="E642" s="12" t="s">
        <v>26</v>
      </c>
      <c r="F642" s="12" t="s">
        <v>1235</v>
      </c>
      <c r="G642" s="13">
        <v>1839</v>
      </c>
      <c r="H642" s="13"/>
      <c r="I642" s="13"/>
      <c r="J642" s="13">
        <v>1829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1829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10</v>
      </c>
      <c r="C643" s="12" t="s">
        <v>1288</v>
      </c>
      <c r="D643" s="12" t="s">
        <v>312</v>
      </c>
      <c r="E643" s="12" t="s">
        <v>26</v>
      </c>
      <c r="F643" s="12" t="s">
        <v>1289</v>
      </c>
      <c r="G643" s="13">
        <v>1839</v>
      </c>
      <c r="H643" s="13"/>
      <c r="I643" s="13"/>
      <c r="J643" s="13">
        <v>1834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1834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6</v>
      </c>
      <c r="C644" s="12" t="s">
        <v>1380</v>
      </c>
      <c r="D644" s="16" t="s">
        <v>61</v>
      </c>
      <c r="E644" s="12" t="s">
        <v>26</v>
      </c>
      <c r="F644" s="12" t="s">
        <v>1381</v>
      </c>
      <c r="G644" s="13">
        <v>1839</v>
      </c>
      <c r="H644" s="13"/>
      <c r="I644" s="13"/>
      <c r="J644" s="13">
        <v>1838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1838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8</v>
      </c>
      <c r="C645" s="12" t="s">
        <v>1403</v>
      </c>
      <c r="D645" s="12" t="s">
        <v>45</v>
      </c>
      <c r="E645" s="12" t="s">
        <v>26</v>
      </c>
      <c r="F645" s="12" t="s">
        <v>1404</v>
      </c>
      <c r="G645" s="13">
        <v>1839</v>
      </c>
      <c r="H645" s="13"/>
      <c r="I645" s="13"/>
      <c r="J645" s="13">
        <v>1839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1839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8</v>
      </c>
      <c r="C646" s="12" t="s">
        <v>1244</v>
      </c>
      <c r="D646" s="12" t="s">
        <v>83</v>
      </c>
      <c r="E646" s="12" t="s">
        <v>26</v>
      </c>
      <c r="F646" s="12" t="s">
        <v>1245</v>
      </c>
      <c r="G646" s="13">
        <v>1839</v>
      </c>
      <c r="H646" s="13"/>
      <c r="I646" s="13"/>
      <c r="J646" s="13">
        <v>1839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1839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8</v>
      </c>
      <c r="C647" s="12" t="s">
        <v>1409</v>
      </c>
      <c r="D647" s="12" t="s">
        <v>45</v>
      </c>
      <c r="E647" s="12" t="s">
        <v>26</v>
      </c>
      <c r="F647" s="12" t="s">
        <v>1410</v>
      </c>
      <c r="G647" s="13">
        <v>1839</v>
      </c>
      <c r="H647" s="13"/>
      <c r="I647" s="13"/>
      <c r="J647" s="13">
        <v>1839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1839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16</v>
      </c>
      <c r="C648" s="12" t="s">
        <v>1384</v>
      </c>
      <c r="D648" s="12" t="s">
        <v>287</v>
      </c>
      <c r="E648" s="12" t="s">
        <v>26</v>
      </c>
      <c r="F648" s="12" t="s">
        <v>1385</v>
      </c>
      <c r="G648" s="13">
        <v>1840</v>
      </c>
      <c r="H648" s="13"/>
      <c r="I648" s="13"/>
      <c r="J648" s="13">
        <v>1790</v>
      </c>
      <c r="K648" s="13">
        <f t="shared" si="118"/>
        <v>0</v>
      </c>
      <c r="L648" s="13">
        <f t="shared" si="119"/>
        <v>1840</v>
      </c>
      <c r="M648" s="13" t="str">
        <f t="shared" si="120"/>
        <v/>
      </c>
      <c r="N648" s="13">
        <f t="shared" si="121"/>
        <v>1790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1386</v>
      </c>
      <c r="D649" s="12" t="s">
        <v>287</v>
      </c>
      <c r="E649" s="12" t="s">
        <v>26</v>
      </c>
      <c r="F649" s="12" t="s">
        <v>1387</v>
      </c>
      <c r="G649" s="13">
        <v>1840</v>
      </c>
      <c r="H649" s="13"/>
      <c r="I649" s="13"/>
      <c r="J649" s="13">
        <v>1790</v>
      </c>
      <c r="K649" s="13">
        <f t="shared" si="118"/>
        <v>0</v>
      </c>
      <c r="L649" s="13">
        <f t="shared" si="119"/>
        <v>1840</v>
      </c>
      <c r="M649" s="13" t="str">
        <f t="shared" si="120"/>
        <v/>
      </c>
      <c r="N649" s="13">
        <f t="shared" si="121"/>
        <v>1790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18</v>
      </c>
      <c r="C650" s="12" t="s">
        <v>1246</v>
      </c>
      <c r="D650" s="16" t="s">
        <v>52</v>
      </c>
      <c r="E650" s="12" t="s">
        <v>26</v>
      </c>
      <c r="F650" s="12" t="s">
        <v>1247</v>
      </c>
      <c r="G650" s="13">
        <v>1840</v>
      </c>
      <c r="H650" s="13"/>
      <c r="I650" s="13"/>
      <c r="J650" s="13">
        <v>1830</v>
      </c>
      <c r="K650" s="13">
        <f t="shared" si="118"/>
        <v>0</v>
      </c>
      <c r="L650" s="13">
        <f t="shared" si="119"/>
        <v>1840</v>
      </c>
      <c r="M650" s="13" t="str">
        <f t="shared" si="120"/>
        <v/>
      </c>
      <c r="N650" s="13">
        <f t="shared" si="121"/>
        <v>1830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1248</v>
      </c>
      <c r="D651" s="16" t="s">
        <v>52</v>
      </c>
      <c r="E651" s="12" t="s">
        <v>26</v>
      </c>
      <c r="F651" s="12" t="s">
        <v>1249</v>
      </c>
      <c r="G651" s="13">
        <v>1840</v>
      </c>
      <c r="H651" s="13"/>
      <c r="I651" s="13"/>
      <c r="J651" s="13">
        <v>1830</v>
      </c>
      <c r="K651" s="13">
        <f t="shared" si="118"/>
        <v>0</v>
      </c>
      <c r="L651" s="13">
        <f t="shared" si="119"/>
        <v>1840</v>
      </c>
      <c r="M651" s="13" t="str">
        <f t="shared" si="120"/>
        <v/>
      </c>
      <c r="N651" s="13">
        <f t="shared" si="121"/>
        <v>1830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1250</v>
      </c>
      <c r="D652" s="16" t="s">
        <v>61</v>
      </c>
      <c r="E652" s="12" t="s">
        <v>26</v>
      </c>
      <c r="F652" s="12" t="s">
        <v>1251</v>
      </c>
      <c r="G652" s="13">
        <v>1840</v>
      </c>
      <c r="H652" s="13"/>
      <c r="I652" s="13"/>
      <c r="J652" s="13">
        <v>1849</v>
      </c>
      <c r="K652" s="13">
        <f t="shared" si="118"/>
        <v>0</v>
      </c>
      <c r="L652" s="13">
        <f t="shared" si="119"/>
        <v>1840</v>
      </c>
      <c r="M652" s="13" t="str">
        <f t="shared" si="120"/>
        <v/>
      </c>
      <c r="N652" s="13">
        <f t="shared" si="121"/>
        <v>1849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18</v>
      </c>
      <c r="C653" s="12" t="s">
        <v>1168</v>
      </c>
      <c r="D653" s="12" t="s">
        <v>312</v>
      </c>
      <c r="E653" s="12" t="s">
        <v>26</v>
      </c>
      <c r="F653" s="12" t="s">
        <v>1169</v>
      </c>
      <c r="G653" s="13">
        <v>1841</v>
      </c>
      <c r="H653" s="13"/>
      <c r="I653" s="13"/>
      <c r="J653" s="13">
        <v>1834</v>
      </c>
      <c r="K653" s="13">
        <f t="shared" si="118"/>
        <v>0</v>
      </c>
      <c r="L653" s="13">
        <f t="shared" si="119"/>
        <v>1841</v>
      </c>
      <c r="M653" s="13" t="str">
        <f t="shared" si="120"/>
        <v/>
      </c>
      <c r="N653" s="13">
        <f t="shared" si="121"/>
        <v>1834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18</v>
      </c>
      <c r="C654" s="12" t="s">
        <v>1170</v>
      </c>
      <c r="D654" s="12" t="s">
        <v>312</v>
      </c>
      <c r="E654" s="12" t="s">
        <v>26</v>
      </c>
      <c r="F654" s="12" t="s">
        <v>1171</v>
      </c>
      <c r="G654" s="13">
        <v>1841</v>
      </c>
      <c r="H654" s="13"/>
      <c r="I654" s="13"/>
      <c r="J654" s="13">
        <v>1834</v>
      </c>
      <c r="K654" s="13">
        <f t="shared" si="118"/>
        <v>0</v>
      </c>
      <c r="L654" s="13">
        <f t="shared" si="119"/>
        <v>1841</v>
      </c>
      <c r="M654" s="13" t="str">
        <f t="shared" si="120"/>
        <v/>
      </c>
      <c r="N654" s="13">
        <f t="shared" si="121"/>
        <v>1834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IF($T655="","",1+COUNTIF($W$15:$W$884,"&lt;"&amp;W655))</f>
        <v/>
      </c>
      <c r="B655" s="12" t="s">
        <v>8</v>
      </c>
      <c r="C655" s="12" t="s">
        <v>1256</v>
      </c>
      <c r="D655" s="16" t="s">
        <v>61</v>
      </c>
      <c r="E655" s="12" t="s">
        <v>26</v>
      </c>
      <c r="F655" s="12" t="s">
        <v>1257</v>
      </c>
      <c r="G655" s="13">
        <v>1841</v>
      </c>
      <c r="H655" s="13"/>
      <c r="I655" s="13"/>
      <c r="J655" s="13">
        <v>1849</v>
      </c>
      <c r="K655" s="13">
        <f t="shared" ref="K655:K712" si="131">IF(AND(IFERROR(SEARCH("현대오일뱅크",$C655),0)&gt;0,IFERROR(SEARCH("직영",$C655),0)&gt;0),$B$13,0)</f>
        <v>0</v>
      </c>
      <c r="L655" s="13">
        <f t="shared" ref="L655:L718" si="132">IF($G655="","",$G655+$K655)</f>
        <v>1841</v>
      </c>
      <c r="M655" s="13" t="str">
        <f t="shared" ref="M655:M718" si="133">IF($H655="","",$H655+$K655)</f>
        <v/>
      </c>
      <c r="N655" s="13">
        <f t="shared" ref="N655:N718" si="134">IF($J655="","",$J655+$K655)</f>
        <v>1849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6</v>
      </c>
      <c r="C656" s="12" t="s">
        <v>1258</v>
      </c>
      <c r="D656" s="12" t="s">
        <v>83</v>
      </c>
      <c r="E656" s="12" t="s">
        <v>26</v>
      </c>
      <c r="F656" s="12" t="s">
        <v>1259</v>
      </c>
      <c r="G656" s="13">
        <v>1842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1842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12</v>
      </c>
      <c r="C657" s="12" t="s">
        <v>137</v>
      </c>
      <c r="D657" s="16" t="s">
        <v>61</v>
      </c>
      <c r="E657" s="12" t="s">
        <v>26</v>
      </c>
      <c r="F657" s="12" t="s">
        <v>1260</v>
      </c>
      <c r="G657" s="13">
        <v>1842</v>
      </c>
      <c r="H657" s="13"/>
      <c r="I657" s="13"/>
      <c r="J657" s="13">
        <v>1823</v>
      </c>
      <c r="K657" s="13">
        <f t="shared" si="131"/>
        <v>0</v>
      </c>
      <c r="L657" s="13">
        <f t="shared" si="132"/>
        <v>1842</v>
      </c>
      <c r="M657" s="13" t="str">
        <f t="shared" si="133"/>
        <v/>
      </c>
      <c r="N657" s="13">
        <f t="shared" si="134"/>
        <v>1823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18</v>
      </c>
      <c r="C658" s="12" t="s">
        <v>1261</v>
      </c>
      <c r="D658" s="12" t="s">
        <v>83</v>
      </c>
      <c r="E658" s="12" t="s">
        <v>26</v>
      </c>
      <c r="F658" s="12" t="s">
        <v>1262</v>
      </c>
      <c r="G658" s="13">
        <v>1842</v>
      </c>
      <c r="H658" s="13"/>
      <c r="I658" s="13"/>
      <c r="J658" s="13">
        <v>1832</v>
      </c>
      <c r="K658" s="13">
        <f t="shared" si="131"/>
        <v>0</v>
      </c>
      <c r="L658" s="13">
        <f t="shared" si="132"/>
        <v>1842</v>
      </c>
      <c r="M658" s="13" t="str">
        <f t="shared" si="133"/>
        <v/>
      </c>
      <c r="N658" s="13">
        <f t="shared" si="134"/>
        <v>1832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18</v>
      </c>
      <c r="C659" s="12" t="s">
        <v>1263</v>
      </c>
      <c r="D659" s="12" t="s">
        <v>83</v>
      </c>
      <c r="E659" s="12" t="s">
        <v>26</v>
      </c>
      <c r="F659" s="12" t="s">
        <v>1264</v>
      </c>
      <c r="G659" s="13">
        <v>1842</v>
      </c>
      <c r="H659" s="13"/>
      <c r="I659" s="13"/>
      <c r="J659" s="13">
        <v>1832</v>
      </c>
      <c r="K659" s="13">
        <f t="shared" si="131"/>
        <v>0</v>
      </c>
      <c r="L659" s="13">
        <f t="shared" si="132"/>
        <v>1842</v>
      </c>
      <c r="M659" s="13" t="str">
        <f t="shared" si="133"/>
        <v/>
      </c>
      <c r="N659" s="13">
        <f t="shared" si="134"/>
        <v>1832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438</v>
      </c>
      <c r="D660" s="16" t="s">
        <v>49</v>
      </c>
      <c r="E660" s="12" t="s">
        <v>26</v>
      </c>
      <c r="F660" s="12" t="s">
        <v>439</v>
      </c>
      <c r="G660" s="13">
        <v>1842</v>
      </c>
      <c r="H660" s="13"/>
      <c r="I660" s="13"/>
      <c r="J660" s="13">
        <v>1834</v>
      </c>
      <c r="K660" s="13">
        <f t="shared" si="131"/>
        <v>0</v>
      </c>
      <c r="L660" s="13">
        <f t="shared" si="132"/>
        <v>1842</v>
      </c>
      <c r="M660" s="13" t="str">
        <f t="shared" si="133"/>
        <v/>
      </c>
      <c r="N660" s="13">
        <f t="shared" si="134"/>
        <v>1834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8</v>
      </c>
      <c r="C661" s="12" t="s">
        <v>1398</v>
      </c>
      <c r="D661" s="16" t="s">
        <v>61</v>
      </c>
      <c r="E661" s="12" t="s">
        <v>26</v>
      </c>
      <c r="F661" s="12" t="s">
        <v>1399</v>
      </c>
      <c r="G661" s="13">
        <v>1843</v>
      </c>
      <c r="H661" s="13"/>
      <c r="I661" s="13"/>
      <c r="J661" s="13">
        <v>1828</v>
      </c>
      <c r="K661" s="13">
        <f t="shared" si="131"/>
        <v>0</v>
      </c>
      <c r="L661" s="13">
        <f t="shared" si="132"/>
        <v>1843</v>
      </c>
      <c r="M661" s="13" t="str">
        <f t="shared" si="133"/>
        <v/>
      </c>
      <c r="N661" s="13">
        <f t="shared" si="134"/>
        <v>1828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1276</v>
      </c>
      <c r="D662" s="12" t="s">
        <v>45</v>
      </c>
      <c r="E662" s="12" t="s">
        <v>70</v>
      </c>
      <c r="F662" s="12" t="s">
        <v>1277</v>
      </c>
      <c r="G662" s="13">
        <v>1844</v>
      </c>
      <c r="H662" s="13"/>
      <c r="I662" s="13"/>
      <c r="J662" s="13">
        <v>1814</v>
      </c>
      <c r="K662" s="13">
        <f t="shared" si="131"/>
        <v>0</v>
      </c>
      <c r="L662" s="13">
        <f t="shared" si="132"/>
        <v>1844</v>
      </c>
      <c r="M662" s="13" t="str">
        <f t="shared" si="133"/>
        <v/>
      </c>
      <c r="N662" s="13">
        <f t="shared" si="134"/>
        <v>1814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6</v>
      </c>
      <c r="C663" s="12" t="s">
        <v>1266</v>
      </c>
      <c r="D663" s="16" t="s">
        <v>61</v>
      </c>
      <c r="E663" s="12" t="s">
        <v>26</v>
      </c>
      <c r="F663" s="12" t="s">
        <v>1267</v>
      </c>
      <c r="G663" s="13">
        <v>1844</v>
      </c>
      <c r="H663" s="13"/>
      <c r="I663" s="13"/>
      <c r="J663" s="13">
        <v>1815</v>
      </c>
      <c r="K663" s="13">
        <f t="shared" si="131"/>
        <v>0</v>
      </c>
      <c r="L663" s="13">
        <f t="shared" si="132"/>
        <v>1844</v>
      </c>
      <c r="M663" s="13" t="str">
        <f t="shared" si="133"/>
        <v/>
      </c>
      <c r="N663" s="13">
        <f t="shared" si="134"/>
        <v>1815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10</v>
      </c>
      <c r="C664" s="12" t="s">
        <v>1278</v>
      </c>
      <c r="D664" s="16" t="s">
        <v>49</v>
      </c>
      <c r="E664" s="12" t="s">
        <v>26</v>
      </c>
      <c r="F664" s="12" t="s">
        <v>1279</v>
      </c>
      <c r="G664" s="13">
        <v>1844</v>
      </c>
      <c r="H664" s="13"/>
      <c r="I664" s="13"/>
      <c r="J664" s="13">
        <v>1815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1815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1280</v>
      </c>
      <c r="D665" s="16" t="s">
        <v>61</v>
      </c>
      <c r="E665" s="12" t="s">
        <v>26</v>
      </c>
      <c r="F665" s="12" t="s">
        <v>1281</v>
      </c>
      <c r="G665" s="13">
        <v>1844</v>
      </c>
      <c r="H665" s="13"/>
      <c r="I665" s="13"/>
      <c r="J665" s="13">
        <v>1815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1815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8" customFormat="1" ht="28.5" customHeight="1">
      <c r="A666" s="12" t="str">
        <f t="shared" si="130"/>
        <v/>
      </c>
      <c r="B666" s="12" t="s">
        <v>6</v>
      </c>
      <c r="C666" s="12" t="s">
        <v>1282</v>
      </c>
      <c r="D666" s="12" t="s">
        <v>83</v>
      </c>
      <c r="E666" s="12" t="s">
        <v>26</v>
      </c>
      <c r="F666" s="12" t="s">
        <v>1283</v>
      </c>
      <c r="G666" s="13">
        <v>1844</v>
      </c>
      <c r="H666" s="13"/>
      <c r="I666" s="13"/>
      <c r="J666" s="13">
        <v>1819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1819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6</v>
      </c>
      <c r="C667" s="12" t="s">
        <v>1284</v>
      </c>
      <c r="D667" s="12" t="s">
        <v>83</v>
      </c>
      <c r="E667" s="12" t="s">
        <v>26</v>
      </c>
      <c r="F667" s="12" t="s">
        <v>1285</v>
      </c>
      <c r="G667" s="13">
        <v>1844</v>
      </c>
      <c r="H667" s="13"/>
      <c r="I667" s="13"/>
      <c r="J667" s="13">
        <v>1819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1819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1580</v>
      </c>
      <c r="D668" s="16" t="s">
        <v>49</v>
      </c>
      <c r="E668" s="12" t="s">
        <v>26</v>
      </c>
      <c r="F668" s="12" t="s">
        <v>1581</v>
      </c>
      <c r="G668" s="13">
        <v>1844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1844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6</v>
      </c>
      <c r="C669" s="12" t="s">
        <v>1454</v>
      </c>
      <c r="D669" s="16" t="s">
        <v>49</v>
      </c>
      <c r="E669" s="12" t="s">
        <v>70</v>
      </c>
      <c r="F669" s="12" t="s">
        <v>1455</v>
      </c>
      <c r="G669" s="13">
        <v>1844</v>
      </c>
      <c r="H669" s="13"/>
      <c r="I669" s="13"/>
      <c r="J669" s="13">
        <v>1839</v>
      </c>
      <c r="K669" s="13">
        <f t="shared" si="131"/>
        <v>0</v>
      </c>
      <c r="L669" s="13">
        <f t="shared" si="132"/>
        <v>1844</v>
      </c>
      <c r="M669" s="13" t="str">
        <f t="shared" si="133"/>
        <v/>
      </c>
      <c r="N669" s="13">
        <f t="shared" si="134"/>
        <v>1839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10</v>
      </c>
      <c r="C670" s="12" t="s">
        <v>1318</v>
      </c>
      <c r="D670" s="12" t="s">
        <v>140</v>
      </c>
      <c r="E670" s="12" t="s">
        <v>26</v>
      </c>
      <c r="F670" s="12" t="s">
        <v>1319</v>
      </c>
      <c r="G670" s="13">
        <v>1844</v>
      </c>
      <c r="H670" s="13"/>
      <c r="I670" s="13"/>
      <c r="J670" s="13">
        <v>1839</v>
      </c>
      <c r="K670" s="13">
        <f t="shared" si="131"/>
        <v>0</v>
      </c>
      <c r="L670" s="13">
        <f t="shared" si="132"/>
        <v>1844</v>
      </c>
      <c r="M670" s="13" t="str">
        <f t="shared" si="133"/>
        <v/>
      </c>
      <c r="N670" s="13">
        <f t="shared" si="134"/>
        <v>1839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1290</v>
      </c>
      <c r="D671" s="16" t="s">
        <v>52</v>
      </c>
      <c r="E671" s="12" t="s">
        <v>26</v>
      </c>
      <c r="F671" s="12" t="s">
        <v>1291</v>
      </c>
      <c r="G671" s="13">
        <v>1845</v>
      </c>
      <c r="H671" s="13"/>
      <c r="I671" s="13"/>
      <c r="J671" s="13">
        <v>1799</v>
      </c>
      <c r="K671" s="13">
        <f t="shared" si="131"/>
        <v>0</v>
      </c>
      <c r="L671" s="13">
        <f t="shared" si="132"/>
        <v>1845</v>
      </c>
      <c r="M671" s="13" t="str">
        <f t="shared" si="133"/>
        <v/>
      </c>
      <c r="N671" s="13">
        <f t="shared" si="134"/>
        <v>1799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10</v>
      </c>
      <c r="C672" s="12" t="s">
        <v>1296</v>
      </c>
      <c r="D672" s="12" t="s">
        <v>45</v>
      </c>
      <c r="E672" s="12" t="s">
        <v>26</v>
      </c>
      <c r="F672" s="12" t="s">
        <v>1297</v>
      </c>
      <c r="G672" s="13">
        <v>1845</v>
      </c>
      <c r="H672" s="13"/>
      <c r="I672" s="13"/>
      <c r="J672" s="13">
        <v>1800</v>
      </c>
      <c r="K672" s="13">
        <f t="shared" si="131"/>
        <v>0</v>
      </c>
      <c r="L672" s="13">
        <f t="shared" si="132"/>
        <v>1845</v>
      </c>
      <c r="M672" s="13" t="str">
        <f t="shared" si="133"/>
        <v/>
      </c>
      <c r="N672" s="13">
        <f t="shared" si="134"/>
        <v>1800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1308</v>
      </c>
      <c r="D673" s="16" t="s">
        <v>52</v>
      </c>
      <c r="E673" s="12" t="s">
        <v>26</v>
      </c>
      <c r="F673" s="12" t="s">
        <v>1309</v>
      </c>
      <c r="G673" s="13">
        <v>1845</v>
      </c>
      <c r="H673" s="13"/>
      <c r="I673" s="13"/>
      <c r="J673" s="13">
        <v>1809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1809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1292</v>
      </c>
      <c r="D674" s="12" t="s">
        <v>45</v>
      </c>
      <c r="E674" s="12" t="s">
        <v>26</v>
      </c>
      <c r="F674" s="12" t="s">
        <v>1293</v>
      </c>
      <c r="G674" s="13">
        <v>1845</v>
      </c>
      <c r="H674" s="13"/>
      <c r="I674" s="13"/>
      <c r="J674" s="13">
        <v>1815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1815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1294</v>
      </c>
      <c r="D675" s="16" t="s">
        <v>61</v>
      </c>
      <c r="E675" s="12" t="s">
        <v>26</v>
      </c>
      <c r="F675" s="12" t="s">
        <v>1295</v>
      </c>
      <c r="G675" s="13">
        <v>1845</v>
      </c>
      <c r="H675" s="13"/>
      <c r="I675" s="13"/>
      <c r="J675" s="13">
        <v>1815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1815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14</v>
      </c>
      <c r="C676" s="12" t="s">
        <v>1300</v>
      </c>
      <c r="D676" s="16" t="s">
        <v>52</v>
      </c>
      <c r="E676" s="12" t="s">
        <v>26</v>
      </c>
      <c r="F676" s="12" t="s">
        <v>1301</v>
      </c>
      <c r="G676" s="13">
        <v>1845</v>
      </c>
      <c r="H676" s="13"/>
      <c r="I676" s="13"/>
      <c r="J676" s="13">
        <v>1819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1819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17" customFormat="1" ht="28.5" customHeight="1">
      <c r="A677" s="12" t="str">
        <f t="shared" si="130"/>
        <v/>
      </c>
      <c r="B677" s="12" t="s">
        <v>12</v>
      </c>
      <c r="C677" s="12" t="s">
        <v>1302</v>
      </c>
      <c r="D677" s="16" t="s">
        <v>83</v>
      </c>
      <c r="E677" s="12" t="s">
        <v>26</v>
      </c>
      <c r="F677" s="12" t="s">
        <v>1303</v>
      </c>
      <c r="G677" s="13">
        <v>1845</v>
      </c>
      <c r="H677" s="13"/>
      <c r="I677" s="13"/>
      <c r="J677" s="13">
        <v>1825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1825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6</v>
      </c>
      <c r="C678" s="12" t="s">
        <v>1310</v>
      </c>
      <c r="D678" s="12" t="s">
        <v>83</v>
      </c>
      <c r="E678" s="12" t="s">
        <v>26</v>
      </c>
      <c r="F678" s="12" t="s">
        <v>1311</v>
      </c>
      <c r="G678" s="13">
        <v>1845</v>
      </c>
      <c r="H678" s="13"/>
      <c r="I678" s="13"/>
      <c r="J678" s="13">
        <v>1830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1830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1312</v>
      </c>
      <c r="D679" s="12" t="s">
        <v>312</v>
      </c>
      <c r="E679" s="12" t="s">
        <v>26</v>
      </c>
      <c r="F679" s="12" t="s">
        <v>1313</v>
      </c>
      <c r="G679" s="13">
        <v>1845</v>
      </c>
      <c r="H679" s="13"/>
      <c r="I679" s="13"/>
      <c r="J679" s="13">
        <v>1834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1834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12</v>
      </c>
      <c r="C680" s="12" t="s">
        <v>1314</v>
      </c>
      <c r="D680" s="16" t="s">
        <v>49</v>
      </c>
      <c r="E680" s="12" t="s">
        <v>26</v>
      </c>
      <c r="F680" s="12" t="s">
        <v>1315</v>
      </c>
      <c r="G680" s="13">
        <v>1845</v>
      </c>
      <c r="H680" s="13"/>
      <c r="I680" s="13"/>
      <c r="J680" s="13">
        <v>1835</v>
      </c>
      <c r="K680" s="13">
        <f t="shared" si="131"/>
        <v>0</v>
      </c>
      <c r="L680" s="13">
        <f t="shared" si="132"/>
        <v>1845</v>
      </c>
      <c r="M680" s="13" t="str">
        <f t="shared" si="133"/>
        <v/>
      </c>
      <c r="N680" s="13">
        <f t="shared" si="134"/>
        <v>1835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1364</v>
      </c>
      <c r="D681" s="12" t="s">
        <v>312</v>
      </c>
      <c r="E681" s="12" t="s">
        <v>26</v>
      </c>
      <c r="F681" s="12" t="s">
        <v>1365</v>
      </c>
      <c r="G681" s="13">
        <v>1845</v>
      </c>
      <c r="H681" s="13"/>
      <c r="I681" s="13"/>
      <c r="J681" s="13">
        <v>1836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1836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8</v>
      </c>
      <c r="C682" s="12" t="s">
        <v>1320</v>
      </c>
      <c r="D682" s="16" t="s">
        <v>61</v>
      </c>
      <c r="E682" s="12" t="s">
        <v>26</v>
      </c>
      <c r="F682" s="12" t="s">
        <v>1321</v>
      </c>
      <c r="G682" s="13">
        <v>1845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14</v>
      </c>
      <c r="C683" s="12" t="s">
        <v>1324</v>
      </c>
      <c r="D683" s="12" t="s">
        <v>83</v>
      </c>
      <c r="E683" s="12" t="s">
        <v>26</v>
      </c>
      <c r="F683" s="12" t="s">
        <v>1325</v>
      </c>
      <c r="G683" s="13">
        <v>1846</v>
      </c>
      <c r="H683" s="13"/>
      <c r="I683" s="13"/>
      <c r="J683" s="13">
        <v>1827</v>
      </c>
      <c r="K683" s="13">
        <f t="shared" si="131"/>
        <v>0</v>
      </c>
      <c r="L683" s="13">
        <f t="shared" si="132"/>
        <v>1846</v>
      </c>
      <c r="M683" s="13" t="str">
        <f t="shared" si="133"/>
        <v/>
      </c>
      <c r="N683" s="13">
        <f t="shared" si="134"/>
        <v>1827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8" customFormat="1" ht="28.5" customHeight="1">
      <c r="A684" s="12" t="str">
        <f t="shared" si="130"/>
        <v/>
      </c>
      <c r="B684" s="12" t="s">
        <v>12</v>
      </c>
      <c r="C684" s="12" t="s">
        <v>1485</v>
      </c>
      <c r="D684" s="16" t="s">
        <v>52</v>
      </c>
      <c r="E684" s="12" t="s">
        <v>70</v>
      </c>
      <c r="F684" s="12" t="s">
        <v>1486</v>
      </c>
      <c r="G684" s="13">
        <v>1847</v>
      </c>
      <c r="H684" s="13"/>
      <c r="I684" s="13"/>
      <c r="J684" s="13">
        <v>1827</v>
      </c>
      <c r="K684" s="13">
        <f t="shared" si="131"/>
        <v>0</v>
      </c>
      <c r="L684" s="13">
        <f t="shared" si="132"/>
        <v>1847</v>
      </c>
      <c r="M684" s="13" t="str">
        <f t="shared" si="133"/>
        <v/>
      </c>
      <c r="N684" s="13">
        <f t="shared" si="134"/>
        <v>1827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1326</v>
      </c>
      <c r="D685" s="12" t="s">
        <v>52</v>
      </c>
      <c r="E685" s="12" t="s">
        <v>26</v>
      </c>
      <c r="F685" s="12" t="s">
        <v>1327</v>
      </c>
      <c r="G685" s="13">
        <v>1847</v>
      </c>
      <c r="H685" s="13"/>
      <c r="I685" s="13"/>
      <c r="J685" s="13">
        <v>1837</v>
      </c>
      <c r="K685" s="13">
        <f t="shared" si="131"/>
        <v>0</v>
      </c>
      <c r="L685" s="13">
        <f t="shared" si="132"/>
        <v>1847</v>
      </c>
      <c r="M685" s="13" t="str">
        <f t="shared" si="133"/>
        <v/>
      </c>
      <c r="N685" s="13">
        <f t="shared" si="134"/>
        <v>1837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6</v>
      </c>
      <c r="C686" s="12" t="s">
        <v>1328</v>
      </c>
      <c r="D686" s="16" t="s">
        <v>61</v>
      </c>
      <c r="E686" s="12" t="s">
        <v>26</v>
      </c>
      <c r="F686" s="12" t="s">
        <v>1329</v>
      </c>
      <c r="G686" s="13">
        <v>1848</v>
      </c>
      <c r="H686" s="13"/>
      <c r="I686" s="13"/>
      <c r="J686" s="13">
        <v>1818</v>
      </c>
      <c r="K686" s="13">
        <f t="shared" si="131"/>
        <v>0</v>
      </c>
      <c r="L686" s="13">
        <f t="shared" si="132"/>
        <v>1848</v>
      </c>
      <c r="M686" s="13" t="str">
        <f t="shared" si="133"/>
        <v/>
      </c>
      <c r="N686" s="13">
        <f t="shared" si="134"/>
        <v>1818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1330</v>
      </c>
      <c r="D687" s="12" t="s">
        <v>83</v>
      </c>
      <c r="E687" s="12" t="s">
        <v>26</v>
      </c>
      <c r="F687" s="12" t="s">
        <v>1331</v>
      </c>
      <c r="G687" s="13">
        <v>1848</v>
      </c>
      <c r="H687" s="13"/>
      <c r="I687" s="13"/>
      <c r="J687" s="13">
        <v>1818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1818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1336</v>
      </c>
      <c r="D688" s="16" t="s">
        <v>61</v>
      </c>
      <c r="E688" s="12" t="s">
        <v>26</v>
      </c>
      <c r="F688" s="12" t="s">
        <v>1337</v>
      </c>
      <c r="G688" s="13">
        <v>1848</v>
      </c>
      <c r="H688" s="13"/>
      <c r="I688" s="13"/>
      <c r="J688" s="13">
        <v>1824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1824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8</v>
      </c>
      <c r="C689" s="12" t="s">
        <v>1491</v>
      </c>
      <c r="D689" s="16" t="s">
        <v>49</v>
      </c>
      <c r="E689" s="12" t="s">
        <v>26</v>
      </c>
      <c r="F689" s="12" t="s">
        <v>1492</v>
      </c>
      <c r="G689" s="13">
        <v>1848</v>
      </c>
      <c r="H689" s="13"/>
      <c r="I689" s="13"/>
      <c r="J689" s="13">
        <v>1828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1828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1340</v>
      </c>
      <c r="D690" s="16" t="s">
        <v>52</v>
      </c>
      <c r="E690" s="12" t="s">
        <v>70</v>
      </c>
      <c r="F690" s="12" t="s">
        <v>1341</v>
      </c>
      <c r="G690" s="13">
        <v>1848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12</v>
      </c>
      <c r="C691" s="12" t="s">
        <v>1495</v>
      </c>
      <c r="D691" s="16" t="s">
        <v>140</v>
      </c>
      <c r="E691" s="12" t="s">
        <v>26</v>
      </c>
      <c r="F691" s="12" t="s">
        <v>1496</v>
      </c>
      <c r="G691" s="13">
        <v>1848</v>
      </c>
      <c r="H691" s="13"/>
      <c r="I691" s="13"/>
      <c r="J691" s="13">
        <v>1848</v>
      </c>
      <c r="K691" s="13">
        <f t="shared" si="131"/>
        <v>0</v>
      </c>
      <c r="L691" s="13">
        <f t="shared" si="132"/>
        <v>1848</v>
      </c>
      <c r="M691" s="13" t="str">
        <f t="shared" si="133"/>
        <v/>
      </c>
      <c r="N691" s="13">
        <f t="shared" si="134"/>
        <v>1848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10</v>
      </c>
      <c r="C692" s="12" t="s">
        <v>1344</v>
      </c>
      <c r="D692" s="12" t="s">
        <v>45</v>
      </c>
      <c r="E692" s="12" t="s">
        <v>70</v>
      </c>
      <c r="F692" s="12" t="s">
        <v>1345</v>
      </c>
      <c r="G692" s="13">
        <v>1848</v>
      </c>
      <c r="H692" s="13"/>
      <c r="I692" s="13"/>
      <c r="J692" s="13">
        <v>1849</v>
      </c>
      <c r="K692" s="13">
        <f t="shared" si="131"/>
        <v>0</v>
      </c>
      <c r="L692" s="13">
        <f t="shared" si="132"/>
        <v>1848</v>
      </c>
      <c r="M692" s="13" t="str">
        <f t="shared" si="133"/>
        <v/>
      </c>
      <c r="N692" s="13">
        <f t="shared" si="134"/>
        <v>1849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1346</v>
      </c>
      <c r="D693" s="16" t="s">
        <v>140</v>
      </c>
      <c r="E693" s="12" t="s">
        <v>70</v>
      </c>
      <c r="F693" s="12" t="s">
        <v>1347</v>
      </c>
      <c r="G693" s="13">
        <v>1848</v>
      </c>
      <c r="H693" s="13"/>
      <c r="I693" s="13"/>
      <c r="J693" s="13">
        <v>1855</v>
      </c>
      <c r="K693" s="13">
        <f t="shared" si="131"/>
        <v>0</v>
      </c>
      <c r="L693" s="13">
        <f t="shared" si="132"/>
        <v>1848</v>
      </c>
      <c r="M693" s="13" t="str">
        <f t="shared" si="133"/>
        <v/>
      </c>
      <c r="N693" s="13">
        <f t="shared" si="134"/>
        <v>1855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18</v>
      </c>
      <c r="C694" s="12" t="s">
        <v>1348</v>
      </c>
      <c r="D694" s="16" t="s">
        <v>52</v>
      </c>
      <c r="E694" s="12" t="s">
        <v>26</v>
      </c>
      <c r="F694" s="12" t="s">
        <v>1349</v>
      </c>
      <c r="G694" s="13">
        <v>1849</v>
      </c>
      <c r="H694" s="13"/>
      <c r="I694" s="13"/>
      <c r="J694" s="13">
        <v>1799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1799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6</v>
      </c>
      <c r="C695" s="12" t="s">
        <v>1360</v>
      </c>
      <c r="D695" s="16" t="s">
        <v>49</v>
      </c>
      <c r="E695" s="12" t="s">
        <v>70</v>
      </c>
      <c r="F695" s="12" t="s">
        <v>1361</v>
      </c>
      <c r="G695" s="13">
        <v>1849</v>
      </c>
      <c r="H695" s="13"/>
      <c r="I695" s="13"/>
      <c r="J695" s="13">
        <v>1814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1814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1354</v>
      </c>
      <c r="D696" s="16" t="s">
        <v>140</v>
      </c>
      <c r="E696" s="12" t="s">
        <v>26</v>
      </c>
      <c r="F696" s="12" t="s">
        <v>1355</v>
      </c>
      <c r="G696" s="13">
        <v>1849</v>
      </c>
      <c r="H696" s="13"/>
      <c r="I696" s="13"/>
      <c r="J696" s="13">
        <v>1829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1829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1356</v>
      </c>
      <c r="D697" s="12" t="s">
        <v>45</v>
      </c>
      <c r="E697" s="12" t="s">
        <v>26</v>
      </c>
      <c r="F697" s="12" t="s">
        <v>1357</v>
      </c>
      <c r="G697" s="13">
        <v>1849</v>
      </c>
      <c r="H697" s="13"/>
      <c r="I697" s="13"/>
      <c r="J697" s="13">
        <v>1829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1829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1358</v>
      </c>
      <c r="D698" s="12" t="s">
        <v>45</v>
      </c>
      <c r="E698" s="12" t="s">
        <v>26</v>
      </c>
      <c r="F698" s="12" t="s">
        <v>1359</v>
      </c>
      <c r="G698" s="13">
        <v>1849</v>
      </c>
      <c r="H698" s="13"/>
      <c r="I698" s="13"/>
      <c r="J698" s="13">
        <v>1829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1829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8" customFormat="1" ht="28.5" customHeight="1">
      <c r="A699" s="12" t="str">
        <f t="shared" si="130"/>
        <v/>
      </c>
      <c r="B699" s="12" t="s">
        <v>10</v>
      </c>
      <c r="C699" s="12" t="s">
        <v>1452</v>
      </c>
      <c r="D699" s="16" t="s">
        <v>49</v>
      </c>
      <c r="E699" s="12" t="s">
        <v>26</v>
      </c>
      <c r="F699" s="12" t="s">
        <v>1453</v>
      </c>
      <c r="G699" s="13">
        <v>1849</v>
      </c>
      <c r="H699" s="13"/>
      <c r="I699" s="13"/>
      <c r="J699" s="13">
        <v>1829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1829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6</v>
      </c>
      <c r="C700" s="12" t="s">
        <v>1362</v>
      </c>
      <c r="D700" s="12" t="s">
        <v>83</v>
      </c>
      <c r="E700" s="12" t="s">
        <v>26</v>
      </c>
      <c r="F700" s="12" t="s">
        <v>1363</v>
      </c>
      <c r="G700" s="13">
        <v>1849</v>
      </c>
      <c r="H700" s="13"/>
      <c r="I700" s="13"/>
      <c r="J700" s="13">
        <v>1834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1834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1366</v>
      </c>
      <c r="D701" s="12" t="s">
        <v>312</v>
      </c>
      <c r="E701" s="12" t="s">
        <v>26</v>
      </c>
      <c r="F701" s="12" t="s">
        <v>1367</v>
      </c>
      <c r="G701" s="13">
        <v>1849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10</v>
      </c>
      <c r="C702" s="12" t="s">
        <v>1368</v>
      </c>
      <c r="D702" s="12" t="s">
        <v>312</v>
      </c>
      <c r="E702" s="12" t="s">
        <v>26</v>
      </c>
      <c r="F702" s="12" t="s">
        <v>1369</v>
      </c>
      <c r="G702" s="13">
        <v>1849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1370</v>
      </c>
      <c r="D703" s="12" t="s">
        <v>312</v>
      </c>
      <c r="E703" s="12" t="s">
        <v>26</v>
      </c>
      <c r="F703" s="12" t="s">
        <v>1371</v>
      </c>
      <c r="G703" s="13">
        <v>1849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6</v>
      </c>
      <c r="C704" s="12" t="s">
        <v>1372</v>
      </c>
      <c r="D704" s="12" t="s">
        <v>140</v>
      </c>
      <c r="E704" s="12" t="s">
        <v>26</v>
      </c>
      <c r="F704" s="12" t="s">
        <v>1373</v>
      </c>
      <c r="G704" s="13">
        <v>1849</v>
      </c>
      <c r="H704" s="13"/>
      <c r="I704" s="13"/>
      <c r="J704" s="13">
        <v>1839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1839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12</v>
      </c>
      <c r="C705" s="12" t="s">
        <v>1374</v>
      </c>
      <c r="D705" s="16" t="s">
        <v>140</v>
      </c>
      <c r="E705" s="12" t="s">
        <v>26</v>
      </c>
      <c r="F705" s="12" t="s">
        <v>1375</v>
      </c>
      <c r="G705" s="13">
        <v>1849</v>
      </c>
      <c r="H705" s="13"/>
      <c r="I705" s="13"/>
      <c r="J705" s="13">
        <v>1839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1839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10</v>
      </c>
      <c r="C706" s="12" t="s">
        <v>1378</v>
      </c>
      <c r="D706" s="12" t="s">
        <v>83</v>
      </c>
      <c r="E706" s="12" t="s">
        <v>70</v>
      </c>
      <c r="F706" s="12" t="s">
        <v>1379</v>
      </c>
      <c r="G706" s="13">
        <v>1849</v>
      </c>
      <c r="H706" s="13"/>
      <c r="I706" s="13"/>
      <c r="J706" s="13">
        <v>1839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1382</v>
      </c>
      <c r="D707" s="16" t="s">
        <v>49</v>
      </c>
      <c r="E707" s="12" t="s">
        <v>26</v>
      </c>
      <c r="F707" s="12" t="s">
        <v>1383</v>
      </c>
      <c r="G707" s="13">
        <v>1849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16</v>
      </c>
      <c r="C708" s="12" t="s">
        <v>1388</v>
      </c>
      <c r="D708" s="12" t="s">
        <v>45</v>
      </c>
      <c r="E708" s="12" t="s">
        <v>26</v>
      </c>
      <c r="F708" s="12" t="s">
        <v>1389</v>
      </c>
      <c r="G708" s="13">
        <v>1850</v>
      </c>
      <c r="H708" s="13"/>
      <c r="I708" s="13"/>
      <c r="J708" s="13">
        <v>1810</v>
      </c>
      <c r="K708" s="13">
        <f t="shared" si="131"/>
        <v>0</v>
      </c>
      <c r="L708" s="13">
        <f t="shared" si="132"/>
        <v>1850</v>
      </c>
      <c r="M708" s="13" t="str">
        <f t="shared" si="133"/>
        <v/>
      </c>
      <c r="N708" s="13">
        <f t="shared" si="134"/>
        <v>1810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16</v>
      </c>
      <c r="C709" s="12" t="s">
        <v>1479</v>
      </c>
      <c r="D709" s="16" t="s">
        <v>49</v>
      </c>
      <c r="E709" s="12" t="s">
        <v>26</v>
      </c>
      <c r="F709" s="12" t="s">
        <v>1480</v>
      </c>
      <c r="G709" s="13">
        <v>1850</v>
      </c>
      <c r="H709" s="13"/>
      <c r="I709" s="13"/>
      <c r="J709" s="13">
        <v>1828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1828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18</v>
      </c>
      <c r="C710" s="12" t="s">
        <v>1390</v>
      </c>
      <c r="D710" s="12" t="s">
        <v>140</v>
      </c>
      <c r="E710" s="12" t="s">
        <v>26</v>
      </c>
      <c r="F710" s="12" t="s">
        <v>1391</v>
      </c>
      <c r="G710" s="13">
        <v>1850</v>
      </c>
      <c r="H710" s="13"/>
      <c r="I710" s="13"/>
      <c r="J710" s="13">
        <v>1840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1316</v>
      </c>
      <c r="D711" s="16" t="s">
        <v>49</v>
      </c>
      <c r="E711" s="12" t="s">
        <v>26</v>
      </c>
      <c r="F711" s="12" t="s">
        <v>1317</v>
      </c>
      <c r="G711" s="13">
        <v>1850</v>
      </c>
      <c r="H711" s="13"/>
      <c r="I711" s="13"/>
      <c r="J711" s="13">
        <v>1840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1840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1626</v>
      </c>
      <c r="D712" s="16" t="s">
        <v>52</v>
      </c>
      <c r="E712" s="12" t="s">
        <v>70</v>
      </c>
      <c r="F712" s="12" t="s">
        <v>1627</v>
      </c>
      <c r="G712" s="13">
        <v>1850</v>
      </c>
      <c r="H712" s="13"/>
      <c r="I712" s="13"/>
      <c r="J712" s="13">
        <v>1850</v>
      </c>
      <c r="K712" s="13">
        <f t="shared" si="131"/>
        <v>0</v>
      </c>
      <c r="L712" s="13">
        <f t="shared" si="132"/>
        <v>1850</v>
      </c>
      <c r="M712" s="13" t="str">
        <f t="shared" si="133"/>
        <v/>
      </c>
      <c r="N712" s="13">
        <f t="shared" si="134"/>
        <v>1850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18</v>
      </c>
      <c r="C713" s="12" t="s">
        <v>1393</v>
      </c>
      <c r="D713" s="16" t="s">
        <v>49</v>
      </c>
      <c r="E713" s="12" t="s">
        <v>70</v>
      </c>
      <c r="F713" s="12" t="s">
        <v>1394</v>
      </c>
      <c r="G713" s="13">
        <v>1852</v>
      </c>
      <c r="H713" s="13"/>
      <c r="I713" s="13"/>
      <c r="J713" s="13">
        <v>1840</v>
      </c>
      <c r="K713" s="13">
        <v>0</v>
      </c>
      <c r="L713" s="13">
        <f t="shared" si="132"/>
        <v>1852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926</v>
      </c>
      <c r="D714" s="12" t="s">
        <v>287</v>
      </c>
      <c r="E714" s="12" t="s">
        <v>70</v>
      </c>
      <c r="F714" s="12" t="s">
        <v>1395</v>
      </c>
      <c r="G714" s="13">
        <v>1853</v>
      </c>
      <c r="H714" s="13"/>
      <c r="I714" s="13"/>
      <c r="J714" s="13">
        <v>1823</v>
      </c>
      <c r="K714" s="13">
        <f t="shared" ref="K714:K745" si="143">IF(AND(IFERROR(SEARCH("현대오일뱅크",$C714),0)&gt;0,IFERROR(SEARCH("직영",$C714),0)&gt;0),$B$13,0)</f>
        <v>0</v>
      </c>
      <c r="L714" s="13">
        <f t="shared" si="132"/>
        <v>1853</v>
      </c>
      <c r="M714" s="13" t="str">
        <f t="shared" si="133"/>
        <v/>
      </c>
      <c r="N714" s="13">
        <f t="shared" si="134"/>
        <v>1823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8</v>
      </c>
      <c r="C715" s="12" t="s">
        <v>1396</v>
      </c>
      <c r="D715" s="12" t="s">
        <v>45</v>
      </c>
      <c r="E715" s="12" t="s">
        <v>26</v>
      </c>
      <c r="F715" s="12" t="s">
        <v>1397</v>
      </c>
      <c r="G715" s="13">
        <v>1853</v>
      </c>
      <c r="H715" s="13"/>
      <c r="I715" s="13"/>
      <c r="J715" s="13">
        <v>1823</v>
      </c>
      <c r="K715" s="13">
        <f t="shared" si="143"/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1823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1063</v>
      </c>
      <c r="D716" s="16" t="s">
        <v>52</v>
      </c>
      <c r="E716" s="12" t="s">
        <v>26</v>
      </c>
      <c r="F716" s="12" t="s">
        <v>1064</v>
      </c>
      <c r="G716" s="13">
        <v>1853</v>
      </c>
      <c r="H716" s="13"/>
      <c r="I716" s="13"/>
      <c r="J716" s="13">
        <v>1833</v>
      </c>
      <c r="K716" s="13">
        <f t="shared" si="143"/>
        <v>0</v>
      </c>
      <c r="L716" s="13">
        <f t="shared" si="132"/>
        <v>1853</v>
      </c>
      <c r="M716" s="13" t="str">
        <f t="shared" si="133"/>
        <v/>
      </c>
      <c r="N716" s="13">
        <f t="shared" si="134"/>
        <v>1833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12</v>
      </c>
      <c r="C717" s="12" t="s">
        <v>1411</v>
      </c>
      <c r="D717" s="16" t="s">
        <v>52</v>
      </c>
      <c r="E717" s="12" t="s">
        <v>70</v>
      </c>
      <c r="F717" s="12" t="s">
        <v>1412</v>
      </c>
      <c r="G717" s="13">
        <v>1854</v>
      </c>
      <c r="H717" s="13"/>
      <c r="I717" s="13"/>
      <c r="J717" s="13">
        <v>1828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1828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8" customFormat="1" ht="28.5" customHeight="1">
      <c r="A718" s="12" t="str">
        <f t="shared" si="130"/>
        <v/>
      </c>
      <c r="B718" s="12" t="s">
        <v>18</v>
      </c>
      <c r="C718" s="12" t="s">
        <v>1765</v>
      </c>
      <c r="D718" s="16" t="s">
        <v>49</v>
      </c>
      <c r="E718" s="12" t="s">
        <v>26</v>
      </c>
      <c r="F718" s="12" t="s">
        <v>1400</v>
      </c>
      <c r="G718" s="13">
        <v>1854</v>
      </c>
      <c r="H718" s="13"/>
      <c r="I718" s="13"/>
      <c r="J718" s="13">
        <v>1834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1834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12</v>
      </c>
      <c r="C719" s="12" t="s">
        <v>1401</v>
      </c>
      <c r="D719" s="16" t="s">
        <v>61</v>
      </c>
      <c r="E719" s="12" t="s">
        <v>26</v>
      </c>
      <c r="F719" s="12" t="s">
        <v>1402</v>
      </c>
      <c r="G719" s="13">
        <v>1854</v>
      </c>
      <c r="H719" s="13"/>
      <c r="I719" s="13"/>
      <c r="J719" s="13">
        <v>1839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1839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1405</v>
      </c>
      <c r="D720" s="16" t="s">
        <v>52</v>
      </c>
      <c r="E720" s="12" t="s">
        <v>26</v>
      </c>
      <c r="F720" s="12" t="s">
        <v>1406</v>
      </c>
      <c r="G720" s="13">
        <v>1854</v>
      </c>
      <c r="H720" s="13"/>
      <c r="I720" s="13"/>
      <c r="J720" s="13">
        <v>1842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1842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8</v>
      </c>
      <c r="C721" s="12" t="s">
        <v>1407</v>
      </c>
      <c r="D721" s="12" t="s">
        <v>83</v>
      </c>
      <c r="E721" s="12" t="s">
        <v>26</v>
      </c>
      <c r="F721" s="12" t="s">
        <v>1408</v>
      </c>
      <c r="G721" s="13">
        <v>1854</v>
      </c>
      <c r="H721" s="13"/>
      <c r="I721" s="13"/>
      <c r="J721" s="13">
        <v>1842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1842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12</v>
      </c>
      <c r="C722" s="12" t="s">
        <v>1413</v>
      </c>
      <c r="D722" s="16" t="s">
        <v>61</v>
      </c>
      <c r="E722" s="12" t="s">
        <v>26</v>
      </c>
      <c r="F722" s="12" t="s">
        <v>1414</v>
      </c>
      <c r="G722" s="13">
        <v>1854</v>
      </c>
      <c r="H722" s="13"/>
      <c r="I722" s="13"/>
      <c r="J722" s="13">
        <v>1849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1849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1415</v>
      </c>
      <c r="D723" s="16" t="s">
        <v>52</v>
      </c>
      <c r="E723" s="12" t="s">
        <v>26</v>
      </c>
      <c r="F723" s="12" t="s">
        <v>1416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1474</v>
      </c>
      <c r="D724" s="16" t="s">
        <v>61</v>
      </c>
      <c r="E724" s="12" t="s">
        <v>70</v>
      </c>
      <c r="F724" s="12" t="s">
        <v>1475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10</v>
      </c>
      <c r="C725" s="12" t="s">
        <v>1417</v>
      </c>
      <c r="D725" s="12" t="s">
        <v>83</v>
      </c>
      <c r="E725" s="12" t="s">
        <v>26</v>
      </c>
      <c r="F725" s="12" t="s">
        <v>1418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1419</v>
      </c>
      <c r="D726" s="12" t="s">
        <v>83</v>
      </c>
      <c r="E726" s="12" t="s">
        <v>26</v>
      </c>
      <c r="F726" s="12" t="s">
        <v>1420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17" customFormat="1" ht="28.5" customHeight="1">
      <c r="A727" s="12" t="str">
        <f t="shared" si="144"/>
        <v/>
      </c>
      <c r="B727" s="12" t="s">
        <v>14</v>
      </c>
      <c r="C727" s="12" t="s">
        <v>1476</v>
      </c>
      <c r="D727" s="16" t="s">
        <v>49</v>
      </c>
      <c r="E727" s="12" t="s">
        <v>26</v>
      </c>
      <c r="F727" s="12" t="s">
        <v>1477</v>
      </c>
      <c r="G727" s="13">
        <v>1855</v>
      </c>
      <c r="H727" s="13"/>
      <c r="I727" s="13"/>
      <c r="J727" s="13">
        <v>1835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1835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18</v>
      </c>
      <c r="C728" s="12" t="s">
        <v>1421</v>
      </c>
      <c r="D728" s="16" t="s">
        <v>49</v>
      </c>
      <c r="E728" s="12" t="s">
        <v>26</v>
      </c>
      <c r="F728" s="12" t="s">
        <v>1422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1423</v>
      </c>
      <c r="D729" s="16" t="s">
        <v>52</v>
      </c>
      <c r="E729" s="12" t="s">
        <v>26</v>
      </c>
      <c r="F729" s="12" t="s">
        <v>1424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14</v>
      </c>
      <c r="C730" s="12" t="s">
        <v>1425</v>
      </c>
      <c r="D730" s="16" t="s">
        <v>49</v>
      </c>
      <c r="E730" s="12" t="s">
        <v>26</v>
      </c>
      <c r="F730" s="12" t="s">
        <v>1426</v>
      </c>
      <c r="G730" s="13">
        <v>1855</v>
      </c>
      <c r="H730" s="13"/>
      <c r="I730" s="13"/>
      <c r="J730" s="13">
        <v>1845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8</v>
      </c>
      <c r="C731" s="12" t="s">
        <v>1427</v>
      </c>
      <c r="D731" s="12" t="s">
        <v>140</v>
      </c>
      <c r="E731" s="12" t="s">
        <v>26</v>
      </c>
      <c r="F731" s="12" t="s">
        <v>1428</v>
      </c>
      <c r="G731" s="13">
        <v>1855</v>
      </c>
      <c r="H731" s="13"/>
      <c r="I731" s="13"/>
      <c r="J731" s="13">
        <v>1846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1846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1429</v>
      </c>
      <c r="D732" s="16" t="s">
        <v>49</v>
      </c>
      <c r="E732" s="12" t="s">
        <v>26</v>
      </c>
      <c r="F732" s="12" t="s">
        <v>1430</v>
      </c>
      <c r="G732" s="13">
        <v>1855</v>
      </c>
      <c r="H732" s="13"/>
      <c r="I732" s="13"/>
      <c r="J732" s="13">
        <v>1855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1855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1431</v>
      </c>
      <c r="D733" s="16" t="s">
        <v>49</v>
      </c>
      <c r="E733" s="12" t="s">
        <v>70</v>
      </c>
      <c r="F733" s="12" t="s">
        <v>1432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12</v>
      </c>
      <c r="C734" s="12" t="s">
        <v>1433</v>
      </c>
      <c r="D734" s="16" t="s">
        <v>49</v>
      </c>
      <c r="E734" s="12" t="s">
        <v>70</v>
      </c>
      <c r="F734" s="12" t="s">
        <v>1434</v>
      </c>
      <c r="G734" s="13">
        <v>1856</v>
      </c>
      <c r="H734" s="13"/>
      <c r="I734" s="13"/>
      <c r="J734" s="13">
        <v>1856</v>
      </c>
      <c r="K734" s="13">
        <f t="shared" si="143"/>
        <v>0</v>
      </c>
      <c r="L734" s="13">
        <f t="shared" si="145"/>
        <v>1856</v>
      </c>
      <c r="M734" s="13" t="str">
        <f t="shared" si="146"/>
        <v/>
      </c>
      <c r="N734" s="13">
        <f t="shared" si="147"/>
        <v>1856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14</v>
      </c>
      <c r="C735" s="12" t="s">
        <v>1348</v>
      </c>
      <c r="D735" s="12" t="s">
        <v>83</v>
      </c>
      <c r="E735" s="12" t="s">
        <v>70</v>
      </c>
      <c r="F735" s="12" t="s">
        <v>1549</v>
      </c>
      <c r="G735" s="13">
        <v>1857</v>
      </c>
      <c r="H735" s="13"/>
      <c r="I735" s="13"/>
      <c r="J735" s="13">
        <v>1837</v>
      </c>
      <c r="K735" s="13">
        <f t="shared" si="143"/>
        <v>0</v>
      </c>
      <c r="L735" s="13">
        <f t="shared" si="145"/>
        <v>1857</v>
      </c>
      <c r="M735" s="13" t="str">
        <f t="shared" si="146"/>
        <v/>
      </c>
      <c r="N735" s="13">
        <f t="shared" si="147"/>
        <v>1837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17" customFormat="1" ht="28.5" customHeight="1">
      <c r="A736" s="12" t="str">
        <f t="shared" si="144"/>
        <v/>
      </c>
      <c r="B736" s="12" t="s">
        <v>8</v>
      </c>
      <c r="C736" s="12" t="s">
        <v>382</v>
      </c>
      <c r="D736" s="12" t="s">
        <v>83</v>
      </c>
      <c r="E736" s="12" t="s">
        <v>70</v>
      </c>
      <c r="F736" s="12" t="s">
        <v>1436</v>
      </c>
      <c r="G736" s="13">
        <v>1858</v>
      </c>
      <c r="H736" s="13"/>
      <c r="I736" s="13"/>
      <c r="J736" s="13">
        <v>1835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6</v>
      </c>
      <c r="C737" s="12" t="s">
        <v>1186</v>
      </c>
      <c r="D737" s="12" t="s">
        <v>83</v>
      </c>
      <c r="E737" s="12" t="s">
        <v>26</v>
      </c>
      <c r="F737" s="12" t="s">
        <v>1187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8" customFormat="1" ht="28.5" customHeight="1">
      <c r="A738" s="12" t="str">
        <f t="shared" si="144"/>
        <v/>
      </c>
      <c r="B738" s="12" t="s">
        <v>10</v>
      </c>
      <c r="C738" s="12" t="s">
        <v>1439</v>
      </c>
      <c r="D738" s="12" t="s">
        <v>83</v>
      </c>
      <c r="E738" s="12" t="s">
        <v>26</v>
      </c>
      <c r="F738" s="12" t="s">
        <v>1440</v>
      </c>
      <c r="G738" s="13">
        <v>1858</v>
      </c>
      <c r="H738" s="13"/>
      <c r="I738" s="13"/>
      <c r="J738" s="13">
        <v>1838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1838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1441</v>
      </c>
      <c r="D739" s="16" t="s">
        <v>61</v>
      </c>
      <c r="E739" s="12" t="s">
        <v>70</v>
      </c>
      <c r="F739" s="12" t="s">
        <v>1442</v>
      </c>
      <c r="G739" s="13">
        <v>1858</v>
      </c>
      <c r="H739" s="13"/>
      <c r="I739" s="13"/>
      <c r="J739" s="13">
        <v>1849</v>
      </c>
      <c r="K739" s="13">
        <f t="shared" si="143"/>
        <v>0</v>
      </c>
      <c r="L739" s="13">
        <f t="shared" si="145"/>
        <v>1858</v>
      </c>
      <c r="M739" s="13" t="str">
        <f t="shared" si="146"/>
        <v/>
      </c>
      <c r="N739" s="13">
        <f t="shared" si="147"/>
        <v>1849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1443</v>
      </c>
      <c r="D740" s="12" t="s">
        <v>83</v>
      </c>
      <c r="E740" s="12" t="s">
        <v>70</v>
      </c>
      <c r="F740" s="12" t="s">
        <v>1444</v>
      </c>
      <c r="G740" s="13">
        <v>1859</v>
      </c>
      <c r="H740" s="13"/>
      <c r="I740" s="13"/>
      <c r="J740" s="13">
        <v>1805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1805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10</v>
      </c>
      <c r="C741" s="12" t="s">
        <v>1762</v>
      </c>
      <c r="D741" s="12" t="s">
        <v>45</v>
      </c>
      <c r="E741" s="12" t="s">
        <v>26</v>
      </c>
      <c r="F741" s="12" t="s">
        <v>1451</v>
      </c>
      <c r="G741" s="13">
        <v>1859</v>
      </c>
      <c r="H741" s="13"/>
      <c r="I741" s="13"/>
      <c r="J741" s="13">
        <v>1809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1809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8</v>
      </c>
      <c r="C742" s="12" t="s">
        <v>1445</v>
      </c>
      <c r="D742" s="16" t="s">
        <v>52</v>
      </c>
      <c r="E742" s="12" t="s">
        <v>26</v>
      </c>
      <c r="F742" s="12" t="s">
        <v>1446</v>
      </c>
      <c r="G742" s="13">
        <v>1859</v>
      </c>
      <c r="H742" s="13"/>
      <c r="I742" s="13"/>
      <c r="J742" s="13">
        <v>1814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1814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18</v>
      </c>
      <c r="C743" s="12" t="s">
        <v>1447</v>
      </c>
      <c r="D743" s="12" t="s">
        <v>83</v>
      </c>
      <c r="E743" s="12" t="s">
        <v>70</v>
      </c>
      <c r="F743" s="12" t="s">
        <v>1448</v>
      </c>
      <c r="G743" s="13">
        <v>1859</v>
      </c>
      <c r="H743" s="13"/>
      <c r="I743" s="13"/>
      <c r="J743" s="13">
        <v>1820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1820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10</v>
      </c>
      <c r="C744" s="12" t="s">
        <v>1449</v>
      </c>
      <c r="D744" s="12" t="s">
        <v>83</v>
      </c>
      <c r="E744" s="12" t="s">
        <v>26</v>
      </c>
      <c r="F744" s="12" t="s">
        <v>1450</v>
      </c>
      <c r="G744" s="13">
        <v>1859</v>
      </c>
      <c r="H744" s="13"/>
      <c r="I744" s="13"/>
      <c r="J744" s="13">
        <v>1829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1829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6</v>
      </c>
      <c r="C745" s="12" t="s">
        <v>1304</v>
      </c>
      <c r="D745" s="12" t="s">
        <v>83</v>
      </c>
      <c r="E745" s="12" t="s">
        <v>26</v>
      </c>
      <c r="F745" s="12" t="s">
        <v>1305</v>
      </c>
      <c r="G745" s="13">
        <v>1859</v>
      </c>
      <c r="H745" s="13"/>
      <c r="I745" s="13"/>
      <c r="J745" s="13">
        <v>1839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1839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6</v>
      </c>
      <c r="C746" s="12" t="s">
        <v>1462</v>
      </c>
      <c r="D746" s="12" t="s">
        <v>83</v>
      </c>
      <c r="E746" s="12" t="s">
        <v>70</v>
      </c>
      <c r="F746" s="12" t="s">
        <v>1463</v>
      </c>
      <c r="G746" s="13">
        <v>1859</v>
      </c>
      <c r="H746" s="13"/>
      <c r="I746" s="13"/>
      <c r="J746" s="13">
        <v>1839</v>
      </c>
      <c r="K746" s="13">
        <f t="shared" ref="K746:K754" si="156">IF(AND(IFERROR(SEARCH("현대오일뱅크",$C746),0)&gt;0,IFERROR(SEARCH("직영",$C746),0)&gt;0),$B$13,0)</f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1839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1460</v>
      </c>
      <c r="D747" s="16" t="s">
        <v>49</v>
      </c>
      <c r="E747" s="12" t="s">
        <v>26</v>
      </c>
      <c r="F747" s="12" t="s">
        <v>1461</v>
      </c>
      <c r="G747" s="13">
        <v>1859</v>
      </c>
      <c r="H747" s="13"/>
      <c r="I747" s="13"/>
      <c r="J747" s="13">
        <v>1844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1844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1456</v>
      </c>
      <c r="D748" s="12" t="s">
        <v>83</v>
      </c>
      <c r="E748" s="12" t="s">
        <v>26</v>
      </c>
      <c r="F748" s="12" t="s">
        <v>1457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1306</v>
      </c>
      <c r="D749" s="12" t="s">
        <v>83</v>
      </c>
      <c r="E749" s="12" t="s">
        <v>70</v>
      </c>
      <c r="F749" s="12" t="s">
        <v>1307</v>
      </c>
      <c r="G749" s="13">
        <v>1859</v>
      </c>
      <c r="H749" s="13"/>
      <c r="I749" s="13"/>
      <c r="J749" s="13">
        <v>1849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1849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10</v>
      </c>
      <c r="C750" s="12" t="s">
        <v>1458</v>
      </c>
      <c r="D750" s="12" t="s">
        <v>140</v>
      </c>
      <c r="E750" s="12" t="s">
        <v>70</v>
      </c>
      <c r="F750" s="12" t="s">
        <v>1459</v>
      </c>
      <c r="G750" s="13">
        <v>1859</v>
      </c>
      <c r="H750" s="13"/>
      <c r="I750" s="13"/>
      <c r="J750" s="13">
        <v>1849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1464</v>
      </c>
      <c r="D751" s="16" t="s">
        <v>49</v>
      </c>
      <c r="E751" s="12" t="s">
        <v>26</v>
      </c>
      <c r="F751" s="12" t="s">
        <v>1465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14</v>
      </c>
      <c r="C752" s="12" t="s">
        <v>1466</v>
      </c>
      <c r="D752" s="12" t="s">
        <v>83</v>
      </c>
      <c r="E752" s="12" t="s">
        <v>26</v>
      </c>
      <c r="F752" s="12" t="s">
        <v>1467</v>
      </c>
      <c r="G752" s="13">
        <v>1859</v>
      </c>
      <c r="H752" s="13"/>
      <c r="I752" s="13"/>
      <c r="J752" s="13">
        <v>1869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1869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16</v>
      </c>
      <c r="C753" s="12" t="s">
        <v>1523</v>
      </c>
      <c r="D753" s="16" t="s">
        <v>49</v>
      </c>
      <c r="E753" s="12" t="s">
        <v>26</v>
      </c>
      <c r="F753" s="12" t="s">
        <v>1524</v>
      </c>
      <c r="G753" s="13">
        <v>1860</v>
      </c>
      <c r="H753" s="13"/>
      <c r="I753" s="13"/>
      <c r="J753" s="13">
        <v>1820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1820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16</v>
      </c>
      <c r="C754" s="12" t="s">
        <v>1610</v>
      </c>
      <c r="D754" s="16" t="s">
        <v>49</v>
      </c>
      <c r="E754" s="12" t="s">
        <v>26</v>
      </c>
      <c r="F754" s="12" t="s">
        <v>1611</v>
      </c>
      <c r="G754" s="13">
        <v>1860</v>
      </c>
      <c r="H754" s="13"/>
      <c r="I754" s="13"/>
      <c r="J754" s="13">
        <v>1830</v>
      </c>
      <c r="K754" s="13">
        <f t="shared" si="156"/>
        <v>0</v>
      </c>
      <c r="L754" s="13">
        <f t="shared" si="145"/>
        <v>1860</v>
      </c>
      <c r="M754" s="13" t="str">
        <f t="shared" si="146"/>
        <v/>
      </c>
      <c r="N754" s="13">
        <f t="shared" si="147"/>
        <v>1830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10</v>
      </c>
      <c r="C755" s="12" t="s">
        <v>1472</v>
      </c>
      <c r="D755" s="16" t="s">
        <v>49</v>
      </c>
      <c r="E755" s="12" t="s">
        <v>26</v>
      </c>
      <c r="F755" s="12" t="s">
        <v>1473</v>
      </c>
      <c r="G755" s="13">
        <v>1864</v>
      </c>
      <c r="H755" s="13"/>
      <c r="I755" s="13"/>
      <c r="J755" s="13">
        <v>1854</v>
      </c>
      <c r="K755" s="13">
        <v>0</v>
      </c>
      <c r="L755" s="13">
        <f t="shared" si="145"/>
        <v>1864</v>
      </c>
      <c r="M755" s="13" t="str">
        <f t="shared" si="146"/>
        <v/>
      </c>
      <c r="N755" s="13">
        <f t="shared" si="147"/>
        <v>1854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14</v>
      </c>
      <c r="C756" s="12" t="s">
        <v>571</v>
      </c>
      <c r="D756" s="16" t="s">
        <v>61</v>
      </c>
      <c r="E756" s="12" t="s">
        <v>70</v>
      </c>
      <c r="F756" s="12" t="s">
        <v>1478</v>
      </c>
      <c r="G756" s="13">
        <v>1865</v>
      </c>
      <c r="H756" s="13"/>
      <c r="I756" s="13"/>
      <c r="J756" s="13">
        <v>1845</v>
      </c>
      <c r="K756" s="13">
        <f t="shared" ref="K756:K761" si="157">IF(AND(IFERROR(SEARCH("현대오일뱅크",$C756),0)&gt;0,IFERROR(SEARCH("직영",$C756),0)&gt;0),$B$13,0)</f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12</v>
      </c>
      <c r="C757" s="12" t="s">
        <v>1584</v>
      </c>
      <c r="D757" s="16" t="s">
        <v>49</v>
      </c>
      <c r="E757" s="12" t="s">
        <v>26</v>
      </c>
      <c r="F757" s="12" t="s">
        <v>1585</v>
      </c>
      <c r="G757" s="13">
        <v>1865</v>
      </c>
      <c r="H757" s="13"/>
      <c r="I757" s="13"/>
      <c r="J757" s="13">
        <v>1845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1845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17" customFormat="1" ht="28.5" customHeight="1">
      <c r="A758" s="12" t="str">
        <f t="shared" si="144"/>
        <v/>
      </c>
      <c r="B758" s="12" t="s">
        <v>12</v>
      </c>
      <c r="C758" s="12" t="s">
        <v>1640</v>
      </c>
      <c r="D758" s="16" t="s">
        <v>140</v>
      </c>
      <c r="E758" s="12" t="s">
        <v>70</v>
      </c>
      <c r="F758" s="12" t="s">
        <v>1641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1642</v>
      </c>
      <c r="D759" s="16" t="s">
        <v>140</v>
      </c>
      <c r="E759" s="12" t="s">
        <v>70</v>
      </c>
      <c r="F759" s="12" t="s">
        <v>1643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8" customFormat="1" ht="28.5" customHeight="1">
      <c r="A760" s="12" t="str">
        <f t="shared" si="144"/>
        <v/>
      </c>
      <c r="B760" s="12" t="s">
        <v>12</v>
      </c>
      <c r="C760" s="12" t="s">
        <v>1644</v>
      </c>
      <c r="D760" s="16" t="s">
        <v>140</v>
      </c>
      <c r="E760" s="12" t="s">
        <v>26</v>
      </c>
      <c r="F760" s="12" t="s">
        <v>1645</v>
      </c>
      <c r="G760" s="13">
        <v>1865</v>
      </c>
      <c r="H760" s="13"/>
      <c r="I760" s="13"/>
      <c r="J760" s="13">
        <v>1849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1849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2" customFormat="1" ht="28.5" customHeight="1">
      <c r="A761" s="12" t="str">
        <f t="shared" si="144"/>
        <v/>
      </c>
      <c r="B761" s="12" t="s">
        <v>18</v>
      </c>
      <c r="C761" s="12" t="s">
        <v>1481</v>
      </c>
      <c r="D761" s="16" t="s">
        <v>49</v>
      </c>
      <c r="E761" s="12" t="s">
        <v>70</v>
      </c>
      <c r="F761" s="12" t="s">
        <v>1482</v>
      </c>
      <c r="G761" s="13">
        <v>1865</v>
      </c>
      <c r="H761" s="13"/>
      <c r="I761" s="13"/>
      <c r="J761" s="13">
        <v>1857</v>
      </c>
      <c r="K761" s="13">
        <f t="shared" si="157"/>
        <v>0</v>
      </c>
      <c r="L761" s="13">
        <f t="shared" si="145"/>
        <v>1865</v>
      </c>
      <c r="M761" s="13" t="str">
        <f t="shared" si="146"/>
        <v/>
      </c>
      <c r="N761" s="13">
        <f t="shared" si="147"/>
        <v>1857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8" customFormat="1" ht="28.5" customHeight="1">
      <c r="A762" s="12" t="str">
        <f t="shared" si="144"/>
        <v/>
      </c>
      <c r="B762" s="12" t="s">
        <v>6</v>
      </c>
      <c r="C762" s="12" t="s">
        <v>1483</v>
      </c>
      <c r="D762" s="16" t="s">
        <v>49</v>
      </c>
      <c r="E762" s="12" t="s">
        <v>70</v>
      </c>
      <c r="F762" s="12" t="s">
        <v>1484</v>
      </c>
      <c r="G762" s="13">
        <v>1866</v>
      </c>
      <c r="H762" s="13"/>
      <c r="I762" s="13"/>
      <c r="J762" s="13">
        <v>1850</v>
      </c>
      <c r="K762" s="13">
        <v>0</v>
      </c>
      <c r="L762" s="13">
        <f t="shared" si="145"/>
        <v>1866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1489</v>
      </c>
      <c r="D763" s="16" t="s">
        <v>49</v>
      </c>
      <c r="E763" s="12" t="s">
        <v>26</v>
      </c>
      <c r="F763" s="12" t="s">
        <v>1490</v>
      </c>
      <c r="G763" s="13">
        <v>1867</v>
      </c>
      <c r="H763" s="13"/>
      <c r="I763" s="13"/>
      <c r="J763" s="13">
        <v>1867</v>
      </c>
      <c r="K763" s="13">
        <f t="shared" ref="K763:K786" si="158">IF(AND(IFERROR(SEARCH("현대오일뱅크",$C763),0)&gt;0,IFERROR(SEARCH("직영",$C763),0)&gt;0),$B$13,0)</f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12</v>
      </c>
      <c r="C764" s="12" t="s">
        <v>1493</v>
      </c>
      <c r="D764" s="16" t="s">
        <v>83</v>
      </c>
      <c r="E764" s="12" t="s">
        <v>70</v>
      </c>
      <c r="F764" s="12" t="s">
        <v>1494</v>
      </c>
      <c r="G764" s="13">
        <v>1868</v>
      </c>
      <c r="H764" s="13"/>
      <c r="I764" s="13"/>
      <c r="J764" s="13">
        <v>1848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1848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14</v>
      </c>
      <c r="C765" s="12" t="s">
        <v>1665</v>
      </c>
      <c r="D765" s="12" t="s">
        <v>83</v>
      </c>
      <c r="E765" s="12" t="s">
        <v>26</v>
      </c>
      <c r="F765" s="12" t="s">
        <v>1666</v>
      </c>
      <c r="G765" s="13">
        <v>1868</v>
      </c>
      <c r="H765" s="13"/>
      <c r="I765" s="13"/>
      <c r="J765" s="13">
        <v>1877</v>
      </c>
      <c r="K765" s="13">
        <f t="shared" si="158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1877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16</v>
      </c>
      <c r="C766" s="12" t="s">
        <v>1497</v>
      </c>
      <c r="D766" s="12" t="s">
        <v>83</v>
      </c>
      <c r="E766" s="12" t="s">
        <v>70</v>
      </c>
      <c r="F766" s="12" t="s">
        <v>1498</v>
      </c>
      <c r="G766" s="13">
        <v>1869</v>
      </c>
      <c r="H766" s="13"/>
      <c r="I766" s="13"/>
      <c r="J766" s="13">
        <v>1829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1829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1507</v>
      </c>
      <c r="D767" s="12" t="s">
        <v>83</v>
      </c>
      <c r="E767" s="12" t="s">
        <v>26</v>
      </c>
      <c r="F767" s="12" t="s">
        <v>1508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4"/>
        <v/>
      </c>
      <c r="B768" s="12" t="s">
        <v>18</v>
      </c>
      <c r="C768" s="12" t="s">
        <v>1509</v>
      </c>
      <c r="D768" s="12" t="s">
        <v>83</v>
      </c>
      <c r="E768" s="12" t="s">
        <v>26</v>
      </c>
      <c r="F768" s="12" t="s">
        <v>1510</v>
      </c>
      <c r="G768" s="13">
        <v>1869</v>
      </c>
      <c r="H768" s="13"/>
      <c r="I768" s="13"/>
      <c r="J768" s="13">
        <v>1833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1833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1545</v>
      </c>
      <c r="D769" s="12" t="s">
        <v>83</v>
      </c>
      <c r="E769" s="12" t="s">
        <v>26</v>
      </c>
      <c r="F769" s="12" t="s">
        <v>1546</v>
      </c>
      <c r="G769" s="13">
        <v>1869</v>
      </c>
      <c r="H769" s="13"/>
      <c r="I769" s="13"/>
      <c r="J769" s="13">
        <v>1834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1834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18</v>
      </c>
      <c r="C770" s="12" t="s">
        <v>1499</v>
      </c>
      <c r="D770" s="16" t="s">
        <v>49</v>
      </c>
      <c r="E770" s="12" t="s">
        <v>70</v>
      </c>
      <c r="F770" s="12" t="s">
        <v>1500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4"/>
        <v/>
      </c>
      <c r="B771" s="12" t="s">
        <v>14</v>
      </c>
      <c r="C771" s="12" t="s">
        <v>1501</v>
      </c>
      <c r="D771" s="12" t="s">
        <v>83</v>
      </c>
      <c r="E771" s="12" t="s">
        <v>26</v>
      </c>
      <c r="F771" s="12" t="s">
        <v>1502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8" customFormat="1" ht="28.5" customHeight="1">
      <c r="A772" s="12" t="str">
        <f t="shared" si="144"/>
        <v/>
      </c>
      <c r="B772" s="12" t="s">
        <v>14</v>
      </c>
      <c r="C772" s="12" t="s">
        <v>1503</v>
      </c>
      <c r="D772" s="12" t="s">
        <v>83</v>
      </c>
      <c r="E772" s="12" t="s">
        <v>26</v>
      </c>
      <c r="F772" s="12" t="s">
        <v>1504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1511</v>
      </c>
      <c r="D773" s="12" t="s">
        <v>83</v>
      </c>
      <c r="E773" s="12" t="s">
        <v>26</v>
      </c>
      <c r="F773" s="12" t="s">
        <v>1512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1513</v>
      </c>
      <c r="D774" s="12" t="s">
        <v>140</v>
      </c>
      <c r="E774" s="12" t="s">
        <v>70</v>
      </c>
      <c r="F774" s="12" t="s">
        <v>1514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1515</v>
      </c>
      <c r="D775" s="16" t="s">
        <v>52</v>
      </c>
      <c r="E775" s="12" t="s">
        <v>26</v>
      </c>
      <c r="F775" s="12" t="s">
        <v>1516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1517</v>
      </c>
      <c r="D776" s="16" t="s">
        <v>49</v>
      </c>
      <c r="E776" s="12" t="s">
        <v>26</v>
      </c>
      <c r="F776" s="12" t="s">
        <v>1518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17" customFormat="1" ht="28.5" customHeight="1">
      <c r="A777" s="12" t="str">
        <f t="shared" si="144"/>
        <v/>
      </c>
      <c r="B777" s="12" t="s">
        <v>14</v>
      </c>
      <c r="C777" s="12" t="s">
        <v>1505</v>
      </c>
      <c r="D777" s="16" t="s">
        <v>49</v>
      </c>
      <c r="E777" s="12" t="s">
        <v>70</v>
      </c>
      <c r="F777" s="12" t="s">
        <v>1506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8" customFormat="1" ht="28.5" customHeight="1">
      <c r="A778" s="12" t="str">
        <f t="shared" si="144"/>
        <v/>
      </c>
      <c r="B778" s="12" t="s">
        <v>14</v>
      </c>
      <c r="C778" s="12" t="s">
        <v>1519</v>
      </c>
      <c r="D778" s="12" t="s">
        <v>140</v>
      </c>
      <c r="E778" s="12" t="s">
        <v>26</v>
      </c>
      <c r="F778" s="12" t="s">
        <v>1520</v>
      </c>
      <c r="G778" s="13">
        <v>1869</v>
      </c>
      <c r="H778" s="13"/>
      <c r="I778" s="13"/>
      <c r="J778" s="13">
        <v>1869</v>
      </c>
      <c r="K778" s="13">
        <f t="shared" si="158"/>
        <v>0</v>
      </c>
      <c r="L778" s="13">
        <f t="shared" si="145"/>
        <v>1869</v>
      </c>
      <c r="M778" s="13" t="str">
        <f t="shared" si="146"/>
        <v/>
      </c>
      <c r="N778" s="13">
        <f t="shared" si="147"/>
        <v>1869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1521</v>
      </c>
      <c r="D779" s="16" t="s">
        <v>52</v>
      </c>
      <c r="E779" s="12" t="s">
        <v>26</v>
      </c>
      <c r="F779" s="12" t="s">
        <v>1522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16</v>
      </c>
      <c r="C780" s="12" t="s">
        <v>1525</v>
      </c>
      <c r="D780" s="12" t="s">
        <v>140</v>
      </c>
      <c r="E780" s="12" t="s">
        <v>70</v>
      </c>
      <c r="F780" s="12" t="s">
        <v>1526</v>
      </c>
      <c r="G780" s="13">
        <v>1870</v>
      </c>
      <c r="H780" s="13"/>
      <c r="I780" s="13"/>
      <c r="J780" s="13">
        <v>1830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1830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17" customFormat="1" ht="28.5" customHeight="1">
      <c r="A781" s="12" t="str">
        <f t="shared" si="144"/>
        <v/>
      </c>
      <c r="B781" s="12" t="s">
        <v>8</v>
      </c>
      <c r="C781" s="12" t="s">
        <v>1529</v>
      </c>
      <c r="D781" s="12" t="s">
        <v>140</v>
      </c>
      <c r="E781" s="12" t="s">
        <v>70</v>
      </c>
      <c r="F781" s="12" t="s">
        <v>1530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12</v>
      </c>
      <c r="C782" s="12" t="s">
        <v>1531</v>
      </c>
      <c r="D782" s="16" t="s">
        <v>49</v>
      </c>
      <c r="E782" s="12" t="s">
        <v>70</v>
      </c>
      <c r="F782" s="12" t="s">
        <v>1532</v>
      </c>
      <c r="G782" s="13">
        <v>1870</v>
      </c>
      <c r="H782" s="13"/>
      <c r="I782" s="13"/>
      <c r="J782" s="13">
        <v>1850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1850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IF($T783="","",1+COUNTIF($W$15:$W$884,"&lt;"&amp;W783))</f>
        <v/>
      </c>
      <c r="B783" s="12" t="s">
        <v>10</v>
      </c>
      <c r="C783" s="12" t="s">
        <v>1533</v>
      </c>
      <c r="D783" s="16" t="s">
        <v>52</v>
      </c>
      <c r="E783" s="12" t="s">
        <v>70</v>
      </c>
      <c r="F783" s="12" t="s">
        <v>1534</v>
      </c>
      <c r="G783" s="13">
        <v>1870</v>
      </c>
      <c r="H783" s="13"/>
      <c r="I783" s="13"/>
      <c r="J783" s="13">
        <v>1860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1860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18</v>
      </c>
      <c r="C784" s="12" t="s">
        <v>1535</v>
      </c>
      <c r="D784" s="12" t="s">
        <v>140</v>
      </c>
      <c r="E784" s="12" t="s">
        <v>70</v>
      </c>
      <c r="F784" s="12" t="s">
        <v>1536</v>
      </c>
      <c r="G784" s="13">
        <v>1870</v>
      </c>
      <c r="H784" s="13"/>
      <c r="I784" s="13"/>
      <c r="J784" s="13">
        <v>1870</v>
      </c>
      <c r="K784" s="13">
        <f t="shared" si="158"/>
        <v>0</v>
      </c>
      <c r="L784" s="13">
        <f t="shared" si="160"/>
        <v>1870</v>
      </c>
      <c r="M784" s="13" t="str">
        <f t="shared" si="161"/>
        <v/>
      </c>
      <c r="N784" s="13">
        <f t="shared" si="162"/>
        <v>1870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1537</v>
      </c>
      <c r="D785" s="16" t="s">
        <v>49</v>
      </c>
      <c r="E785" s="12" t="s">
        <v>26</v>
      </c>
      <c r="F785" s="12" t="s">
        <v>1538</v>
      </c>
      <c r="G785" s="13">
        <v>2080</v>
      </c>
      <c r="H785" s="13"/>
      <c r="I785" s="13"/>
      <c r="J785" s="13">
        <v>1817</v>
      </c>
      <c r="K785" s="13">
        <f t="shared" si="158"/>
        <v>0</v>
      </c>
      <c r="L785" s="13">
        <f t="shared" si="160"/>
        <v>2080</v>
      </c>
      <c r="M785" s="13" t="str">
        <f t="shared" si="161"/>
        <v/>
      </c>
      <c r="N785" s="13">
        <f t="shared" si="162"/>
        <v>1817</v>
      </c>
      <c r="O785" s="13" t="str">
        <f t="shared" si="163"/>
        <v/>
      </c>
      <c r="P785" s="13" t="str">
        <f t="shared" si="164"/>
        <v/>
      </c>
      <c r="Q785" s="13" t="s">
        <v>47</v>
      </c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6</v>
      </c>
      <c r="C786" s="12" t="s">
        <v>1470</v>
      </c>
      <c r="D786" s="16" t="s">
        <v>49</v>
      </c>
      <c r="E786" s="12" t="s">
        <v>26</v>
      </c>
      <c r="F786" s="12" t="s">
        <v>1471</v>
      </c>
      <c r="G786" s="13">
        <v>1872</v>
      </c>
      <c r="H786" s="13"/>
      <c r="I786" s="13"/>
      <c r="J786" s="13">
        <v>1872</v>
      </c>
      <c r="K786" s="13">
        <f t="shared" si="158"/>
        <v>0</v>
      </c>
      <c r="L786" s="13">
        <f t="shared" si="160"/>
        <v>1872</v>
      </c>
      <c r="M786" s="13" t="str">
        <f t="shared" si="161"/>
        <v/>
      </c>
      <c r="N786" s="13">
        <f t="shared" si="162"/>
        <v>1872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10</v>
      </c>
      <c r="C787" s="12" t="s">
        <v>1539</v>
      </c>
      <c r="D787" s="16" t="s">
        <v>49</v>
      </c>
      <c r="E787" s="12" t="s">
        <v>70</v>
      </c>
      <c r="F787" s="12" t="s">
        <v>1540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1854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18</v>
      </c>
      <c r="C788" s="12" t="s">
        <v>1541</v>
      </c>
      <c r="D788" s="16" t="s">
        <v>49</v>
      </c>
      <c r="E788" s="12" t="s">
        <v>26</v>
      </c>
      <c r="F788" s="12" t="s">
        <v>1542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1874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14</v>
      </c>
      <c r="C789" s="12" t="s">
        <v>1543</v>
      </c>
      <c r="D789" s="16" t="s">
        <v>52</v>
      </c>
      <c r="E789" s="12" t="s">
        <v>26</v>
      </c>
      <c r="F789" s="12" t="s">
        <v>1544</v>
      </c>
      <c r="G789" s="13">
        <v>1874</v>
      </c>
      <c r="H789" s="13"/>
      <c r="I789" s="13"/>
      <c r="J789" s="13">
        <v>1857</v>
      </c>
      <c r="K789" s="13">
        <f>IF(AND(IFERROR(SEARCH("현대오일뱅크",$C789),0)&gt;0,IFERROR(SEARCH("직영",$C789),0)&gt;0),$B$13,0)</f>
        <v>0</v>
      </c>
      <c r="L789" s="13">
        <f t="shared" si="160"/>
        <v>1874</v>
      </c>
      <c r="M789" s="13" t="str">
        <f t="shared" si="161"/>
        <v/>
      </c>
      <c r="N789" s="13">
        <f t="shared" si="162"/>
        <v>1857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8</v>
      </c>
      <c r="C790" s="12" t="s">
        <v>1547</v>
      </c>
      <c r="D790" s="12" t="s">
        <v>140</v>
      </c>
      <c r="E790" s="12" t="s">
        <v>26</v>
      </c>
      <c r="F790" s="12" t="s">
        <v>1548</v>
      </c>
      <c r="G790" s="13">
        <v>1875</v>
      </c>
      <c r="H790" s="13"/>
      <c r="I790" s="13"/>
      <c r="J790" s="13">
        <v>1855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1855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17" customFormat="1" ht="28.5" customHeight="1">
      <c r="A791" s="12" t="str">
        <f t="shared" si="159"/>
        <v/>
      </c>
      <c r="B791" s="12" t="s">
        <v>8</v>
      </c>
      <c r="C791" s="12" t="s">
        <v>1550</v>
      </c>
      <c r="D791" s="12" t="s">
        <v>140</v>
      </c>
      <c r="E791" s="12" t="s">
        <v>70</v>
      </c>
      <c r="F791" s="12" t="s">
        <v>1551</v>
      </c>
      <c r="G791" s="13">
        <v>1875</v>
      </c>
      <c r="H791" s="13"/>
      <c r="I791" s="13"/>
      <c r="J791" s="13">
        <v>1859</v>
      </c>
      <c r="K791" s="13">
        <f>IF(AND(IFERROR(SEARCH("현대오일뱅크",$C791),0)&gt;0,IFERROR(SEARCH("직영",$C791),0)&gt;0),$B$13,0)</f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1859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14</v>
      </c>
      <c r="C792" s="12" t="s">
        <v>1552</v>
      </c>
      <c r="D792" s="12" t="s">
        <v>83</v>
      </c>
      <c r="E792" s="12" t="s">
        <v>26</v>
      </c>
      <c r="F792" s="12" t="s">
        <v>1553</v>
      </c>
      <c r="G792" s="13">
        <v>1875</v>
      </c>
      <c r="H792" s="13"/>
      <c r="I792" s="13"/>
      <c r="J792" s="13">
        <v>1868</v>
      </c>
      <c r="K792" s="13">
        <f>IF(AND(IFERROR(SEARCH("현대오일뱅크",$C792),0)&gt;0,IFERROR(SEARCH("직영",$C792),0)&gt;0),$B$13,0)</f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1868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12</v>
      </c>
      <c r="C793" s="12" t="s">
        <v>1554</v>
      </c>
      <c r="D793" s="16" t="s">
        <v>49</v>
      </c>
      <c r="E793" s="12" t="s">
        <v>70</v>
      </c>
      <c r="F793" s="12" t="s">
        <v>1555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12</v>
      </c>
      <c r="C794" s="12" t="s">
        <v>1556</v>
      </c>
      <c r="D794" s="16" t="s">
        <v>49</v>
      </c>
      <c r="E794" s="12" t="s">
        <v>70</v>
      </c>
      <c r="F794" s="12" t="s">
        <v>1557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1870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17" customFormat="1" ht="28.5" customHeight="1">
      <c r="A795" s="12" t="str">
        <f t="shared" si="159"/>
        <v/>
      </c>
      <c r="B795" s="12" t="s">
        <v>12</v>
      </c>
      <c r="C795" s="12" t="s">
        <v>1558</v>
      </c>
      <c r="D795" s="16" t="s">
        <v>49</v>
      </c>
      <c r="E795" s="12" t="s">
        <v>70</v>
      </c>
      <c r="F795" s="12" t="s">
        <v>1559</v>
      </c>
      <c r="G795" s="13">
        <v>1875</v>
      </c>
      <c r="H795" s="13"/>
      <c r="I795" s="13"/>
      <c r="J795" s="13">
        <v>1870</v>
      </c>
      <c r="K795" s="13">
        <v>0</v>
      </c>
      <c r="L795" s="13">
        <f t="shared" si="160"/>
        <v>1875</v>
      </c>
      <c r="M795" s="13" t="str">
        <f t="shared" si="161"/>
        <v/>
      </c>
      <c r="N795" s="13">
        <f t="shared" si="162"/>
        <v>1870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6</v>
      </c>
      <c r="C796" s="12" t="s">
        <v>1560</v>
      </c>
      <c r="D796" s="16" t="s">
        <v>49</v>
      </c>
      <c r="E796" s="12" t="s">
        <v>26</v>
      </c>
      <c r="F796" s="12" t="s">
        <v>1561</v>
      </c>
      <c r="G796" s="13">
        <v>1875</v>
      </c>
      <c r="H796" s="13"/>
      <c r="I796" s="13"/>
      <c r="J796" s="13">
        <v>1875</v>
      </c>
      <c r="K796" s="13">
        <f t="shared" ref="K796:K827" si="171">IF(AND(IFERROR(SEARCH("현대오일뱅크",$C796),0)&gt;0,IFERROR(SEARCH("직영",$C796),0)&gt;0),$B$13,0)</f>
        <v>0</v>
      </c>
      <c r="L796" s="13">
        <f t="shared" si="160"/>
        <v>1875</v>
      </c>
      <c r="M796" s="13" t="str">
        <f t="shared" si="161"/>
        <v/>
      </c>
      <c r="N796" s="13">
        <f t="shared" si="162"/>
        <v>1875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2" customFormat="1" ht="28.5" customHeight="1">
      <c r="A797" s="12" t="str">
        <f t="shared" si="159"/>
        <v/>
      </c>
      <c r="B797" s="12" t="s">
        <v>12</v>
      </c>
      <c r="C797" s="12" t="s">
        <v>1564</v>
      </c>
      <c r="D797" s="16" t="s">
        <v>52</v>
      </c>
      <c r="E797" s="12" t="s">
        <v>70</v>
      </c>
      <c r="F797" s="12" t="s">
        <v>1565</v>
      </c>
      <c r="G797" s="13">
        <v>1878</v>
      </c>
      <c r="H797" s="13"/>
      <c r="I797" s="13"/>
      <c r="J797" s="13">
        <v>1819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1819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18</v>
      </c>
      <c r="C798" s="12" t="s">
        <v>1661</v>
      </c>
      <c r="D798" s="12" t="s">
        <v>140</v>
      </c>
      <c r="E798" s="12" t="s">
        <v>70</v>
      </c>
      <c r="F798" s="12" t="s">
        <v>1662</v>
      </c>
      <c r="G798" s="13">
        <v>1878</v>
      </c>
      <c r="H798" s="13"/>
      <c r="I798" s="13"/>
      <c r="J798" s="13">
        <v>1848</v>
      </c>
      <c r="K798" s="13">
        <f t="shared" si="171"/>
        <v>0</v>
      </c>
      <c r="L798" s="13">
        <f t="shared" si="160"/>
        <v>1878</v>
      </c>
      <c r="M798" s="13" t="str">
        <f t="shared" si="161"/>
        <v/>
      </c>
      <c r="N798" s="13">
        <f t="shared" si="162"/>
        <v>1848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17" customFormat="1" ht="28.5" customHeight="1">
      <c r="A799" s="12" t="str">
        <f t="shared" si="159"/>
        <v/>
      </c>
      <c r="B799" s="12" t="s">
        <v>14</v>
      </c>
      <c r="C799" s="12" t="s">
        <v>1566</v>
      </c>
      <c r="D799" s="12" t="s">
        <v>83</v>
      </c>
      <c r="E799" s="12" t="s">
        <v>26</v>
      </c>
      <c r="F799" s="12" t="s">
        <v>1567</v>
      </c>
      <c r="G799" s="13">
        <v>1878</v>
      </c>
      <c r="H799" s="13"/>
      <c r="I799" s="13"/>
      <c r="J799" s="13">
        <v>1878</v>
      </c>
      <c r="K799" s="13">
        <f t="shared" si="171"/>
        <v>0</v>
      </c>
      <c r="L799" s="13">
        <f t="shared" si="160"/>
        <v>1878</v>
      </c>
      <c r="M799" s="13" t="str">
        <f t="shared" si="161"/>
        <v/>
      </c>
      <c r="N799" s="13">
        <f t="shared" si="162"/>
        <v>1878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1568</v>
      </c>
      <c r="D800" s="12" t="s">
        <v>83</v>
      </c>
      <c r="E800" s="12" t="s">
        <v>26</v>
      </c>
      <c r="F800" s="12" t="s">
        <v>1569</v>
      </c>
      <c r="G800" s="13">
        <v>1879</v>
      </c>
      <c r="H800" s="13"/>
      <c r="I800" s="13"/>
      <c r="J800" s="13">
        <v>1865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1865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14</v>
      </c>
      <c r="C801" s="12" t="s">
        <v>1570</v>
      </c>
      <c r="D801" s="16" t="s">
        <v>61</v>
      </c>
      <c r="E801" s="12" t="s">
        <v>26</v>
      </c>
      <c r="F801" s="12" t="s">
        <v>1571</v>
      </c>
      <c r="G801" s="13">
        <v>1879</v>
      </c>
      <c r="H801" s="13"/>
      <c r="I801" s="13"/>
      <c r="J801" s="13">
        <v>1865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1865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18</v>
      </c>
      <c r="C802" s="12" t="s">
        <v>1572</v>
      </c>
      <c r="D802" s="16" t="s">
        <v>52</v>
      </c>
      <c r="E802" s="12" t="s">
        <v>26</v>
      </c>
      <c r="F802" s="12" t="s">
        <v>1573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14</v>
      </c>
      <c r="C803" s="12" t="s">
        <v>1574</v>
      </c>
      <c r="D803" s="16" t="s">
        <v>49</v>
      </c>
      <c r="E803" s="12" t="s">
        <v>70</v>
      </c>
      <c r="F803" s="12" t="s">
        <v>1575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17" customFormat="1" ht="28.5" customHeight="1">
      <c r="A804" s="12" t="str">
        <f t="shared" si="159"/>
        <v/>
      </c>
      <c r="B804" s="12" t="s">
        <v>14</v>
      </c>
      <c r="C804" s="12" t="s">
        <v>1576</v>
      </c>
      <c r="D804" s="16" t="s">
        <v>49</v>
      </c>
      <c r="E804" s="12" t="s">
        <v>70</v>
      </c>
      <c r="F804" s="12" t="s">
        <v>1577</v>
      </c>
      <c r="G804" s="13">
        <v>1879</v>
      </c>
      <c r="H804" s="13"/>
      <c r="I804" s="13"/>
      <c r="J804" s="13">
        <v>1869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1869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8" customFormat="1" ht="28.5" customHeight="1">
      <c r="A805" s="12" t="str">
        <f t="shared" si="159"/>
        <v/>
      </c>
      <c r="B805" s="12" t="s">
        <v>14</v>
      </c>
      <c r="C805" s="12" t="s">
        <v>1578</v>
      </c>
      <c r="D805" s="16" t="s">
        <v>49</v>
      </c>
      <c r="E805" s="12" t="s">
        <v>70</v>
      </c>
      <c r="F805" s="12" t="s">
        <v>1579</v>
      </c>
      <c r="G805" s="13">
        <v>1879</v>
      </c>
      <c r="H805" s="13"/>
      <c r="I805" s="13"/>
      <c r="J805" s="13">
        <v>1879</v>
      </c>
      <c r="K805" s="13">
        <f t="shared" si="171"/>
        <v>0</v>
      </c>
      <c r="L805" s="13">
        <f t="shared" si="160"/>
        <v>1879</v>
      </c>
      <c r="M805" s="13" t="str">
        <f t="shared" si="161"/>
        <v/>
      </c>
      <c r="N805" s="13">
        <f t="shared" si="162"/>
        <v>1879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8" customFormat="1" ht="28.5" customHeight="1">
      <c r="A806" s="12" t="str">
        <f t="shared" si="159"/>
        <v/>
      </c>
      <c r="B806" s="12" t="s">
        <v>16</v>
      </c>
      <c r="C806" s="12" t="s">
        <v>1582</v>
      </c>
      <c r="D806" s="12" t="s">
        <v>83</v>
      </c>
      <c r="E806" s="12" t="s">
        <v>26</v>
      </c>
      <c r="F806" s="12" t="s">
        <v>1583</v>
      </c>
      <c r="G806" s="13">
        <v>1885</v>
      </c>
      <c r="H806" s="13"/>
      <c r="I806" s="13"/>
      <c r="J806" s="13">
        <v>1825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1825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18</v>
      </c>
      <c r="C807" s="12" t="s">
        <v>1651</v>
      </c>
      <c r="D807" s="16" t="s">
        <v>49</v>
      </c>
      <c r="E807" s="12" t="s">
        <v>70</v>
      </c>
      <c r="F807" s="12" t="s">
        <v>1652</v>
      </c>
      <c r="G807" s="13">
        <v>1885</v>
      </c>
      <c r="H807" s="13"/>
      <c r="I807" s="13"/>
      <c r="J807" s="13">
        <v>1850</v>
      </c>
      <c r="K807" s="13">
        <f t="shared" si="171"/>
        <v>0</v>
      </c>
      <c r="L807" s="13">
        <f t="shared" si="160"/>
        <v>1885</v>
      </c>
      <c r="M807" s="13" t="str">
        <f t="shared" si="161"/>
        <v/>
      </c>
      <c r="N807" s="13">
        <f t="shared" si="162"/>
        <v>1850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14</v>
      </c>
      <c r="C808" s="12" t="s">
        <v>1586</v>
      </c>
      <c r="D808" s="16" t="s">
        <v>49</v>
      </c>
      <c r="E808" s="12" t="s">
        <v>70</v>
      </c>
      <c r="F808" s="12" t="s">
        <v>1587</v>
      </c>
      <c r="G808" s="13">
        <v>1886</v>
      </c>
      <c r="H808" s="13"/>
      <c r="I808" s="13"/>
      <c r="J808" s="13">
        <v>1856</v>
      </c>
      <c r="K808" s="13">
        <f t="shared" si="171"/>
        <v>0</v>
      </c>
      <c r="L808" s="13">
        <f t="shared" si="160"/>
        <v>1886</v>
      </c>
      <c r="M808" s="13" t="str">
        <f t="shared" si="161"/>
        <v/>
      </c>
      <c r="N808" s="13">
        <f t="shared" si="162"/>
        <v>1856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8" customFormat="1" ht="28.5" customHeight="1">
      <c r="A809" s="12" t="str">
        <f t="shared" si="159"/>
        <v/>
      </c>
      <c r="B809" s="12" t="s">
        <v>12</v>
      </c>
      <c r="C809" s="12" t="s">
        <v>1594</v>
      </c>
      <c r="D809" s="16" t="s">
        <v>83</v>
      </c>
      <c r="E809" s="12" t="s">
        <v>26</v>
      </c>
      <c r="F809" s="12" t="s">
        <v>1595</v>
      </c>
      <c r="G809" s="13">
        <v>1887</v>
      </c>
      <c r="H809" s="13"/>
      <c r="I809" s="13"/>
      <c r="J809" s="13">
        <v>1827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1827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17" customFormat="1" ht="28.5" customHeight="1">
      <c r="A810" s="12" t="str">
        <f t="shared" si="159"/>
        <v/>
      </c>
      <c r="B810" s="12" t="s">
        <v>18</v>
      </c>
      <c r="C810" s="12" t="s">
        <v>1588</v>
      </c>
      <c r="D810" s="12" t="s">
        <v>83</v>
      </c>
      <c r="E810" s="12" t="s">
        <v>70</v>
      </c>
      <c r="F810" s="12" t="s">
        <v>1589</v>
      </c>
      <c r="G810" s="13">
        <v>1887</v>
      </c>
      <c r="H810" s="13"/>
      <c r="I810" s="13"/>
      <c r="J810" s="13">
        <v>1837</v>
      </c>
      <c r="K810" s="13">
        <f t="shared" si="171"/>
        <v>0</v>
      </c>
      <c r="L810" s="13">
        <f t="shared" si="160"/>
        <v>1887</v>
      </c>
      <c r="M810" s="13" t="str">
        <f t="shared" si="161"/>
        <v/>
      </c>
      <c r="N810" s="13">
        <f t="shared" si="162"/>
        <v>1837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8" customFormat="1" ht="28.5" customHeight="1">
      <c r="A811" s="12" t="str">
        <f t="shared" si="159"/>
        <v/>
      </c>
      <c r="B811" s="12" t="s">
        <v>10</v>
      </c>
      <c r="C811" s="12" t="s">
        <v>1590</v>
      </c>
      <c r="D811" s="16" t="s">
        <v>61</v>
      </c>
      <c r="E811" s="12" t="s">
        <v>70</v>
      </c>
      <c r="F811" s="12" t="s">
        <v>1591</v>
      </c>
      <c r="G811" s="13">
        <v>1888</v>
      </c>
      <c r="H811" s="13"/>
      <c r="I811" s="13"/>
      <c r="J811" s="13">
        <v>1878</v>
      </c>
      <c r="K811" s="13">
        <f t="shared" si="171"/>
        <v>0</v>
      </c>
      <c r="L811" s="13">
        <f t="shared" si="160"/>
        <v>1888</v>
      </c>
      <c r="M811" s="13" t="str">
        <f t="shared" si="161"/>
        <v/>
      </c>
      <c r="N811" s="13">
        <f t="shared" si="162"/>
        <v>1878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1592</v>
      </c>
      <c r="D812" s="16" t="s">
        <v>52</v>
      </c>
      <c r="E812" s="12" t="s">
        <v>70</v>
      </c>
      <c r="F812" s="12" t="s">
        <v>1593</v>
      </c>
      <c r="G812" s="13">
        <v>1889</v>
      </c>
      <c r="H812" s="13"/>
      <c r="I812" s="13"/>
      <c r="J812" s="13">
        <v>1818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1818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10</v>
      </c>
      <c r="C813" s="12" t="s">
        <v>1596</v>
      </c>
      <c r="D813" s="12" t="s">
        <v>83</v>
      </c>
      <c r="E813" s="12" t="s">
        <v>26</v>
      </c>
      <c r="F813" s="12" t="s">
        <v>1597</v>
      </c>
      <c r="G813" s="13">
        <v>1889</v>
      </c>
      <c r="H813" s="13"/>
      <c r="I813" s="13"/>
      <c r="J813" s="13">
        <v>1859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1859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1598</v>
      </c>
      <c r="D814" s="12" t="s">
        <v>140</v>
      </c>
      <c r="E814" s="12" t="s">
        <v>70</v>
      </c>
      <c r="F814" s="12" t="s">
        <v>1599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14</v>
      </c>
      <c r="C815" s="12" t="s">
        <v>1600</v>
      </c>
      <c r="D815" s="16" t="s">
        <v>49</v>
      </c>
      <c r="E815" s="12" t="s">
        <v>70</v>
      </c>
      <c r="F815" s="12" t="s">
        <v>1601</v>
      </c>
      <c r="G815" s="13">
        <v>1889</v>
      </c>
      <c r="H815" s="13"/>
      <c r="I815" s="13"/>
      <c r="J815" s="13">
        <v>1869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1869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12</v>
      </c>
      <c r="C816" s="12" t="s">
        <v>1602</v>
      </c>
      <c r="D816" s="16" t="s">
        <v>61</v>
      </c>
      <c r="E816" s="12" t="s">
        <v>70</v>
      </c>
      <c r="F816" s="12" t="s">
        <v>1603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1760</v>
      </c>
      <c r="D817" s="12" t="s">
        <v>49</v>
      </c>
      <c r="E817" s="12" t="s">
        <v>26</v>
      </c>
      <c r="F817" s="12" t="s">
        <v>1761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10</v>
      </c>
      <c r="C818" s="12" t="s">
        <v>1604</v>
      </c>
      <c r="D818" s="16" t="s">
        <v>61</v>
      </c>
      <c r="E818" s="12" t="s">
        <v>70</v>
      </c>
      <c r="F818" s="12" t="s">
        <v>1605</v>
      </c>
      <c r="G818" s="13">
        <v>1889</v>
      </c>
      <c r="H818" s="13"/>
      <c r="I818" s="13"/>
      <c r="J818" s="13">
        <v>1879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1879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2" customFormat="1" ht="28.5" customHeight="1">
      <c r="A819" s="12" t="str">
        <f t="shared" si="159"/>
        <v/>
      </c>
      <c r="B819" s="12" t="s">
        <v>18</v>
      </c>
      <c r="C819" s="12" t="s">
        <v>1606</v>
      </c>
      <c r="D819" s="12" t="s">
        <v>140</v>
      </c>
      <c r="E819" s="12" t="s">
        <v>70</v>
      </c>
      <c r="F819" s="12" t="s">
        <v>1607</v>
      </c>
      <c r="G819" s="13">
        <v>1889</v>
      </c>
      <c r="H819" s="13"/>
      <c r="I819" s="13"/>
      <c r="J819" s="13">
        <v>1889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1889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17" customFormat="1" ht="28.5" customHeight="1">
      <c r="A820" s="12" t="str">
        <f t="shared" si="159"/>
        <v/>
      </c>
      <c r="B820" s="12" t="s">
        <v>10</v>
      </c>
      <c r="C820" s="12" t="s">
        <v>1608</v>
      </c>
      <c r="D820" s="16" t="s">
        <v>49</v>
      </c>
      <c r="E820" s="12" t="s">
        <v>26</v>
      </c>
      <c r="F820" s="12" t="s">
        <v>1609</v>
      </c>
      <c r="G820" s="13">
        <v>1889</v>
      </c>
      <c r="H820" s="13"/>
      <c r="I820" s="13"/>
      <c r="J820" s="13">
        <v>1899</v>
      </c>
      <c r="K820" s="13">
        <f t="shared" si="171"/>
        <v>0</v>
      </c>
      <c r="L820" s="13">
        <f t="shared" si="160"/>
        <v>1889</v>
      </c>
      <c r="M820" s="13" t="str">
        <f t="shared" si="161"/>
        <v/>
      </c>
      <c r="N820" s="13">
        <f t="shared" si="162"/>
        <v>1899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18</v>
      </c>
      <c r="C821" s="12" t="s">
        <v>1634</v>
      </c>
      <c r="D821" s="16" t="s">
        <v>52</v>
      </c>
      <c r="E821" s="12" t="s">
        <v>26</v>
      </c>
      <c r="F821" s="12" t="s">
        <v>1635</v>
      </c>
      <c r="G821" s="13">
        <v>1890</v>
      </c>
      <c r="H821" s="13"/>
      <c r="I821" s="13"/>
      <c r="J821" s="13">
        <v>1845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1845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16</v>
      </c>
      <c r="C822" s="12" t="s">
        <v>1527</v>
      </c>
      <c r="D822" s="12" t="s">
        <v>140</v>
      </c>
      <c r="E822" s="12" t="s">
        <v>26</v>
      </c>
      <c r="F822" s="12" t="s">
        <v>1528</v>
      </c>
      <c r="G822" s="13">
        <v>1890</v>
      </c>
      <c r="H822" s="13"/>
      <c r="I822" s="13"/>
      <c r="J822" s="13">
        <v>1870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1870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17" customFormat="1" ht="28.5" customHeight="1">
      <c r="A823" s="12" t="str">
        <f t="shared" si="159"/>
        <v/>
      </c>
      <c r="B823" s="12" t="s">
        <v>16</v>
      </c>
      <c r="C823" s="12" t="s">
        <v>1612</v>
      </c>
      <c r="D823" s="12" t="s">
        <v>140</v>
      </c>
      <c r="E823" s="12" t="s">
        <v>70</v>
      </c>
      <c r="F823" s="12" t="s">
        <v>1613</v>
      </c>
      <c r="G823" s="13">
        <v>1890</v>
      </c>
      <c r="H823" s="13"/>
      <c r="I823" s="13"/>
      <c r="J823" s="13">
        <v>1870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1870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8" customFormat="1" ht="28.5" customHeight="1">
      <c r="A824" s="12" t="str">
        <f t="shared" si="159"/>
        <v/>
      </c>
      <c r="B824" s="12" t="s">
        <v>16</v>
      </c>
      <c r="C824" s="12" t="s">
        <v>1614</v>
      </c>
      <c r="D824" s="16" t="s">
        <v>52</v>
      </c>
      <c r="E824" s="12" t="s">
        <v>70</v>
      </c>
      <c r="F824" s="12" t="s">
        <v>1615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1880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1616</v>
      </c>
      <c r="D825" s="12" t="s">
        <v>140</v>
      </c>
      <c r="E825" s="12" t="s">
        <v>26</v>
      </c>
      <c r="F825" s="12" t="s">
        <v>1617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17" customFormat="1" ht="28.5" customHeight="1">
      <c r="A826" s="12" t="str">
        <f t="shared" si="159"/>
        <v/>
      </c>
      <c r="B826" s="12" t="s">
        <v>16</v>
      </c>
      <c r="C826" s="12" t="s">
        <v>1618</v>
      </c>
      <c r="D826" s="12" t="s">
        <v>140</v>
      </c>
      <c r="E826" s="12" t="s">
        <v>70</v>
      </c>
      <c r="F826" s="12" t="s">
        <v>1619</v>
      </c>
      <c r="G826" s="13">
        <v>1890</v>
      </c>
      <c r="H826" s="13"/>
      <c r="I826" s="13"/>
      <c r="J826" s="13">
        <v>1880</v>
      </c>
      <c r="K826" s="13">
        <f t="shared" si="171"/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8" customFormat="1" ht="28.5" customHeight="1">
      <c r="A827" s="12" t="str">
        <f t="shared" si="159"/>
        <v/>
      </c>
      <c r="B827" s="12" t="s">
        <v>16</v>
      </c>
      <c r="C827" s="12" t="s">
        <v>1620</v>
      </c>
      <c r="D827" s="12" t="s">
        <v>140</v>
      </c>
      <c r="E827" s="12" t="s">
        <v>70</v>
      </c>
      <c r="F827" s="12" t="s">
        <v>1621</v>
      </c>
      <c r="G827" s="13">
        <v>1890</v>
      </c>
      <c r="H827" s="13"/>
      <c r="I827" s="13"/>
      <c r="J827" s="13">
        <v>1880</v>
      </c>
      <c r="K827" s="13">
        <f t="shared" si="171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2" customFormat="1" ht="28.5" customHeight="1">
      <c r="A828" s="12" t="str">
        <f t="shared" si="159"/>
        <v/>
      </c>
      <c r="B828" s="12" t="s">
        <v>16</v>
      </c>
      <c r="C828" s="12" t="s">
        <v>1622</v>
      </c>
      <c r="D828" s="12" t="s">
        <v>140</v>
      </c>
      <c r="E828" s="12" t="s">
        <v>26</v>
      </c>
      <c r="F828" s="12" t="s">
        <v>1623</v>
      </c>
      <c r="G828" s="13">
        <v>1890</v>
      </c>
      <c r="H828" s="13"/>
      <c r="I828" s="13"/>
      <c r="J828" s="13">
        <v>1880</v>
      </c>
      <c r="K828" s="13">
        <f t="shared" ref="K828:K859" si="172">IF(AND(IFERROR(SEARCH("현대오일뱅크",$C828),0)&gt;0,IFERROR(SEARCH("직영",$C828),0)&gt;0),$B$13,0)</f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1880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8" customFormat="1" ht="28.5" customHeight="1">
      <c r="A829" s="12" t="str">
        <f t="shared" si="159"/>
        <v/>
      </c>
      <c r="B829" s="12" t="s">
        <v>18</v>
      </c>
      <c r="C829" s="12" t="s">
        <v>1624</v>
      </c>
      <c r="D829" s="12" t="s">
        <v>140</v>
      </c>
      <c r="E829" s="12" t="s">
        <v>70</v>
      </c>
      <c r="F829" s="12" t="s">
        <v>1625</v>
      </c>
      <c r="G829" s="13">
        <v>1890</v>
      </c>
      <c r="H829" s="13"/>
      <c r="I829" s="13"/>
      <c r="J829" s="13">
        <v>1890</v>
      </c>
      <c r="K829" s="13">
        <f t="shared" si="172"/>
        <v>0</v>
      </c>
      <c r="L829" s="13">
        <f t="shared" si="160"/>
        <v>1890</v>
      </c>
      <c r="M829" s="13" t="str">
        <f t="shared" si="161"/>
        <v/>
      </c>
      <c r="N829" s="13">
        <f t="shared" si="162"/>
        <v>1890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10</v>
      </c>
      <c r="C830" s="12" t="s">
        <v>1630</v>
      </c>
      <c r="D830" s="16" t="s">
        <v>52</v>
      </c>
      <c r="E830" s="12" t="s">
        <v>70</v>
      </c>
      <c r="F830" s="12" t="s">
        <v>1631</v>
      </c>
      <c r="G830" s="13">
        <v>1895</v>
      </c>
      <c r="H830" s="13"/>
      <c r="I830" s="13"/>
      <c r="J830" s="13">
        <v>1839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1839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18</v>
      </c>
      <c r="C831" s="12" t="s">
        <v>1632</v>
      </c>
      <c r="D831" s="12" t="s">
        <v>83</v>
      </c>
      <c r="E831" s="12" t="s">
        <v>70</v>
      </c>
      <c r="F831" s="12" t="s">
        <v>1633</v>
      </c>
      <c r="G831" s="13">
        <v>1895</v>
      </c>
      <c r="H831" s="13"/>
      <c r="I831" s="13"/>
      <c r="J831" s="13">
        <v>1869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1869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6</v>
      </c>
      <c r="C832" s="12" t="s">
        <v>1636</v>
      </c>
      <c r="D832" s="16" t="s">
        <v>49</v>
      </c>
      <c r="E832" s="12" t="s">
        <v>26</v>
      </c>
      <c r="F832" s="12" t="s">
        <v>1637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17" customFormat="1" ht="28.5" customHeight="1">
      <c r="A833" s="12" t="str">
        <f t="shared" si="159"/>
        <v/>
      </c>
      <c r="B833" s="12" t="s">
        <v>16</v>
      </c>
      <c r="C833" s="12" t="s">
        <v>1677</v>
      </c>
      <c r="D833" s="12" t="s">
        <v>83</v>
      </c>
      <c r="E833" s="12" t="s">
        <v>26</v>
      </c>
      <c r="F833" s="12" t="s">
        <v>1678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12</v>
      </c>
      <c r="C834" s="12" t="s">
        <v>1638</v>
      </c>
      <c r="D834" s="16" t="s">
        <v>83</v>
      </c>
      <c r="E834" s="12" t="s">
        <v>70</v>
      </c>
      <c r="F834" s="12" t="s">
        <v>1639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8" customFormat="1" ht="28.5" customHeight="1">
      <c r="A835" s="12" t="str">
        <f t="shared" si="159"/>
        <v/>
      </c>
      <c r="B835" s="12" t="s">
        <v>10</v>
      </c>
      <c r="C835" s="12" t="s">
        <v>519</v>
      </c>
      <c r="D835" s="16" t="s">
        <v>61</v>
      </c>
      <c r="E835" s="12" t="s">
        <v>70</v>
      </c>
      <c r="F835" s="12" t="s">
        <v>1646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10</v>
      </c>
      <c r="C836" s="12" t="s">
        <v>1647</v>
      </c>
      <c r="D836" s="12" t="s">
        <v>83</v>
      </c>
      <c r="E836" s="12" t="s">
        <v>70</v>
      </c>
      <c r="F836" s="12" t="s">
        <v>1648</v>
      </c>
      <c r="G836" s="13">
        <v>1895</v>
      </c>
      <c r="H836" s="13"/>
      <c r="I836" s="13"/>
      <c r="J836" s="13">
        <v>1875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1875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18</v>
      </c>
      <c r="C837" s="12" t="s">
        <v>1649</v>
      </c>
      <c r="D837" s="16" t="s">
        <v>49</v>
      </c>
      <c r="E837" s="12" t="s">
        <v>70</v>
      </c>
      <c r="F837" s="12" t="s">
        <v>1650</v>
      </c>
      <c r="G837" s="13">
        <v>1895</v>
      </c>
      <c r="H837" s="13"/>
      <c r="I837" s="13"/>
      <c r="J837" s="13">
        <v>1885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1885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10</v>
      </c>
      <c r="C838" s="12" t="s">
        <v>1653</v>
      </c>
      <c r="D838" s="16" t="s">
        <v>49</v>
      </c>
      <c r="E838" s="12" t="s">
        <v>70</v>
      </c>
      <c r="F838" s="12" t="s">
        <v>1654</v>
      </c>
      <c r="G838" s="13">
        <v>1895</v>
      </c>
      <c r="H838" s="13"/>
      <c r="I838" s="13"/>
      <c r="J838" s="13">
        <v>1885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1885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17" customFormat="1" ht="28.5" customHeight="1">
      <c r="A839" s="12" t="str">
        <f t="shared" si="159"/>
        <v/>
      </c>
      <c r="B839" s="12" t="s">
        <v>18</v>
      </c>
      <c r="C839" s="12" t="s">
        <v>1655</v>
      </c>
      <c r="D839" s="12" t="s">
        <v>140</v>
      </c>
      <c r="E839" s="12" t="s">
        <v>70</v>
      </c>
      <c r="F839" s="12" t="s">
        <v>1656</v>
      </c>
      <c r="G839" s="13">
        <v>1895</v>
      </c>
      <c r="H839" s="13"/>
      <c r="I839" s="13"/>
      <c r="J839" s="13">
        <v>1890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1890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8</v>
      </c>
      <c r="C840" s="12" t="s">
        <v>1657</v>
      </c>
      <c r="D840" s="16" t="s">
        <v>61</v>
      </c>
      <c r="E840" s="12" t="s">
        <v>70</v>
      </c>
      <c r="F840" s="12" t="s">
        <v>1658</v>
      </c>
      <c r="G840" s="13">
        <v>1895</v>
      </c>
      <c r="H840" s="13"/>
      <c r="I840" s="13"/>
      <c r="J840" s="13">
        <v>1895</v>
      </c>
      <c r="K840" s="13">
        <f t="shared" si="172"/>
        <v>0</v>
      </c>
      <c r="L840" s="13">
        <f t="shared" si="160"/>
        <v>1895</v>
      </c>
      <c r="M840" s="13" t="str">
        <f t="shared" si="161"/>
        <v/>
      </c>
      <c r="N840" s="13">
        <f t="shared" si="162"/>
        <v>1895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8" customFormat="1" ht="28.5" customHeight="1">
      <c r="A841" s="12" t="str">
        <f t="shared" si="159"/>
        <v/>
      </c>
      <c r="B841" s="12" t="s">
        <v>6</v>
      </c>
      <c r="C841" s="12" t="s">
        <v>717</v>
      </c>
      <c r="D841" s="16" t="s">
        <v>52</v>
      </c>
      <c r="E841" s="12" t="s">
        <v>26</v>
      </c>
      <c r="F841" s="12" t="s">
        <v>1435</v>
      </c>
      <c r="G841" s="13">
        <v>1897</v>
      </c>
      <c r="H841" s="13"/>
      <c r="I841" s="13"/>
      <c r="J841" s="13">
        <v>1877</v>
      </c>
      <c r="K841" s="13">
        <f t="shared" si="172"/>
        <v>0</v>
      </c>
      <c r="L841" s="13">
        <f t="shared" si="160"/>
        <v>1897</v>
      </c>
      <c r="M841" s="13" t="str">
        <f t="shared" si="161"/>
        <v/>
      </c>
      <c r="N841" s="13">
        <f t="shared" si="162"/>
        <v>1877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12</v>
      </c>
      <c r="C842" s="12" t="s">
        <v>1714</v>
      </c>
      <c r="D842" s="16" t="s">
        <v>61</v>
      </c>
      <c r="E842" s="12" t="s">
        <v>70</v>
      </c>
      <c r="F842" s="12" t="s">
        <v>1715</v>
      </c>
      <c r="G842" s="13">
        <v>1897</v>
      </c>
      <c r="H842" s="13"/>
      <c r="I842" s="13"/>
      <c r="J842" s="13">
        <v>1877</v>
      </c>
      <c r="K842" s="13">
        <f t="shared" si="172"/>
        <v>0</v>
      </c>
      <c r="L842" s="13">
        <f t="shared" si="160"/>
        <v>1897</v>
      </c>
      <c r="M842" s="13" t="str">
        <f t="shared" si="161"/>
        <v/>
      </c>
      <c r="N842" s="13">
        <f t="shared" si="162"/>
        <v>1877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1659</v>
      </c>
      <c r="D843" s="16" t="s">
        <v>52</v>
      </c>
      <c r="E843" s="12" t="s">
        <v>70</v>
      </c>
      <c r="F843" s="12" t="s">
        <v>1660</v>
      </c>
      <c r="G843" s="13">
        <v>1897</v>
      </c>
      <c r="H843" s="13"/>
      <c r="I843" s="13"/>
      <c r="J843" s="13">
        <v>1887</v>
      </c>
      <c r="K843" s="13">
        <f t="shared" si="172"/>
        <v>0</v>
      </c>
      <c r="L843" s="13">
        <f t="shared" si="160"/>
        <v>1897</v>
      </c>
      <c r="M843" s="13" t="str">
        <f t="shared" si="161"/>
        <v/>
      </c>
      <c r="N843" s="13">
        <f t="shared" si="162"/>
        <v>1887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1663</v>
      </c>
      <c r="D844" s="16" t="s">
        <v>52</v>
      </c>
      <c r="E844" s="12" t="s">
        <v>26</v>
      </c>
      <c r="F844" s="12" t="s">
        <v>1664</v>
      </c>
      <c r="G844" s="13">
        <v>1898</v>
      </c>
      <c r="H844" s="13"/>
      <c r="I844" s="13"/>
      <c r="J844" s="13">
        <v>1858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1858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12</v>
      </c>
      <c r="C845" s="12" t="s">
        <v>1667</v>
      </c>
      <c r="D845" s="16" t="s">
        <v>49</v>
      </c>
      <c r="E845" s="12" t="s">
        <v>26</v>
      </c>
      <c r="F845" s="12" t="s">
        <v>1668</v>
      </c>
      <c r="G845" s="13">
        <v>1898</v>
      </c>
      <c r="H845" s="13"/>
      <c r="I845" s="13"/>
      <c r="J845" s="13">
        <v>1878</v>
      </c>
      <c r="K845" s="13">
        <f t="shared" si="172"/>
        <v>0</v>
      </c>
      <c r="L845" s="13">
        <f t="shared" si="160"/>
        <v>1898</v>
      </c>
      <c r="M845" s="13" t="str">
        <f t="shared" si="161"/>
        <v/>
      </c>
      <c r="N845" s="13">
        <f t="shared" si="162"/>
        <v>1878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1669</v>
      </c>
      <c r="D846" s="12" t="s">
        <v>83</v>
      </c>
      <c r="E846" s="12" t="s">
        <v>70</v>
      </c>
      <c r="F846" s="12" t="s">
        <v>1670</v>
      </c>
      <c r="G846" s="13">
        <v>1898</v>
      </c>
      <c r="H846" s="13"/>
      <c r="I846" s="13"/>
      <c r="J846" s="13">
        <v>1881</v>
      </c>
      <c r="K846" s="13">
        <f t="shared" si="172"/>
        <v>0</v>
      </c>
      <c r="L846" s="13">
        <f t="shared" si="160"/>
        <v>1898</v>
      </c>
      <c r="M846" s="13" t="str">
        <f t="shared" si="161"/>
        <v/>
      </c>
      <c r="N846" s="13">
        <f t="shared" si="162"/>
        <v>1881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4" si="173">IF($T847="","",1+COUNTIF($W$15:$W$884,"&lt;"&amp;W847))</f>
        <v/>
      </c>
      <c r="B847" s="12" t="s">
        <v>16</v>
      </c>
      <c r="C847" s="12" t="s">
        <v>1671</v>
      </c>
      <c r="D847" s="16" t="s">
        <v>49</v>
      </c>
      <c r="E847" s="12" t="s">
        <v>26</v>
      </c>
      <c r="F847" s="12" t="s">
        <v>1672</v>
      </c>
      <c r="G847" s="13">
        <v>1899</v>
      </c>
      <c r="H847" s="13"/>
      <c r="I847" s="13"/>
      <c r="J847" s="13">
        <v>1849</v>
      </c>
      <c r="K847" s="13">
        <f t="shared" si="172"/>
        <v>0</v>
      </c>
      <c r="L847" s="13">
        <f t="shared" ref="L847:L884" si="174">IF($G847="","",$G847+$K847)</f>
        <v>1899</v>
      </c>
      <c r="M847" s="13" t="str">
        <f t="shared" ref="M847:M884" si="175">IF($H847="","",$H847+$K847)</f>
        <v/>
      </c>
      <c r="N847" s="13">
        <f t="shared" ref="N847:N884" si="176">IF($J847="","",$J847+$K847)</f>
        <v>1849</v>
      </c>
      <c r="O847" s="13" t="str">
        <f t="shared" ref="O847:O884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79">IF($P847="","",IF($Q847="Y",IFERROR(VLOOKUP($B847,$C$4:$D$13,2,FALSE()),0),0))</f>
        <v/>
      </c>
      <c r="S847" s="13" t="str">
        <f t="shared" ref="S847:S884" si="180">IF($P847="","",ROUNDDOWN($P847*$R847,0))</f>
        <v/>
      </c>
      <c r="T847" s="13" t="str">
        <f t="shared" ref="T847:T884" si="181">IF($P847="","",$P847-$S847)</f>
        <v/>
      </c>
      <c r="U847" s="13" t="str">
        <f t="shared" ref="U847:U884" si="182">IF($T847="","",IF($B$10=0,"",$T847/$B$10))</f>
        <v/>
      </c>
      <c r="V847" s="13" t="str">
        <f t="shared" ref="V847:V884" si="183">IF($P847="","",IF($B$10=0,"",$P847/$B$10))</f>
        <v/>
      </c>
      <c r="W847" s="15">
        <f t="shared" ref="W847:W884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14</v>
      </c>
      <c r="C848" s="12" t="s">
        <v>1673</v>
      </c>
      <c r="D848" s="12" t="s">
        <v>140</v>
      </c>
      <c r="E848" s="12" t="s">
        <v>26</v>
      </c>
      <c r="F848" s="12" t="s">
        <v>1674</v>
      </c>
      <c r="G848" s="13">
        <v>1899</v>
      </c>
      <c r="H848" s="13"/>
      <c r="I848" s="13"/>
      <c r="J848" s="13">
        <v>1869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1869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17" customFormat="1" ht="28.5" customHeight="1">
      <c r="A849" s="12" t="str">
        <f t="shared" si="173"/>
        <v/>
      </c>
      <c r="B849" s="12" t="s">
        <v>14</v>
      </c>
      <c r="C849" s="12" t="s">
        <v>1675</v>
      </c>
      <c r="D849" s="16" t="s">
        <v>52</v>
      </c>
      <c r="E849" s="12" t="s">
        <v>70</v>
      </c>
      <c r="F849" s="12" t="s">
        <v>1676</v>
      </c>
      <c r="G849" s="13">
        <v>1899</v>
      </c>
      <c r="H849" s="13"/>
      <c r="I849" s="13"/>
      <c r="J849" s="13">
        <v>1870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1870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10</v>
      </c>
      <c r="C850" s="12" t="s">
        <v>1679</v>
      </c>
      <c r="D850" s="16" t="s">
        <v>49</v>
      </c>
      <c r="E850" s="12" t="s">
        <v>26</v>
      </c>
      <c r="F850" s="12" t="s">
        <v>1680</v>
      </c>
      <c r="G850" s="13">
        <v>1899</v>
      </c>
      <c r="H850" s="13"/>
      <c r="I850" s="13"/>
      <c r="J850" s="13">
        <v>1879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1879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1681</v>
      </c>
      <c r="D851" s="16" t="s">
        <v>61</v>
      </c>
      <c r="E851" s="12" t="s">
        <v>26</v>
      </c>
      <c r="F851" s="12" t="s">
        <v>1682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14</v>
      </c>
      <c r="C852" s="12" t="s">
        <v>1683</v>
      </c>
      <c r="D852" s="12" t="s">
        <v>83</v>
      </c>
      <c r="E852" s="12" t="s">
        <v>26</v>
      </c>
      <c r="F852" s="12" t="s">
        <v>1684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14</v>
      </c>
      <c r="C853" s="12" t="s">
        <v>1685</v>
      </c>
      <c r="D853" s="12" t="s">
        <v>140</v>
      </c>
      <c r="E853" s="12" t="s">
        <v>70</v>
      </c>
      <c r="F853" s="12" t="s">
        <v>1686</v>
      </c>
      <c r="G853" s="13">
        <v>1899</v>
      </c>
      <c r="H853" s="13"/>
      <c r="I853" s="13"/>
      <c r="J853" s="13">
        <v>1889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8" customFormat="1" ht="28.5" customHeight="1">
      <c r="A854" s="12" t="str">
        <f t="shared" si="173"/>
        <v/>
      </c>
      <c r="B854" s="12" t="s">
        <v>10</v>
      </c>
      <c r="C854" s="12" t="s">
        <v>1687</v>
      </c>
      <c r="D854" s="16" t="s">
        <v>49</v>
      </c>
      <c r="E854" s="12" t="s">
        <v>70</v>
      </c>
      <c r="F854" s="12" t="s">
        <v>1688</v>
      </c>
      <c r="G854" s="13">
        <v>1899</v>
      </c>
      <c r="H854" s="13"/>
      <c r="I854" s="13"/>
      <c r="J854" s="13">
        <v>1889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1889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6</v>
      </c>
      <c r="C855" s="12" t="s">
        <v>1689</v>
      </c>
      <c r="D855" s="16" t="s">
        <v>49</v>
      </c>
      <c r="E855" s="12" t="s">
        <v>26</v>
      </c>
      <c r="F855" s="12" t="s">
        <v>1690</v>
      </c>
      <c r="G855" s="13">
        <v>1899</v>
      </c>
      <c r="H855" s="13"/>
      <c r="I855" s="13"/>
      <c r="J855" s="13">
        <v>1894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1894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14</v>
      </c>
      <c r="C856" s="12" t="s">
        <v>1691</v>
      </c>
      <c r="D856" s="16" t="s">
        <v>49</v>
      </c>
      <c r="E856" s="12" t="s">
        <v>26</v>
      </c>
      <c r="F856" s="12" t="s">
        <v>1692</v>
      </c>
      <c r="G856" s="13">
        <v>1899</v>
      </c>
      <c r="H856" s="13"/>
      <c r="I856" s="13"/>
      <c r="J856" s="13">
        <v>1895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1895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12</v>
      </c>
      <c r="C857" s="12" t="s">
        <v>1693</v>
      </c>
      <c r="D857" s="16" t="s">
        <v>49</v>
      </c>
      <c r="E857" s="12" t="s">
        <v>70</v>
      </c>
      <c r="F857" s="12" t="s">
        <v>1694</v>
      </c>
      <c r="G857" s="13">
        <v>1899</v>
      </c>
      <c r="H857" s="13"/>
      <c r="I857" s="13"/>
      <c r="J857" s="13">
        <v>1898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17" customFormat="1" ht="28.5" customHeight="1">
      <c r="A858" s="12" t="str">
        <f t="shared" si="173"/>
        <v/>
      </c>
      <c r="B858" s="12" t="s">
        <v>10</v>
      </c>
      <c r="C858" s="12" t="s">
        <v>1695</v>
      </c>
      <c r="D858" s="16" t="s">
        <v>49</v>
      </c>
      <c r="E858" s="12" t="s">
        <v>26</v>
      </c>
      <c r="F858" s="12" t="s">
        <v>1696</v>
      </c>
      <c r="G858" s="13">
        <v>1899</v>
      </c>
      <c r="H858" s="13"/>
      <c r="I858" s="13"/>
      <c r="J858" s="13">
        <v>1898</v>
      </c>
      <c r="K858" s="13">
        <f t="shared" si="172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1898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14</v>
      </c>
      <c r="C859" s="12" t="s">
        <v>1697</v>
      </c>
      <c r="D859" s="16" t="s">
        <v>52</v>
      </c>
      <c r="E859" s="12" t="s">
        <v>26</v>
      </c>
      <c r="F859" s="12" t="s">
        <v>1698</v>
      </c>
      <c r="G859" s="13">
        <v>1899</v>
      </c>
      <c r="H859" s="13"/>
      <c r="I859" s="13"/>
      <c r="J859" s="13">
        <v>1899</v>
      </c>
      <c r="K859" s="13">
        <f t="shared" si="172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1699</v>
      </c>
      <c r="D860" s="16" t="s">
        <v>61</v>
      </c>
      <c r="E860" s="12" t="s">
        <v>26</v>
      </c>
      <c r="F860" s="12" t="s">
        <v>1700</v>
      </c>
      <c r="G860" s="13">
        <v>1899</v>
      </c>
      <c r="H860" s="13"/>
      <c r="I860" s="13"/>
      <c r="J860" s="13">
        <v>1899</v>
      </c>
      <c r="K860" s="13">
        <f t="shared" ref="K860:K884" si="185">IF(AND(IFERROR(SEARCH("현대오일뱅크",$C860),0)&gt;0,IFERROR(SEARCH("직영",$C860),0)&gt;0),$B$13,0)</f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10</v>
      </c>
      <c r="C861" s="12" t="s">
        <v>1701</v>
      </c>
      <c r="D861" s="16" t="s">
        <v>61</v>
      </c>
      <c r="E861" s="12" t="s">
        <v>70</v>
      </c>
      <c r="F861" s="12" t="s">
        <v>1702</v>
      </c>
      <c r="G861" s="13">
        <v>1899</v>
      </c>
      <c r="H861" s="13"/>
      <c r="I861" s="13"/>
      <c r="J861" s="13">
        <v>1899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1899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8" customFormat="1" ht="28.5" customHeight="1">
      <c r="A862" s="12" t="str">
        <f t="shared" si="173"/>
        <v/>
      </c>
      <c r="B862" s="12" t="s">
        <v>10</v>
      </c>
      <c r="C862" s="12" t="s">
        <v>1703</v>
      </c>
      <c r="D862" s="16" t="s">
        <v>61</v>
      </c>
      <c r="E862" s="12" t="s">
        <v>70</v>
      </c>
      <c r="F862" s="12" t="s">
        <v>1704</v>
      </c>
      <c r="G862" s="13">
        <v>1899</v>
      </c>
      <c r="H862" s="13"/>
      <c r="I862" s="13"/>
      <c r="J862" s="13">
        <v>1899</v>
      </c>
      <c r="K862" s="13">
        <f t="shared" si="185"/>
        <v>0</v>
      </c>
      <c r="L862" s="13">
        <f t="shared" si="174"/>
        <v>1899</v>
      </c>
      <c r="M862" s="13" t="str">
        <f t="shared" si="175"/>
        <v/>
      </c>
      <c r="N862" s="13">
        <f t="shared" si="176"/>
        <v>1899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10</v>
      </c>
      <c r="C863" s="12" t="s">
        <v>1705</v>
      </c>
      <c r="D863" s="16" t="s">
        <v>52</v>
      </c>
      <c r="E863" s="12" t="s">
        <v>70</v>
      </c>
      <c r="F863" s="12" t="s">
        <v>1706</v>
      </c>
      <c r="G863" s="13">
        <v>1908</v>
      </c>
      <c r="H863" s="13"/>
      <c r="I863" s="13"/>
      <c r="J863" s="13">
        <v>1878</v>
      </c>
      <c r="K863" s="13">
        <f t="shared" si="185"/>
        <v>0</v>
      </c>
      <c r="L863" s="13">
        <f t="shared" si="174"/>
        <v>1908</v>
      </c>
      <c r="M863" s="13" t="str">
        <f t="shared" si="175"/>
        <v/>
      </c>
      <c r="N863" s="13">
        <f t="shared" si="176"/>
        <v>1878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17" customFormat="1" ht="28.5" customHeight="1">
      <c r="A864" s="12" t="str">
        <f t="shared" si="173"/>
        <v/>
      </c>
      <c r="B864" s="12" t="s">
        <v>14</v>
      </c>
      <c r="C864" s="12" t="s">
        <v>1710</v>
      </c>
      <c r="D864" s="16" t="s">
        <v>49</v>
      </c>
      <c r="E864" s="12" t="s">
        <v>26</v>
      </c>
      <c r="F864" s="12" t="s">
        <v>1711</v>
      </c>
      <c r="G864" s="13">
        <v>1909</v>
      </c>
      <c r="H864" s="13"/>
      <c r="I864" s="13"/>
      <c r="J864" s="13">
        <v>1860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1860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8</v>
      </c>
      <c r="C865" s="12" t="s">
        <v>1707</v>
      </c>
      <c r="D865" s="16" t="s">
        <v>61</v>
      </c>
      <c r="E865" s="12" t="s">
        <v>70</v>
      </c>
      <c r="F865" s="12" t="s">
        <v>1708</v>
      </c>
      <c r="G865" s="13">
        <v>1909</v>
      </c>
      <c r="H865" s="13"/>
      <c r="I865" s="13"/>
      <c r="J865" s="13">
        <v>1879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1879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6</v>
      </c>
      <c r="C866" s="12" t="s">
        <v>493</v>
      </c>
      <c r="D866" s="16" t="s">
        <v>61</v>
      </c>
      <c r="E866" s="12" t="s">
        <v>70</v>
      </c>
      <c r="F866" s="12" t="s">
        <v>1709</v>
      </c>
      <c r="G866" s="13">
        <v>1909</v>
      </c>
      <c r="H866" s="13"/>
      <c r="I866" s="13"/>
      <c r="J866" s="13">
        <v>1889</v>
      </c>
      <c r="K866" s="13">
        <f t="shared" si="185"/>
        <v>0</v>
      </c>
      <c r="L866" s="13">
        <f t="shared" si="174"/>
        <v>1909</v>
      </c>
      <c r="M866" s="13" t="str">
        <f t="shared" si="175"/>
        <v/>
      </c>
      <c r="N866" s="13">
        <f t="shared" si="176"/>
        <v>1889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1720</v>
      </c>
      <c r="D867" s="12" t="s">
        <v>52</v>
      </c>
      <c r="E867" s="12" t="s">
        <v>70</v>
      </c>
      <c r="F867" s="12" t="s">
        <v>1721</v>
      </c>
      <c r="G867" s="13">
        <v>1919</v>
      </c>
      <c r="H867" s="13"/>
      <c r="I867" s="13"/>
      <c r="J867" s="13">
        <v>1906</v>
      </c>
      <c r="K867" s="13">
        <f t="shared" si="185"/>
        <v>0</v>
      </c>
      <c r="L867" s="13">
        <f t="shared" si="174"/>
        <v>1919</v>
      </c>
      <c r="M867" s="13" t="str">
        <f t="shared" si="175"/>
        <v/>
      </c>
      <c r="N867" s="13">
        <f t="shared" si="176"/>
        <v>1906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2" customFormat="1" ht="28.5" customHeight="1">
      <c r="A868" s="12" t="str">
        <f t="shared" si="173"/>
        <v/>
      </c>
      <c r="B868" s="12" t="s">
        <v>18</v>
      </c>
      <c r="C868" s="12" t="s">
        <v>1712</v>
      </c>
      <c r="D868" s="12" t="s">
        <v>83</v>
      </c>
      <c r="E868" s="12" t="s">
        <v>70</v>
      </c>
      <c r="F868" s="12" t="s">
        <v>1713</v>
      </c>
      <c r="G868" s="13">
        <v>1919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1919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17" customFormat="1" ht="28.5" customHeight="1">
      <c r="A869" s="12" t="str">
        <f t="shared" si="173"/>
        <v/>
      </c>
      <c r="B869" s="12" t="s">
        <v>14</v>
      </c>
      <c r="C869" s="12" t="s">
        <v>1716</v>
      </c>
      <c r="D869" s="16" t="s">
        <v>61</v>
      </c>
      <c r="E869" s="12" t="s">
        <v>26</v>
      </c>
      <c r="F869" s="12" t="s">
        <v>1717</v>
      </c>
      <c r="G869" s="13">
        <v>1928</v>
      </c>
      <c r="H869" s="13"/>
      <c r="I869" s="13"/>
      <c r="J869" s="13">
        <v>1918</v>
      </c>
      <c r="K869" s="13">
        <f t="shared" si="185"/>
        <v>0</v>
      </c>
      <c r="L869" s="13">
        <f t="shared" si="174"/>
        <v>1928</v>
      </c>
      <c r="M869" s="13" t="str">
        <f t="shared" si="175"/>
        <v/>
      </c>
      <c r="N869" s="13">
        <f t="shared" si="176"/>
        <v>1918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10</v>
      </c>
      <c r="C870" s="12" t="s">
        <v>1718</v>
      </c>
      <c r="D870" s="16" t="s">
        <v>52</v>
      </c>
      <c r="E870" s="12" t="s">
        <v>70</v>
      </c>
      <c r="F870" s="12" t="s">
        <v>1719</v>
      </c>
      <c r="G870" s="13">
        <v>1929</v>
      </c>
      <c r="H870" s="13"/>
      <c r="I870" s="13"/>
      <c r="J870" s="13">
        <v>1895</v>
      </c>
      <c r="K870" s="13">
        <f t="shared" si="185"/>
        <v>0</v>
      </c>
      <c r="L870" s="13">
        <f t="shared" si="174"/>
        <v>1929</v>
      </c>
      <c r="M870" s="13" t="str">
        <f t="shared" si="175"/>
        <v/>
      </c>
      <c r="N870" s="13">
        <f t="shared" si="176"/>
        <v>1895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8" customFormat="1" ht="28.5" customHeight="1">
      <c r="A871" s="12" t="str">
        <f t="shared" si="173"/>
        <v/>
      </c>
      <c r="B871" s="12" t="s">
        <v>10</v>
      </c>
      <c r="C871" s="12" t="s">
        <v>1722</v>
      </c>
      <c r="D871" s="12" t="s">
        <v>83</v>
      </c>
      <c r="E871" s="12" t="s">
        <v>70</v>
      </c>
      <c r="F871" s="12" t="s">
        <v>1723</v>
      </c>
      <c r="G871" s="13">
        <v>1939</v>
      </c>
      <c r="H871" s="13"/>
      <c r="I871" s="13"/>
      <c r="J871" s="13">
        <v>1919</v>
      </c>
      <c r="K871" s="13">
        <f t="shared" si="185"/>
        <v>0</v>
      </c>
      <c r="L871" s="13">
        <f t="shared" si="174"/>
        <v>1939</v>
      </c>
      <c r="M871" s="13" t="str">
        <f t="shared" si="175"/>
        <v/>
      </c>
      <c r="N871" s="13">
        <f t="shared" si="176"/>
        <v>1919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10</v>
      </c>
      <c r="C872" s="12" t="s">
        <v>1724</v>
      </c>
      <c r="D872" s="16" t="s">
        <v>52</v>
      </c>
      <c r="E872" s="12" t="s">
        <v>26</v>
      </c>
      <c r="F872" s="12" t="s">
        <v>1725</v>
      </c>
      <c r="G872" s="13">
        <v>1945</v>
      </c>
      <c r="H872" s="13"/>
      <c r="I872" s="13"/>
      <c r="J872" s="13">
        <v>1945</v>
      </c>
      <c r="K872" s="13">
        <f t="shared" si="185"/>
        <v>0</v>
      </c>
      <c r="L872" s="13">
        <f t="shared" si="174"/>
        <v>1945</v>
      </c>
      <c r="M872" s="13" t="str">
        <f t="shared" si="175"/>
        <v/>
      </c>
      <c r="N872" s="13">
        <f t="shared" si="176"/>
        <v>1945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12</v>
      </c>
      <c r="C873" s="12" t="s">
        <v>1726</v>
      </c>
      <c r="D873" s="16" t="s">
        <v>61</v>
      </c>
      <c r="E873" s="12" t="s">
        <v>70</v>
      </c>
      <c r="F873" s="12" t="s">
        <v>1727</v>
      </c>
      <c r="G873" s="13">
        <v>1948</v>
      </c>
      <c r="H873" s="13"/>
      <c r="I873" s="13"/>
      <c r="J873" s="13">
        <v>1948</v>
      </c>
      <c r="K873" s="13">
        <f t="shared" si="185"/>
        <v>0</v>
      </c>
      <c r="L873" s="13">
        <f t="shared" si="174"/>
        <v>1948</v>
      </c>
      <c r="M873" s="13" t="str">
        <f t="shared" si="175"/>
        <v/>
      </c>
      <c r="N873" s="13">
        <f t="shared" si="176"/>
        <v>1948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14</v>
      </c>
      <c r="C874" s="12" t="s">
        <v>1728</v>
      </c>
      <c r="D874" s="12" t="s">
        <v>83</v>
      </c>
      <c r="E874" s="12" t="s">
        <v>26</v>
      </c>
      <c r="F874" s="12" t="s">
        <v>1729</v>
      </c>
      <c r="G874" s="13">
        <v>1949</v>
      </c>
      <c r="H874" s="13"/>
      <c r="I874" s="13"/>
      <c r="J874" s="13">
        <v>1929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1929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17" customFormat="1" ht="28.5" customHeight="1">
      <c r="A875" s="12" t="str">
        <f t="shared" si="173"/>
        <v/>
      </c>
      <c r="B875" s="12" t="s">
        <v>12</v>
      </c>
      <c r="C875" s="12" t="s">
        <v>1730</v>
      </c>
      <c r="D875" s="16" t="s">
        <v>49</v>
      </c>
      <c r="E875" s="12" t="s">
        <v>70</v>
      </c>
      <c r="F875" s="12" t="s">
        <v>1731</v>
      </c>
      <c r="G875" s="13">
        <v>1949</v>
      </c>
      <c r="H875" s="13"/>
      <c r="I875" s="13"/>
      <c r="J875" s="13">
        <v>1948</v>
      </c>
      <c r="K875" s="13">
        <f t="shared" si="185"/>
        <v>0</v>
      </c>
      <c r="L875" s="13">
        <f t="shared" si="174"/>
        <v>1949</v>
      </c>
      <c r="M875" s="13" t="str">
        <f t="shared" si="175"/>
        <v/>
      </c>
      <c r="N875" s="13">
        <f t="shared" si="176"/>
        <v>1948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12</v>
      </c>
      <c r="C876" s="12" t="s">
        <v>1732</v>
      </c>
      <c r="D876" s="16" t="s">
        <v>83</v>
      </c>
      <c r="E876" s="12" t="s">
        <v>26</v>
      </c>
      <c r="F876" s="12" t="s">
        <v>1733</v>
      </c>
      <c r="G876" s="13">
        <v>1955</v>
      </c>
      <c r="H876" s="13"/>
      <c r="I876" s="13"/>
      <c r="J876" s="13">
        <v>1935</v>
      </c>
      <c r="K876" s="13">
        <f t="shared" si="185"/>
        <v>0</v>
      </c>
      <c r="L876" s="13">
        <f t="shared" si="174"/>
        <v>1955</v>
      </c>
      <c r="M876" s="13" t="str">
        <f t="shared" si="175"/>
        <v/>
      </c>
      <c r="N876" s="13">
        <f t="shared" si="176"/>
        <v>1935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1734</v>
      </c>
      <c r="D877" s="16" t="s">
        <v>52</v>
      </c>
      <c r="E877" s="12" t="s">
        <v>26</v>
      </c>
      <c r="F877" s="12" t="s">
        <v>1735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412</v>
      </c>
      <c r="D878" s="16" t="s">
        <v>61</v>
      </c>
      <c r="E878" s="12" t="s">
        <v>70</v>
      </c>
      <c r="F878" s="12" t="s">
        <v>1736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1737</v>
      </c>
      <c r="D879" s="12" t="s">
        <v>83</v>
      </c>
      <c r="E879" s="12" t="s">
        <v>70</v>
      </c>
      <c r="F879" s="12" t="s">
        <v>1738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1739</v>
      </c>
      <c r="D880" s="16" t="s">
        <v>61</v>
      </c>
      <c r="E880" s="12" t="s">
        <v>70</v>
      </c>
      <c r="F880" s="12" t="s">
        <v>1740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1741</v>
      </c>
      <c r="D881" s="12" t="s">
        <v>83</v>
      </c>
      <c r="E881" s="12" t="s">
        <v>70</v>
      </c>
      <c r="F881" s="12" t="s">
        <v>1742</v>
      </c>
      <c r="G881" s="13"/>
      <c r="H881" s="13">
        <v>2357</v>
      </c>
      <c r="I881" s="13"/>
      <c r="J881" s="13">
        <v>1837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1837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1743</v>
      </c>
      <c r="D882" s="16" t="s">
        <v>61</v>
      </c>
      <c r="E882" s="12" t="s">
        <v>26</v>
      </c>
      <c r="F882" s="12" t="s">
        <v>1744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17" customFormat="1" ht="28.5" customHeight="1">
      <c r="A883" s="12" t="str">
        <f t="shared" si="173"/>
        <v/>
      </c>
      <c r="B883" s="12" t="s">
        <v>6</v>
      </c>
      <c r="C883" s="12" t="s">
        <v>1745</v>
      </c>
      <c r="D883" s="12" t="s">
        <v>287</v>
      </c>
      <c r="E883" s="12" t="s">
        <v>26</v>
      </c>
      <c r="F883" s="12" t="s">
        <v>1746</v>
      </c>
      <c r="G883" s="13"/>
      <c r="H883" s="13"/>
      <c r="I883" s="13"/>
      <c r="J883" s="13">
        <v>1869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1869</v>
      </c>
      <c r="O883" s="13" t="str">
        <f t="shared" si="177"/>
        <v/>
      </c>
      <c r="P883" s="13" t="str">
        <f t="shared" si="178"/>
        <v/>
      </c>
      <c r="Q883" s="13" t="s">
        <v>47</v>
      </c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2" customFormat="1" ht="28.5" customHeight="1">
      <c r="A884" s="12" t="str">
        <f t="shared" si="173"/>
        <v/>
      </c>
      <c r="B884" s="12" t="s">
        <v>10</v>
      </c>
      <c r="C884" s="12" t="s">
        <v>1747</v>
      </c>
      <c r="D884" s="12" t="s">
        <v>287</v>
      </c>
      <c r="E884" s="12" t="s">
        <v>70</v>
      </c>
      <c r="F884" s="12" t="s">
        <v>1748</v>
      </c>
      <c r="G884" s="13"/>
      <c r="H884" s="13"/>
      <c r="I884" s="13"/>
      <c r="J884" s="13">
        <v>1970</v>
      </c>
      <c r="K884" s="13">
        <f t="shared" si="185"/>
        <v>0</v>
      </c>
      <c r="L884" s="13" t="str">
        <f t="shared" si="174"/>
        <v/>
      </c>
      <c r="M884" s="13" t="str">
        <f t="shared" si="175"/>
        <v/>
      </c>
      <c r="N884" s="13">
        <f t="shared" si="176"/>
        <v>1970</v>
      </c>
      <c r="O884" s="13" t="str">
        <f t="shared" si="177"/>
        <v/>
      </c>
      <c r="P884" s="13" t="str">
        <f t="shared" si="178"/>
        <v/>
      </c>
      <c r="Q884" s="13"/>
      <c r="R884" s="14" t="str">
        <f t="shared" si="179"/>
        <v/>
      </c>
      <c r="S884" s="13" t="str">
        <f t="shared" si="180"/>
        <v/>
      </c>
      <c r="T884" s="13" t="str">
        <f t="shared" si="181"/>
        <v/>
      </c>
      <c r="U884" s="13" t="str">
        <f t="shared" si="182"/>
        <v/>
      </c>
      <c r="V884" s="13" t="str">
        <f t="shared" si="183"/>
        <v/>
      </c>
      <c r="W884" s="15">
        <f t="shared" si="184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1750</v>
      </c>
      <c r="E3" s="4" t="s">
        <v>1751</v>
      </c>
      <c r="F3" s="4" t="s">
        <v>1752</v>
      </c>
      <c r="G3" s="4" t="s">
        <v>1753</v>
      </c>
      <c r="H3" s="4" t="s">
        <v>1754</v>
      </c>
      <c r="I3" s="4" t="s">
        <v>1755</v>
      </c>
      <c r="J3" s="4" t="s">
        <v>1756</v>
      </c>
      <c r="K3" s="4" t="s">
        <v>1757</v>
      </c>
      <c r="L3" s="4" t="s">
        <v>1758</v>
      </c>
      <c r="M3" s="4" t="s">
        <v>1759</v>
      </c>
    </row>
    <row r="4" spans="1:13" s="17" customFormat="1" ht="25.5" customHeight="1">
      <c r="A4" s="20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