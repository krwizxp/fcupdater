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<sst xmlns="http://schemas.openxmlformats.org/spreadsheetml/2006/main" count="1771" uniqueCount="1770">
  <si>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</si>
  <si>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</si>
  <si>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</si>
  <si>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</si>
  <si>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</si>
  <si>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</si>
  <si>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</si>
  <si>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</si>
  <si>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</si>
  <si>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</si>
  <si>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</si>
  <si>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</si>
  <si>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</si>
  <si>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</si>
  <si>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</si>
  <si>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</si>
  <si>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</si>
  <si>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</si>
  <si>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</si>
  <si>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</si>
  <si>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</si>
  <si>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</si>
  <si>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</si>
  <si>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</si>
  <si>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</si>
  <si>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</si>
  <si>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</si>
  <si>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</si>
  <si>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</si>
  <si>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</si>
  <si>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</si>
  <si>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</si>
  <si>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</si>
  <si>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</si>
  <si>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</si>
  <si>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</si>
  <si>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</si>
  <si>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</si>
  <si>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</si>
  <si>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</si>
  <si>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</si>
  <si>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</si>
  <si>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</si>
  <si>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</si>
  <si>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</si>
  <si>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</si>
  <si>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</si>
  <si>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</si>
  <si>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</si>
  <si>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</si>
  <si>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</si>
  <si>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</si>
  <si>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</si>
  <si>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</si>
  <si>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</si>
  <si>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</si>
  <si>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</si>
  <si>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</si>
  <si>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</si>
  <si>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</si>
  <si>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</si>
  <si>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</si>
  <si>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</si>
  <si>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</si>
  <si>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</si>
  <si>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</si>
  <si>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</si>
  <si>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</si>
  <si>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송선셀프주유소</t>
  </si>
  <si>
    <t xml:space="preserve">충남 공주시 송선농공단지길 6 (송선동)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</si>
  <si>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</si>
  <si>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</si>
  <si>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</si>
  <si>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</si>
  <si>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</si>
  <si>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</si>
  <si>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</si>
  <si>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</si>
  <si>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</si>
  <si>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</si>
  <si>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</si>
  <si>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</si>
  <si>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</si>
  <si>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</si>
  <si>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</si>
  <si>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</si>
  <si>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</si>
  <si>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</si>
  <si>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</si>
  <si>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</si>
  <si>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</si>
  <si>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</si>
  <si>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</si>
  <si>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</si>
  <si>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</si>
  <si>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</si>
  <si>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</si>
  <si>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</si>
  <si>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</si>
  <si>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</si>
  <si>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</si>
  <si>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</si>
  <si>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</si>
  <si>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</si>
  <si>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</si>
  <si>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</si>
  <si>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</si>
  <si>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</si>
  <si>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</si>
  <si>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</si>
  <si>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</si>
  <si>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</si>
  <si>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</si>
  <si>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</si>
  <si>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</si>
  <si>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</si>
  <si>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</si>
  <si>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</si>
  <si>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</si>
  <si>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</si>
  <si>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</si>
  <si>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</si>
  <si>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</si>
  <si>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</si>
  <si>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</si>
  <si>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</si>
  <si>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</si>
  <si>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</si>
  <si>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</si>
  <si>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</si>
  <si>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</si>
  <si>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</si>
  <si>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</si>
  <si>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</si>
  <si>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</si>
  <si>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</si>
  <si>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</si>
  <si>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</si>
  <si>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</si>
  <si>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</si>
  <si>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</si>
  <si>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</si>
  <si>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</si>
  <si>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</si>
  <si>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</si>
  <si>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</si>
  <si>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</si>
  <si>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</si>
  <si>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</si>
  <si>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</si>
  <si>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</si>
  <si>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</si>
  <si>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</si>
  <si>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</si>
  <si>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</si>
  <si>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</si>
  <si>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</si>
  <si>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</si>
  <si>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</si>
  <si>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㈜굿에너지</t>
  </si>
  <si>
    <t xml:space="preserve">충북 청주시 청원구 오창읍 두릉유리로 18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</si>
  <si>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</si>
  <si>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</si>
  <si>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</si>
  <si>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</si>
  <si>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</si>
  <si>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</si>
  <si>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</si>
  <si>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</si>
  <si>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</si>
  <si>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</si>
  <si>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</si>
  <si>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</si>
  <si>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</si>
  <si>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</si>
  <si>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</si>
  <si>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</si>
  <si>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</si>
  <si>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</si>
  <si>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</si>
  <si>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영남문셀프주유소</t>
  </si>
  <si>
    <t xml:space="preserve">충남 천안시 동남구 충절로 488 (청룡동)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</si>
  <si>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</si>
  <si>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</si>
  <si>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</si>
  <si>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</si>
  <si>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</si>
  <si>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</si>
  <si>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</si>
  <si>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</si>
  <si>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</si>
  <si>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</si>
  <si>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</si>
  <si>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</si>
  <si>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</si>
  <si>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</si>
  <si>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</si>
  <si>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</si>
  <si>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</si>
  <si>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</si>
  <si>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</si>
  <si>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</si>
  <si>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</si>
  <si>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</si>
  <si>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</si>
  <si>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</si>
  <si>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</si>
  <si>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</si>
  <si>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</si>
  <si>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</si>
  <si>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</si>
  <si>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</si>
  <si>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</si>
  <si>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</si>
  <si>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</si>
  <si>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</si>
  <si>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</si>
  <si>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</si>
  <si>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</si>
  <si>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</si>
  <si>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</si>
  <si>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</si>
  <si>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</si>
  <si>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</si>
  <si>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</si>
  <si>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</si>
  <si>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</si>
  <si>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</si>
  <si>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</si>
  <si>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</si>
  <si>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</si>
  <si>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</si>
  <si>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</si>
  <si>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</si>
  <si>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</si>
  <si>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</si>
  <si>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</si>
  <si>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</si>
  <si>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</si>
  <si>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</si>
  <si>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</si>
  <si>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</si>
  <si>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</si>
  <si>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</si>
  <si>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도서관셀프주유소</t>
  </si>
  <si>
    <t xml:space="preserve">대전 광역시 중구 보문산로 353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</si>
  <si>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</si>
  <si>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</si>
  <si>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</si>
  <si>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</si>
  <si>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</si>
  <si>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</si>
  <si>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</si>
  <si>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</si>
  <si>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</si>
  <si>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</si>
  <si>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</si>
  <si>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</si>
  <si>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</si>
  <si>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</si>
  <si>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</si>
  <si>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</si>
  <si>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</si>
  <si>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</si>
  <si>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</si>
  <si>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</si>
  <si>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</si>
  <si>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</si>
  <si>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</si>
  <si>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</si>
  <si>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</si>
  <si>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</si>
  <si>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</si>
  <si>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</si>
  <si>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</si>
  <si>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</si>
  <si>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</si>
  <si>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</si>
  <si>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</si>
  <si>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</si>
  <si>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</si>
  <si>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</si>
  <si>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형제주유소</t>
  </si>
  <si>
    <t xml:space="preserve">충북 청주시 서원구 직지대로 738 (사직동)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</si>
  <si>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</si>
  <si>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</si>
  <si>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</si>
  <si>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</si>
  <si>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</si>
  <si>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</si>
  <si>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</si>
  <si>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</si>
  <si>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</si>
  <si>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</si>
  <si>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</si>
  <si>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</si>
  <si>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</si>
  <si>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</si>
  <si>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</si>
  <si>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</si>
  <si>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</si>
  <si>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</si>
  <si>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</si>
  <si>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</si>
  <si>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</si>
  <si>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</si>
  <si>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</si>
  <si>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</si>
  <si>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</si>
  <si>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</si>
  <si>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</si>
  <si>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</si>
  <si>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</si>
  <si>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</si>
  <si>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</si>
  <si>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</si>
  <si>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</si>
  <si>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</si>
  <si>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</si>
  <si>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</si>
  <si>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</si>
  <si>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</si>
  <si>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</si>
  <si>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</si>
  <si>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</si>
  <si>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</si>
  <si>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</si>
  <si>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</si>
  <si>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</si>
  <si>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서원경주유소</t>
  </si>
  <si>
    <t xml:space="preserve">충북 청주시 흥덕구 직지대로 579 (봉명동)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</si>
  <si>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</si>
  <si>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</si>
  <si>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</si>
  <si>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</si>
  <si>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</si>
  <si>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</si>
  <si>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</si>
  <si>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</si>
  <si>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</si>
  <si>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</si>
  <si>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</si>
  <si>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</si>
  <si>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</si>
  <si>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</si>
  <si>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</si>
  <si>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</si>
  <si>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</si>
  <si>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</si>
  <si>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</si>
  <si>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</si>
  <si>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</si>
  <si>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</si>
  <si>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</si>
  <si>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</si>
  <si>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</si>
  <si>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</si>
  <si>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</si>
  <si>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</si>
  <si>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</si>
  <si>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</si>
  <si>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</si>
  <si>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</si>
  <si>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</si>
  <si>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</si>
  <si>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</si>
  <si>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</si>
  <si>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</si>
  <si>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옥녀봉주유소</t>
  </si>
  <si>
    <t xml:space="preserve">충북 청주시 청원구 북이면 충청대로 1376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</si>
  <si>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</si>
  <si>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</si>
  <si>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</si>
  <si>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</si>
  <si>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</si>
  <si>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</si>
  <si>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</si>
  <si>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</si>
  <si>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</si>
  <si>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</si>
  <si>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</si>
  <si>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</si>
  <si>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</si>
  <si>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</si>
  <si>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</si>
  <si>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</si>
  <si>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</si>
  <si>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</si>
  <si>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</si>
  <si>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</si>
  <si>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</si>
  <si>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</si>
  <si>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</si>
  <si>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</si>
  <si>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</si>
  <si>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</si>
  <si>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</si>
  <si>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</si>
  <si>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</si>
  <si>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</si>
  <si>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</si>
  <si>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</si>
  <si>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</si>
  <si>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</si>
  <si>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</si>
  <si>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</si>
  <si>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</si>
  <si>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</si>
  <si>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</si>
  <si>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</si>
  <si>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</si>
  <si>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</si>
  <si>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</si>
  <si>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</si>
  <si>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</si>
  <si>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</si>
  <si>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</si>
  <si>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</si>
  <si>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</si>
  <si>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</si>
  <si>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</si>
  <si>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</si>
  <si>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</si>
  <si>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</si>
  <si>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</si>
  <si>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</si>
  <si>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</si>
  <si>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</si>
  <si>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</si>
  <si>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</si>
  <si>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</si>
  <si>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</si>
  <si>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</si>
  <si>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</si>
  <si>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</si>
  <si>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</si>
  <si>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</si>
  <si>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</si>
  <si>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</si>
  <si>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</si>
  <si>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</si>
  <si>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</si>
  <si>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</si>
  <si>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</si>
  <si>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</si>
  <si>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</si>
  <si>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</si>
  <si>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</si>
  <si>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</si>
  <si>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</si>
  <si>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</si>
  <si>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</si>
  <si>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</si>
  <si>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</si>
  <si>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</si>
  <si>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</si>
  <si>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</si>
  <si>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</si>
  <si>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</si>
  <si>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</si>
  <si>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</si>
  <si>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</si>
  <si>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</si>
  <si>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</si>
  <si>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</si>
  <si>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</si>
  <si>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</si>
  <si>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</si>
  <si>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</si>
  <si>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</si>
  <si>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</si>
  <si>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</si>
  <si>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</si>
  <si>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</si>
  <si>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</si>
  <si>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</si>
  <si>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</si>
  <si>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</si>
  <si>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</si>
  <si>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</si>
  <si>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</si>
  <si>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</si>
  <si>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</si>
  <si>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</si>
  <si>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</si>
  <si>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</si>
  <si>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</si>
  <si>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</si>
  <si>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</si>
  <si>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</si>
  <si>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</si>
  <si>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</si>
  <si>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</si>
  <si>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</si>
  <si>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</si>
  <si>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</si>
  <si>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</si>
  <si>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</si>
  <si>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</si>
  <si>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</si>
  <si>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</si>
  <si>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</si>
  <si>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</si>
  <si>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</si>
  <si>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</si>
  <si>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</si>
  <si>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</si>
  <si>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</si>
  <si>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</si>
  <si>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</si>
  <si>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</si>
  <si>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</si>
  <si>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</si>
  <si>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</si>
  <si>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</si>
  <si>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</si>
  <si>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</si>
  <si>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</si>
  <si>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</si>
  <si>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</si>
  <si>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</si>
  <si>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</si>
  <si>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</si>
  <si>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</si>
  <si>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</si>
  <si>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</si>
  <si>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</si>
  <si>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</si>
  <si>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</si>
  <si>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</si>
  <si>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</si>
  <si>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</si>
  <si>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</si>
  <si>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</si>
  <si>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</si>
  <si>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</si>
  <si>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</si>
  <si>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</si>
  <si>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</si>
  <si>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</si>
  <si>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</si>
  <si>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초정주유소</t>
  </si>
  <si>
    <t xml:space="preserve">충북 청주시 청원구 내수읍 청암로 457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</si>
  <si>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</si>
  <si>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</si>
  <si>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</si>
  <si>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</si>
  <si>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</si>
  <si>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</si>
  <si>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</si>
  <si>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</si>
  <si>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</si>
  <si>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</si>
  <si>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</si>
  <si>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</si>
  <si>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</si>
  <si>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</si>
  <si>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</si>
  <si>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</si>
  <si>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</si>
  <si>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</si>
  <si>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</si>
  <si>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</si>
  <si>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</si>
  <si>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</si>
  <si>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</si>
  <si>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</si>
  <si>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</si>
  <si>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</si>
  <si>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</si>
  <si>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</si>
  <si>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</si>
  <si>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</si>
  <si>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</si>
  <si>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</si>
  <si>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</si>
  <si>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</si>
  <si>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</si>
  <si>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</si>
  <si>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</si>
  <si>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</si>
  <si>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</si>
  <si>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</si>
  <si>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</si>
  <si>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</si>
  <si>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</si>
  <si>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</si>
  <si>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</si>
  <si>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</si>
  <si>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</si>
  <si>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</si>
  <si>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</si>
  <si>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</si>
  <si>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</si>
  <si>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</si>
  <si>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</si>
  <si>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</si>
  <si>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</si>
  <si>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</si>
  <si>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</si>
  <si>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</si>
  <si>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</si>
  <si>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</si>
  <si>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</si>
  <si>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</si>
  <si>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</si>
  <si>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</si>
  <si>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</si>
  <si>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</si>
  <si>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</si>
  <si>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</si>
  <si>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</si>
  <si>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</si>
  <si>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</si>
  <si>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</si>
  <si>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</si>
  <si>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</si>
  <si>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</si>
  <si>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</si>
  <si>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</si>
  <si>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</si>
  <si>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</si>
  <si>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</si>
  <si>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</si>
  <si>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</si>
  <si>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</si>
  <si>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</si>
  <si>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</si>
  <si>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</si>
  <si>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</si>
  <si>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</si>
  <si>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</si>
  <si>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</si>
  <si>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</si>
  <si>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</si>
  <si>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</si>
  <si>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</si>
  <si>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</si>
  <si>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</si>
  <si>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</si>
  <si>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</si>
  <si>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</si>
  <si>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</si>
  <si>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</si>
  <si>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</si>
  <si>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</si>
  <si>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</si>
  <si>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</si>
  <si>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</si>
  <si>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</si>
  <si>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</si>
  <si>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</si>
  <si>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</si>
  <si>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</si>
  <si>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</si>
  <si>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㈜신화에너지 오해피주유소</t>
  </si>
  <si>
    <t xml:space="preserve">충북 청주시 서원구 구룡산로 217</t>
  </si>
  <si>
    <t xml:space="preserve">(유)그린 주유소</t>
  </si>
  <si>
    <t xml:space="preserve">충북 청주시 서원구 서부로 1409 (개신동)</t>
  </si>
  <si>
    <t xml:space="preserve">묵방내수셀프주유소</t>
  </si>
  <si>
    <t xml:space="preserve">충북 청주시 청원구 내수읍 충청대로 513</t>
  </si>
  <si>
    <t xml:space="preserve">창현주유소</t>
  </si>
  <si>
    <t xml:space="preserve">충북 청주시 흥덕구 강내면 가로수로 567-9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</si>
  <si>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</si>
  <si>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</si>
  <si>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</si>
  <si>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</si>
  <si>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</si>
  <si>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</si>
  <si>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</si>
  <si>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</si>
  <si>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</si>
  <si>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</si>
  <si>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</si>
  <si>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</si>
  <si>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</si>
  <si>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</si>
  <si>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</si>
  <si>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굿모닝주유소</t>
  </si>
  <si>
    <t xml:space="preserve">대전 서구 계백로 1376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</si>
  <si>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</si>
  <si>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</si>
  <si>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</si>
  <si>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</si>
  <si>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</si>
  <si>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</si>
  <si>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</si>
  <si>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</si>
  <si>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</si>
  <si>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</si>
  <si>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햇님주유소</t>
  </si>
  <si>
    <t xml:space="preserve">충남 천안시 동남구 충절로 461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</si>
  <si>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</si>
  <si>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</si>
  <si>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</si>
  <si>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</si>
  <si>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</si>
  <si>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</si>
  <si>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</si>
  <si>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</si>
  <si>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남선석유㈜ 계백셀프주유소</t>
  </si>
  <si>
    <t xml:space="preserve">대전 서구 계백로 1327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</si>
  <si>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</si>
  <si>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</si>
  <si>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</si>
  <si>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</si>
  <si>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</si>
  <si>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</si>
  <si>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</si>
  <si>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</si>
  <si>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</si>
  <si>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</si>
  <si>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</si>
  <si>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</si>
  <si>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</si>
  <si>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</si>
  <si>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</si>
  <si>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</si>
  <si>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</si>
  <si>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</si>
  <si>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</si>
  <si>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</si>
  <si>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</si>
  <si>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</si>
  <si>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</si>
  <si>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도마진실주유소</t>
  </si>
  <si>
    <t xml:space="preserve">대전 서구 도산로 123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</si>
  <si>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</si>
  <si>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</si>
  <si>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</si>
  <si>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</si>
  <si>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</si>
  <si>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</si>
  <si>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</si>
  <si>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</si>
  <si>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</si>
  <si>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</si>
  <si>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</si>
  <si>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</si>
  <si>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</si>
  <si>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</si>
  <si>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</si>
  <si>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</si>
  <si>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</si>
  <si>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</si>
  <si>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</si>
  <si>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</si>
  <si>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</si>
  <si>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</si>
  <si>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</si>
  <si>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</si>
  <si>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</si>
  <si>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</si>
  <si>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</si>
  <si>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</si>
  <si>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</si>
  <si>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</si>
  <si>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</si>
  <si>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</si>
  <si>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</si>
  <si>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</si>
  <si>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</si>
  <si>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</si>
  <si>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판암하늘셀프주유소</t>
  </si>
  <si>
    <t xml:space="preserve">대전 동구 옥천로 77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</si>
  <si>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</si>
  <si>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</si>
  <si>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</si>
  <si>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</si>
  <si>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</si>
  <si>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</si>
  <si>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</si>
  <si>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</si>
  <si>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대림주유소</t>
  </si>
  <si>
    <t xml:space="preserve">대전 서구 계백로 1290 (정림동)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</si>
  <si>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</si>
  <si>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</si>
  <si>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</si>
  <si>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</si>
  <si>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</si>
  <si>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</si>
  <si>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</si>
  <si>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</si>
  <si>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</si>
  <si>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</si>
  <si>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</si>
  <si>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</si>
  <si>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</si>
  <si>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</si>
  <si>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</si>
  <si>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</si>
  <si>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</si>
  <si>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</si>
  <si>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</si>
  <si>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</si>
  <si>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</si>
  <si>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</si>
  <si>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</si>
  <si>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</si>
  <si>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</si>
  <si>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</si>
  <si>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</si>
  <si>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</si>
  <si>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</si>
  <si>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</si>
  <si>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</si>
  <si>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</si>
  <si>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</si>
  <si>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</si>
  <si>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</si>
  <si>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</si>
  <si>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</si>
  <si>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</si>
  <si>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</si>
  <si>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</si>
  <si>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</si>
  <si>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</si>
  <si>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</si>
  <si>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</si>
  <si>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</si>
  <si>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</si>
  <si>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</si>
  <si>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</si>
  <si>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</si>
  <si>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</si>
  <si>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대전 서구 동서대로 1081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</si>
  <si>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</si>
  <si>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</si>
  <si>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</si>
  <si>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</si>
  <si>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</si>
  <si>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</si>
  <si>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</si>
  <si>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</si>
  <si>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KH에너지㈜직영 하이웨이주유소</t>
  </si>
  <si>
    <t xml:space="preserve">대전 유성구 현충원로 531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</si>
  <si>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</si>
  <si>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</si>
  <si>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</si>
  <si>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</si>
  <si>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</si>
  <si>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</si>
  <si>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</si>
  <si>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</si>
  <si>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</si>
  <si>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</si>
  <si>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충청에너지주유소</t>
  </si>
  <si>
    <t xml:space="preserve">세종특별자치시 전의면 세종로 3894</t>
  </si>
  <si>
    <t xml:space="preserve">주홍셀프</t>
  </si>
  <si>
    <t xml:space="preserve">대전 서구 도산로 475 (탄방동)</t>
  </si>
  <si>
    <t xml:space="preserve">유성IC메가허브점</t>
  </si>
  <si>
    <t xml:space="preserve">대전 유성구 현충원로 545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</si>
  <si>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</si>
  <si>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</si>
  <si>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</si>
  <si>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</si>
  <si>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</si>
  <si>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</si>
  <si>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</si>
  <si>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</si>
  <si>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</si>
  <si>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</si>
  <si>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</si>
  <si>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</si>
  <si>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</si>
  <si>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</si>
  <si>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</si>
  <si>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</si>
  <si>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</si>
  <si>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</si>
  <si>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</si>
  <si>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</si>
  <si>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</si>
  <si>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</si>
  <si>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</si>
  <si>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</si>
  <si>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</si>
  <si>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</si>
  <si>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</si>
  <si>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</si>
  <si>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</si>
  <si>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</si>
  <si>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</si>
  <si>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</si>
  <si>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</si>
  <si>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</si>
  <si>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</si>
  <si>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</si>
  <si>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</si>
  <si>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</si>
  <si>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</si>
  <si>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</si>
  <si>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</si>
  <si>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</si>
  <si>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</si>
  <si>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</si>
  <si>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</si>
  <si>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</si>
  <si>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</si>
  <si>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</si>
  <si>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</si>
  <si>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</si>
  <si>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</si>
  <si>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</si>
  <si>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</si>
  <si>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</si>
  <si>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</si>
  <si>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</si>
  <si>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</si>
  <si>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</si>
  <si>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</si>
  <si>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</si>
  <si>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</si>
  <si>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</si>
  <si>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</si>
  <si>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</si>
  <si>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</si>
  <si>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</si>
  <si>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</si>
  <si>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</si>
  <si>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</si>
  <si>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</si>
  <si>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</si>
  <si>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</si>
  <si>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</si>
  <si>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</si>
  <si>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</si>
  <si>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</si>
  <si>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</si>
  <si>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</si>
  <si>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</si>
  <si>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</si>
  <si>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</si>
  <si>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</si>
  <si>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</si>
  <si>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</si>
  <si>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</si>
  <si>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</si>
  <si>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</si>
  <si>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</si>
  <si>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</si>
  <si>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</si>
  <si>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</si>
  <si>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</si>
  <si>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</si>
  <si>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</si>
  <si>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</si>
  <si>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(주)하늘셀프주유소</t>
  </si>
  <si>
    <t xml:space="preserve">대전 동구 대전로 549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</si>
  <si>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</si>
  <si>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</si>
  <si>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</si>
  <si>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</si>
  <si>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</si>
  <si>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</si>
  <si>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</si>
  <si>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</si>
  <si>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</si>
  <si>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</si>
  <si>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</si>
  <si>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</si>
  <si>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</si>
  <si>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</si>
  <si>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태평양셀프주유소</t>
  </si>
  <si>
    <t xml:space="preserve">충남 천안시 동남구  서부대로 520 (봉명동)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</si>
  <si>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</si>
  <si>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</si>
  <si>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</si>
  <si>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</si>
  <si>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온천주유소</t>
  </si>
  <si>
    <t xml:space="preserve">충남 공주시 반포면 온천사기소길 17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</si>
  <si>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</si>
  <si>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</si>
  <si>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</si>
  <si>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</si>
  <si>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</si>
  <si>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</si>
  <si>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</si>
  <si>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</si>
  <si>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제일셀프주유소</t>
  </si>
  <si>
    <t xml:space="preserve">충남 공주시 미나리1길 18-10 (금성동)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</si>
  <si>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</si>
  <si>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</si>
  <si>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</si>
  <si>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</si>
  <si>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</si>
  <si>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</si>
  <si>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</si>
  <si>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</si>
  <si>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</si>
  <si>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</si>
  <si>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</si>
  <si>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</si>
  <si>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</si>
  <si>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</si>
  <si>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</si>
  <si>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</si>
  <si>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</si>
  <si>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</si>
  <si>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</si>
  <si>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</si>
  <si>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산내제일주유소</t>
  </si>
  <si>
    <t xml:space="preserve">대전 동구 대전로 269 (대성동)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</si>
  <si>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</si>
  <si>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</si>
  <si>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</si>
  <si>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</si>
  <si>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</si>
  <si>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</si>
  <si>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</si>
  <si>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</si>
  <si>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</si>
  <si>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</si>
  <si>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</si>
  <si>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</si>
  <si>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</si>
  <si>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</si>
  <si>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</si>
  <si>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</si>
  <si>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</si>
  <si>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</si>
  <si>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</si>
  <si>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</si>
  <si>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</si>
  <si>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</si>
  <si>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</si>
  <si>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</si>
  <si>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</si>
  <si>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</si>
  <si>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</si>
  <si>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</si>
  <si>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</si>
  <si>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</si>
  <si>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</si>
  <si>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</si>
  <si>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</si>
  <si>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(주)오일마스터아산지점 송촌주유소</t>
  </si>
  <si>
    <t xml:space="preserve">충남 아산시 음봉면 음봉로 336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</si>
  <si>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</si>
  <si>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</si>
  <si>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</si>
  <si>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</si>
  <si>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</si>
  <si>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</si>
  <si>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</si>
  <si>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</si>
  <si>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</si>
  <si>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</si>
  <si>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</si>
  <si>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</si>
  <si>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</si>
  <si>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</si>
  <si>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</si>
  <si>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</si>
  <si>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</si>
  <si>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</si>
  <si>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</si>
  <si>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</si>
  <si>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</si>
  <si>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</si>
  <si>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</si>
  <si>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</si>
  <si>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</si>
  <si>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</si>
  <si>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</si>
  <si>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</si>
  <si>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</si>
  <si>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</si>
  <si>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</si>
  <si>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</si>
  <si>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</si>
  <si>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</si>
  <si>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</si>
  <si>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</si>
  <si>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</si>
  <si>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</si>
  <si>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</si>
  <si>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</si>
  <si>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</si>
  <si>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</si>
  <si>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</si>
  <si>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</si>
  <si>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</si>
  <si>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</si>
  <si>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</si>
  <si>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</si>
  <si>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</si>
  <si>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</si>
  <si>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</si>
  <si>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</si>
  <si>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</si>
  <si>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</si>
  <si>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</si>
  <si>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</si>
  <si>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</si>
  <si>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</si>
  <si>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</si>
  <si>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</si>
  <si>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</si>
  <si>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</si>
  <si>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</si>
  <si>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</si>
  <si>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</si>
  <si>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</si>
  <si>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</si>
  <si>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</si>
  <si>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</si>
  <si>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</si>
  <si>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</si>
  <si>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</si>
  <si>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</si>
  <si>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</si>
  <si>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</si>
  <si>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</si>
  <si>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</si>
  <si>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</si>
  <si>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</si>
  <si>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</si>
  <si>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</si>
  <si>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</si>
  <si>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</si>
  <si>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</si>
  <si>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</si>
  <si>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</si>
  <si>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</si>
  <si>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</si>
  <si>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</si>
  <si>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</si>
  <si>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</si>
  <si>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소망주유소</t>
  </si>
  <si>
    <t xml:space="preserve">대전 중구 보문산로 307 (문화동)</t>
  </si>
  <si>
    <t xml:space="preserve">오창(통영)주유소</t>
  </si>
  <si>
    <t xml:space="preserve">충북 청주시 청원구 오창읍 중부고속도로 19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</si>
  <si>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</si>
  <si>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</si>
  <si>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</si>
  <si>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</si>
  <si>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</si>
  <si>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</si>
  <si>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</si>
  <si>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</si>
  <si>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</si>
  <si>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</si>
  <si>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</si>
  <si>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</si>
  <si>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</si>
  <si>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</si>
  <si>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오정동SM셀프주유소</t>
  </si>
  <si>
    <t xml:space="preserve">대전 대덕구 오정로 123 (오정동)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</si>
  <si>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</si>
  <si>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</si>
  <si>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</si>
  <si>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</si>
  <si>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</si>
  <si>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</si>
  <si>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</si>
  <si>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</si>
  <si>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</si>
  <si>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</si>
  <si>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</si>
  <si>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</si>
  <si>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</si>
  <si>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</si>
  <si>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</si>
  <si>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</si>
  <si>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극동유화(주) 한밭주유소</t>
  </si>
  <si>
    <t xml:space="preserve">대전 서구 문정로 3 (둔산2동)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</si>
  <si>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</si>
  <si>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</si>
  <si>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</si>
  <si>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</si>
  <si>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</si>
  <si>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</si>
  <si>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</si>
  <si>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</si>
  <si>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</si>
  <si>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</si>
  <si>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</si>
  <si>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</si>
  <si>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</si>
  <si>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</si>
  <si>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</si>
  <si>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</si>
  <si>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</si>
  <si>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</si>
  <si>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</si>
  <si>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</si>
  <si>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</si>
  <si>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</si>
  <si>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</si>
  <si>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</si>
  <si>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</si>
  <si>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</si>
  <si>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</si>
  <si>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</si>
  <si>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</si>
  <si>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</si>
  <si>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</si>
  <si>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</si>
  <si>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</si>
  <si>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</si>
  <si>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</si>
  <si>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</si>
  <si>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</si>
  <si>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</si>
  <si>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</si>
  <si>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</si>
  <si>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</si>
  <si>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</si>
  <si>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오천농협원산도지점주유소</t>
  </si>
  <si>
    <t xml:space="preserve">충남 보령시 오천면 원산도3길 66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</si>
  <si>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</si>
  <si>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</si>
  <si>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</si>
  <si>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</si>
  <si>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</si>
  <si>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</si>
  <si>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</si>
  <si>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</si>
  <si>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</si>
  <si>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</si>
  <si>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</si>
  <si>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</si>
  <si>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</si>
  <si>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</si>
  <si>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</si>
  <si>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</si>
  <si>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</si>
  <si>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</si>
  <si>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</si>
  <si>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</si>
  <si>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</si>
  <si>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</si>
  <si>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</si>
  <si>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</si>
  <si>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</si>
  <si>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</si>
  <si>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</si>
  <si>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</si>
  <si>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</si>
  <si>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</si>
  <si>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</si>
  <si>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</si>
  <si>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</si>
  <si>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</si>
  <si>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</si>
  <si>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</si>
  <si>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</si>
  <si>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</si>
  <si>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</si>
  <si>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</si>
  <si>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</si>
  <si>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</si>
  <si>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</si>
  <si>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</si>
  <si>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</si>
  <si>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</si>
  <si>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</si>
  <si>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</si>
  <si>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</si>
  <si>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</si>
  <si>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</si>
  <si>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</si>
  <si>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</si>
  <si>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</si>
  <si>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</si>
  <si>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</si>
  <si>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</si>
  <si>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</si>
  <si>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</si>
  <si>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</si>
  <si>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</si>
  <si>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</si>
  <si>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</si>
  <si>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</si>
  <si>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</si>
  <si>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</si>
  <si>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</si>
  <si>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</si>
  <si>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</si>
  <si>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</si>
  <si>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</si>
  <si>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</si>
  <si>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</si>
  <si>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</si>
  <si>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</si>
  <si>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</si>
  <si>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</si>
  <si>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</si>
  <si>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</si>
  <si>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</si>
  <si>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</si>
  <si>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</si>
  <si>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</si>
  <si>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</si>
  <si>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</si>
  <si>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</si>
  <si>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</si>
  <si>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</si>
  <si>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</si>
  <si>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</si>
  <si>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</si>
  <si>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</si>
  <si>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</si>
  <si>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</si>
  <si>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</si>
  <si>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</si>
  <si>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</si>
  <si>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</si>
  <si>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</si>
  <si>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</si>
  <si>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</si>
  <si>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</si>
  <si>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</si>
  <si>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</si>
  <si>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</si>
  <si>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</si>
  <si>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</si>
  <si>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</si>
  <si>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</si>
  <si>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</si>
  <si>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</si>
  <si>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</si>
  <si>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</si>
  <si>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</si>
  <si>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</si>
  <si>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</si>
  <si>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</si>
  <si>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</si>
  <si>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</si>
  <si>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</si>
  <si>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</si>
  <si>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</si>
  <si>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</si>
  <si>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</si>
  <si>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</si>
  <si>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</si>
  <si>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</si>
  <si>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성진주유소</t>
  </si>
  <si>
    <t xml:space="preserve">충북 청주시 서원구 남이면 대림로 325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</si>
  <si>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</si>
  <si>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</si>
  <si>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</si>
  <si>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</si>
  <si>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</si>
  <si>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</si>
  <si>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</si>
  <si>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</si>
  <si>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</si>
  <si>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</si>
  <si>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</si>
  <si>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</si>
  <si>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</si>
  <si>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</si>
  <si>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</si>
  <si>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</si>
  <si>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</si>
  <si>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</si>
  <si>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</si>
  <si>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</si>
  <si>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</si>
  <si>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</si>
  <si>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</si>
  <si>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</si>
  <si>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</si>
  <si>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</si>
  <si>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</si>
  <si>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</si>
  <si>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</si>
  <si>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</si>
  <si>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</si>
  <si>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</si>
  <si>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</si>
  <si>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</si>
  <si>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</si>
  <si>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</si>
  <si>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</si>
  <si>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</si>
  <si>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</si>
  <si>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</si>
  <si>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</si>
  <si>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</si>
  <si>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</si>
  <si>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</si>
  <si>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</si>
  <si>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</si>
  <si>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</si>
  <si>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</si>
  <si>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</si>
  <si>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(주)소모 아산둔포주유소</t>
  </si>
  <si>
    <t xml:space="preserve">충남 아산시 둔포면 장영실로 1292</t>
  </si>
  <si>
    <t xml:space="preserve">극동유화(주) 역전주유소</t>
  </si>
  <si>
    <t xml:space="preserve">충북 청주시 흥덕구 청주역로 314 (정봉동)</t>
  </si>
  <si>
    <t xml:space="preserve">홍익주유소</t>
  </si>
  <si>
    <t xml:space="preserve">충남 천안시 서북구 직산읍 상덕로 155</t>
  </si>
  <si>
    <t xml:space="preserve">신탄진(상)주유소/충전소</t>
  </si>
  <si>
    <t xml:space="preserve">대전 대덕구 산업단지로 27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</si>
  <si>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</si>
  <si>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</si>
  <si>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</si>
  <si>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</si>
  <si>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</si>
  <si>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</si>
  <si>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sk대동주유소</t>
  </si>
  <si>
    <t xml:space="preserve">대전 동구 계족로140번길 73 (용운동)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</si>
  <si>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</si>
  <si>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</si>
  <si>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</si>
  <si>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</si>
  <si>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</si>
  <si>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</si>
  <si>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</si>
  <si>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</si>
  <si>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</si>
  <si>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</si>
  <si>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</si>
  <si>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</si>
  <si>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</si>
  <si>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</si>
  <si>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</si>
  <si>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</si>
  <si>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</si>
  <si>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</si>
  <si>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</si>
  <si>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</si>
  <si>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</si>
  <si>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</si>
  <si>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</si>
  <si>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</si>
  <si>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</si>
  <si>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</si>
  <si>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</si>
  <si>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</si>
  <si>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</si>
  <si>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</si>
  <si>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</si>
  <si>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</si>
  <si>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</si>
  <si>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</si>
  <si>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</si>
  <si>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</si>
  <si>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</si>
  <si>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</si>
  <si>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</si>
  <si>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</si>
  <si>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</si>
  <si>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</si>
  <si>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</si>
  <si>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</si>
  <si>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</si>
  <si>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</si>
  <si>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</si>
  <si>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</si>
  <si>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</si>
  <si>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</si>
  <si>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</si>
  <si>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</si>
  <si>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</si>
  <si>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</si>
  <si>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</si>
  <si>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</si>
  <si>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</si>
  <si>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</si>
  <si>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HD현대오일뱅크㈜직영 동부주유소</t>
  </si>
  <si>
    <t xml:space="preserve">충남 아산시 문화로 317 (모종동)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</si>
  <si>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</si>
  <si>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</si>
  <si>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</si>
  <si>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</si>
  <si>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</si>
  <si>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</si>
  <si>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</si>
  <si>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</si>
  <si>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</si>
  <si>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</si>
  <si>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</si>
  <si>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</si>
  <si>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</si>
  <si>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</si>
  <si>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</si>
  <si>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</si>
  <si>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</si>
  <si>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</si>
  <si>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</si>
  <si>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</si>
  <si>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</si>
  <si>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</si>
  <si>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</si>
  <si>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</si>
  <si>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</si>
  <si>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</si>
  <si>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</si>
  <si>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</si>
  <si>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</si>
  <si>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</si>
  <si>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</si>
  <si>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</si>
  <si>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</si>
  <si>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</si>
  <si>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</si>
  <si>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</si>
  <si>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</si>
  <si>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</si>
  <si>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</si>
  <si>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</si>
  <si>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</si>
  <si>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</si>
  <si>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</si>
  <si>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</si>
  <si>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</si>
  <si>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</si>
  <si>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</si>
  <si>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</si>
  <si>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</si>
  <si>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</si>
  <si>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(주)퍼스트오일</t>
  </si>
  <si>
    <t xml:space="preserve">대전 유성구 현충원로 213 (갑동)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</si>
  <si>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</si>
  <si>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</si>
  <si>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</si>
  <si>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</si>
  <si>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</si>
  <si>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</si>
  <si>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</si>
  <si>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</si>
  <si>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</si>
  <si>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</si>
  <si>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</si>
  <si>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</si>
  <si>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</si>
  <si>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</si>
  <si>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</si>
  <si>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</si>
  <si>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</si>
  <si>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</si>
  <si>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</si>
  <si>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</si>
  <si>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</si>
  <si>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</si>
  <si>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</si>
  <si>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</si>
  <si>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</si>
  <si>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</si>
  <si>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</si>
  <si>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</si>
  <si>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</si>
  <si>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</si>
  <si>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</si>
  <si>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</si>
  <si>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</si>
  <si>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</si>
  <si>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</si>
  <si>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</si>
  <si>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</si>
  <si>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</si>
  <si>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</si>
  <si>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</si>
  <si>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</si>
  <si>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</si>
  <si>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</si>
  <si>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</si>
  <si>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</si>
  <si>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</si>
  <si>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</si>
  <si>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</si>
  <si>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</si>
  <si>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</si>
  <si>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</si>
  <si>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</si>
  <si>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</si>
  <si>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</si>
  <si>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</si>
  <si>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</si>
  <si>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</si>
  <si>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</si>
  <si>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</si>
  <si>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</si>
  <si>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</si>
  <si>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</si>
  <si>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</si>
  <si>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</si>
  <si>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</si>
  <si>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</si>
  <si>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</si>
  <si>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</si>
  <si>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</si>
  <si>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</si>
  <si>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</si>
  <si>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</si>
  <si>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</si>
  <si>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</si>
  <si>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</si>
  <si>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</si>
  <si>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</si>
  <si>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</si>
  <si>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</si>
  <si>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</si>
  <si>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</si>
  <si>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</si>
  <si>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</si>
  <si>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</si>
  <si>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</si>
  <si>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</si>
  <si>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</si>
  <si>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</si>
  <si>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</si>
  <si>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</si>
  <si>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</si>
  <si>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</si>
  <si>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</si>
  <si>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</si>
  <si>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</si>
  <si>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</si>
  <si>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</si>
  <si>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</si>
  <si>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</si>
  <si>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</si>
  <si>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</si>
  <si>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</si>
  <si>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</si>
  <si>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</si>
  <si>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</si>
  <si>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</si>
  <si>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</si>
  <si>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</si>
  <si>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</si>
  <si>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</si>
  <si>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</si>
  <si>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</si>
  <si>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</si>
  <si>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</si>
  <si>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</si>
  <si>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</si>
  <si>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</si>
  <si>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</si>
  <si>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</si>
  <si>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</si>
  <si>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</si>
  <si>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</si>
  <si>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</si>
  <si>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</si>
  <si>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</si>
  <si>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</si>
  <si>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</si>
  <si>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</si>
  <si>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</si>
  <si>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</si>
  <si>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</si>
  <si>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</si>
  <si>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</si>
  <si>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</si>
  <si>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</si>
  <si>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</si>
  <si>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</si>
  <si>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</si>
  <si>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</si>
  <si>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</si>
  <si>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</si>
  <si>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</si>
  <si>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</si>
  <si>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</si>
  <si>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</si>
  <si>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</si>
  <si>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</si>
  <si>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</si>
  <si>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</si>
  <si>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</si>
  <si>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</si>
  <si>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</si>
  <si>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</si>
  <si>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</si>
  <si>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</si>
  <si>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</si>
  <si>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</si>
  <si>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</si>
  <si>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</si>
  <si>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</si>
  <si>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</si>
  <si>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</si>
  <si>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</si>
  <si>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</si>
  <si>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</si>
  <si>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</si>
  <si>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</si>
  <si>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</si>
  <si>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</si>
  <si>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</si>
  <si>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</si>
  <si>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</si>
  <si>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</si>
  <si>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</si>
  <si>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</si>
  <si>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</si>
  <si>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</si>
  <si>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</si>
  <si>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</si>
  <si>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</si>
  <si>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</si>
  <si>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</si>
  <si>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</si>
  <si>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</si>
  <si>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</si>
  <si>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</si>
  <si>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</si>
  <si>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</si>
  <si>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</si>
  <si>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</si>
  <si>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</si>
  <si>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</si>
  <si>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</si>
  <si>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</si>
  <si>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</si>
  <si>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</si>
  <si>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</si>
  <si>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</si>
  <si>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</si>
  <si>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</si>
  <si>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</si>
  <si>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</si>
  <si>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</si>
  <si>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</si>
  <si>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</si>
  <si>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</si>
  <si>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</si>
  <si>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</si>
  <si>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</si>
  <si>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</si>
  <si>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</si>
  <si>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</si>
  <si>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</si>
  <si>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</si>
  <si>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</si>
  <si>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</si>
  <si>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</si>
  <si>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㈜비타민셀프주유소</t>
  </si>
  <si>
    <t xml:space="preserve">충남 천안시 동남구 망향로 53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</si>
  <si>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</si>
  <si>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</si>
  <si>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</si>
  <si>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</si>
  <si>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</si>
  <si>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</si>
  <si>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</si>
  <si>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</si>
  <si>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</si>
  <si>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</si>
  <si>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</si>
  <si>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</si>
  <si>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</si>
  <si>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</si>
  <si>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</si>
  <si>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</si>
  <si>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</si>
  <si>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</si>
  <si>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</si>
  <si>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</si>
  <si>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</si>
  <si>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</si>
  <si>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</si>
  <si>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</si>
  <si>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</si>
  <si>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</si>
  <si>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</si>
  <si>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</si>
  <si>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</si>
  <si>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</si>
  <si>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</si>
  <si>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충남 아산시 도고면 온천대로 102</t>
  </si>
  <si>
    <t xml:space="preserve">폐업</t>
  </si>
  <si>
    <t>현행화 일자: 2026-05-18</t>
  </si>
  <si>
    <t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</si>
</sst>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IF($T15="","",1+COUNTIF($W$15:$W$884,"&lt;"&amp;W15))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79,280원</v>
      </c>
      <c r="P15" s="17">
        <f aca="false">IF($B$10=0,"",IFERROR(IF($B$4&gt;0,IF($L15="",1/0,$L15*$B$4),0)+IF($B$5&gt;0,IF($M15="",1/0,$M15*$B$5),0)+IF($B$6&gt;0,IF($N15="",1/0,$N15*$B$6),0),""))</f>
        <v>79280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11892</v>
      </c>
      <c r="T15" s="17">
        <f aca="false">IF($P15="","",$P15-$S15)</f>
        <v>67388</v>
      </c>
      <c r="U15" s="17">
        <f aca="false">IF($T15="","",IF($B$10=0,"",$T15/$B$10))</f>
        <v>1684.7</v>
      </c>
      <c r="V15" s="17">
        <f aca="false">IF($P15="","",IF($B$10=0,"",$P15/$B$10))</f>
        <v>1982</v>
      </c>
      <c r="W15" s="19">
        <f aca="false">IF($T15="",1000000000000000,$T15)</f>
        <v>67388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IF($T16="","",1+COUNTIF($W$15:$W$884,"&lt;"&amp;W16))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IF($T17="","",1+COUNTIF($W$15:$W$884,"&lt;"&amp;W17))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>
        <f aca="false">IF($P17="","",IF($B$10=0,"",$P17/$B$10))</f>
        <v>1995</v>
      </c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IF($T18="","",1+COUNTIF($W$15:$W$884,"&lt;"&amp;W18))</f>
        <v>4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1996</v>
      </c>
      <c r="H18" s="17"/>
      <c r="I18" s="17"/>
      <c r="J18" s="17">
        <v>1995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1996</v>
      </c>
      <c r="M18" s="17">
        <f aca="false">IF($H18="","",$H18+$K18)</f>
        <v/>
      </c>
      <c r="N18" s="17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79,840원</v>
      </c>
      <c r="P18" s="17">
        <f aca="false">IF($B$10=0,"",IFERROR(IF($B$4&gt;0,IF($L18="",1/0,$L18*$B$4),0)+IF($B$5&gt;0,IF($M18="",1/0,$M18*$B$5),0)+IF($B$6&gt;0,IF($N18="",1/0,$N18*$B$6),0),""))</f>
        <v>79840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11976</v>
      </c>
      <c r="T18" s="17">
        <f aca="false">IF($P18="","",$P18-$S18)</f>
        <v>67864</v>
      </c>
      <c r="U18" s="17">
        <f aca="false">IF($T18="","",IF($B$10=0,"",$T18/$B$10))</f>
        <v>1696.6</v>
      </c>
      <c r="V18" s="17">
        <f aca="false">IF($P18="","",IF($B$10=0,"",$P18/$B$10))</f>
        <v>1996</v>
      </c>
      <c r="W18" s="19">
        <f aca="false">IF($T18="",1000000000000000,$T18)</f>
        <v>67864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IF($T19="","",1+COUNTIF($W$15:$W$884,"&lt;"&amp;W19))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IF($T20="","",1+COUNTIF($W$15:$W$884,"&lt;"&amp;W20))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IF($T21="","",1+COUNTIF($W$15:$W$884,"&lt;"&amp;W21))</f>
        <v>7</v>
      </c>
      <c r="B21" s="16" t="s">
        <v>18</v>
      </c>
      <c r="C21" s="16" t="s">
        <v>63</v>
      </c>
      <c r="D21" s="16" t="s">
        <v>64</v>
      </c>
      <c r="E21" s="16" t="s">
        <v>26</v>
      </c>
      <c r="F21" s="16" t="s">
        <v>65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IF($T22="","",1+COUNTIF($W$15:$W$884,"&lt;"&amp;W22))</f>
        <v>7</v>
      </c>
      <c r="B22" s="16" t="s">
        <v>18</v>
      </c>
      <c r="C22" s="16" t="s">
        <v>61</v>
      </c>
      <c r="D22" s="16" t="s">
        <v>45</v>
      </c>
      <c r="E22" s="16" t="s">
        <v>26</v>
      </c>
      <c r="F22" s="16" t="s">
        <v>62</v>
      </c>
      <c r="G22" s="17">
        <v>1999</v>
      </c>
      <c r="H22" s="17"/>
      <c r="I22" s="17"/>
      <c r="J22" s="17">
        <v>1998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IF($T23="","",1+COUNTIF($W$15:$W$884,"&lt;"&amp;W23))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22" collapsed="false" customFormat="true" customHeight="true" hidden="false" ht="28.5" outlineLevel="0">
      <c r="A24" s="16">
        <f aca="false">IF($T24="","",1+COUNTIF($W$15:$W$884,"&lt;"&amp;W24))</f>
        <v>7</v>
      </c>
      <c r="B24" s="16" t="s">
        <v>18</v>
      </c>
      <c r="C24" s="16" t="s">
        <v>72</v>
      </c>
      <c r="D24" s="16" t="s">
        <v>64</v>
      </c>
      <c r="E24" s="16" t="s">
        <v>26</v>
      </c>
      <c r="F24" s="16" t="s">
        <v>73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79,960원</v>
      </c>
      <c r="P24" s="17">
        <f aca="false">IF($B$10=0,"",IFERROR(IF($B$4&gt;0,IF($L24="",1/0,$L24*$B$4),0)+IF($B$5&gt;0,IF($M24="",1/0,$M24*$B$5),0)+IF($B$6&gt;0,IF($N24="",1/0,$N24*$B$6),0),""))</f>
        <v>79960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11994</v>
      </c>
      <c r="T24" s="17">
        <f aca="false">IF($P24="","",$P24-$S24)</f>
        <v>67966</v>
      </c>
      <c r="U24" s="17">
        <f aca="false">IF($T24="","",IF($B$10=0,"",$T24/$B$10))</f>
        <v>1699.15</v>
      </c>
      <c r="V24" s="17">
        <f aca="false">IF($P24="","",IF($B$10=0,"",$P24/$B$10))</f>
        <v>1999</v>
      </c>
      <c r="W24" s="19">
        <f aca="false">IF($T24="",1000000000000000,$T24)</f>
        <v>67966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IF($T25="","",1+COUNTIF($W$15:$W$884,"&lt;"&amp;W25))</f>
        <v>7</v>
      </c>
      <c r="B25" s="16" t="s">
        <v>18</v>
      </c>
      <c r="C25" s="16" t="s">
        <v>68</v>
      </c>
      <c r="D25" s="16" t="s">
        <v>64</v>
      </c>
      <c r="E25" s="16" t="s">
        <v>26</v>
      </c>
      <c r="F25" s="16" t="s">
        <v>69</v>
      </c>
      <c r="G25" s="17">
        <v>1999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79,960원</v>
      </c>
      <c r="P25" s="17">
        <f aca="false">IF($B$10=0,"",IFERROR(IF($B$4&gt;0,IF($L25="",1/0,$L25*$B$4),0)+IF($B$5&gt;0,IF($M25="",1/0,$M25*$B$5),0)+IF($B$6&gt;0,IF($N25="",1/0,$N25*$B$6),0),""))</f>
        <v>79960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11994</v>
      </c>
      <c r="T25" s="17">
        <f aca="false">IF($P25="","",$P25-$S25)</f>
        <v>67966</v>
      </c>
      <c r="U25" s="17">
        <f aca="false">IF($T25="","",IF($B$10=0,"",$T25/$B$10))</f>
        <v>1699.15</v>
      </c>
      <c r="V25" s="17">
        <f aca="false">IF($P25="","",IF($B$10=0,"",$P25/$B$10))</f>
        <v>1999</v>
      </c>
      <c r="W25" s="19">
        <f aca="false">IF($T25="",1000000000000000,$T25)</f>
        <v>67966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IF($T26="","",1+COUNTIF($W$15:$W$884,"&lt;"&amp;W26))</f>
        <v>12</v>
      </c>
      <c r="B26" s="16" t="s">
        <v>18</v>
      </c>
      <c r="C26" s="16" t="s">
        <v>74</v>
      </c>
      <c r="D26" s="21" t="s">
        <v>57</v>
      </c>
      <c r="E26" s="16" t="s">
        <v>26</v>
      </c>
      <c r="F26" s="16" t="s">
        <v>75</v>
      </c>
      <c r="G26" s="17">
        <v>2002</v>
      </c>
      <c r="H26" s="17"/>
      <c r="I26" s="17"/>
      <c r="J26" s="17">
        <v>1982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2002</v>
      </c>
      <c r="M26" s="17">
        <f aca="false">IF($H26="","",$H26+$K26)</f>
        <v/>
      </c>
      <c r="N26" s="17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80,080원</v>
      </c>
      <c r="P26" s="17">
        <f aca="false">IF($B$10=0,"",IFERROR(IF($B$4&gt;0,IF($L26="",1/0,$L26*$B$4),0)+IF($B$5&gt;0,IF($M26="",1/0,$M26*$B$5),0)+IF($B$6&gt;0,IF($N26="",1/0,$N26*$B$6),0),""))</f>
        <v>80080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12012</v>
      </c>
      <c r="T26" s="17">
        <f aca="false">IF($P26="","",$P26-$S26)</f>
        <v>68068</v>
      </c>
      <c r="U26" s="17">
        <f aca="false">IF($T26="","",IF($B$10=0,"",$T26/$B$10))</f>
        <v>1701.7</v>
      </c>
      <c r="V26" s="17">
        <f aca="false">IF($P26="","",IF($B$10=0,"",$P26/$B$10))</f>
        <v>2002</v>
      </c>
      <c r="W26" s="19">
        <f aca="false">IF($T26="",1000000000000000,$T26)</f>
        <v>68068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IF($T27="","",1+COUNTIF($W$15:$W$884,"&lt;"&amp;W27))</f>
        <v>13</v>
      </c>
      <c r="B27" s="16" t="s">
        <v>18</v>
      </c>
      <c r="C27" s="16" t="s">
        <v>70</v>
      </c>
      <c r="D27" s="20" t="s">
        <v>54</v>
      </c>
      <c r="E27" s="16" t="s">
        <v>51</v>
      </c>
      <c r="F27" s="16" t="s">
        <v>71</v>
      </c>
      <c r="G27" s="17">
        <v>2008</v>
      </c>
      <c r="H27" s="17"/>
      <c r="I27" s="17"/>
      <c r="J27" s="17">
        <v>2008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2008</v>
      </c>
      <c r="M27" s="17">
        <f aca="false">IF($H27="","",$H27+$K27)</f>
        <v/>
      </c>
      <c r="N27" s="17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80,320원</v>
      </c>
      <c r="P27" s="17">
        <f aca="false">IF($B$10=0,"",IFERROR(IF($B$4&gt;0,IF($L27="",1/0,$L27*$B$4),0)+IF($B$5&gt;0,IF($M27="",1/0,$M27*$B$5),0)+IF($B$6&gt;0,IF($N27="",1/0,$N27*$B$6),0),""))</f>
        <v>80320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12048</v>
      </c>
      <c r="T27" s="17">
        <f aca="false">IF($P27="","",$P27-$S27)</f>
        <v>68272</v>
      </c>
      <c r="U27" s="17">
        <f aca="false">IF($T27="","",IF($B$10=0,"",$T27/$B$10))</f>
        <v>1706.8</v>
      </c>
      <c r="V27" s="17">
        <f aca="false">IF($P27="","",IF($B$10=0,"",$P27/$B$10))</f>
        <v>2008</v>
      </c>
      <c r="W27" s="19">
        <f aca="false">IF($T27="",1000000000000000,$T27)</f>
        <v>68272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IF($T28="","",1+COUNTIF($W$15:$W$884,"&lt;"&amp;W28))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IF($T29="","",1+COUNTIF($W$15:$W$884,"&lt;"&amp;W29))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IF($T30="","",1+COUNTIF($W$15:$W$884,"&lt;"&amp;W30))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IF($T31="","",1+COUNTIF($W$15:$W$884,"&lt;"&amp;W31))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IF($T32="","",1+COUNTIF($W$15:$W$884,"&lt;"&amp;W32))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IF($T33="","",1+COUNTIF($W$15:$W$884,"&lt;"&amp;W33))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IF($T34="","",1+COUNTIF($W$15:$W$884,"&lt;"&amp;W34))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IF($T35="","",1+COUNTIF($W$15:$W$884,"&lt;"&amp;W35))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IF($T36="","",1+COUNTIF($W$15:$W$884,"&lt;"&amp;W36))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IF($T37="","",1+COUNTIF($W$15:$W$884,"&lt;"&amp;W37))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IF($T38="","",1+COUNTIF($W$15:$W$884,"&lt;"&amp;W38))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IF($T39="","",1+COUNTIF($W$15:$W$884,"&lt;"&amp;W39))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IF($T40="","",1+COUNTIF($W$15:$W$884,"&lt;"&amp;W40))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1998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1998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IF($T41="","",1+COUNTIF($W$15:$W$884,"&lt;"&amp;W41))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IF($T42="","",1+COUNTIF($W$15:$W$884,"&lt;"&amp;W42))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IF($T43="","",1+COUNTIF($W$15:$W$884,"&lt;"&amp;W43))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IF($T44="","",1+COUNTIF($W$15:$W$884,"&lt;"&amp;W44))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2023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2023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IF($T45="","",1+COUNTIF($W$15:$W$884,"&lt;"&amp;W45))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IF($T46="","",1+COUNTIF($W$15:$W$884,"&lt;"&amp;W46))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IF($T47="","",1+COUNTIF($W$15:$W$884,"&lt;"&amp;W47))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IF($T48="","",1+COUNTIF($W$15:$W$884,"&lt;"&amp;W48))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IF($T49="","",1+COUNTIF($W$15:$W$884,"&lt;"&amp;W49))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IF($T50="","",1+COUNTIF($W$15:$W$884,"&lt;"&amp;W50))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IF($T51="","",1+COUNTIF($W$15:$W$884,"&lt;"&amp;W51))</f>
        <v>37</v>
      </c>
      <c r="B51" s="16" t="s">
        <v>16</v>
      </c>
      <c r="C51" s="16" t="s">
        <v>126</v>
      </c>
      <c r="D51" s="16" t="s">
        <v>64</v>
      </c>
      <c r="E51" s="16" t="s">
        <v>26</v>
      </c>
      <c r="F51" s="16" t="s">
        <v>127</v>
      </c>
      <c r="G51" s="17">
        <v>1995</v>
      </c>
      <c r="H51" s="17">
        <v>2380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2380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79,800원</v>
      </c>
      <c r="P51" s="17">
        <f aca="false">IF($B$10=0,"",IFERROR(IF($B$4&gt;0,IF($L51="",1/0,$L51*$B$4),0)+IF($B$5&gt;0,IF($M51="",1/0,$M51*$B$5),0)+IF($B$6&gt;0,IF($N51="",1/0,$N51*$B$6),0),""))</f>
        <v>79800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9576</v>
      </c>
      <c r="T51" s="17">
        <f aca="false">IF($P51="","",$P51-$S51)</f>
        <v>70224</v>
      </c>
      <c r="U51" s="17">
        <f aca="false">IF($T51="","",IF($B$10=0,"",$T51/$B$10))</f>
        <v>1755.6</v>
      </c>
      <c r="V51" s="17">
        <f aca="false">IF($P51="","",IF($B$10=0,"",$P51/$B$10))</f>
        <v>1995</v>
      </c>
      <c r="W51" s="19">
        <f aca="false">IF($T51="",1000000000000000,$T51)</f>
        <v>70224</v>
      </c>
      <c r="XFB51" s="6"/>
      <c r="XFC51" s="3"/>
    </row>
    <row r="52" s="22" collapsed="false" customFormat="true" customHeight="true" hidden="false" ht="28.5" outlineLevel="0">
      <c r="A52" s="16">
        <f aca="false">IF($T52="","",1+COUNTIF($W$15:$W$884,"&lt;"&amp;W52))</f>
        <v>38</v>
      </c>
      <c r="B52" s="16" t="s">
        <v>16</v>
      </c>
      <c r="C52" s="16" t="s">
        <v>128</v>
      </c>
      <c r="D52" s="16" t="s">
        <v>64</v>
      </c>
      <c r="E52" s="16" t="s">
        <v>26</v>
      </c>
      <c r="F52" s="16" t="s">
        <v>129</v>
      </c>
      <c r="G52" s="17">
        <v>1999</v>
      </c>
      <c r="H52" s="17"/>
      <c r="I52" s="17"/>
      <c r="J52" s="17">
        <v>1985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1999</v>
      </c>
      <c r="M52" s="17">
        <f aca="false">IF($H52="","",$H52+$K52)</f>
        <v/>
      </c>
      <c r="N52" s="17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79,960원</v>
      </c>
      <c r="P52" s="17">
        <f aca="false">IF($B$10=0,"",IFERROR(IF($B$4&gt;0,IF($L52="",1/0,$L52*$B$4),0)+IF($B$5&gt;0,IF($M52="",1/0,$M52*$B$5),0)+IF($B$6&gt;0,IF($N52="",1/0,$N52*$B$6),0),""))</f>
        <v>79960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9595</v>
      </c>
      <c r="T52" s="17">
        <f aca="false">IF($P52="","",$P52-$S52)</f>
        <v>70365</v>
      </c>
      <c r="U52" s="17">
        <f aca="false">IF($T52="","",IF($B$10=0,"",$T52/$B$10))</f>
        <v>1759.125</v>
      </c>
      <c r="V52" s="17">
        <f aca="false">IF($P52="","",IF($B$10=0,"",$P52/$B$10))</f>
        <v>1999</v>
      </c>
      <c r="W52" s="19">
        <f aca="false">IF($T52="",1000000000000000,$T52)</f>
        <v>70365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IF($T53="","",1+COUNTIF($W$15:$W$884,"&lt;"&amp;W53))</f>
        <v>38</v>
      </c>
      <c r="B53" s="16" t="s">
        <v>16</v>
      </c>
      <c r="C53" s="16" t="s">
        <v>130</v>
      </c>
      <c r="D53" s="16" t="s">
        <v>45</v>
      </c>
      <c r="E53" s="16" t="s">
        <v>26</v>
      </c>
      <c r="F53" s="16" t="s">
        <v>131</v>
      </c>
      <c r="G53" s="17">
        <v>1999</v>
      </c>
      <c r="H53" s="17"/>
      <c r="I53" s="17"/>
      <c r="J53" s="17">
        <v>1997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1997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6" collapsed="false" customFormat="true" customHeight="true" hidden="false" ht="28.5" outlineLevel="0">
      <c r="A54" s="16">
        <f aca="false">IF($T54="","",1+COUNTIF($W$15:$W$884,"&lt;"&amp;W54))</f>
        <v>40</v>
      </c>
      <c r="B54" s="16" t="s">
        <v>16</v>
      </c>
      <c r="C54" s="16" t="s">
        <v>134</v>
      </c>
      <c r="D54" s="16" t="s">
        <v>45</v>
      </c>
      <c r="E54" s="16" t="s">
        <v>26</v>
      </c>
      <c r="F54" s="16" t="s">
        <v>135</v>
      </c>
      <c r="G54" s="17">
        <v>2000</v>
      </c>
      <c r="H54" s="17"/>
      <c r="I54" s="17"/>
      <c r="J54" s="17">
        <v>2000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2000</v>
      </c>
      <c r="M54" s="17">
        <f aca="false">IF($H54="","",$H54+$K54)</f>
        <v/>
      </c>
      <c r="N54" s="17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80,000원</v>
      </c>
      <c r="P54" s="17">
        <f aca="false">IF($B$10=0,"",IFERROR(IF($B$4&gt;0,IF($L54="",1/0,$L54*$B$4),0)+IF($B$5&gt;0,IF($M54="",1/0,$M54*$B$5),0)+IF($B$6&gt;0,IF($N54="",1/0,$N54*$B$6),0),""))</f>
        <v>80000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9600</v>
      </c>
      <c r="T54" s="17">
        <f aca="false">IF($P54="","",$P54-$S54)</f>
        <v>70400</v>
      </c>
      <c r="U54" s="17">
        <f aca="false">IF($T54="","",IF($B$10=0,"",$T54/$B$10))</f>
        <v>1760</v>
      </c>
      <c r="V54" s="17">
        <f aca="false">IF($P54="","",IF($B$10=0,"",$P54/$B$10))</f>
        <v>2000</v>
      </c>
      <c r="W54" s="19">
        <f aca="false">IF($T54="",1000000000000000,$T54)</f>
        <v>70400</v>
      </c>
      <c r="XFC54" s="3"/>
    </row>
    <row r="55" s="5" collapsed="false" customFormat="true" customHeight="true" hidden="false" ht="28.5" outlineLevel="0">
      <c r="A55" s="16">
        <f aca="false">IF($T55="","",1+COUNTIF($W$15:$W$884,"&lt;"&amp;W55))</f>
        <v>41</v>
      </c>
      <c r="B55" s="16" t="s">
        <v>14</v>
      </c>
      <c r="C55" s="16" t="s">
        <v>136</v>
      </c>
      <c r="D55" s="20" t="s">
        <v>54</v>
      </c>
      <c r="E55" s="16" t="s">
        <v>26</v>
      </c>
      <c r="F55" s="16" t="s">
        <v>137</v>
      </c>
      <c r="G55" s="17">
        <v>1984</v>
      </c>
      <c r="H55" s="17">
        <v>2538</v>
      </c>
      <c r="I55" s="17"/>
      <c r="J55" s="17">
        <v>1986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1984</v>
      </c>
      <c r="M55" s="17">
        <f aca="false">IF($H55="","",$H55+$K55)</f>
        <v>2538</v>
      </c>
      <c r="N55" s="17">
        <f aca="false">IF($J55="","",$J55+$K55)</f>
        <v>1986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79,360원</v>
      </c>
      <c r="P55" s="17">
        <f aca="false">IF($B$10=0,"",IFERROR(IF($B$4&gt;0,IF($L55="",1/0,$L55*$B$4),0)+IF($B$5&gt;0,IF($M55="",1/0,$M55*$B$5),0)+IF($B$6&gt;0,IF($N55="",1/0,$N55*$B$6),0),""))</f>
        <v>79360</v>
      </c>
      <c r="Q55" s="17" t="s">
        <v>47</v>
      </c>
      <c r="R55" s="18">
        <f aca="false">IF($P55="","",IF($Q55="Y",IFERROR(VLOOKUP($B55,$C$4:$D$13,2,FALSE()),0),0))</f>
        <v>0.11</v>
      </c>
      <c r="S55" s="17">
        <f aca="false">IF($P55="","",ROUNDDOWN($P55*$R55,0))</f>
        <v>8729</v>
      </c>
      <c r="T55" s="17">
        <f aca="false">IF($P55="","",$P55-$S55)</f>
        <v>70631</v>
      </c>
      <c r="U55" s="17">
        <f aca="false">IF($T55="","",IF($B$10=0,"",$T55/$B$10))</f>
        <v>1765.775</v>
      </c>
      <c r="V55" s="17">
        <f aca="false">IF($P55="","",IF($B$10=0,"",$P55/$B$10))</f>
        <v>1984</v>
      </c>
      <c r="W55" s="19">
        <f aca="false">IF($T55="",1000000000000000,$T55)</f>
        <v>70631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IF($T56="","",1+COUNTIF($W$15:$W$884,"&lt;"&amp;W56))</f>
        <v>42</v>
      </c>
      <c r="B56" s="16" t="s">
        <v>16</v>
      </c>
      <c r="C56" s="16" t="s">
        <v>138</v>
      </c>
      <c r="D56" s="21" t="s">
        <v>57</v>
      </c>
      <c r="E56" s="16" t="s">
        <v>26</v>
      </c>
      <c r="F56" s="16" t="s">
        <v>139</v>
      </c>
      <c r="G56" s="17">
        <v>2010</v>
      </c>
      <c r="H56" s="17">
        <v>2490</v>
      </c>
      <c r="I56" s="17"/>
      <c r="J56" s="17">
        <v>2010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2010</v>
      </c>
      <c r="M56" s="17">
        <f aca="false">IF($H56="","",$H56+$K56)</f>
        <v>2490</v>
      </c>
      <c r="N56" s="17">
        <f aca="false">IF($J56="","",$J56+$K56)</f>
        <v>2010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80,400원</v>
      </c>
      <c r="P56" s="17">
        <f aca="false">IF($B$10=0,"",IFERROR(IF($B$4&gt;0,IF($L56="",1/0,$L56*$B$4),0)+IF($B$5&gt;0,IF($M56="",1/0,$M56*$B$5),0)+IF($B$6&gt;0,IF($N56="",1/0,$N56*$B$6),0),""))</f>
        <v>80400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9648</v>
      </c>
      <c r="T56" s="17">
        <f aca="false">IF($P56="","",$P56-$S56)</f>
        <v>70752</v>
      </c>
      <c r="U56" s="17">
        <f aca="false">IF($T56="","",IF($B$10=0,"",$T56/$B$10))</f>
        <v>1768.8</v>
      </c>
      <c r="V56" s="17">
        <f aca="false">IF($P56="","",IF($B$10=0,"",$P56/$B$10))</f>
        <v>2010</v>
      </c>
      <c r="W56" s="19">
        <f aca="false">IF($T56="",1000000000000000,$T56)</f>
        <v>70752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IF($T57="","",1+COUNTIF($W$15:$W$884,"&lt;"&amp;W57))</f>
        <v>42</v>
      </c>
      <c r="B57" s="16" t="s">
        <v>16</v>
      </c>
      <c r="C57" s="16" t="s">
        <v>124</v>
      </c>
      <c r="D57" s="21" t="s">
        <v>57</v>
      </c>
      <c r="E57" s="16" t="s">
        <v>51</v>
      </c>
      <c r="F57" s="16" t="s">
        <v>125</v>
      </c>
      <c r="G57" s="17">
        <v>2010</v>
      </c>
      <c r="H57" s="17"/>
      <c r="I57" s="17"/>
      <c r="J57" s="17">
        <v>2010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2010</v>
      </c>
      <c r="M57" s="17">
        <f aca="false">IF($H57="","",$H57+$K57)</f>
        <v/>
      </c>
      <c r="N57" s="17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80,400원</v>
      </c>
      <c r="P57" s="17">
        <f aca="false">IF($B$10=0,"",IFERROR(IF($B$4&gt;0,IF($L57="",1/0,$L57*$B$4),0)+IF($B$5&gt;0,IF($M57="",1/0,$M57*$B$5),0)+IF($B$6&gt;0,IF($N57="",1/0,$N57*$B$6),0),""))</f>
        <v>80400</v>
      </c>
      <c r="Q57" s="17" t="s">
        <v>47</v>
      </c>
      <c r="R57" s="18">
        <f aca="false">IF($P57="","",IF($Q57="Y",IFERROR(VLOOKUP($B57,$C$4:$D$13,2,FALSE()),0),0))</f>
        <v>0.12</v>
      </c>
      <c r="S57" s="17">
        <f aca="false">IF($P57="","",ROUNDDOWN($P57*$R57,0))</f>
        <v>9648</v>
      </c>
      <c r="T57" s="17">
        <f aca="false">IF($P57="","",$P57-$S57)</f>
        <v>70752</v>
      </c>
      <c r="U57" s="17">
        <f aca="false">IF($T57="","",IF($B$10=0,"",$T57/$B$10))</f>
        <v>1768.8</v>
      </c>
      <c r="V57" s="17">
        <f aca="false">IF($P57="","",IF($B$10=0,"",$P57/$B$10))</f>
        <v>2010</v>
      </c>
      <c r="W57" s="19">
        <f aca="false">IF($T57="",1000000000000000,$T57)</f>
        <v>70752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IF($T58="","",1+COUNTIF($W$15:$W$884,"&lt;"&amp;W58))</f>
        <v>42</v>
      </c>
      <c r="B58" s="16" t="s">
        <v>16</v>
      </c>
      <c r="C58" s="16" t="s">
        <v>140</v>
      </c>
      <c r="D58" s="20" t="s">
        <v>54</v>
      </c>
      <c r="E58" s="16" t="s">
        <v>51</v>
      </c>
      <c r="F58" s="16" t="s">
        <v>141</v>
      </c>
      <c r="G58" s="17">
        <v>2010</v>
      </c>
      <c r="H58" s="17"/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/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IF($T59="","",1+COUNTIF($W$15:$W$884,"&lt;"&amp;W59))</f>
        <v>45</v>
      </c>
      <c r="B59" s="16" t="s">
        <v>12</v>
      </c>
      <c r="C59" s="16" t="s">
        <v>258</v>
      </c>
      <c r="D59" s="20" t="s">
        <v>54</v>
      </c>
      <c r="E59" s="16" t="s">
        <v>26</v>
      </c>
      <c r="F59" s="16" t="s">
        <v>259</v>
      </c>
      <c r="G59" s="17">
        <v>1969</v>
      </c>
      <c r="H59" s="17">
        <v>2375</v>
      </c>
      <c r="I59" s="17"/>
      <c r="J59" s="17">
        <v>1969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1969</v>
      </c>
      <c r="M59" s="17">
        <f aca="false">IF($H59="","",$H59+$K59)</f>
        <v>2375</v>
      </c>
      <c r="N59" s="17">
        <f aca="false">IF($J59="","",$J59+$K59)</f>
        <v>1969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78,760원</v>
      </c>
      <c r="P59" s="17">
        <f aca="false">IF($B$10=0,"",IFERROR(IF($B$4&gt;0,IF($L59="",1/0,$L59*$B$4),0)+IF($B$5&gt;0,IF($M59="",1/0,$M59*$B$5),0)+IF($B$6&gt;0,IF($N59="",1/0,$N59*$B$6),0),""))</f>
        <v>78760</v>
      </c>
      <c r="Q59" s="17" t="s">
        <v>47</v>
      </c>
      <c r="R59" s="18">
        <f aca="false">IF($P59="","",IF($Q59="Y",IFERROR(VLOOKUP($B59,$C$4:$D$13,2,FALSE()),0),0))</f>
        <v>0.1</v>
      </c>
      <c r="S59" s="17">
        <f aca="false">IF($P59="","",ROUNDDOWN($P59*$R59,0))</f>
        <v>7876</v>
      </c>
      <c r="T59" s="17">
        <f aca="false">IF($P59="","",$P59-$S59)</f>
        <v>70884</v>
      </c>
      <c r="U59" s="17">
        <f aca="false">IF($T59="","",IF($B$10=0,"",$T59/$B$10))</f>
        <v>1772.1</v>
      </c>
      <c r="V59" s="17">
        <f aca="false">IF($P59="","",IF($B$10=0,"",$P59/$B$10))</f>
        <v>1969</v>
      </c>
      <c r="W59" s="19">
        <f aca="false">IF($T59="",1000000000000000,$T59)</f>
        <v>70884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IF($T60="","",1+COUNTIF($W$15:$W$884,"&lt;"&amp;W60))</f>
        <v>45</v>
      </c>
      <c r="B60" s="16" t="s">
        <v>12</v>
      </c>
      <c r="C60" s="16" t="s">
        <v>144</v>
      </c>
      <c r="D60" s="21" t="s">
        <v>45</v>
      </c>
      <c r="E60" s="16" t="s">
        <v>26</v>
      </c>
      <c r="F60" s="16" t="s">
        <v>146</v>
      </c>
      <c r="G60" s="17">
        <v>1969</v>
      </c>
      <c r="H60" s="17"/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/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78,760원</v>
      </c>
      <c r="P60" s="17">
        <f aca="false">IF($B$10=0,"",IFERROR(IF($B$4&gt;0,IF($L60="",1/0,$L60*$B$4),0)+IF($B$5&gt;0,IF($M60="",1/0,$M60*$B$5),0)+IF($B$6&gt;0,IF($N60="",1/0,$N60*$B$6),0),""))</f>
        <v>78760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7876</v>
      </c>
      <c r="T60" s="17">
        <f aca="false">IF($P60="","",$P60-$S60)</f>
        <v>70884</v>
      </c>
      <c r="U60" s="17">
        <f aca="false">IF($T60="","",IF($B$10=0,"",$T60/$B$10))</f>
        <v>1772.1</v>
      </c>
      <c r="V60" s="17">
        <f aca="false">IF($P60="","",IF($B$10=0,"",$P60/$B$10))</f>
        <v>1969</v>
      </c>
      <c r="W60" s="19">
        <f aca="false">IF($T60="",1000000000000000,$T60)</f>
        <v>70884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IF($T61="","",1+COUNTIF($W$15:$W$884,"&lt;"&amp;W61))</f>
        <v>45</v>
      </c>
      <c r="B61" s="16" t="s">
        <v>12</v>
      </c>
      <c r="C61" s="16" t="s">
        <v>142</v>
      </c>
      <c r="D61" s="21" t="s">
        <v>57</v>
      </c>
      <c r="E61" s="16" t="s">
        <v>26</v>
      </c>
      <c r="F61" s="16" t="s">
        <v>143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78,760원</v>
      </c>
      <c r="P61" s="17">
        <f aca="false">IF($B$10=0,"",IFERROR(IF($B$4&gt;0,IF($L61="",1/0,$L61*$B$4),0)+IF($B$5&gt;0,IF($M61="",1/0,$M61*$B$5),0)+IF($B$6&gt;0,IF($N61="",1/0,$N61*$B$6),0),""))</f>
        <v>78760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7876</v>
      </c>
      <c r="T61" s="17">
        <f aca="false">IF($P61="","",$P61-$S61)</f>
        <v>70884</v>
      </c>
      <c r="U61" s="17">
        <f aca="false">IF($T61="","",IF($B$10=0,"",$T61/$B$10))</f>
        <v>1772.1</v>
      </c>
      <c r="V61" s="17">
        <f aca="false">IF($P61="","",IF($B$10=0,"",$P61/$B$10))</f>
        <v>1969</v>
      </c>
      <c r="W61" s="19">
        <f aca="false">IF($T61="",1000000000000000,$T61)</f>
        <v>70884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IF($T62="","",1+COUNTIF($W$15:$W$884,"&lt;"&amp;W62))</f>
        <v>48</v>
      </c>
      <c r="B62" s="16" t="s">
        <v>16</v>
      </c>
      <c r="C62" s="16" t="s">
        <v>147</v>
      </c>
      <c r="D62" s="16" t="s">
        <v>45</v>
      </c>
      <c r="E62" s="16" t="s">
        <v>26</v>
      </c>
      <c r="F62" s="16" t="s">
        <v>148</v>
      </c>
      <c r="G62" s="17">
        <v>2015</v>
      </c>
      <c r="H62" s="17"/>
      <c r="I62" s="17"/>
      <c r="J62" s="17">
        <v>2005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2005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80,600원</v>
      </c>
      <c r="P62" s="17">
        <f aca="false">IF($B$10=0,"",IFERROR(IF($B$4&gt;0,IF($L62="",1/0,$L62*$B$4),0)+IF($B$5&gt;0,IF($M62="",1/0,$M62*$B$5),0)+IF($B$6&gt;0,IF($N62="",1/0,$N62*$B$6),0),""))</f>
        <v>80600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9672</v>
      </c>
      <c r="T62" s="17">
        <f aca="false">IF($P62="","",$P62-$S62)</f>
        <v>70928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70928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IF($T63="","",1+COUNTIF($W$15:$W$884,"&lt;"&amp;W63))</f>
        <v>48</v>
      </c>
      <c r="B63" s="16" t="s">
        <v>16</v>
      </c>
      <c r="C63" s="16" t="s">
        <v>149</v>
      </c>
      <c r="D63" s="21" t="s">
        <v>57</v>
      </c>
      <c r="E63" s="16" t="s">
        <v>26</v>
      </c>
      <c r="F63" s="16" t="s">
        <v>150</v>
      </c>
      <c r="G63" s="17">
        <v>2015</v>
      </c>
      <c r="H63" s="17"/>
      <c r="I63" s="17"/>
      <c r="J63" s="17">
        <v>2010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2010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IF($T64="","",1+COUNTIF($W$15:$W$884,"&lt;"&amp;W64))</f>
        <v>48</v>
      </c>
      <c r="B64" s="16" t="s">
        <v>16</v>
      </c>
      <c r="C64" s="16" t="s">
        <v>151</v>
      </c>
      <c r="D64" s="20" t="s">
        <v>54</v>
      </c>
      <c r="E64" s="16" t="s">
        <v>51</v>
      </c>
      <c r="F64" s="16" t="s">
        <v>152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80,600원</v>
      </c>
      <c r="P64" s="17">
        <f aca="false">IF($B$10=0,"",IFERROR(IF($B$4&gt;0,IF($L64="",1/0,$L64*$B$4),0)+IF($B$5&gt;0,IF($M64="",1/0,$M64*$B$5),0)+IF($B$6&gt;0,IF($N64="",1/0,$N64*$B$6),0),""))</f>
        <v>80600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9672</v>
      </c>
      <c r="T64" s="17">
        <f aca="false">IF($P64="","",$P64-$S64)</f>
        <v>70928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70928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IF($T65="","",1+COUNTIF($W$15:$W$884,"&lt;"&amp;W65))</f>
        <v>48</v>
      </c>
      <c r="B65" s="16" t="s">
        <v>16</v>
      </c>
      <c r="C65" s="16" t="s">
        <v>153</v>
      </c>
      <c r="D65" s="16" t="s">
        <v>45</v>
      </c>
      <c r="E65" s="16" t="s">
        <v>51</v>
      </c>
      <c r="F65" s="16" t="s">
        <v>154</v>
      </c>
      <c r="G65" s="17">
        <v>2015</v>
      </c>
      <c r="H65" s="17"/>
      <c r="I65" s="17"/>
      <c r="J65" s="17">
        <v>2015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80,600원</v>
      </c>
      <c r="P65" s="17">
        <f aca="false">IF($B$10=0,"",IFERROR(IF($B$4&gt;0,IF($L65="",1/0,$L65*$B$4),0)+IF($B$5&gt;0,IF($M65="",1/0,$M65*$B$5),0)+IF($B$6&gt;0,IF($N65="",1/0,$N65*$B$6),0),""))</f>
        <v>80600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9672</v>
      </c>
      <c r="T65" s="17">
        <f aca="false">IF($P65="","",$P65-$S65)</f>
        <v>70928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70928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IF($T66="","",1+COUNTIF($W$15:$W$884,"&lt;"&amp;W66))</f>
        <v>52</v>
      </c>
      <c r="B66" s="16" t="s">
        <v>18</v>
      </c>
      <c r="C66" s="16" t="s">
        <v>155</v>
      </c>
      <c r="D66" s="16" t="s">
        <v>64</v>
      </c>
      <c r="E66" s="16" t="s">
        <v>51</v>
      </c>
      <c r="F66" s="16" t="s">
        <v>156</v>
      </c>
      <c r="G66" s="17">
        <v>2088</v>
      </c>
      <c r="H66" s="17"/>
      <c r="I66" s="17"/>
      <c r="J66" s="17">
        <v>2078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2088</v>
      </c>
      <c r="M66" s="17">
        <f aca="false">IF($H66="","",$H66+$K66)</f>
        <v/>
      </c>
      <c r="N66" s="17">
        <f aca="false">IF($J66="","",$J66+$K66)</f>
        <v>2078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83,520원</v>
      </c>
      <c r="P66" s="17">
        <f aca="false">IF($B$10=0,"",IFERROR(IF($B$4&gt;0,IF($L66="",1/0,$L66*$B$4),0)+IF($B$5&gt;0,IF($M66="",1/0,$M66*$B$5),0)+IF($B$6&gt;0,IF($N66="",1/0,$N66*$B$6),0),""))</f>
        <v>83520</v>
      </c>
      <c r="Q66" s="17" t="s">
        <v>47</v>
      </c>
      <c r="R66" s="18">
        <f aca="false">IF($P66="","",IF($Q66="Y",IFERROR(VLOOKUP($B66,$C$4:$D$13,2,FALSE()),0),0))</f>
        <v>0.15</v>
      </c>
      <c r="S66" s="17">
        <f aca="false">IF($P66="","",ROUNDDOWN($P66*$R66,0))</f>
        <v>12528</v>
      </c>
      <c r="T66" s="17">
        <f aca="false">IF($P66="","",$P66-$S66)</f>
        <v>70992</v>
      </c>
      <c r="U66" s="17">
        <f aca="false">IF($T66="","",IF($B$10=0,"",$T66/$B$10))</f>
        <v>1774.8</v>
      </c>
      <c r="V66" s="17">
        <f aca="false">IF($P66="","",IF($B$10=0,"",$P66/$B$10))</f>
        <v>2088</v>
      </c>
      <c r="W66" s="19">
        <f aca="false">IF($T66="",1000000000000000,$T66)</f>
        <v>70992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IF($T67="","",1+COUNTIF($W$15:$W$884,"&lt;"&amp;W67))</f>
        <v>53</v>
      </c>
      <c r="B67" s="16" t="s">
        <v>16</v>
      </c>
      <c r="C67" s="16" t="s">
        <v>157</v>
      </c>
      <c r="D67" s="20" t="s">
        <v>54</v>
      </c>
      <c r="E67" s="16" t="s">
        <v>51</v>
      </c>
      <c r="F67" s="16" t="s">
        <v>158</v>
      </c>
      <c r="G67" s="17">
        <v>2018</v>
      </c>
      <c r="H67" s="17"/>
      <c r="I67" s="17"/>
      <c r="J67" s="17">
        <v>2010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2018</v>
      </c>
      <c r="M67" s="17">
        <f aca="false">IF($H67="","",$H67+$K67)</f>
        <v/>
      </c>
      <c r="N67" s="17">
        <f aca="false">IF($J67="","",$J67+$K67)</f>
        <v>2010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80,720원</v>
      </c>
      <c r="P67" s="17">
        <f aca="false">IF($B$10=0,"",IFERROR(IF($B$4&gt;0,IF($L67="",1/0,$L67*$B$4),0)+IF($B$5&gt;0,IF($M67="",1/0,$M67*$B$5),0)+IF($B$6&gt;0,IF($N67="",1/0,$N67*$B$6),0),""))</f>
        <v>80720</v>
      </c>
      <c r="Q67" s="17" t="s">
        <v>47</v>
      </c>
      <c r="R67" s="18">
        <f aca="false">IF($P67="","",IF($Q67="Y",IFERROR(VLOOKUP($B67,$C$4:$D$13,2,FALSE()),0),0))</f>
        <v>0.12</v>
      </c>
      <c r="S67" s="17">
        <f aca="false">IF($P67="","",ROUNDDOWN($P67*$R67,0))</f>
        <v>9686</v>
      </c>
      <c r="T67" s="17">
        <f aca="false">IF($P67="","",$P67-$S67)</f>
        <v>71034</v>
      </c>
      <c r="U67" s="17">
        <f aca="false">IF($T67="","",IF($B$10=0,"",$T67/$B$10))</f>
        <v>1775.85</v>
      </c>
      <c r="V67" s="17">
        <f aca="false">IF($P67="","",IF($B$10=0,"",$P67/$B$10))</f>
        <v>2018</v>
      </c>
      <c r="W67" s="19">
        <f aca="false">IF($T67="",1000000000000000,$T67)</f>
        <v>71034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IF($T68="","",1+COUNTIF($W$15:$W$884,"&lt;"&amp;W68))</f>
        <v>54</v>
      </c>
      <c r="B68" s="16" t="s">
        <v>16</v>
      </c>
      <c r="C68" s="16" t="s">
        <v>132</v>
      </c>
      <c r="D68" s="21" t="s">
        <v>57</v>
      </c>
      <c r="E68" s="16" t="s">
        <v>51</v>
      </c>
      <c r="F68" s="16" t="s">
        <v>133</v>
      </c>
      <c r="G68" s="17">
        <v>2019</v>
      </c>
      <c r="H68" s="17"/>
      <c r="I68" s="17"/>
      <c r="J68" s="17">
        <v>2019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2019</v>
      </c>
      <c r="M68" s="17">
        <f aca="false">IF($H68="","",$H68+$K68)</f>
        <v/>
      </c>
      <c r="N68" s="17">
        <f aca="false">IF($J68="","",$J68+$K68)</f>
        <v>2019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80,760원</v>
      </c>
      <c r="P68" s="17">
        <f aca="false">IF($B$10=0,"",IFERROR(IF($B$4&gt;0,IF($L68="",1/0,$L68*$B$4),0)+IF($B$5&gt;0,IF($M68="",1/0,$M68*$B$5),0)+IF($B$6&gt;0,IF($N68="",1/0,$N68*$B$6),0),""))</f>
        <v>80760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9691</v>
      </c>
      <c r="T68" s="17">
        <f aca="false">IF($P68="","",$P68-$S68)</f>
        <v>71069</v>
      </c>
      <c r="U68" s="17">
        <f aca="false">IF($T68="","",IF($B$10=0,"",$T68/$B$10))</f>
        <v>1776.725</v>
      </c>
      <c r="V68" s="17">
        <f aca="false">IF($P68="","",IF($B$10=0,"",$P68/$B$10))</f>
        <v>2019</v>
      </c>
      <c r="W68" s="19">
        <f aca="false">IF($T68="",1000000000000000,$T68)</f>
        <v>71069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IF($T69="","",1+COUNTIF($W$15:$W$884,"&lt;"&amp;W69))</f>
        <v>54</v>
      </c>
      <c r="B69" s="16" t="s">
        <v>16</v>
      </c>
      <c r="C69" s="16" t="s">
        <v>161</v>
      </c>
      <c r="D69" s="20" t="s">
        <v>54</v>
      </c>
      <c r="E69" s="16" t="s">
        <v>51</v>
      </c>
      <c r="F69" s="16" t="s">
        <v>162</v>
      </c>
      <c r="G69" s="17">
        <v>2019</v>
      </c>
      <c r="H69" s="17"/>
      <c r="I69" s="17"/>
      <c r="J69" s="17">
        <v>2019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80,760원</v>
      </c>
      <c r="P69" s="17">
        <f aca="false">IF($B$10=0,"",IFERROR(IF($B$4&gt;0,IF($L69="",1/0,$L69*$B$4),0)+IF($B$5&gt;0,IF($M69="",1/0,$M69*$B$5),0)+IF($B$6&gt;0,IF($N69="",1/0,$N69*$B$6),0),""))</f>
        <v>80760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9691</v>
      </c>
      <c r="T69" s="17">
        <f aca="false">IF($P69="","",$P69-$S69)</f>
        <v>71069</v>
      </c>
      <c r="U69" s="17">
        <f aca="false">IF($T69="","",IF($B$10=0,"",$T69/$B$10))</f>
        <v>1776.725</v>
      </c>
      <c r="V69" s="17">
        <f aca="false">IF($P69="","",IF($B$10=0,"",$P69/$B$10))</f>
        <v>2019</v>
      </c>
      <c r="W69" s="19">
        <f aca="false">IF($T69="",1000000000000000,$T69)</f>
        <v>71069</v>
      </c>
      <c r="XFC69" s="3"/>
    </row>
    <row r="70" s="22" collapsed="false" customFormat="true" customHeight="true" hidden="false" ht="28.5" outlineLevel="0">
      <c r="A70" s="16">
        <f aca="false">IF($T70="","",1+COUNTIF($W$15:$W$884,"&lt;"&amp;W70))</f>
        <v>56</v>
      </c>
      <c r="B70" s="16" t="s">
        <v>16</v>
      </c>
      <c r="C70" s="16" t="s">
        <v>163</v>
      </c>
      <c r="D70" s="16" t="s">
        <v>45</v>
      </c>
      <c r="E70" s="16" t="s">
        <v>26</v>
      </c>
      <c r="F70" s="16" t="s">
        <v>164</v>
      </c>
      <c r="G70" s="17">
        <v>2020</v>
      </c>
      <c r="H70" s="17"/>
      <c r="I70" s="17"/>
      <c r="J70" s="17">
        <v>2010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2020</v>
      </c>
      <c r="M70" s="17">
        <f aca="false">IF($H70="","",$H70+$K70)</f>
        <v/>
      </c>
      <c r="N70" s="17">
        <f aca="false">IF($J70="","",$J70+$K70)</f>
        <v>2010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80,800원</v>
      </c>
      <c r="P70" s="17">
        <f aca="false">IF($B$10=0,"",IFERROR(IF($B$4&gt;0,IF($L70="",1/0,$L70*$B$4),0)+IF($B$5&gt;0,IF($M70="",1/0,$M70*$B$5),0)+IF($B$6&gt;0,IF($N70="",1/0,$N70*$B$6),0),""))</f>
        <v>80800</v>
      </c>
      <c r="Q70" s="17" t="s">
        <v>47</v>
      </c>
      <c r="R70" s="18">
        <f aca="false">IF($P70="","",IF($Q70="Y",IFERROR(VLOOKUP($B70,$C$4:$D$13,2,FALSE()),0),0))</f>
        <v>0.12</v>
      </c>
      <c r="S70" s="17">
        <f aca="false">IF($P70="","",ROUNDDOWN($P70*$R70,0))</f>
        <v>9696</v>
      </c>
      <c r="T70" s="17">
        <f aca="false">IF($P70="","",$P70-$S70)</f>
        <v>71104</v>
      </c>
      <c r="U70" s="17">
        <f aca="false">IF($T70="","",IF($B$10=0,"",$T70/$B$10))</f>
        <v>1777.6</v>
      </c>
      <c r="V70" s="17">
        <f aca="false">IF($P70="","",IF($B$10=0,"",$P70/$B$10))</f>
        <v>2020</v>
      </c>
      <c r="W70" s="19">
        <f aca="false">IF($T70="",1000000000000000,$T70)</f>
        <v>71104</v>
      </c>
      <c r="XFB70" s="6"/>
      <c r="XFC70" s="3"/>
    </row>
    <row r="71" s="22" collapsed="false" customFormat="true" customHeight="true" hidden="false" ht="28.5" outlineLevel="0">
      <c r="A71" s="16">
        <f aca="false">IF($T71="","",1+COUNTIF($W$15:$W$884,"&lt;"&amp;W71))</f>
        <v>57</v>
      </c>
      <c r="B71" s="16" t="s">
        <v>14</v>
      </c>
      <c r="C71" s="16" t="s">
        <v>165</v>
      </c>
      <c r="D71" s="16" t="s">
        <v>45</v>
      </c>
      <c r="E71" s="16" t="s">
        <v>26</v>
      </c>
      <c r="F71" s="16" t="s">
        <v>166</v>
      </c>
      <c r="G71" s="17">
        <v>1998</v>
      </c>
      <c r="H71" s="17"/>
      <c r="I71" s="17"/>
      <c r="J71" s="17">
        <v>1995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1998</v>
      </c>
      <c r="M71" s="17">
        <f aca="false">IF($H71="","",$H71+$K71)</f>
        <v/>
      </c>
      <c r="N71" s="17">
        <f aca="false">IF($J71="","",$J71+$K71)</f>
        <v>1995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79,920원</v>
      </c>
      <c r="P71" s="17">
        <f aca="false">IF($B$10=0,"",IFERROR(IF($B$4&gt;0,IF($L71="",1/0,$L71*$B$4),0)+IF($B$5&gt;0,IF($M71="",1/0,$M71*$B$5),0)+IF($B$6&gt;0,IF($N71="",1/0,$N71*$B$6),0),""))</f>
        <v>79920</v>
      </c>
      <c r="Q71" s="17" t="s">
        <v>47</v>
      </c>
      <c r="R71" s="18">
        <f aca="false">IF($P71="","",IF($Q71="Y",IFERROR(VLOOKUP($B71,$C$4:$D$13,2,FALSE()),0),0))</f>
        <v>0.11</v>
      </c>
      <c r="S71" s="17">
        <f aca="false">IF($P71="","",ROUNDDOWN($P71*$R71,0))</f>
        <v>8791</v>
      </c>
      <c r="T71" s="17">
        <f aca="false">IF($P71="","",$P71-$S71)</f>
        <v>71129</v>
      </c>
      <c r="U71" s="17">
        <f aca="false">IF($T71="","",IF($B$10=0,"",$T71/$B$10))</f>
        <v>1778.225</v>
      </c>
      <c r="V71" s="17">
        <f aca="false">IF($P71="","",IF($B$10=0,"",$P71/$B$10))</f>
        <v>1998</v>
      </c>
      <c r="W71" s="19">
        <f aca="false">IF($T71="",1000000000000000,$T71)</f>
        <v>71129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IF($T72="","",1+COUNTIF($W$15:$W$884,"&lt;"&amp;W72))</f>
        <v>57</v>
      </c>
      <c r="B72" s="16" t="s">
        <v>14</v>
      </c>
      <c r="C72" s="16" t="s">
        <v>167</v>
      </c>
      <c r="D72" s="16" t="s">
        <v>64</v>
      </c>
      <c r="E72" s="16" t="s">
        <v>26</v>
      </c>
      <c r="F72" s="16" t="s">
        <v>168</v>
      </c>
      <c r="G72" s="17">
        <v>1998</v>
      </c>
      <c r="H72" s="17"/>
      <c r="I72" s="17"/>
      <c r="J72" s="17">
        <v>1996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IF($T73="","",1+COUNTIF($W$15:$W$884,"&lt;"&amp;W73))</f>
        <v>57</v>
      </c>
      <c r="B73" s="16" t="s">
        <v>14</v>
      </c>
      <c r="C73" s="16" t="s">
        <v>169</v>
      </c>
      <c r="D73" s="16" t="s">
        <v>64</v>
      </c>
      <c r="E73" s="16" t="s">
        <v>51</v>
      </c>
      <c r="F73" s="16" t="s">
        <v>170</v>
      </c>
      <c r="G73" s="17">
        <v>1998</v>
      </c>
      <c r="H73" s="17"/>
      <c r="I73" s="17"/>
      <c r="J73" s="17">
        <v>1998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79,920원</v>
      </c>
      <c r="P73" s="17">
        <f aca="false">IF($B$10=0,"",IFERROR(IF($B$4&gt;0,IF($L73="",1/0,$L73*$B$4),0)+IF($B$5&gt;0,IF($M73="",1/0,$M73*$B$5),0)+IF($B$6&gt;0,IF($N73="",1/0,$N73*$B$6),0),""))</f>
        <v>79920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8791</v>
      </c>
      <c r="T73" s="17">
        <f aca="false">IF($P73="","",$P73-$S73)</f>
        <v>71129</v>
      </c>
      <c r="U73" s="17">
        <f aca="false">IF($T73="","",IF($B$10=0,"",$T73/$B$10))</f>
        <v>1778.225</v>
      </c>
      <c r="V73" s="17">
        <f aca="false">IF($P73="","",IF($B$10=0,"",$P73/$B$10))</f>
        <v>1998</v>
      </c>
      <c r="W73" s="19">
        <f aca="false">IF($T73="",1000000000000000,$T73)</f>
        <v>71129</v>
      </c>
      <c r="XFB73" s="6"/>
      <c r="XFC73" s="3"/>
    </row>
    <row r="74" s="6" collapsed="false" customFormat="true" customHeight="true" hidden="false" ht="28.5" outlineLevel="0">
      <c r="A74" s="16">
        <f aca="false">IF($T74="","",1+COUNTIF($W$15:$W$884,"&lt;"&amp;W74))</f>
        <v>60</v>
      </c>
      <c r="B74" s="16" t="s">
        <v>14</v>
      </c>
      <c r="C74" s="16" t="s">
        <v>171</v>
      </c>
      <c r="D74" s="16" t="s">
        <v>45</v>
      </c>
      <c r="E74" s="16" t="s">
        <v>26</v>
      </c>
      <c r="F74" s="16" t="s">
        <v>172</v>
      </c>
      <c r="G74" s="17">
        <v>1999</v>
      </c>
      <c r="H74" s="17">
        <v>2538</v>
      </c>
      <c r="I74" s="17"/>
      <c r="J74" s="17">
        <v>1998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1999</v>
      </c>
      <c r="M74" s="17">
        <f aca="false">IF($H74="","",$H74+$K74)</f>
        <v>2538</v>
      </c>
      <c r="N74" s="17">
        <f aca="false">IF($J74="","",$J74+$K74)</f>
        <v>1998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79,960원</v>
      </c>
      <c r="P74" s="17">
        <f aca="false">IF($B$10=0,"",IFERROR(IF($B$4&gt;0,IF($L74="",1/0,$L74*$B$4),0)+IF($B$5&gt;0,IF($M74="",1/0,$M74*$B$5),0)+IF($B$6&gt;0,IF($N74="",1/0,$N74*$B$6),0),""))</f>
        <v>79960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8795</v>
      </c>
      <c r="T74" s="17">
        <f aca="false">IF($P74="","",$P74-$S74)</f>
        <v>71165</v>
      </c>
      <c r="U74" s="17">
        <f aca="false">IF($T74="","",IF($B$10=0,"",$T74/$B$10))</f>
        <v>1779.125</v>
      </c>
      <c r="V74" s="17">
        <f aca="false">IF($P74="","",IF($B$10=0,"",$P74/$B$10))</f>
        <v>1999</v>
      </c>
      <c r="W74" s="19">
        <f aca="false">IF($T74="",1000000000000000,$T74)</f>
        <v>71165</v>
      </c>
      <c r="XFC74" s="3"/>
    </row>
    <row r="75" s="5" collapsed="false" customFormat="true" customHeight="true" hidden="false" ht="28.5" outlineLevel="0">
      <c r="A75" s="16">
        <f aca="false">IF($T75="","",1+COUNTIF($W$15:$W$884,"&lt;"&amp;W75))</f>
        <v>60</v>
      </c>
      <c r="B75" s="16" t="s">
        <v>14</v>
      </c>
      <c r="C75" s="16" t="s">
        <v>175</v>
      </c>
      <c r="D75" s="16" t="s">
        <v>176</v>
      </c>
      <c r="E75" s="16" t="s">
        <v>26</v>
      </c>
      <c r="F75" s="16" t="s">
        <v>177</v>
      </c>
      <c r="G75" s="17">
        <v>1999</v>
      </c>
      <c r="H75" s="17"/>
      <c r="I75" s="17"/>
      <c r="J75" s="17">
        <v>1999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/>
      </c>
      <c r="N75" s="17">
        <f aca="false">IF($J75="","",$J75+$K75)</f>
        <v>1999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B75" s="6"/>
      <c r="XFC75" s="3"/>
    </row>
    <row r="76" s="6" collapsed="false" customFormat="true" customHeight="true" hidden="false" ht="28.5" outlineLevel="0">
      <c r="A76" s="16">
        <f aca="false">IF($T76="","",1+COUNTIF($W$15:$W$884,"&lt;"&amp;W76))</f>
        <v>60</v>
      </c>
      <c r="B76" s="16" t="s">
        <v>14</v>
      </c>
      <c r="C76" s="16" t="s">
        <v>178</v>
      </c>
      <c r="D76" s="16" t="s">
        <v>45</v>
      </c>
      <c r="E76" s="16" t="s">
        <v>26</v>
      </c>
      <c r="F76" s="16" t="s">
        <v>179</v>
      </c>
      <c r="G76" s="17">
        <v>1999</v>
      </c>
      <c r="H76" s="17"/>
      <c r="I76" s="17"/>
      <c r="J76" s="17">
        <v>2015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/>
      </c>
      <c r="N76" s="17">
        <f aca="false">IF($J76="","",$J76+$K76)</f>
        <v>2015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79,960원</v>
      </c>
      <c r="P76" s="17">
        <f aca="false">IF($B$10=0,"",IFERROR(IF($B$4&gt;0,IF($L76="",1/0,$L76*$B$4),0)+IF($B$5&gt;0,IF($M76="",1/0,$M76*$B$5),0)+IF($B$6&gt;0,IF($N76="",1/0,$N76*$B$6),0),""))</f>
        <v>79960</v>
      </c>
      <c r="Q76" s="17" t="s">
        <v>47</v>
      </c>
      <c r="R76" s="18">
        <f aca="false">IF($P76="","",IF($Q76="Y",IFERROR(VLOOKUP($B76,$C$4:$D$13,2,FALSE()),0),0))</f>
        <v>0.11</v>
      </c>
      <c r="S76" s="17">
        <f aca="false">IF($P76="","",ROUNDDOWN($P76*$R76,0))</f>
        <v>8795</v>
      </c>
      <c r="T76" s="17">
        <f aca="false">IF($P76="","",$P76-$S76)</f>
        <v>71165</v>
      </c>
      <c r="U76" s="17">
        <f aca="false">IF($T76="","",IF($B$10=0,"",$T76/$B$10))</f>
        <v>1779.125</v>
      </c>
      <c r="V76" s="17">
        <f aca="false">IF($P76="","",IF($B$10=0,"",$P76/$B$10))</f>
        <v>1999</v>
      </c>
      <c r="W76" s="19">
        <f aca="false">IF($T76="",1000000000000000,$T76)</f>
        <v>71165</v>
      </c>
      <c r="XFC76" s="3"/>
    </row>
    <row r="77" s="5" collapsed="false" customFormat="true" customHeight="true" hidden="false" ht="28.5" outlineLevel="0">
      <c r="A77" s="16">
        <f aca="false">IF($T77="","",1+COUNTIF($W$15:$W$884,"&lt;"&amp;W77))</f>
        <v>63</v>
      </c>
      <c r="B77" s="16" t="s">
        <v>12</v>
      </c>
      <c r="C77" s="16" t="s">
        <v>182</v>
      </c>
      <c r="D77" s="21" t="s">
        <v>64</v>
      </c>
      <c r="E77" s="16" t="s">
        <v>26</v>
      </c>
      <c r="F77" s="16" t="s">
        <v>183</v>
      </c>
      <c r="G77" s="17">
        <v>1979</v>
      </c>
      <c r="H77" s="17"/>
      <c r="I77" s="17"/>
      <c r="J77" s="17">
        <v>2039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1979</v>
      </c>
      <c r="M77" s="17">
        <f aca="false">IF($H77="","",$H77+$K77)</f>
        <v/>
      </c>
      <c r="N77" s="17">
        <f aca="false">IF($J77="","",$J77+$K77)</f>
        <v>2039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79,160원</v>
      </c>
      <c r="P77" s="17">
        <f aca="false">IF($B$10=0,"",IFERROR(IF($B$4&gt;0,IF($L77="",1/0,$L77*$B$4),0)+IF($B$5&gt;0,IF($M77="",1/0,$M77*$B$5),0)+IF($B$6&gt;0,IF($N77="",1/0,$N77*$B$6),0),""))</f>
        <v>79160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7916</v>
      </c>
      <c r="T77" s="17">
        <f aca="false">IF($P77="","",$P77-$S77)</f>
        <v>71244</v>
      </c>
      <c r="U77" s="17">
        <f aca="false">IF($T77="","",IF($B$10=0,"",$T77/$B$10))</f>
        <v>1781.1</v>
      </c>
      <c r="V77" s="17">
        <f aca="false">IF($P77="","",IF($B$10=0,"",$P77/$B$10))</f>
        <v>1979</v>
      </c>
      <c r="W77" s="19">
        <f aca="false">IF($T77="",1000000000000000,$T77)</f>
        <v>71244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IF($T78="","",1+COUNTIF($W$15:$W$884,"&lt;"&amp;W78))</f>
        <v>64</v>
      </c>
      <c r="B78" s="16" t="s">
        <v>16</v>
      </c>
      <c r="C78" s="16" t="s">
        <v>184</v>
      </c>
      <c r="D78" s="16" t="s">
        <v>45</v>
      </c>
      <c r="E78" s="16" t="s">
        <v>26</v>
      </c>
      <c r="F78" s="16" t="s">
        <v>185</v>
      </c>
      <c r="G78" s="17">
        <v>2027</v>
      </c>
      <c r="H78" s="17"/>
      <c r="I78" s="17"/>
      <c r="J78" s="17">
        <v>2017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2027</v>
      </c>
      <c r="M78" s="17">
        <f aca="false">IF($H78="","",$H78+$K78)</f>
        <v/>
      </c>
      <c r="N78" s="17">
        <f aca="false">IF($J78="","",$J78+$K78)</f>
        <v>2017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81,080원</v>
      </c>
      <c r="P78" s="17">
        <f aca="false">IF($B$10=0,"",IFERROR(IF($B$4&gt;0,IF($L78="",1/0,$L78*$B$4),0)+IF($B$5&gt;0,IF($M78="",1/0,$M78*$B$5),0)+IF($B$6&gt;0,IF($N78="",1/0,$N78*$B$6),0),""))</f>
        <v>81080</v>
      </c>
      <c r="Q78" s="17" t="s">
        <v>47</v>
      </c>
      <c r="R78" s="18">
        <f aca="false">IF($P78="","",IF($Q78="Y",IFERROR(VLOOKUP($B78,$C$4:$D$13,2,FALSE()),0),0))</f>
        <v>0.12</v>
      </c>
      <c r="S78" s="17">
        <f aca="false">IF($P78="","",ROUNDDOWN($P78*$R78,0))</f>
        <v>9729</v>
      </c>
      <c r="T78" s="17">
        <f aca="false">IF($P78="","",$P78-$S78)</f>
        <v>71351</v>
      </c>
      <c r="U78" s="17">
        <f aca="false">IF($T78="","",IF($B$10=0,"",$T78/$B$10))</f>
        <v>1783.775</v>
      </c>
      <c r="V78" s="17">
        <f aca="false">IF($P78="","",IF($B$10=0,"",$P78/$B$10))</f>
        <v>2027</v>
      </c>
      <c r="W78" s="19">
        <f aca="false">IF($T78="",1000000000000000,$T78)</f>
        <v>71351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IF($T79="","",1+COUNTIF($W$15:$W$884,"&lt;"&amp;W79))</f>
        <v>64</v>
      </c>
      <c r="B79" s="16" t="s">
        <v>16</v>
      </c>
      <c r="C79" s="16" t="s">
        <v>186</v>
      </c>
      <c r="D79" s="20" t="s">
        <v>54</v>
      </c>
      <c r="E79" s="16" t="s">
        <v>51</v>
      </c>
      <c r="F79" s="16" t="s">
        <v>187</v>
      </c>
      <c r="G79" s="17">
        <v>2027</v>
      </c>
      <c r="H79" s="17"/>
      <c r="I79" s="17"/>
      <c r="J79" s="17">
        <v>2027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2027</v>
      </c>
      <c r="M79" s="17">
        <f aca="false">IF($H79="","",$H79+$K79)</f>
        <v/>
      </c>
      <c r="N79" s="17">
        <f aca="false">IF($J79="","",$J79+$K79)</f>
        <v>2027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81,080원</v>
      </c>
      <c r="P79" s="17">
        <f aca="false">IF($B$10=0,"",IFERROR(IF($B$4&gt;0,IF($L79="",1/0,$L79*$B$4),0)+IF($B$5&gt;0,IF($M79="",1/0,$M79*$B$5),0)+IF($B$6&gt;0,IF($N79="",1/0,$N79*$B$6),0),""))</f>
        <v>81080</v>
      </c>
      <c r="Q79" s="17" t="s">
        <v>47</v>
      </c>
      <c r="R79" s="18">
        <f aca="false">IF($P79="","",IF($Q79="Y",IFERROR(VLOOKUP($B79,$C$4:$D$13,2,FALSE()),0),0))</f>
        <v>0.12</v>
      </c>
      <c r="S79" s="17">
        <f aca="false">IF($P79="","",ROUNDDOWN($P79*$R79,0))</f>
        <v>9729</v>
      </c>
      <c r="T79" s="17">
        <f aca="false">IF($P79="","",$P79-$S79)</f>
        <v>71351</v>
      </c>
      <c r="U79" s="17">
        <f aca="false">IF($T79="","",IF($B$10=0,"",$T79/$B$10))</f>
        <v>1783.775</v>
      </c>
      <c r="V79" s="17">
        <f aca="false">IF($P79="","",IF($B$10=0,"",$P79/$B$10))</f>
        <v>2027</v>
      </c>
      <c r="W79" s="19">
        <f aca="false">IF($T79="",1000000000000000,$T79)</f>
        <v>71351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IF($T80="","",1+COUNTIF($W$15:$W$884,"&lt;"&amp;W80))</f>
        <v>66</v>
      </c>
      <c r="B80" s="16" t="s">
        <v>6</v>
      </c>
      <c r="C80" s="16" t="s">
        <v>188</v>
      </c>
      <c r="D80" s="16" t="s">
        <v>64</v>
      </c>
      <c r="E80" s="16" t="s">
        <v>26</v>
      </c>
      <c r="F80" s="16" t="s">
        <v>189</v>
      </c>
      <c r="G80" s="17">
        <v>1982</v>
      </c>
      <c r="H80" s="17"/>
      <c r="I80" s="17"/>
      <c r="J80" s="17">
        <v>1984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1982</v>
      </c>
      <c r="M80" s="17">
        <f aca="false">IF($H80="","",$H80+$K80)</f>
        <v/>
      </c>
      <c r="N80" s="17">
        <f aca="false">IF($J80="","",$J80+$K80)</f>
        <v>1984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79,280원</v>
      </c>
      <c r="P80" s="17">
        <f aca="false">IF($B$10=0,"",IFERROR(IF($B$4&gt;0,IF($L80="",1/0,$L80*$B$4),0)+IF($B$5&gt;0,IF($M80="",1/0,$M80*$B$5),0)+IF($B$6&gt;0,IF($N80="",1/0,$N80*$B$6),0),""))</f>
        <v>79280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7928</v>
      </c>
      <c r="T80" s="17">
        <f aca="false">IF($P80="","",$P80-$S80)</f>
        <v>71352</v>
      </c>
      <c r="U80" s="17">
        <f aca="false">IF($T80="","",IF($B$10=0,"",$T80/$B$10))</f>
        <v>1783.8</v>
      </c>
      <c r="V80" s="17">
        <f aca="false">IF($P80="","",IF($B$10=0,"",$P80/$B$10))</f>
        <v>1982</v>
      </c>
      <c r="W80" s="19">
        <f aca="false">IF($T80="",1000000000000000,$T80)</f>
        <v>71352</v>
      </c>
      <c r="XFB80" s="6"/>
      <c r="XFC80" s="3"/>
    </row>
    <row r="81" s="22" collapsed="false" customFormat="true" customHeight="true" hidden="false" ht="28.5" outlineLevel="0">
      <c r="A81" s="16">
        <f aca="false">IF($T81="","",1+COUNTIF($W$15:$W$884,"&lt;"&amp;W81))</f>
        <v>67</v>
      </c>
      <c r="B81" s="16" t="s">
        <v>14</v>
      </c>
      <c r="C81" s="16" t="s">
        <v>190</v>
      </c>
      <c r="D81" s="16" t="s">
        <v>64</v>
      </c>
      <c r="E81" s="16" t="s">
        <v>26</v>
      </c>
      <c r="F81" s="16" t="s">
        <v>191</v>
      </c>
      <c r="G81" s="17">
        <v>2005</v>
      </c>
      <c r="H81" s="17"/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2005</v>
      </c>
      <c r="M81" s="17">
        <f aca="false">IF($H81="","",$H81+$K81)</f>
        <v/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80,200원</v>
      </c>
      <c r="P81" s="17">
        <f aca="false">IF($B$10=0,"",IFERROR(IF($B$4&gt;0,IF($L81="",1/0,$L81*$B$4),0)+IF($B$5&gt;0,IF($M81="",1/0,$M81*$B$5),0)+IF($B$6&gt;0,IF($N81="",1/0,$N81*$B$6),0),""))</f>
        <v>80200</v>
      </c>
      <c r="Q81" s="17" t="s">
        <v>47</v>
      </c>
      <c r="R81" s="18">
        <f aca="false">IF($P81="","",IF($Q81="Y",IFERROR(VLOOKUP($B81,$C$4:$D$13,2,FALSE()),0),0))</f>
        <v>0.11</v>
      </c>
      <c r="S81" s="17">
        <f aca="false">IF($P81="","",ROUNDDOWN($P81*$R81,0))</f>
        <v>8822</v>
      </c>
      <c r="T81" s="17">
        <f aca="false">IF($P81="","",$P81-$S81)</f>
        <v>71378</v>
      </c>
      <c r="U81" s="17">
        <f aca="false">IF($T81="","",IF($B$10=0,"",$T81/$B$10))</f>
        <v>1784.45</v>
      </c>
      <c r="V81" s="17">
        <f aca="false">IF($P81="","",IF($B$10=0,"",$P81/$B$10))</f>
        <v>2005</v>
      </c>
      <c r="W81" s="19">
        <f aca="false">IF($T81="",1000000000000000,$T81)</f>
        <v>71378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IF($T82="","",1+COUNTIF($W$15:$W$884,"&lt;"&amp;W82))</f>
        <v>68</v>
      </c>
      <c r="B82" s="16" t="s">
        <v>16</v>
      </c>
      <c r="C82" s="16" t="s">
        <v>192</v>
      </c>
      <c r="D82" s="16" t="s">
        <v>64</v>
      </c>
      <c r="E82" s="16" t="s">
        <v>26</v>
      </c>
      <c r="F82" s="16" t="s">
        <v>193</v>
      </c>
      <c r="G82" s="17">
        <v>2029</v>
      </c>
      <c r="H82" s="17"/>
      <c r="I82" s="17"/>
      <c r="J82" s="17">
        <v>2018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2029</v>
      </c>
      <c r="M82" s="17">
        <f aca="false">IF($H82="","",$H82+$K82)</f>
        <v/>
      </c>
      <c r="N82" s="17">
        <f aca="false">IF($J82="","",$J82+$K82)</f>
        <v>2018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81,160원</v>
      </c>
      <c r="P82" s="17">
        <f aca="false">IF($B$10=0,"",IFERROR(IF($B$4&gt;0,IF($L82="",1/0,$L82*$B$4),0)+IF($B$5&gt;0,IF($M82="",1/0,$M82*$B$5),0)+IF($B$6&gt;0,IF($N82="",1/0,$N82*$B$6),0),""))</f>
        <v>81160</v>
      </c>
      <c r="Q82" s="17" t="s">
        <v>47</v>
      </c>
      <c r="R82" s="18">
        <f aca="false">IF($P82="","",IF($Q82="Y",IFERROR(VLOOKUP($B82,$C$4:$D$13,2,FALSE()),0),0))</f>
        <v>0.12</v>
      </c>
      <c r="S82" s="17">
        <f aca="false">IF($P82="","",ROUNDDOWN($P82*$R82,0))</f>
        <v>9739</v>
      </c>
      <c r="T82" s="17">
        <f aca="false">IF($P82="","",$P82-$S82)</f>
        <v>71421</v>
      </c>
      <c r="U82" s="17">
        <f aca="false">IF($T82="","",IF($B$10=0,"",$T82/$B$10))</f>
        <v>1785.525</v>
      </c>
      <c r="V82" s="17">
        <f aca="false">IF($P82="","",IF($B$10=0,"",$P82/$B$10))</f>
        <v>2029</v>
      </c>
      <c r="W82" s="19">
        <f aca="false">IF($T82="",1000000000000000,$T82)</f>
        <v>71421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IF($T83="","",1+COUNTIF($W$15:$W$884,"&lt;"&amp;W83))</f>
        <v>69</v>
      </c>
      <c r="B83" s="16" t="s">
        <v>6</v>
      </c>
      <c r="C83" s="16" t="s">
        <v>200</v>
      </c>
      <c r="D83" s="16" t="s">
        <v>45</v>
      </c>
      <c r="E83" s="16" t="s">
        <v>26</v>
      </c>
      <c r="F83" s="16" t="s">
        <v>201</v>
      </c>
      <c r="G83" s="17">
        <v>1984</v>
      </c>
      <c r="H83" s="17">
        <v>2365</v>
      </c>
      <c r="I83" s="17"/>
      <c r="J83" s="17">
        <v>1982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1984</v>
      </c>
      <c r="M83" s="17">
        <f aca="false">IF($H83="","",$H83+$K83)</f>
        <v>2365</v>
      </c>
      <c r="N83" s="17">
        <f aca="false">IF($J83="","",$J83+$K83)</f>
        <v>1982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79,360원</v>
      </c>
      <c r="P83" s="17">
        <f aca="false">IF($B$10=0,"",IFERROR(IF($B$4&gt;0,IF($L83="",1/0,$L83*$B$4),0)+IF($B$5&gt;0,IF($M83="",1/0,$M83*$B$5),0)+IF($B$6&gt;0,IF($N83="",1/0,$N83*$B$6),0),""))</f>
        <v>79360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7936</v>
      </c>
      <c r="T83" s="17">
        <f aca="false">IF($P83="","",$P83-$S83)</f>
        <v>71424</v>
      </c>
      <c r="U83" s="17">
        <f aca="false">IF($T83="","",IF($B$10=0,"",$T83/$B$10))</f>
        <v>1785.6</v>
      </c>
      <c r="V83" s="17">
        <f aca="false">IF($P83="","",IF($B$10=0,"",$P83/$B$10))</f>
        <v>1984</v>
      </c>
      <c r="W83" s="19">
        <f aca="false">IF($T83="",1000000000000000,$T83)</f>
        <v>71424</v>
      </c>
      <c r="XFB83" s="6"/>
      <c r="XFC83" s="3"/>
    </row>
    <row r="84" s="22" collapsed="false" customFormat="true" customHeight="true" hidden="false" ht="28.5" outlineLevel="0">
      <c r="A84" s="16">
        <f aca="false">IF($T84="","",1+COUNTIF($W$15:$W$884,"&lt;"&amp;W84))</f>
        <v>69</v>
      </c>
      <c r="B84" s="16" t="s">
        <v>10</v>
      </c>
      <c r="C84" s="16" t="s">
        <v>194</v>
      </c>
      <c r="D84" s="21" t="s">
        <v>57</v>
      </c>
      <c r="E84" s="16" t="s">
        <v>26</v>
      </c>
      <c r="F84" s="16" t="s">
        <v>195</v>
      </c>
      <c r="G84" s="17">
        <v>1984</v>
      </c>
      <c r="H84" s="17">
        <v>2490</v>
      </c>
      <c r="I84" s="17"/>
      <c r="J84" s="17">
        <v>1972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>2490</v>
      </c>
      <c r="N84" s="17">
        <f aca="false">IF($J84="","",$J84+$K84)</f>
        <v>1972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79,360원</v>
      </c>
      <c r="P84" s="17">
        <f aca="false">IF($B$10=0,"",IFERROR(IF($B$4&gt;0,IF($L84="",1/0,$L84*$B$4),0)+IF($B$5&gt;0,IF($M84="",1/0,$M84*$B$5),0)+IF($B$6&gt;0,IF($N84="",1/0,$N84*$B$6),0),""))</f>
        <v>79360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7936</v>
      </c>
      <c r="T84" s="17">
        <f aca="false">IF($P84="","",$P84-$S84)</f>
        <v>71424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71424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IF($T85="","",1+COUNTIF($W$15:$W$884,"&lt;"&amp;W85))</f>
        <v>69</v>
      </c>
      <c r="B85" s="16" t="s">
        <v>12</v>
      </c>
      <c r="C85" s="16" t="s">
        <v>180</v>
      </c>
      <c r="D85" s="21" t="s">
        <v>45</v>
      </c>
      <c r="E85" s="16" t="s">
        <v>26</v>
      </c>
      <c r="F85" s="16" t="s">
        <v>181</v>
      </c>
      <c r="G85" s="17">
        <v>1984</v>
      </c>
      <c r="H85" s="17"/>
      <c r="I85" s="17"/>
      <c r="J85" s="17">
        <v>1974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1984</v>
      </c>
      <c r="M85" s="17">
        <f aca="false">IF($H85="","",$H85+$K85)</f>
        <v/>
      </c>
      <c r="N85" s="17">
        <f aca="false">IF($J85="","",$J85+$K85)</f>
        <v>1974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79,360원</v>
      </c>
      <c r="P85" s="17">
        <f aca="false">IF($B$10=0,"",IFERROR(IF($B$4&gt;0,IF($L85="",1/0,$L85*$B$4),0)+IF($B$5&gt;0,IF($M85="",1/0,$M85*$B$5),0)+IF($B$6&gt;0,IF($N85="",1/0,$N85*$B$6),0),""))</f>
        <v>79360</v>
      </c>
      <c r="Q85" s="17" t="s">
        <v>47</v>
      </c>
      <c r="R85" s="18">
        <f aca="false">IF($P85="","",IF($Q85="Y",IFERROR(VLOOKUP($B85,$C$4:$D$13,2,FALSE()),0),0))</f>
        <v>0.1</v>
      </c>
      <c r="S85" s="17">
        <f aca="false">IF($P85="","",ROUNDDOWN($P85*$R85,0))</f>
        <v>7936</v>
      </c>
      <c r="T85" s="17">
        <f aca="false">IF($P85="","",$P85-$S85)</f>
        <v>71424</v>
      </c>
      <c r="U85" s="17">
        <f aca="false">IF($T85="","",IF($B$10=0,"",$T85/$B$10))</f>
        <v>1785.6</v>
      </c>
      <c r="V85" s="17">
        <f aca="false">IF($P85="","",IF($B$10=0,"",$P85/$B$10))</f>
        <v>1984</v>
      </c>
      <c r="W85" s="19">
        <f aca="false">IF($T85="",1000000000000000,$T85)</f>
        <v>71424</v>
      </c>
      <c r="XFB85" s="6"/>
      <c r="XFC85" s="3"/>
    </row>
    <row r="86" s="6" collapsed="false" customFormat="true" customHeight="true" hidden="false" ht="28.5" outlineLevel="0">
      <c r="A86" s="16">
        <f aca="false">IF($T86="","",1+COUNTIF($W$15:$W$884,"&lt;"&amp;W86))</f>
        <v>72</v>
      </c>
      <c r="B86" s="16" t="s">
        <v>16</v>
      </c>
      <c r="C86" s="16" t="s">
        <v>196</v>
      </c>
      <c r="D86" s="20" t="s">
        <v>54</v>
      </c>
      <c r="E86" s="16" t="s">
        <v>51</v>
      </c>
      <c r="F86" s="16" t="s">
        <v>197</v>
      </c>
      <c r="G86" s="17">
        <v>2030</v>
      </c>
      <c r="H86" s="17"/>
      <c r="I86" s="17"/>
      <c r="J86" s="17">
        <v>2010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2030</v>
      </c>
      <c r="M86" s="17">
        <f aca="false">IF($H86="","",$H86+$K86)</f>
        <v/>
      </c>
      <c r="N86" s="17">
        <f aca="false">IF($J86="","",$J86+$K86)</f>
        <v>2010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81,200원</v>
      </c>
      <c r="P86" s="17">
        <f aca="false">IF($B$10=0,"",IFERROR(IF($B$4&gt;0,IF($L86="",1/0,$L86*$B$4),0)+IF($B$5&gt;0,IF($M86="",1/0,$M86*$B$5),0)+IF($B$6&gt;0,IF($N86="",1/0,$N86*$B$6),0),""))</f>
        <v>81200</v>
      </c>
      <c r="Q86" s="17" t="s">
        <v>47</v>
      </c>
      <c r="R86" s="18">
        <f aca="false">IF($P86="","",IF($Q86="Y",IFERROR(VLOOKUP($B86,$C$4:$D$13,2,FALSE()),0),0))</f>
        <v>0.12</v>
      </c>
      <c r="S86" s="17">
        <f aca="false">IF($P86="","",ROUNDDOWN($P86*$R86,0))</f>
        <v>9744</v>
      </c>
      <c r="T86" s="17">
        <f aca="false">IF($P86="","",$P86-$S86)</f>
        <v>71456</v>
      </c>
      <c r="U86" s="17">
        <f aca="false">IF($T86="","",IF($B$10=0,"",$T86/$B$10))</f>
        <v>1786.4</v>
      </c>
      <c r="V86" s="17">
        <f aca="false">IF($P86="","",IF($B$10=0,"",$P86/$B$10))</f>
        <v>2030</v>
      </c>
      <c r="W86" s="19">
        <f aca="false">IF($T86="",1000000000000000,$T86)</f>
        <v>71456</v>
      </c>
      <c r="XFC86" s="3"/>
    </row>
    <row r="87" s="5" collapsed="false" customFormat="true" customHeight="true" hidden="false" ht="28.5" outlineLevel="0">
      <c r="A87" s="16">
        <f aca="false">IF($T87="","",1+COUNTIF($W$15:$W$884,"&lt;"&amp;W87))</f>
        <v>73</v>
      </c>
      <c r="B87" s="16" t="s">
        <v>6</v>
      </c>
      <c r="C87" s="16" t="s">
        <v>198</v>
      </c>
      <c r="D87" s="16" t="s">
        <v>45</v>
      </c>
      <c r="E87" s="16" t="s">
        <v>51</v>
      </c>
      <c r="F87" s="16" t="s">
        <v>199</v>
      </c>
      <c r="G87" s="17">
        <v>1985</v>
      </c>
      <c r="H87" s="17">
        <v>2340</v>
      </c>
      <c r="I87" s="17"/>
      <c r="J87" s="17">
        <v>1984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>2340</v>
      </c>
      <c r="N87" s="17">
        <f aca="false">IF($J87="","",$J87+$K87)</f>
        <v>1984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79,400원</v>
      </c>
      <c r="P87" s="17">
        <f aca="false">IF($B$10=0,"",IFERROR(IF($B$4&gt;0,IF($L87="",1/0,$L87*$B$4),0)+IF($B$5&gt;0,IF($M87="",1/0,$M87*$B$5),0)+IF($B$6&gt;0,IF($N87="",1/0,$N87*$B$6),0),""))</f>
        <v>79400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7940</v>
      </c>
      <c r="T87" s="17">
        <f aca="false">IF($P87="","",$P87-$S87)</f>
        <v>71460</v>
      </c>
      <c r="U87" s="17">
        <f aca="false">IF($T87="","",IF($B$10=0,"",$T87/$B$10))</f>
        <v>1786.5</v>
      </c>
      <c r="V87" s="17">
        <f aca="false">IF($P87="","",IF($B$10=0,"",$P87/$B$10))</f>
        <v>1985</v>
      </c>
      <c r="W87" s="19">
        <f aca="false">IF($T87="",1000000000000000,$T87)</f>
        <v>71460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IF($T88="","",1+COUNTIF($W$15:$W$884,"&lt;"&amp;W88))</f>
        <v>73</v>
      </c>
      <c r="B88" s="16" t="s">
        <v>6</v>
      </c>
      <c r="C88" s="16" t="s">
        <v>202</v>
      </c>
      <c r="D88" s="20" t="s">
        <v>54</v>
      </c>
      <c r="E88" s="16" t="s">
        <v>26</v>
      </c>
      <c r="F88" s="16" t="s">
        <v>203</v>
      </c>
      <c r="G88" s="17">
        <v>1985</v>
      </c>
      <c r="H88" s="17">
        <v>2392</v>
      </c>
      <c r="I88" s="17"/>
      <c r="J88" s="17">
        <v>1983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>2392</v>
      </c>
      <c r="N88" s="17">
        <f aca="false">IF($J88="","",$J88+$K88)</f>
        <v>1983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79,400원</v>
      </c>
      <c r="P88" s="17">
        <f aca="false">IF($B$10=0,"",IFERROR(IF($B$4&gt;0,IF($L88="",1/0,$L88*$B$4),0)+IF($B$5&gt;0,IF($M88="",1/0,$M88*$B$5),0)+IF($B$6&gt;0,IF($N88="",1/0,$N88*$B$6),0),""))</f>
        <v>79400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7940</v>
      </c>
      <c r="T88" s="17">
        <f aca="false">IF($P88="","",$P88-$S88)</f>
        <v>71460</v>
      </c>
      <c r="U88" s="17">
        <f aca="false">IF($T88="","",IF($B$10=0,"",$T88/$B$10))</f>
        <v>1786.5</v>
      </c>
      <c r="V88" s="17">
        <f aca="false">IF($P88="","",IF($B$10=0,"",$P88/$B$10))</f>
        <v>1985</v>
      </c>
      <c r="W88" s="19">
        <f aca="false">IF($T88="",1000000000000000,$T88)</f>
        <v>71460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IF($T89="","",1+COUNTIF($W$15:$W$884,"&lt;"&amp;W89))</f>
        <v>73</v>
      </c>
      <c r="B89" s="16" t="s">
        <v>12</v>
      </c>
      <c r="C89" s="16" t="s">
        <v>260</v>
      </c>
      <c r="D89" s="20" t="s">
        <v>54</v>
      </c>
      <c r="E89" s="16" t="s">
        <v>26</v>
      </c>
      <c r="F89" s="16" t="s">
        <v>261</v>
      </c>
      <c r="G89" s="17">
        <v>1985</v>
      </c>
      <c r="H89" s="17">
        <v>2435</v>
      </c>
      <c r="I89" s="17"/>
      <c r="J89" s="17">
        <v>1985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>2435</v>
      </c>
      <c r="N89" s="17">
        <f aca="false">IF($J89="","",$J89+$K89)</f>
        <v>1985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79,400원</v>
      </c>
      <c r="P89" s="17">
        <f aca="false">IF($B$10=0,"",IFERROR(IF($B$4&gt;0,IF($L89="",1/0,$L89*$B$4),0)+IF($B$5&gt;0,IF($M89="",1/0,$M89*$B$5),0)+IF($B$6&gt;0,IF($N89="",1/0,$N89*$B$6),0),""))</f>
        <v>79400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7940</v>
      </c>
      <c r="T89" s="17">
        <f aca="false">IF($P89="","",$P89-$S89)</f>
        <v>71460</v>
      </c>
      <c r="U89" s="17">
        <f aca="false">IF($T89="","",IF($B$10=0,"",$T89/$B$10))</f>
        <v>1786.5</v>
      </c>
      <c r="V89" s="17">
        <f aca="false">IF($P89="","",IF($B$10=0,"",$P89/$B$10))</f>
        <v>1985</v>
      </c>
      <c r="W89" s="19">
        <f aca="false">IF($T89="",1000000000000000,$T89)</f>
        <v>71460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IF($T90="","",1+COUNTIF($W$15:$W$884,"&lt;"&amp;W90))</f>
        <v>73</v>
      </c>
      <c r="B90" s="16" t="s">
        <v>10</v>
      </c>
      <c r="C90" s="16" t="s">
        <v>204</v>
      </c>
      <c r="D90" s="16" t="s">
        <v>64</v>
      </c>
      <c r="E90" s="16" t="s">
        <v>26</v>
      </c>
      <c r="F90" s="16" t="s">
        <v>205</v>
      </c>
      <c r="G90" s="17">
        <v>1985</v>
      </c>
      <c r="H90" s="17"/>
      <c r="I90" s="17"/>
      <c r="J90" s="17">
        <v>1985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1985</v>
      </c>
      <c r="M90" s="17">
        <f aca="false">IF($H90="","",$H90+$K90)</f>
        <v/>
      </c>
      <c r="N90" s="17">
        <f aca="false">IF($J90="","",$J90+$K90)</f>
        <v>1985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79,400원</v>
      </c>
      <c r="P90" s="17">
        <f aca="false">IF($B$10=0,"",IFERROR(IF($B$4&gt;0,IF($L90="",1/0,$L90*$B$4),0)+IF($B$5&gt;0,IF($M90="",1/0,$M90*$B$5),0)+IF($B$6&gt;0,IF($N90="",1/0,$N90*$B$6),0),""))</f>
        <v>79400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7940</v>
      </c>
      <c r="T90" s="17">
        <f aca="false">IF($P90="","",$P90-$S90)</f>
        <v>71460</v>
      </c>
      <c r="U90" s="17">
        <f aca="false">IF($T90="","",IF($B$10=0,"",$T90/$B$10))</f>
        <v>1786.5</v>
      </c>
      <c r="V90" s="17">
        <f aca="false">IF($P90="","",IF($B$10=0,"",$P90/$B$10))</f>
        <v>1985</v>
      </c>
      <c r="W90" s="19">
        <f aca="false">IF($T90="",1000000000000000,$T90)</f>
        <v>71460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IF($T91="","",1+COUNTIF($W$15:$W$884,"&lt;"&amp;W91))</f>
        <v>73</v>
      </c>
      <c r="B91" s="16" t="s">
        <v>10</v>
      </c>
      <c r="C91" s="16" t="s">
        <v>206</v>
      </c>
      <c r="D91" s="16" t="s">
        <v>64</v>
      </c>
      <c r="E91" s="16" t="s">
        <v>26</v>
      </c>
      <c r="F91" s="16" t="s">
        <v>207</v>
      </c>
      <c r="G91" s="17">
        <v>1985</v>
      </c>
      <c r="H91" s="17"/>
      <c r="I91" s="17"/>
      <c r="J91" s="17">
        <v>1985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/>
      </c>
      <c r="N91" s="17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79,400원</v>
      </c>
      <c r="P91" s="17">
        <f aca="false">IF($B$10=0,"",IFERROR(IF($B$4&gt;0,IF($L91="",1/0,$L91*$B$4),0)+IF($B$5&gt;0,IF($M91="",1/0,$M91*$B$5),0)+IF($B$6&gt;0,IF($N91="",1/0,$N91*$B$6),0),""))</f>
        <v>79400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7940</v>
      </c>
      <c r="T91" s="17">
        <f aca="false">IF($P91="","",$P91-$S91)</f>
        <v>71460</v>
      </c>
      <c r="U91" s="17">
        <f aca="false">IF($T91="","",IF($B$10=0,"",$T91/$B$10))</f>
        <v>1786.5</v>
      </c>
      <c r="V91" s="17">
        <f aca="false">IF($P91="","",IF($B$10=0,"",$P91/$B$10))</f>
        <v>1985</v>
      </c>
      <c r="W91" s="19">
        <f aca="false">IF($T91="",1000000000000000,$T91)</f>
        <v>71460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IF($T92="","",1+COUNTIF($W$15:$W$884,"&lt;"&amp;W92))</f>
        <v>73</v>
      </c>
      <c r="B92" s="16" t="s">
        <v>8</v>
      </c>
      <c r="C92" s="16" t="s">
        <v>208</v>
      </c>
      <c r="D92" s="20" t="s">
        <v>54</v>
      </c>
      <c r="E92" s="16" t="s">
        <v>26</v>
      </c>
      <c r="F92" s="16" t="s">
        <v>209</v>
      </c>
      <c r="G92" s="17">
        <v>1985</v>
      </c>
      <c r="H92" s="17"/>
      <c r="I92" s="17"/>
      <c r="J92" s="17">
        <v>1995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/>
      </c>
      <c r="N92" s="17">
        <f aca="false">IF($J92="","",$J92+$K92)</f>
        <v>1995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79,400원</v>
      </c>
      <c r="P92" s="17">
        <f aca="false">IF($B$10=0,"",IFERROR(IF($B$4&gt;0,IF($L92="",1/0,$L92*$B$4),0)+IF($B$5&gt;0,IF($M92="",1/0,$M92*$B$5),0)+IF($B$6&gt;0,IF($N92="",1/0,$N92*$B$6),0),""))</f>
        <v>79400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7940</v>
      </c>
      <c r="T92" s="17">
        <f aca="false">IF($P92="","",$P92-$S92)</f>
        <v>71460</v>
      </c>
      <c r="U92" s="17">
        <f aca="false">IF($T92="","",IF($B$10=0,"",$T92/$B$10))</f>
        <v>1786.5</v>
      </c>
      <c r="V92" s="17">
        <f aca="false">IF($P92="","",IF($B$10=0,"",$P92/$B$10))</f>
        <v>1985</v>
      </c>
      <c r="W92" s="19">
        <f aca="false">IF($T92="",1000000000000000,$T92)</f>
        <v>71460</v>
      </c>
      <c r="XFB92" s="6"/>
      <c r="XFC92" s="3"/>
    </row>
    <row r="93" s="22" collapsed="false" customFormat="true" customHeight="true" hidden="false" ht="28.5" outlineLevel="0">
      <c r="A93" s="16">
        <f aca="false">IF($T93="","",1+COUNTIF($W$15:$W$884,"&lt;"&amp;W93))</f>
        <v>79</v>
      </c>
      <c r="B93" s="16" t="s">
        <v>6</v>
      </c>
      <c r="C93" s="16" t="s">
        <v>244</v>
      </c>
      <c r="D93" s="16" t="s">
        <v>45</v>
      </c>
      <c r="E93" s="16" t="s">
        <v>26</v>
      </c>
      <c r="F93" s="16" t="s">
        <v>245</v>
      </c>
      <c r="G93" s="17">
        <v>1987</v>
      </c>
      <c r="H93" s="17"/>
      <c r="I93" s="17"/>
      <c r="J93" s="17">
        <v>1978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1987</v>
      </c>
      <c r="M93" s="17">
        <f aca="false">IF($H93="","",$H93+$K93)</f>
        <v/>
      </c>
      <c r="N93" s="17">
        <f aca="false">IF($J93="","",$J93+$K93)</f>
        <v>1978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79,480원</v>
      </c>
      <c r="P93" s="17">
        <f aca="false">IF($B$10=0,"",IFERROR(IF($B$4&gt;0,IF($L93="",1/0,$L93*$B$4),0)+IF($B$5&gt;0,IF($M93="",1/0,$M93*$B$5),0)+IF($B$6&gt;0,IF($N93="",1/0,$N93*$B$6),0),""))</f>
        <v>79480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7948</v>
      </c>
      <c r="T93" s="17">
        <f aca="false">IF($P93="","",$P93-$S93)</f>
        <v>71532</v>
      </c>
      <c r="U93" s="17">
        <f aca="false">IF($T93="","",IF($B$10=0,"",$T93/$B$10))</f>
        <v>1788.3</v>
      </c>
      <c r="V93" s="17">
        <f aca="false">IF($P93="","",IF($B$10=0,"",$P93/$B$10))</f>
        <v>1987</v>
      </c>
      <c r="W93" s="19">
        <f aca="false">IF($T93="",1000000000000000,$T93)</f>
        <v>71532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IF($T94="","",1+COUNTIF($W$15:$W$884,"&lt;"&amp;W94))</f>
        <v>79</v>
      </c>
      <c r="B94" s="16" t="s">
        <v>10</v>
      </c>
      <c r="C94" s="16" t="s">
        <v>210</v>
      </c>
      <c r="D94" s="16" t="s">
        <v>122</v>
      </c>
      <c r="E94" s="16" t="s">
        <v>51</v>
      </c>
      <c r="F94" s="16" t="s">
        <v>211</v>
      </c>
      <c r="G94" s="17">
        <v>1987</v>
      </c>
      <c r="H94" s="17"/>
      <c r="I94" s="17"/>
      <c r="J94" s="17">
        <v>1987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1987</v>
      </c>
      <c r="M94" s="17">
        <f aca="false">IF($H94="","",$H94+$K94)</f>
        <v/>
      </c>
      <c r="N94" s="17">
        <f aca="false">IF($J94="","",$J94+$K94)</f>
        <v>1987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79,480원</v>
      </c>
      <c r="P94" s="17">
        <f aca="false">IF($B$10=0,"",IFERROR(IF($B$4&gt;0,IF($L94="",1/0,$L94*$B$4),0)+IF($B$5&gt;0,IF($M94="",1/0,$M94*$B$5),0)+IF($B$6&gt;0,IF($N94="",1/0,$N94*$B$6),0),""))</f>
        <v>79480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7948</v>
      </c>
      <c r="T94" s="17">
        <f aca="false">IF($P94="","",$P94-$S94)</f>
        <v>71532</v>
      </c>
      <c r="U94" s="17">
        <f aca="false">IF($T94="","",IF($B$10=0,"",$T94/$B$10))</f>
        <v>1788.3</v>
      </c>
      <c r="V94" s="17">
        <f aca="false">IF($P94="","",IF($B$10=0,"",$P94/$B$10))</f>
        <v>1987</v>
      </c>
      <c r="W94" s="19">
        <f aca="false">IF($T94="",1000000000000000,$T94)</f>
        <v>71532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IF($T95="","",1+COUNTIF($W$15:$W$884,"&lt;"&amp;W95))</f>
        <v>79</v>
      </c>
      <c r="B95" s="16" t="s">
        <v>10</v>
      </c>
      <c r="C95" s="16" t="s">
        <v>212</v>
      </c>
      <c r="D95" s="16" t="s">
        <v>64</v>
      </c>
      <c r="E95" s="16" t="s">
        <v>26</v>
      </c>
      <c r="F95" s="16" t="s">
        <v>213</v>
      </c>
      <c r="G95" s="17">
        <v>1987</v>
      </c>
      <c r="H95" s="17"/>
      <c r="I95" s="17"/>
      <c r="J95" s="17">
        <v>1987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1987</v>
      </c>
      <c r="M95" s="17">
        <f aca="false">IF($H95="","",$H95+$K95)</f>
        <v/>
      </c>
      <c r="N95" s="17">
        <f aca="false">IF($J95="","",$J95+$K95)</f>
        <v>1987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79,480원</v>
      </c>
      <c r="P95" s="17">
        <f aca="false">IF($B$10=0,"",IFERROR(IF($B$4&gt;0,IF($L95="",1/0,$L95*$B$4),0)+IF($B$5&gt;0,IF($M95="",1/0,$M95*$B$5),0)+IF($B$6&gt;0,IF($N95="",1/0,$N95*$B$6),0),""))</f>
        <v>79480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7948</v>
      </c>
      <c r="T95" s="17">
        <f aca="false">IF($P95="","",$P95-$S95)</f>
        <v>71532</v>
      </c>
      <c r="U95" s="17">
        <f aca="false">IF($T95="","",IF($B$10=0,"",$T95/$B$10))</f>
        <v>1788.3</v>
      </c>
      <c r="V95" s="17">
        <f aca="false">IF($P95="","",IF($B$10=0,"",$P95/$B$10))</f>
        <v>1987</v>
      </c>
      <c r="W95" s="19">
        <f aca="false">IF($T95="",1000000000000000,$T95)</f>
        <v>71532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IF($T96="","",1+COUNTIF($W$15:$W$884,"&lt;"&amp;W96))</f>
        <v>82</v>
      </c>
      <c r="B96" s="16" t="s">
        <v>10</v>
      </c>
      <c r="C96" s="16" t="s">
        <v>214</v>
      </c>
      <c r="D96" s="21" t="s">
        <v>57</v>
      </c>
      <c r="E96" s="16" t="s">
        <v>26</v>
      </c>
      <c r="F96" s="16" t="s">
        <v>215</v>
      </c>
      <c r="G96" s="17">
        <v>1988</v>
      </c>
      <c r="H96" s="17">
        <v>2527</v>
      </c>
      <c r="I96" s="17"/>
      <c r="J96" s="17">
        <v>2028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1988</v>
      </c>
      <c r="M96" s="17">
        <f aca="false">IF($H96="","",$H96+$K96)</f>
        <v>2527</v>
      </c>
      <c r="N96" s="17">
        <f aca="false">IF($J96="","",$J96+$K96)</f>
        <v>2028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79,520원</v>
      </c>
      <c r="P96" s="17">
        <f aca="false">IF($B$10=0,"",IFERROR(IF($B$4&gt;0,IF($L96="",1/0,$L96*$B$4),0)+IF($B$5&gt;0,IF($M96="",1/0,$M96*$B$5),0)+IF($B$6&gt;0,IF($N96="",1/0,$N96*$B$6),0),""))</f>
        <v>79520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7952</v>
      </c>
      <c r="T96" s="17">
        <f aca="false">IF($P96="","",$P96-$S96)</f>
        <v>71568</v>
      </c>
      <c r="U96" s="17">
        <f aca="false">IF($T96="","",IF($B$10=0,"",$T96/$B$10))</f>
        <v>1789.2</v>
      </c>
      <c r="V96" s="17">
        <f aca="false">IF($P96="","",IF($B$10=0,"",$P96/$B$10))</f>
        <v>1988</v>
      </c>
      <c r="W96" s="19">
        <f aca="false">IF($T96="",1000000000000000,$T96)</f>
        <v>71568</v>
      </c>
      <c r="XFB96" s="6"/>
      <c r="XFC96" s="3"/>
    </row>
    <row r="97" s="6" collapsed="false" customFormat="true" customHeight="true" hidden="false" ht="28.5" outlineLevel="0">
      <c r="A97" s="16">
        <f aca="false">IF($T97="","",1+COUNTIF($W$15:$W$884,"&lt;"&amp;W97))</f>
        <v>82</v>
      </c>
      <c r="B97" s="16" t="s">
        <v>6</v>
      </c>
      <c r="C97" s="16" t="s">
        <v>216</v>
      </c>
      <c r="D97" s="20" t="s">
        <v>54</v>
      </c>
      <c r="E97" s="16" t="s">
        <v>26</v>
      </c>
      <c r="F97" s="16" t="s">
        <v>217</v>
      </c>
      <c r="G97" s="17">
        <v>1988</v>
      </c>
      <c r="H97" s="17"/>
      <c r="I97" s="17"/>
      <c r="J97" s="17">
        <v>1972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1988</v>
      </c>
      <c r="M97" s="17">
        <f aca="false">IF($H97="","",$H97+$K97)</f>
        <v/>
      </c>
      <c r="N97" s="17">
        <f aca="false">IF($J97="","",$J97+$K97)</f>
        <v>1972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79,520원</v>
      </c>
      <c r="P97" s="17">
        <f aca="false">IF($B$10=0,"",IFERROR(IF($B$4&gt;0,IF($L97="",1/0,$L97*$B$4),0)+IF($B$5&gt;0,IF($M97="",1/0,$M97*$B$5),0)+IF($B$6&gt;0,IF($N97="",1/0,$N97*$B$6),0),""))</f>
        <v>79520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7952</v>
      </c>
      <c r="T97" s="17">
        <f aca="false">IF($P97="","",$P97-$S97)</f>
        <v>71568</v>
      </c>
      <c r="U97" s="17">
        <f aca="false">IF($T97="","",IF($B$10=0,"",$T97/$B$10))</f>
        <v>1789.2</v>
      </c>
      <c r="V97" s="17">
        <f aca="false">IF($P97="","",IF($B$10=0,"",$P97/$B$10))</f>
        <v>1988</v>
      </c>
      <c r="W97" s="19">
        <f aca="false">IF($T97="",1000000000000000,$T97)</f>
        <v>71568</v>
      </c>
      <c r="XFC97" s="3"/>
    </row>
    <row r="98" s="6" collapsed="false" customFormat="true" customHeight="true" hidden="false" ht="28.5" outlineLevel="0">
      <c r="A98" s="16">
        <f aca="false">IF($T98="","",1+COUNTIF($W$15:$W$884,"&lt;"&amp;W98))</f>
        <v>82</v>
      </c>
      <c r="B98" s="16" t="s">
        <v>10</v>
      </c>
      <c r="C98" s="16" t="s">
        <v>159</v>
      </c>
      <c r="D98" s="16" t="s">
        <v>77</v>
      </c>
      <c r="E98" s="16" t="s">
        <v>26</v>
      </c>
      <c r="F98" s="16" t="s">
        <v>160</v>
      </c>
      <c r="G98" s="17">
        <v>1988</v>
      </c>
      <c r="H98" s="17"/>
      <c r="I98" s="17"/>
      <c r="J98" s="17">
        <v>1979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/>
      </c>
      <c r="N98" s="17">
        <f aca="false">IF($J98="","",$J98+$K98)</f>
        <v>1979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79,520원</v>
      </c>
      <c r="P98" s="17">
        <f aca="false">IF($B$10=0,"",IFERROR(IF($B$4&gt;0,IF($L98="",1/0,$L98*$B$4),0)+IF($B$5&gt;0,IF($M98="",1/0,$M98*$B$5),0)+IF($B$6&gt;0,IF($N98="",1/0,$N98*$B$6),0),""))</f>
        <v>79520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7952</v>
      </c>
      <c r="T98" s="17">
        <f aca="false">IF($P98="","",$P98-$S98)</f>
        <v>71568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71568</v>
      </c>
      <c r="XFC98" s="3"/>
    </row>
    <row r="99" s="22" collapsed="false" customFormat="true" customHeight="true" hidden="false" ht="28.5" outlineLevel="0">
      <c r="A99" s="16">
        <f aca="false">IF($T99="","",1+COUNTIF($W$15:$W$884,"&lt;"&amp;W99))</f>
        <v>82</v>
      </c>
      <c r="B99" s="16" t="s">
        <v>6</v>
      </c>
      <c r="C99" s="16" t="s">
        <v>218</v>
      </c>
      <c r="D99" s="16" t="s">
        <v>122</v>
      </c>
      <c r="E99" s="16" t="s">
        <v>26</v>
      </c>
      <c r="F99" s="16" t="s">
        <v>219</v>
      </c>
      <c r="G99" s="17">
        <v>1988</v>
      </c>
      <c r="H99" s="17"/>
      <c r="I99" s="17"/>
      <c r="J99" s="17">
        <v>1988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1988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79,520원</v>
      </c>
      <c r="P99" s="17">
        <f aca="false">IF($B$10=0,"",IFERROR(IF($B$4&gt;0,IF($L99="",1/0,$L99*$B$4),0)+IF($B$5&gt;0,IF($M99="",1/0,$M99*$B$5),0)+IF($B$6&gt;0,IF($N99="",1/0,$N99*$B$6),0),""))</f>
        <v>79520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7952</v>
      </c>
      <c r="T99" s="17">
        <f aca="false">IF($P99="","",$P99-$S99)</f>
        <v>71568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71568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IF($T100="","",1+COUNTIF($W$15:$W$884,"&lt;"&amp;W100))</f>
        <v>86</v>
      </c>
      <c r="B100" s="16" t="s">
        <v>12</v>
      </c>
      <c r="C100" s="16" t="s">
        <v>220</v>
      </c>
      <c r="D100" s="21" t="s">
        <v>45</v>
      </c>
      <c r="E100" s="16" t="s">
        <v>26</v>
      </c>
      <c r="F100" s="16" t="s">
        <v>221</v>
      </c>
      <c r="G100" s="17">
        <v>1989</v>
      </c>
      <c r="H100" s="17"/>
      <c r="I100" s="17"/>
      <c r="J100" s="17">
        <v>1969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1969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79,560원</v>
      </c>
      <c r="P100" s="17">
        <f aca="false">IF($B$10=0,"",IFERROR(IF($B$4&gt;0,IF($L100="",1/0,$L100*$B$4),0)+IF($B$5&gt;0,IF($M100="",1/0,$M100*$B$5),0)+IF($B$6&gt;0,IF($N100="",1/0,$N100*$B$6),0),""))</f>
        <v>79560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7956</v>
      </c>
      <c r="T100" s="17">
        <f aca="false">IF($P100="","",$P100-$S100)</f>
        <v>71604</v>
      </c>
      <c r="U100" s="17">
        <f aca="false">IF($T100="","",IF($B$10=0,"",$T100/$B$10))</f>
        <v>1790.1</v>
      </c>
      <c r="V100" s="17">
        <f aca="false">IF($P100="","",IF($B$10=0,"",$P100/$B$10))</f>
        <v>1989</v>
      </c>
      <c r="W100" s="19">
        <f aca="false">IF($T100="",1000000000000000,$T100)</f>
        <v>71604</v>
      </c>
      <c r="XFC100" s="3"/>
    </row>
    <row r="101" s="5" collapsed="false" customFormat="true" customHeight="true" hidden="false" ht="28.5" outlineLevel="0">
      <c r="A101" s="16">
        <f aca="false">IF($T101="","",1+COUNTIF($W$15:$W$884,"&lt;"&amp;W101))</f>
        <v>86</v>
      </c>
      <c r="B101" s="16" t="s">
        <v>12</v>
      </c>
      <c r="C101" s="16" t="s">
        <v>232</v>
      </c>
      <c r="D101" s="21" t="s">
        <v>57</v>
      </c>
      <c r="E101" s="16" t="s">
        <v>26</v>
      </c>
      <c r="F101" s="16" t="s">
        <v>233</v>
      </c>
      <c r="G101" s="17">
        <v>1989</v>
      </c>
      <c r="H101" s="17"/>
      <c r="I101" s="17"/>
      <c r="J101" s="17">
        <v>1979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1979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79,560원</v>
      </c>
      <c r="P101" s="17">
        <f aca="false">IF($B$10=0,"",IFERROR(IF($B$4&gt;0,IF($L101="",1/0,$L101*$B$4),0)+IF($B$5&gt;0,IF($M101="",1/0,$M101*$B$5),0)+IF($B$6&gt;0,IF($N101="",1/0,$N101*$B$6),0),""))</f>
        <v>79560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7956</v>
      </c>
      <c r="T101" s="17">
        <f aca="false">IF($P101="","",$P101-$S101)</f>
        <v>71604</v>
      </c>
      <c r="U101" s="17">
        <f aca="false">IF($T101="","",IF($B$10=0,"",$T101/$B$10))</f>
        <v>1790.1</v>
      </c>
      <c r="V101" s="17">
        <f aca="false">IF($P101="","",IF($B$10=0,"",$P101/$B$10))</f>
        <v>1989</v>
      </c>
      <c r="W101" s="19">
        <f aca="false">IF($T101="",1000000000000000,$T101)</f>
        <v>71604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IF($T102="","",1+COUNTIF($W$15:$W$884,"&lt;"&amp;W102))</f>
        <v>86</v>
      </c>
      <c r="B102" s="16" t="s">
        <v>12</v>
      </c>
      <c r="C102" s="16" t="s">
        <v>222</v>
      </c>
      <c r="D102" s="20" t="s">
        <v>54</v>
      </c>
      <c r="E102" s="16" t="s">
        <v>26</v>
      </c>
      <c r="F102" s="16" t="s">
        <v>223</v>
      </c>
      <c r="G102" s="17">
        <v>1989</v>
      </c>
      <c r="H102" s="17"/>
      <c r="I102" s="17"/>
      <c r="J102" s="17">
        <v>1979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1979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79,560원</v>
      </c>
      <c r="P102" s="17">
        <f aca="false">IF($B$10=0,"",IFERROR(IF($B$4&gt;0,IF($L102="",1/0,$L102*$B$4),0)+IF($B$5&gt;0,IF($M102="",1/0,$M102*$B$5),0)+IF($B$6&gt;0,IF($N102="",1/0,$N102*$B$6),0),""))</f>
        <v>79560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7956</v>
      </c>
      <c r="T102" s="17">
        <f aca="false">IF($P102="","",$P102-$S102)</f>
        <v>71604</v>
      </c>
      <c r="U102" s="17">
        <f aca="false">IF($T102="","",IF($B$10=0,"",$T102/$B$10))</f>
        <v>1790.1</v>
      </c>
      <c r="V102" s="17">
        <f aca="false">IF($P102="","",IF($B$10=0,"",$P102/$B$10))</f>
        <v>1989</v>
      </c>
      <c r="W102" s="19">
        <f aca="false">IF($T102="",1000000000000000,$T102)</f>
        <v>71604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IF($T103="","",1+COUNTIF($W$15:$W$884,"&lt;"&amp;W103))</f>
        <v>86</v>
      </c>
      <c r="B103" s="16" t="s">
        <v>10</v>
      </c>
      <c r="C103" s="16" t="s">
        <v>224</v>
      </c>
      <c r="D103" s="21" t="s">
        <v>57</v>
      </c>
      <c r="E103" s="16" t="s">
        <v>26</v>
      </c>
      <c r="F103" s="16" t="s">
        <v>225</v>
      </c>
      <c r="G103" s="17">
        <v>1989</v>
      </c>
      <c r="H103" s="17"/>
      <c r="I103" s="17"/>
      <c r="J103" s="17">
        <v>1979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1979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79,560원</v>
      </c>
      <c r="P103" s="17">
        <f aca="false">IF($B$10=0,"",IFERROR(IF($B$4&gt;0,IF($L103="",1/0,$L103*$B$4),0)+IF($B$5&gt;0,IF($M103="",1/0,$M103*$B$5),0)+IF($B$6&gt;0,IF($N103="",1/0,$N103*$B$6),0),""))</f>
        <v>79560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7956</v>
      </c>
      <c r="T103" s="17">
        <f aca="false">IF($P103="","",$P103-$S103)</f>
        <v>71604</v>
      </c>
      <c r="U103" s="17">
        <f aca="false">IF($T103="","",IF($B$10=0,"",$T103/$B$10))</f>
        <v>1790.1</v>
      </c>
      <c r="V103" s="17">
        <f aca="false">IF($P103="","",IF($B$10=0,"",$P103/$B$10))</f>
        <v>1989</v>
      </c>
      <c r="W103" s="19">
        <f aca="false">IF($T103="",1000000000000000,$T103)</f>
        <v>71604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IF($T104="","",1+COUNTIF($W$15:$W$884,"&lt;"&amp;W104))</f>
        <v>86</v>
      </c>
      <c r="B104" s="16" t="s">
        <v>8</v>
      </c>
      <c r="C104" s="16" t="s">
        <v>226</v>
      </c>
      <c r="D104" s="16" t="s">
        <v>45</v>
      </c>
      <c r="E104" s="16" t="s">
        <v>26</v>
      </c>
      <c r="F104" s="16" t="s">
        <v>227</v>
      </c>
      <c r="G104" s="17">
        <v>1989</v>
      </c>
      <c r="H104" s="17"/>
      <c r="I104" s="17"/>
      <c r="J104" s="17">
        <v>1989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1989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79,560원</v>
      </c>
      <c r="P104" s="17">
        <f aca="false">IF($B$10=0,"",IFERROR(IF($B$4&gt;0,IF($L104="",1/0,$L104*$B$4),0)+IF($B$5&gt;0,IF($M104="",1/0,$M104*$B$5),0)+IF($B$6&gt;0,IF($N104="",1/0,$N104*$B$6),0),""))</f>
        <v>79560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7956</v>
      </c>
      <c r="T104" s="17">
        <f aca="false">IF($P104="","",$P104-$S104)</f>
        <v>71604</v>
      </c>
      <c r="U104" s="17">
        <f aca="false">IF($T104="","",IF($B$10=0,"",$T104/$B$10))</f>
        <v>1790.1</v>
      </c>
      <c r="V104" s="17">
        <f aca="false">IF($P104="","",IF($B$10=0,"",$P104/$B$10))</f>
        <v>1989</v>
      </c>
      <c r="W104" s="19">
        <f aca="false">IF($T104="",1000000000000000,$T104)</f>
        <v>71604</v>
      </c>
      <c r="XFB104" s="6"/>
      <c r="XFC104" s="3"/>
    </row>
    <row r="105" s="6" collapsed="false" customFormat="true" customHeight="true" hidden="false" ht="28.5" outlineLevel="0">
      <c r="A105" s="16">
        <f aca="false">IF($T105="","",1+COUNTIF($W$15:$W$884,"&lt;"&amp;W105))</f>
        <v>86</v>
      </c>
      <c r="B105" s="16" t="s">
        <v>10</v>
      </c>
      <c r="C105" s="16" t="s">
        <v>228</v>
      </c>
      <c r="D105" s="20" t="s">
        <v>54</v>
      </c>
      <c r="E105" s="16" t="s">
        <v>26</v>
      </c>
      <c r="F105" s="16" t="s">
        <v>229</v>
      </c>
      <c r="G105" s="17">
        <v>1989</v>
      </c>
      <c r="H105" s="17"/>
      <c r="I105" s="17"/>
      <c r="J105" s="17">
        <v>1989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1989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79,560원</v>
      </c>
      <c r="P105" s="17">
        <f aca="false">IF($B$10=0,"",IFERROR(IF($B$4&gt;0,IF($L105="",1/0,$L105*$B$4),0)+IF($B$5&gt;0,IF($M105="",1/0,$M105*$B$5),0)+IF($B$6&gt;0,IF($N105="",1/0,$N105*$B$6),0),""))</f>
        <v>79560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7956</v>
      </c>
      <c r="T105" s="17">
        <f aca="false">IF($P105="","",$P105-$S105)</f>
        <v>71604</v>
      </c>
      <c r="U105" s="17">
        <f aca="false">IF($T105="","",IF($B$10=0,"",$T105/$B$10))</f>
        <v>1790.1</v>
      </c>
      <c r="V105" s="17">
        <f aca="false">IF($P105="","",IF($B$10=0,"",$P105/$B$10))</f>
        <v>1989</v>
      </c>
      <c r="W105" s="19">
        <f aca="false">IF($T105="",1000000000000000,$T105)</f>
        <v>71604</v>
      </c>
      <c r="XFC105" s="3"/>
    </row>
    <row r="106" s="6" collapsed="false" customFormat="true" customHeight="true" hidden="false" ht="28.5" outlineLevel="0">
      <c r="A106" s="16">
        <f aca="false">IF($T106="","",1+COUNTIF($W$15:$W$884,"&lt;"&amp;W106))</f>
        <v>86</v>
      </c>
      <c r="B106" s="16" t="s">
        <v>10</v>
      </c>
      <c r="C106" s="16" t="s">
        <v>230</v>
      </c>
      <c r="D106" s="21" t="s">
        <v>57</v>
      </c>
      <c r="E106" s="16" t="s">
        <v>26</v>
      </c>
      <c r="F106" s="16" t="s">
        <v>231</v>
      </c>
      <c r="G106" s="17">
        <v>1989</v>
      </c>
      <c r="H106" s="17"/>
      <c r="I106" s="17"/>
      <c r="J106" s="17">
        <v>1999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1999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79,560원</v>
      </c>
      <c r="P106" s="17">
        <f aca="false">IF($B$10=0,"",IFERROR(IF($B$4&gt;0,IF($L106="",1/0,$L106*$B$4),0)+IF($B$5&gt;0,IF($M106="",1/0,$M106*$B$5),0)+IF($B$6&gt;0,IF($N106="",1/0,$N106*$B$6),0),""))</f>
        <v>79560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7956</v>
      </c>
      <c r="T106" s="17">
        <f aca="false">IF($P106="","",$P106-$S106)</f>
        <v>71604</v>
      </c>
      <c r="U106" s="17">
        <f aca="false">IF($T106="","",IF($B$10=0,"",$T106/$B$10))</f>
        <v>1790.1</v>
      </c>
      <c r="V106" s="17">
        <f aca="false">IF($P106="","",IF($B$10=0,"",$P106/$B$10))</f>
        <v>1989</v>
      </c>
      <c r="W106" s="19">
        <f aca="false">IF($T106="",1000000000000000,$T106)</f>
        <v>71604</v>
      </c>
      <c r="XFC106" s="3"/>
    </row>
    <row r="107" s="5" collapsed="false" customFormat="true" customHeight="true" hidden="false" ht="28.5" outlineLevel="0">
      <c r="A107" s="16">
        <f aca="false">IF($T107="","",1+COUNTIF($W$15:$W$884,"&lt;"&amp;W107))</f>
        <v>93</v>
      </c>
      <c r="B107" s="16" t="s">
        <v>14</v>
      </c>
      <c r="C107" s="16" t="s">
        <v>354</v>
      </c>
      <c r="D107" s="16" t="s">
        <v>45</v>
      </c>
      <c r="E107" s="16" t="s">
        <v>26</v>
      </c>
      <c r="F107" s="16" t="s">
        <v>355</v>
      </c>
      <c r="G107" s="17">
        <v>2014</v>
      </c>
      <c r="H107" s="17"/>
      <c r="I107" s="17"/>
      <c r="J107" s="17">
        <v>1997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2014</v>
      </c>
      <c r="M107" s="17">
        <f aca="false">IF($H107="","",$H107+$K107)</f>
        <v/>
      </c>
      <c r="N107" s="17">
        <f aca="false">IF($J107="","",$J107+$K107)</f>
        <v>1997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80,560원</v>
      </c>
      <c r="P107" s="17">
        <f aca="false">IF($B$10=0,"",IFERROR(IF($B$4&gt;0,IF($L107="",1/0,$L107*$B$4),0)+IF($B$5&gt;0,IF($M107="",1/0,$M107*$B$5),0)+IF($B$6&gt;0,IF($N107="",1/0,$N107*$B$6),0),""))</f>
        <v>80560</v>
      </c>
      <c r="Q107" s="17" t="s">
        <v>47</v>
      </c>
      <c r="R107" s="18">
        <f aca="false">IF($P107="","",IF($Q107="Y",IFERROR(VLOOKUP($B107,$C$4:$D$13,2,FALSE()),0),0))</f>
        <v>0.11</v>
      </c>
      <c r="S107" s="17">
        <f aca="false">IF($P107="","",ROUNDDOWN($P107*$R107,0))</f>
        <v>8861</v>
      </c>
      <c r="T107" s="17">
        <f aca="false">IF($P107="","",$P107-$S107)</f>
        <v>71699</v>
      </c>
      <c r="U107" s="17">
        <f aca="false">IF($T107="","",IF($B$10=0,"",$T107/$B$10))</f>
        <v>1792.475</v>
      </c>
      <c r="V107" s="17">
        <f aca="false">IF($P107="","",IF($B$10=0,"",$P107/$B$10))</f>
        <v>2014</v>
      </c>
      <c r="W107" s="19">
        <f aca="false">IF($T107="",1000000000000000,$T107)</f>
        <v>71699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IF($T108="","",1+COUNTIF($W$15:$W$884,"&lt;"&amp;W108))</f>
        <v>94</v>
      </c>
      <c r="B108" s="16" t="s">
        <v>8</v>
      </c>
      <c r="C108" s="16" t="s">
        <v>234</v>
      </c>
      <c r="D108" s="20" t="s">
        <v>54</v>
      </c>
      <c r="E108" s="16" t="s">
        <v>26</v>
      </c>
      <c r="F108" s="16" t="s">
        <v>235</v>
      </c>
      <c r="G108" s="17">
        <v>1992</v>
      </c>
      <c r="H108" s="17">
        <v>2398</v>
      </c>
      <c r="I108" s="17"/>
      <c r="J108" s="17">
        <v>1982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1992</v>
      </c>
      <c r="M108" s="17">
        <f aca="false">IF($H108="","",$H108+$K108)</f>
        <v>2398</v>
      </c>
      <c r="N108" s="17">
        <f aca="false">IF($J108="","",$J108+$K108)</f>
        <v>1982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79,680원</v>
      </c>
      <c r="P108" s="17">
        <f aca="false">IF($B$10=0,"",IFERROR(IF($B$4&gt;0,IF($L108="",1/0,$L108*$B$4),0)+IF($B$5&gt;0,IF($M108="",1/0,$M108*$B$5),0)+IF($B$6&gt;0,IF($N108="",1/0,$N108*$B$6),0),""))</f>
        <v>79680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7968</v>
      </c>
      <c r="T108" s="17">
        <f aca="false">IF($P108="","",$P108-$S108)</f>
        <v>71712</v>
      </c>
      <c r="U108" s="17">
        <f aca="false">IF($T108="","",IF($B$10=0,"",$T108/$B$10))</f>
        <v>1792.8</v>
      </c>
      <c r="V108" s="17">
        <f aca="false">IF($P108="","",IF($B$10=0,"",$P108/$B$10))</f>
        <v>1992</v>
      </c>
      <c r="W108" s="19">
        <f aca="false">IF($T108="",1000000000000000,$T108)</f>
        <v>71712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IF($T109="","",1+COUNTIF($W$15:$W$884,"&lt;"&amp;W109))</f>
        <v>95</v>
      </c>
      <c r="B109" s="16" t="s">
        <v>8</v>
      </c>
      <c r="C109" s="16" t="s">
        <v>236</v>
      </c>
      <c r="D109" s="16" t="s">
        <v>45</v>
      </c>
      <c r="E109" s="16" t="s">
        <v>26</v>
      </c>
      <c r="F109" s="16" t="s">
        <v>237</v>
      </c>
      <c r="G109" s="17">
        <v>1993</v>
      </c>
      <c r="H109" s="17">
        <v>2430</v>
      </c>
      <c r="I109" s="17"/>
      <c r="J109" s="17">
        <v>1993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1993</v>
      </c>
      <c r="M109" s="17">
        <f aca="false">IF($H109="","",$H109+$K109)</f>
        <v>2430</v>
      </c>
      <c r="N109" s="17">
        <f aca="false">IF($J109="","",$J109+$K109)</f>
        <v>1993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79,720원</v>
      </c>
      <c r="P109" s="17">
        <f aca="false">IF($B$10=0,"",IFERROR(IF($B$4&gt;0,IF($L109="",1/0,$L109*$B$4),0)+IF($B$5&gt;0,IF($M109="",1/0,$M109*$B$5),0)+IF($B$6&gt;0,IF($N109="",1/0,$N109*$B$6),0),""))</f>
        <v>79720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7972</v>
      </c>
      <c r="T109" s="17">
        <f aca="false">IF($P109="","",$P109-$S109)</f>
        <v>71748</v>
      </c>
      <c r="U109" s="17">
        <f aca="false">IF($T109="","",IF($B$10=0,"",$T109/$B$10))</f>
        <v>1793.7</v>
      </c>
      <c r="V109" s="17">
        <f aca="false">IF($P109="","",IF($B$10=0,"",$P109/$B$10))</f>
        <v>1993</v>
      </c>
      <c r="W109" s="19">
        <f aca="false">IF($T109="",1000000000000000,$T109)</f>
        <v>71748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IF($T110="","",1+COUNTIF($W$15:$W$884,"&lt;"&amp;W110))</f>
        <v>95</v>
      </c>
      <c r="B110" s="16" t="s">
        <v>6</v>
      </c>
      <c r="C110" s="16" t="s">
        <v>238</v>
      </c>
      <c r="D110" s="16" t="s">
        <v>45</v>
      </c>
      <c r="E110" s="16" t="s">
        <v>26</v>
      </c>
      <c r="F110" s="16" t="s">
        <v>239</v>
      </c>
      <c r="G110" s="17">
        <v>1993</v>
      </c>
      <c r="H110" s="17"/>
      <c r="I110" s="17"/>
      <c r="J110" s="17">
        <v>1993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1993</v>
      </c>
      <c r="M110" s="17">
        <f aca="false">IF($H110="","",$H110+$K110)</f>
        <v/>
      </c>
      <c r="N110" s="17">
        <f aca="false">IF($J110="","",$J110+$K110)</f>
        <v>1993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79,720원</v>
      </c>
      <c r="P110" s="17">
        <f aca="false">IF($B$10=0,"",IFERROR(IF($B$4&gt;0,IF($L110="",1/0,$L110*$B$4),0)+IF($B$5&gt;0,IF($M110="",1/0,$M110*$B$5),0)+IF($B$6&gt;0,IF($N110="",1/0,$N110*$B$6),0),""))</f>
        <v>79720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7972</v>
      </c>
      <c r="T110" s="17">
        <f aca="false">IF($P110="","",$P110-$S110)</f>
        <v>71748</v>
      </c>
      <c r="U110" s="17">
        <f aca="false">IF($T110="","",IF($B$10=0,"",$T110/$B$10))</f>
        <v>1793.7</v>
      </c>
      <c r="V110" s="17">
        <f aca="false">IF($P110="","",IF($B$10=0,"",$P110/$B$10))</f>
        <v>1993</v>
      </c>
      <c r="W110" s="19">
        <f aca="false">IF($T110="",1000000000000000,$T110)</f>
        <v>71748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IF($T111="","",1+COUNTIF($W$15:$W$884,"&lt;"&amp;W111))</f>
        <v>97</v>
      </c>
      <c r="B111" s="16" t="s">
        <v>12</v>
      </c>
      <c r="C111" s="16" t="s">
        <v>240</v>
      </c>
      <c r="D111" s="21" t="s">
        <v>57</v>
      </c>
      <c r="E111" s="16" t="s">
        <v>26</v>
      </c>
      <c r="F111" s="16" t="s">
        <v>241</v>
      </c>
      <c r="G111" s="17">
        <v>1994</v>
      </c>
      <c r="H111" s="17">
        <v>2449</v>
      </c>
      <c r="I111" s="17"/>
      <c r="J111" s="17">
        <v>1994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1994</v>
      </c>
      <c r="M111" s="17">
        <f aca="false">IF($H111="","",$H111+$K111)</f>
        <v>2449</v>
      </c>
      <c r="N111" s="17">
        <f aca="false">IF($J111="","",$J111+$K111)</f>
        <v>1994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79,760원</v>
      </c>
      <c r="P111" s="17">
        <f aca="false">IF($B$10=0,"",IFERROR(IF($B$4&gt;0,IF($L111="",1/0,$L111*$B$4),0)+IF($B$5&gt;0,IF($M111="",1/0,$M111*$B$5),0)+IF($B$6&gt;0,IF($N111="",1/0,$N111*$B$6),0),""))</f>
        <v>79760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7976</v>
      </c>
      <c r="T111" s="17">
        <f aca="false">IF($P111="","",$P111-$S111)</f>
        <v>71784</v>
      </c>
      <c r="U111" s="17">
        <f aca="false">IF($T111="","",IF($B$10=0,"",$T111/$B$10))</f>
        <v>1794.6</v>
      </c>
      <c r="V111" s="17">
        <f aca="false">IF($P111="","",IF($B$10=0,"",$P111/$B$10))</f>
        <v>1994</v>
      </c>
      <c r="W111" s="19">
        <f aca="false">IF($T111="",1000000000000000,$T111)</f>
        <v>71784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IF($T112="","",1+COUNTIF($W$15:$W$884,"&lt;"&amp;W112))</f>
        <v>97</v>
      </c>
      <c r="B112" s="16" t="s">
        <v>6</v>
      </c>
      <c r="C112" s="16" t="s">
        <v>242</v>
      </c>
      <c r="D112" s="16" t="s">
        <v>45</v>
      </c>
      <c r="E112" s="16" t="s">
        <v>26</v>
      </c>
      <c r="F112" s="16" t="s">
        <v>243</v>
      </c>
      <c r="G112" s="17">
        <v>1994</v>
      </c>
      <c r="H112" s="17"/>
      <c r="I112" s="17"/>
      <c r="J112" s="17">
        <v>1974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1994</v>
      </c>
      <c r="M112" s="17">
        <f aca="false">IF($H112="","",$H112+$K112)</f>
        <v/>
      </c>
      <c r="N112" s="17">
        <f aca="false">IF($J112="","",$J112+$K112)</f>
        <v>1974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79,760원</v>
      </c>
      <c r="P112" s="17">
        <f aca="false">IF($B$10=0,"",IFERROR(IF($B$4&gt;0,IF($L112="",1/0,$L112*$B$4),0)+IF($B$5&gt;0,IF($M112="",1/0,$M112*$B$5),0)+IF($B$6&gt;0,IF($N112="",1/0,$N112*$B$6),0),""))</f>
        <v>79760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7976</v>
      </c>
      <c r="T112" s="17">
        <f aca="false">IF($P112="","",$P112-$S112)</f>
        <v>71784</v>
      </c>
      <c r="U112" s="17">
        <f aca="false">IF($T112="","",IF($B$10=0,"",$T112/$B$10))</f>
        <v>1794.6</v>
      </c>
      <c r="V112" s="17">
        <f aca="false">IF($P112="","",IF($B$10=0,"",$P112/$B$10))</f>
        <v>1994</v>
      </c>
      <c r="W112" s="19">
        <f aca="false">IF($T112="",1000000000000000,$T112)</f>
        <v>71784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IF($T113="","",1+COUNTIF($W$15:$W$884,"&lt;"&amp;W113))</f>
        <v>97</v>
      </c>
      <c r="B113" s="16" t="s">
        <v>12</v>
      </c>
      <c r="C113" s="16" t="s">
        <v>252</v>
      </c>
      <c r="D113" s="21" t="s">
        <v>45</v>
      </c>
      <c r="E113" s="16" t="s">
        <v>26</v>
      </c>
      <c r="F113" s="16" t="s">
        <v>253</v>
      </c>
      <c r="G113" s="17">
        <v>1994</v>
      </c>
      <c r="H113" s="17"/>
      <c r="I113" s="17"/>
      <c r="J113" s="17">
        <v>1983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/>
      </c>
      <c r="N113" s="17">
        <f aca="false">IF($J113="","",$J113+$K113)</f>
        <v>1983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79,760원</v>
      </c>
      <c r="P113" s="17">
        <f aca="false">IF($B$10=0,"",IFERROR(IF($B$4&gt;0,IF($L113="",1/0,$L113*$B$4),0)+IF($B$5&gt;0,IF($M113="",1/0,$M113*$B$5),0)+IF($B$6&gt;0,IF($N113="",1/0,$N113*$B$6),0),""))</f>
        <v>79760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7976</v>
      </c>
      <c r="T113" s="17">
        <f aca="false">IF($P113="","",$P113-$S113)</f>
        <v>71784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71784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IF($T114="","",1+COUNTIF($W$15:$W$884,"&lt;"&amp;W114))</f>
        <v>97</v>
      </c>
      <c r="B114" s="16" t="s">
        <v>6</v>
      </c>
      <c r="C114" s="16" t="s">
        <v>246</v>
      </c>
      <c r="D114" s="20" t="s">
        <v>54</v>
      </c>
      <c r="E114" s="16" t="s">
        <v>26</v>
      </c>
      <c r="F114" s="16" t="s">
        <v>247</v>
      </c>
      <c r="G114" s="17">
        <v>1994</v>
      </c>
      <c r="H114" s="17"/>
      <c r="I114" s="17"/>
      <c r="J114" s="17">
        <v>1984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1994</v>
      </c>
      <c r="M114" s="17">
        <f aca="false">IF($H114="","",$H114+$K114)</f>
        <v/>
      </c>
      <c r="N114" s="17">
        <f aca="false">IF($J114="","",$J114+$K114)</f>
        <v>1984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79,760원</v>
      </c>
      <c r="P114" s="17">
        <f aca="false">IF($B$10=0,"",IFERROR(IF($B$4&gt;0,IF($L114="",1/0,$L114*$B$4),0)+IF($B$5&gt;0,IF($M114="",1/0,$M114*$B$5),0)+IF($B$6&gt;0,IF($N114="",1/0,$N114*$B$6),0),""))</f>
        <v>79760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7976</v>
      </c>
      <c r="T114" s="17">
        <f aca="false">IF($P114="","",$P114-$S114)</f>
        <v>71784</v>
      </c>
      <c r="U114" s="17">
        <f aca="false">IF($T114="","",IF($B$10=0,"",$T114/$B$10))</f>
        <v>1794.6</v>
      </c>
      <c r="V114" s="17">
        <f aca="false">IF($P114="","",IF($B$10=0,"",$P114/$B$10))</f>
        <v>1994</v>
      </c>
      <c r="W114" s="19">
        <f aca="false">IF($T114="",1000000000000000,$T114)</f>
        <v>71784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IF($T115="","",1+COUNTIF($W$15:$W$884,"&lt;"&amp;W115))</f>
        <v>97</v>
      </c>
      <c r="B115" s="16" t="s">
        <v>12</v>
      </c>
      <c r="C115" s="16" t="s">
        <v>248</v>
      </c>
      <c r="D115" s="20" t="s">
        <v>54</v>
      </c>
      <c r="E115" s="16" t="s">
        <v>26</v>
      </c>
      <c r="F115" s="16" t="s">
        <v>249</v>
      </c>
      <c r="G115" s="17">
        <v>1994</v>
      </c>
      <c r="H115" s="17"/>
      <c r="I115" s="17"/>
      <c r="J115" s="17">
        <v>1989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/>
      </c>
      <c r="N115" s="17">
        <f aca="false">IF($J115="","",$J115+$K115)</f>
        <v>1989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79,760원</v>
      </c>
      <c r="P115" s="17">
        <f aca="false">IF($B$10=0,"",IFERROR(IF($B$4&gt;0,IF($L115="",1/0,$L115*$B$4),0)+IF($B$5&gt;0,IF($M115="",1/0,$M115*$B$5),0)+IF($B$6&gt;0,IF($N115="",1/0,$N115*$B$6),0),""))</f>
        <v>79760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7976</v>
      </c>
      <c r="T115" s="17">
        <f aca="false">IF($P115="","",$P115-$S115)</f>
        <v>71784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71784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IF($T116="","",1+COUNTIF($W$15:$W$884,"&lt;"&amp;W116))</f>
        <v>97</v>
      </c>
      <c r="B116" s="16" t="s">
        <v>12</v>
      </c>
      <c r="C116" s="16" t="s">
        <v>250</v>
      </c>
      <c r="D116" s="21" t="s">
        <v>45</v>
      </c>
      <c r="E116" s="16" t="s">
        <v>26</v>
      </c>
      <c r="F116" s="16" t="s">
        <v>251</v>
      </c>
      <c r="G116" s="17">
        <v>1994</v>
      </c>
      <c r="H116" s="17"/>
      <c r="I116" s="17"/>
      <c r="J116" s="17">
        <v>1989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1989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79,760원</v>
      </c>
      <c r="P116" s="17">
        <f aca="false">IF($B$10=0,"",IFERROR(IF($B$4&gt;0,IF($L116="",1/0,$L116*$B$4),0)+IF($B$5&gt;0,IF($M116="",1/0,$M116*$B$5),0)+IF($B$6&gt;0,IF($N116="",1/0,$N116*$B$6),0),""))</f>
        <v>79760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7976</v>
      </c>
      <c r="T116" s="17">
        <f aca="false">IF($P116="","",$P116-$S116)</f>
        <v>71784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71784</v>
      </c>
      <c r="XFB116" s="6"/>
      <c r="XFC116" s="3"/>
    </row>
    <row r="117" s="22" collapsed="false" customFormat="true" customHeight="true" hidden="false" ht="28.5" outlineLevel="0">
      <c r="A117" s="16">
        <f aca="false">IF($T117="","",1+COUNTIF($W$15:$W$884,"&lt;"&amp;W117))</f>
        <v>97</v>
      </c>
      <c r="B117" s="16" t="s">
        <v>10</v>
      </c>
      <c r="C117" s="16" t="s">
        <v>254</v>
      </c>
      <c r="D117" s="16" t="s">
        <v>77</v>
      </c>
      <c r="E117" s="16" t="s">
        <v>26</v>
      </c>
      <c r="F117" s="16" t="s">
        <v>255</v>
      </c>
      <c r="G117" s="17">
        <v>1994</v>
      </c>
      <c r="H117" s="17"/>
      <c r="I117" s="17"/>
      <c r="J117" s="17">
        <v>1994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1994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79,760원</v>
      </c>
      <c r="P117" s="17">
        <f aca="false">IF($B$10=0,"",IFERROR(IF($B$4&gt;0,IF($L117="",1/0,$L117*$B$4),0)+IF($B$5&gt;0,IF($M117="",1/0,$M117*$B$5),0)+IF($B$6&gt;0,IF($N117="",1/0,$N117*$B$6),0),""))</f>
        <v>79760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7976</v>
      </c>
      <c r="T117" s="17">
        <f aca="false">IF($P117="","",$P117-$S117)</f>
        <v>71784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71784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IF($T118="","",1+COUNTIF($W$15:$W$884,"&lt;"&amp;W118))</f>
        <v>104</v>
      </c>
      <c r="B118" s="16" t="s">
        <v>16</v>
      </c>
      <c r="C118" s="16" t="s">
        <v>256</v>
      </c>
      <c r="D118" s="16" t="s">
        <v>45</v>
      </c>
      <c r="E118" s="16" t="s">
        <v>51</v>
      </c>
      <c r="F118" s="16" t="s">
        <v>257</v>
      </c>
      <c r="G118" s="17">
        <v>2040</v>
      </c>
      <c r="H118" s="17"/>
      <c r="I118" s="17"/>
      <c r="J118" s="17">
        <v>2040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2040</v>
      </c>
      <c r="M118" s="17">
        <f aca="false">IF($H118="","",$H118+$K118)</f>
        <v/>
      </c>
      <c r="N118" s="17">
        <f aca="false">IF($J118="","",$J118+$K118)</f>
        <v>2040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81,600원</v>
      </c>
      <c r="P118" s="17">
        <f aca="false">IF($B$10=0,"",IFERROR(IF($B$4&gt;0,IF($L118="",1/0,$L118*$B$4),0)+IF($B$5&gt;0,IF($M118="",1/0,$M118*$B$5),0)+IF($B$6&gt;0,IF($N118="",1/0,$N118*$B$6),0),""))</f>
        <v>81600</v>
      </c>
      <c r="Q118" s="17" t="s">
        <v>47</v>
      </c>
      <c r="R118" s="18">
        <f aca="false">IF($P118="","",IF($Q118="Y",IFERROR(VLOOKUP($B118,$C$4:$D$13,2,FALSE()),0),0))</f>
        <v>0.12</v>
      </c>
      <c r="S118" s="17">
        <f aca="false">IF($P118="","",ROUNDDOWN($P118*$R118,0))</f>
        <v>9792</v>
      </c>
      <c r="T118" s="17">
        <f aca="false">IF($P118="","",$P118-$S118)</f>
        <v>71808</v>
      </c>
      <c r="U118" s="17">
        <f aca="false">IF($T118="","",IF($B$10=0,"",$T118/$B$10))</f>
        <v>1795.2</v>
      </c>
      <c r="V118" s="17">
        <f aca="false">IF($P118="","",IF($B$10=0,"",$P118/$B$10))</f>
        <v>2040</v>
      </c>
      <c r="W118" s="19">
        <f aca="false">IF($T118="",1000000000000000,$T118)</f>
        <v>71808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IF($T119="","",1+COUNTIF($W$15:$W$884,"&lt;"&amp;W119))</f>
        <v>105</v>
      </c>
      <c r="B119" s="16" t="s">
        <v>12</v>
      </c>
      <c r="C119" s="16" t="s">
        <v>262</v>
      </c>
      <c r="D119" s="21" t="s">
        <v>57</v>
      </c>
      <c r="E119" s="16" t="s">
        <v>26</v>
      </c>
      <c r="F119" s="16" t="s">
        <v>263</v>
      </c>
      <c r="G119" s="17">
        <v>1995</v>
      </c>
      <c r="H119" s="17">
        <v>2499</v>
      </c>
      <c r="I119" s="17"/>
      <c r="J119" s="17">
        <v>1995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>2499</v>
      </c>
      <c r="N119" s="17">
        <f aca="false">IF($J119="","",$J119+$K119)</f>
        <v>1995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79,800원</v>
      </c>
      <c r="P119" s="17">
        <f aca="false">IF($B$10=0,"",IFERROR(IF($B$4&gt;0,IF($L119="",1/0,$L119*$B$4),0)+IF($B$5&gt;0,IF($M119="",1/0,$M119*$B$5),0)+IF($B$6&gt;0,IF($N119="",1/0,$N119*$B$6),0),""))</f>
        <v>79800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7980</v>
      </c>
      <c r="T119" s="17">
        <f aca="false">IF($P119="","",$P119-$S119)</f>
        <v>71820</v>
      </c>
      <c r="U119" s="17">
        <f aca="false">IF($T119="","",IF($B$10=0,"",$T119/$B$10))</f>
        <v>1795.5</v>
      </c>
      <c r="V119" s="17">
        <f aca="false">IF($P119="","",IF($B$10=0,"",$P119/$B$10))</f>
        <v>1995</v>
      </c>
      <c r="W119" s="19">
        <f aca="false">IF($T119="",1000000000000000,$T119)</f>
        <v>71820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IF($T120="","",1+COUNTIF($W$15:$W$884,"&lt;"&amp;W120))</f>
        <v>105</v>
      </c>
      <c r="B120" s="16" t="s">
        <v>6</v>
      </c>
      <c r="C120" s="16" t="s">
        <v>264</v>
      </c>
      <c r="D120" s="16" t="s">
        <v>45</v>
      </c>
      <c r="E120" s="16" t="s">
        <v>26</v>
      </c>
      <c r="F120" s="16" t="s">
        <v>265</v>
      </c>
      <c r="G120" s="17">
        <v>1995</v>
      </c>
      <c r="H120" s="17"/>
      <c r="I120" s="17"/>
      <c r="J120" s="17">
        <v>1975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/>
      </c>
      <c r="N120" s="17">
        <f aca="false">IF($J120="","",$J120+$K120)</f>
        <v>1975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79,800원</v>
      </c>
      <c r="P120" s="17">
        <f aca="false">IF($B$10=0,"",IFERROR(IF($B$4&gt;0,IF($L120="",1/0,$L120*$B$4),0)+IF($B$5&gt;0,IF($M120="",1/0,$M120*$B$5),0)+IF($B$6&gt;0,IF($N120="",1/0,$N120*$B$6),0),""))</f>
        <v>79800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7980</v>
      </c>
      <c r="T120" s="17">
        <f aca="false">IF($P120="","",$P120-$S120)</f>
        <v>71820</v>
      </c>
      <c r="U120" s="17">
        <f aca="false">IF($T120="","",IF($B$10=0,"",$T120/$B$10))</f>
        <v>1795.5</v>
      </c>
      <c r="V120" s="17">
        <f aca="false">IF($P120="","",IF($B$10=0,"",$P120/$B$10))</f>
        <v>1995</v>
      </c>
      <c r="W120" s="19">
        <f aca="false">IF($T120="",1000000000000000,$T120)</f>
        <v>71820</v>
      </c>
      <c r="XFC120" s="3"/>
    </row>
    <row r="121" s="6" collapsed="false" customFormat="true" customHeight="true" hidden="false" ht="28.5" outlineLevel="0">
      <c r="A121" s="16">
        <f aca="false">IF($T121="","",1+COUNTIF($W$15:$W$884,"&lt;"&amp;W121))</f>
        <v>105</v>
      </c>
      <c r="B121" s="16" t="s">
        <v>12</v>
      </c>
      <c r="C121" s="16" t="s">
        <v>266</v>
      </c>
      <c r="D121" s="21" t="s">
        <v>64</v>
      </c>
      <c r="E121" s="16" t="s">
        <v>26</v>
      </c>
      <c r="F121" s="16" t="s">
        <v>267</v>
      </c>
      <c r="G121" s="17">
        <v>1995</v>
      </c>
      <c r="H121" s="17"/>
      <c r="I121" s="17"/>
      <c r="J121" s="17">
        <v>1975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/>
      </c>
      <c r="N121" s="17">
        <f aca="false">IF($J121="","",$J121+$K121)</f>
        <v>1975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C121" s="3"/>
    </row>
    <row r="122" s="5" collapsed="false" customFormat="true" customHeight="true" hidden="false" ht="28.5" outlineLevel="0">
      <c r="A122" s="16">
        <f aca="false">IF($T122="","",1+COUNTIF($W$15:$W$884,"&lt;"&amp;W122))</f>
        <v>105</v>
      </c>
      <c r="B122" s="16" t="s">
        <v>10</v>
      </c>
      <c r="C122" s="16" t="s">
        <v>268</v>
      </c>
      <c r="D122" s="20" t="s">
        <v>54</v>
      </c>
      <c r="E122" s="16" t="s">
        <v>26</v>
      </c>
      <c r="F122" s="16" t="s">
        <v>269</v>
      </c>
      <c r="G122" s="17">
        <v>1995</v>
      </c>
      <c r="H122" s="17"/>
      <c r="I122" s="17"/>
      <c r="J122" s="17">
        <v>1985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1985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IF($T123="","",1+COUNTIF($W$15:$W$884,"&lt;"&amp;W123))</f>
        <v>105</v>
      </c>
      <c r="B123" s="16" t="s">
        <v>10</v>
      </c>
      <c r="C123" s="16" t="s">
        <v>270</v>
      </c>
      <c r="D123" s="20" t="s">
        <v>54</v>
      </c>
      <c r="E123" s="16" t="s">
        <v>26</v>
      </c>
      <c r="F123" s="16" t="s">
        <v>271</v>
      </c>
      <c r="G123" s="17">
        <v>1995</v>
      </c>
      <c r="H123" s="17"/>
      <c r="I123" s="17"/>
      <c r="J123" s="17">
        <v>1989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B123" s="6"/>
      <c r="XFC123" s="3"/>
    </row>
    <row r="124" s="22" collapsed="false" customFormat="true" customHeight="true" hidden="false" ht="28.5" outlineLevel="0">
      <c r="A124" s="16">
        <f aca="false">IF($T124="","",1+COUNTIF($W$15:$W$884,"&lt;"&amp;W124))</f>
        <v>105</v>
      </c>
      <c r="B124" s="16" t="s">
        <v>6</v>
      </c>
      <c r="C124" s="16" t="s">
        <v>272</v>
      </c>
      <c r="D124" s="16" t="s">
        <v>64</v>
      </c>
      <c r="E124" s="16" t="s">
        <v>26</v>
      </c>
      <c r="F124" s="16" t="s">
        <v>273</v>
      </c>
      <c r="G124" s="17">
        <v>1995</v>
      </c>
      <c r="H124" s="17"/>
      <c r="I124" s="17"/>
      <c r="J124" s="17">
        <v>1994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1994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IF($T125="","",1+COUNTIF($W$15:$W$884,"&lt;"&amp;W125))</f>
        <v>105</v>
      </c>
      <c r="B125" s="16" t="s">
        <v>6</v>
      </c>
      <c r="C125" s="16" t="s">
        <v>274</v>
      </c>
      <c r="D125" s="16" t="s">
        <v>64</v>
      </c>
      <c r="E125" s="16" t="s">
        <v>26</v>
      </c>
      <c r="F125" s="16" t="s">
        <v>275</v>
      </c>
      <c r="G125" s="17">
        <v>1995</v>
      </c>
      <c r="H125" s="17"/>
      <c r="I125" s="17"/>
      <c r="J125" s="17">
        <v>1994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1994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IF($T126="","",1+COUNTIF($W$15:$W$884,"&lt;"&amp;W126))</f>
        <v>105</v>
      </c>
      <c r="B126" s="16" t="s">
        <v>6</v>
      </c>
      <c r="C126" s="16" t="s">
        <v>276</v>
      </c>
      <c r="D126" s="20" t="s">
        <v>54</v>
      </c>
      <c r="E126" s="16" t="s">
        <v>51</v>
      </c>
      <c r="F126" s="16" t="s">
        <v>277</v>
      </c>
      <c r="G126" s="17">
        <v>1995</v>
      </c>
      <c r="H126" s="17"/>
      <c r="I126" s="17"/>
      <c r="J126" s="17">
        <v>1995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IF($T127="","",1+COUNTIF($W$15:$W$884,"&lt;"&amp;W127))</f>
        <v>105</v>
      </c>
      <c r="B127" s="16" t="s">
        <v>6</v>
      </c>
      <c r="C127" s="16" t="s">
        <v>278</v>
      </c>
      <c r="D127" s="16" t="s">
        <v>45</v>
      </c>
      <c r="E127" s="16" t="s">
        <v>26</v>
      </c>
      <c r="F127" s="16" t="s">
        <v>279</v>
      </c>
      <c r="G127" s="17">
        <v>1995</v>
      </c>
      <c r="H127" s="17"/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79,800원</v>
      </c>
      <c r="P127" s="17">
        <f aca="false">IF($B$10=0,"",IFERROR(IF($B$4&gt;0,IF($L127="",1/0,$L127*$B$4),0)+IF($B$5&gt;0,IF($M127="",1/0,$M127*$B$5),0)+IF($B$6&gt;0,IF($N127="",1/0,$N127*$B$6),0),""))</f>
        <v>79800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7980</v>
      </c>
      <c r="T127" s="17">
        <f aca="false">IF($P127="","",$P127-$S127)</f>
        <v>71820</v>
      </c>
      <c r="U127" s="17">
        <f aca="false">IF($T127="","",IF($B$10=0,"",$T127/$B$10))</f>
        <v>1795.5</v>
      </c>
      <c r="V127" s="17">
        <f aca="false">IF($P127="","",IF($B$10=0,"",$P127/$B$10))</f>
        <v>1995</v>
      </c>
      <c r="W127" s="19">
        <f aca="false">IF($T127="",1000000000000000,$T127)</f>
        <v>71820</v>
      </c>
      <c r="XFB127" s="6"/>
      <c r="XFC127" s="3"/>
    </row>
    <row r="128" s="6" collapsed="false" customFormat="true" customHeight="true" hidden="false" ht="28.5" outlineLevel="0">
      <c r="A128" s="16">
        <f aca="false">IF($T128="","",1+COUNTIF($W$15:$W$884,"&lt;"&amp;W128))</f>
        <v>105</v>
      </c>
      <c r="B128" s="16" t="s">
        <v>8</v>
      </c>
      <c r="C128" s="16" t="s">
        <v>280</v>
      </c>
      <c r="D128" s="21" t="s">
        <v>57</v>
      </c>
      <c r="E128" s="16" t="s">
        <v>26</v>
      </c>
      <c r="F128" s="16" t="s">
        <v>281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79,800원</v>
      </c>
      <c r="P128" s="17">
        <f aca="false">IF($B$10=0,"",IFERROR(IF($B$4&gt;0,IF($L128="",1/0,$L128*$B$4),0)+IF($B$5&gt;0,IF($M128="",1/0,$M128*$B$5),0)+IF($B$6&gt;0,IF($N128="",1/0,$N128*$B$6),0),""))</f>
        <v>79800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7980</v>
      </c>
      <c r="T128" s="17">
        <f aca="false">IF($P128="","",$P128-$S128)</f>
        <v>71820</v>
      </c>
      <c r="U128" s="17">
        <f aca="false">IF($T128="","",IF($B$10=0,"",$T128/$B$10))</f>
        <v>1795.5</v>
      </c>
      <c r="V128" s="17">
        <f aca="false">IF($P128="","",IF($B$10=0,"",$P128/$B$10))</f>
        <v>1995</v>
      </c>
      <c r="W128" s="19">
        <f aca="false">IF($T128="",1000000000000000,$T128)</f>
        <v>71820</v>
      </c>
      <c r="XFC128" s="3"/>
    </row>
    <row r="129" s="6" collapsed="false" customFormat="true" customHeight="true" hidden="false" ht="28.5" outlineLevel="0">
      <c r="A129" s="16">
        <f aca="false">IF($T129="","",1+COUNTIF($W$15:$W$884,"&lt;"&amp;W129))</f>
        <v>105</v>
      </c>
      <c r="B129" s="16" t="s">
        <v>6</v>
      </c>
      <c r="C129" s="16" t="s">
        <v>284</v>
      </c>
      <c r="D129" s="20" t="s">
        <v>54</v>
      </c>
      <c r="E129" s="16" t="s">
        <v>26</v>
      </c>
      <c r="F129" s="16" t="s">
        <v>285</v>
      </c>
      <c r="G129" s="17">
        <v>1995</v>
      </c>
      <c r="H129" s="17"/>
      <c r="I129" s="17"/>
      <c r="J129" s="17">
        <v>1996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1996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79,800원</v>
      </c>
      <c r="P129" s="17">
        <f aca="false">IF($B$10=0,"",IFERROR(IF($B$4&gt;0,IF($L129="",1/0,$L129*$B$4),0)+IF($B$5&gt;0,IF($M129="",1/0,$M129*$B$5),0)+IF($B$6&gt;0,IF($N129="",1/0,$N129*$B$6),0),""))</f>
        <v>79800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7980</v>
      </c>
      <c r="T129" s="17">
        <f aca="false">IF($P129="","",$P129-$S129)</f>
        <v>71820</v>
      </c>
      <c r="U129" s="17">
        <f aca="false">IF($T129="","",IF($B$10=0,"",$T129/$B$10))</f>
        <v>1795.5</v>
      </c>
      <c r="V129" s="17">
        <f aca="false">IF($P129="","",IF($B$10=0,"",$P129/$B$10))</f>
        <v>1995</v>
      </c>
      <c r="W129" s="19">
        <f aca="false">IF($T129="",1000000000000000,$T129)</f>
        <v>71820</v>
      </c>
      <c r="XFC129" s="3"/>
    </row>
    <row r="130" s="22" collapsed="false" customFormat="true" customHeight="true" hidden="false" ht="28.5" outlineLevel="0">
      <c r="A130" s="16">
        <f aca="false">IF($T130="","",1+COUNTIF($W$15:$W$884,"&lt;"&amp;W130))</f>
        <v>116</v>
      </c>
      <c r="B130" s="16" t="s">
        <v>14</v>
      </c>
      <c r="C130" s="16" t="s">
        <v>286</v>
      </c>
      <c r="D130" s="21" t="s">
        <v>57</v>
      </c>
      <c r="E130" s="16" t="s">
        <v>51</v>
      </c>
      <c r="F130" s="16" t="s">
        <v>287</v>
      </c>
      <c r="G130" s="17">
        <v>2018</v>
      </c>
      <c r="H130" s="17"/>
      <c r="I130" s="17"/>
      <c r="J130" s="17">
        <v>2018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2018</v>
      </c>
      <c r="M130" s="17">
        <f aca="false">IF($H130="","",$H130+$K130)</f>
        <v/>
      </c>
      <c r="N130" s="17">
        <f aca="false">IF($J130="","",$J130+$K130)</f>
        <v>2018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80,720원</v>
      </c>
      <c r="P130" s="17">
        <f aca="false">IF($B$10=0,"",IFERROR(IF($B$4&gt;0,IF($L130="",1/0,$L130*$B$4),0)+IF($B$5&gt;0,IF($M130="",1/0,$M130*$B$5),0)+IF($B$6&gt;0,IF($N130="",1/0,$N130*$B$6),0),""))</f>
        <v>80720</v>
      </c>
      <c r="Q130" s="17" t="s">
        <v>47</v>
      </c>
      <c r="R130" s="18">
        <f aca="false">IF($P130="","",IF($Q130="Y",IFERROR(VLOOKUP($B130,$C$4:$D$13,2,FALSE()),0),0))</f>
        <v>0.11</v>
      </c>
      <c r="S130" s="17">
        <f aca="false">IF($P130="","",ROUNDDOWN($P130*$R130,0))</f>
        <v>8879</v>
      </c>
      <c r="T130" s="17">
        <f aca="false">IF($P130="","",$P130-$S130)</f>
        <v>71841</v>
      </c>
      <c r="U130" s="17">
        <f aca="false">IF($T130="","",IF($B$10=0,"",$T130/$B$10))</f>
        <v>1796.025</v>
      </c>
      <c r="V130" s="17">
        <f aca="false">IF($P130="","",IF($B$10=0,"",$P130/$B$10))</f>
        <v>2018</v>
      </c>
      <c r="W130" s="19">
        <f aca="false">IF($T130="",1000000000000000,$T130)</f>
        <v>71841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IF($T131="","",1+COUNTIF($W$15:$W$884,"&lt;"&amp;W131))</f>
        <v>117</v>
      </c>
      <c r="B131" s="16" t="s">
        <v>6</v>
      </c>
      <c r="C131" s="16" t="s">
        <v>288</v>
      </c>
      <c r="D131" s="16" t="s">
        <v>64</v>
      </c>
      <c r="E131" s="16" t="s">
        <v>26</v>
      </c>
      <c r="F131" s="16" t="s">
        <v>289</v>
      </c>
      <c r="G131" s="17">
        <v>1996</v>
      </c>
      <c r="H131" s="17"/>
      <c r="I131" s="17"/>
      <c r="J131" s="17">
        <v>1996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1996</v>
      </c>
      <c r="M131" s="17">
        <f aca="false">IF($H131="","",$H131+$K131)</f>
        <v/>
      </c>
      <c r="N131" s="17">
        <f aca="false">IF($J131="","",$J131+$K131)</f>
        <v>1996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79,840원</v>
      </c>
      <c r="P131" s="17">
        <f aca="false">IF($B$10=0,"",IFERROR(IF($B$4&gt;0,IF($L131="",1/0,$L131*$B$4),0)+IF($B$5&gt;0,IF($M131="",1/0,$M131*$B$5),0)+IF($B$6&gt;0,IF($N131="",1/0,$N131*$B$6),0),""))</f>
        <v>79840</v>
      </c>
      <c r="Q131" s="17" t="s">
        <v>47</v>
      </c>
      <c r="R131" s="18">
        <f aca="false">IF($P131="","",IF($Q131="Y",IFERROR(VLOOKUP($B131,$C$4:$D$13,2,FALSE()),0),0))</f>
        <v>0.1</v>
      </c>
      <c r="S131" s="17">
        <f aca="false">IF($P131="","",ROUNDDOWN($P131*$R131,0))</f>
        <v>7984</v>
      </c>
      <c r="T131" s="17">
        <f aca="false">IF($P131="","",$P131-$S131)</f>
        <v>71856</v>
      </c>
      <c r="U131" s="17">
        <f aca="false">IF($T131="","",IF($B$10=0,"",$T131/$B$10))</f>
        <v>1796.4</v>
      </c>
      <c r="V131" s="17">
        <f aca="false">IF($P131="","",IF($B$10=0,"",$P131/$B$10))</f>
        <v>1996</v>
      </c>
      <c r="W131" s="19">
        <f aca="false">IF($T131="",1000000000000000,$T131)</f>
        <v>71856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IF($T132="","",1+COUNTIF($W$15:$W$884,"&lt;"&amp;W132))</f>
        <v>117</v>
      </c>
      <c r="B132" s="16" t="s">
        <v>12</v>
      </c>
      <c r="C132" s="16" t="s">
        <v>290</v>
      </c>
      <c r="D132" s="20" t="s">
        <v>54</v>
      </c>
      <c r="E132" s="16" t="s">
        <v>26</v>
      </c>
      <c r="F132" s="16" t="s">
        <v>291</v>
      </c>
      <c r="G132" s="17">
        <v>1996</v>
      </c>
      <c r="H132" s="17"/>
      <c r="I132" s="17"/>
      <c r="J132" s="17">
        <v>1998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1998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79,840원</v>
      </c>
      <c r="P132" s="17">
        <f aca="false">IF($B$10=0,"",IFERROR(IF($B$4&gt;0,IF($L132="",1/0,$L132*$B$4),0)+IF($B$5&gt;0,IF($M132="",1/0,$M132*$B$5),0)+IF($B$6&gt;0,IF($N132="",1/0,$N132*$B$6),0),""))</f>
        <v>79840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7984</v>
      </c>
      <c r="T132" s="17">
        <f aca="false">IF($P132="","",$P132-$S132)</f>
        <v>71856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71856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IF($T133="","",1+COUNTIF($W$15:$W$884,"&lt;"&amp;W133))</f>
        <v>119</v>
      </c>
      <c r="B133" s="16" t="s">
        <v>14</v>
      </c>
      <c r="C133" s="16" t="s">
        <v>292</v>
      </c>
      <c r="D133" s="20" t="s">
        <v>54</v>
      </c>
      <c r="E133" s="16" t="s">
        <v>51</v>
      </c>
      <c r="F133" s="16" t="s">
        <v>293</v>
      </c>
      <c r="G133" s="17">
        <v>2019</v>
      </c>
      <c r="H133" s="17"/>
      <c r="I133" s="17"/>
      <c r="J133" s="17">
        <v>2019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2019</v>
      </c>
      <c r="M133" s="17">
        <f aca="false">IF($H133="","",$H133+$K133)</f>
        <v/>
      </c>
      <c r="N133" s="17">
        <f aca="false">IF($J133="","",$J133+$K133)</f>
        <v>2019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80,760원</v>
      </c>
      <c r="P133" s="17">
        <f aca="false">IF($B$10=0,"",IFERROR(IF($B$4&gt;0,IF($L133="",1/0,$L133*$B$4),0)+IF($B$5&gt;0,IF($M133="",1/0,$M133*$B$5),0)+IF($B$6&gt;0,IF($N133="",1/0,$N133*$B$6),0),""))</f>
        <v>80760</v>
      </c>
      <c r="Q133" s="17" t="s">
        <v>47</v>
      </c>
      <c r="R133" s="18">
        <f aca="false">IF($P133="","",IF($Q133="Y",IFERROR(VLOOKUP($B133,$C$4:$D$13,2,FALSE()),0),0))</f>
        <v>0.11</v>
      </c>
      <c r="S133" s="17">
        <f aca="false">IF($P133="","",ROUNDDOWN($P133*$R133,0))</f>
        <v>8883</v>
      </c>
      <c r="T133" s="17">
        <f aca="false">IF($P133="","",$P133-$S133)</f>
        <v>71877</v>
      </c>
      <c r="U133" s="17">
        <f aca="false">IF($T133="","",IF($B$10=0,"",$T133/$B$10))</f>
        <v>1796.925</v>
      </c>
      <c r="V133" s="17">
        <f aca="false">IF($P133="","",IF($B$10=0,"",$P133/$B$10))</f>
        <v>2019</v>
      </c>
      <c r="W133" s="19">
        <f aca="false">IF($T133="",1000000000000000,$T133)</f>
        <v>71877</v>
      </c>
      <c r="XFB133" s="6"/>
      <c r="XFC133" s="3"/>
    </row>
    <row r="134" s="22" collapsed="false" customFormat="true" customHeight="true" hidden="false" ht="28.5" outlineLevel="0">
      <c r="A134" s="16">
        <f aca="false">IF($T134="","",1+COUNTIF($W$15:$W$884,"&lt;"&amp;W134))</f>
        <v>120</v>
      </c>
      <c r="B134" s="16" t="s">
        <v>12</v>
      </c>
      <c r="C134" s="16" t="s">
        <v>294</v>
      </c>
      <c r="D134" s="20" t="s">
        <v>54</v>
      </c>
      <c r="E134" s="16" t="s">
        <v>26</v>
      </c>
      <c r="F134" s="16" t="s">
        <v>295</v>
      </c>
      <c r="G134" s="17">
        <v>1997</v>
      </c>
      <c r="H134" s="17">
        <v>2459</v>
      </c>
      <c r="I134" s="17"/>
      <c r="J134" s="17">
        <v>1997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1997</v>
      </c>
      <c r="M134" s="17">
        <f aca="false">IF($H134="","",$H134+$K134)</f>
        <v>2459</v>
      </c>
      <c r="N134" s="17">
        <f aca="false">IF($J134="","",$J134+$K134)</f>
        <v>1997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79,880원</v>
      </c>
      <c r="P134" s="17">
        <f aca="false">IF($B$10=0,"",IFERROR(IF($B$4&gt;0,IF($L134="",1/0,$L134*$B$4),0)+IF($B$5&gt;0,IF($M134="",1/0,$M134*$B$5),0)+IF($B$6&gt;0,IF($N134="",1/0,$N134*$B$6),0),""))</f>
        <v>79880</v>
      </c>
      <c r="Q134" s="17" t="s">
        <v>47</v>
      </c>
      <c r="R134" s="18">
        <f aca="false">IF($P134="","",IF($Q134="Y",IFERROR(VLOOKUP($B134,$C$4:$D$13,2,FALSE()),0),0))</f>
        <v>0.1</v>
      </c>
      <c r="S134" s="17">
        <f aca="false">IF($P134="","",ROUNDDOWN($P134*$R134,0))</f>
        <v>7988</v>
      </c>
      <c r="T134" s="17">
        <f aca="false">IF($P134="","",$P134-$S134)</f>
        <v>71892</v>
      </c>
      <c r="U134" s="17">
        <f aca="false">IF($T134="","",IF($B$10=0,"",$T134/$B$10))</f>
        <v>1797.3</v>
      </c>
      <c r="V134" s="17">
        <f aca="false">IF($P134="","",IF($B$10=0,"",$P134/$B$10))</f>
        <v>1997</v>
      </c>
      <c r="W134" s="19">
        <f aca="false">IF($T134="",1000000000000000,$T134)</f>
        <v>71892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IF($T135="","",1+COUNTIF($W$15:$W$884,"&lt;"&amp;W135))</f>
        <v>120</v>
      </c>
      <c r="B135" s="16" t="s">
        <v>6</v>
      </c>
      <c r="C135" s="16" t="s">
        <v>296</v>
      </c>
      <c r="D135" s="16" t="s">
        <v>45</v>
      </c>
      <c r="E135" s="16" t="s">
        <v>51</v>
      </c>
      <c r="F135" s="16" t="s">
        <v>297</v>
      </c>
      <c r="G135" s="17">
        <v>1997</v>
      </c>
      <c r="H135" s="17"/>
      <c r="I135" s="17"/>
      <c r="J135" s="17">
        <v>1987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/>
      </c>
      <c r="N135" s="17">
        <f aca="false">IF($J135="","",$J135+$K135)</f>
        <v>1987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79,880원</v>
      </c>
      <c r="P135" s="17">
        <f aca="false">IF($B$10=0,"",IFERROR(IF($B$4&gt;0,IF($L135="",1/0,$L135*$B$4),0)+IF($B$5&gt;0,IF($M135="",1/0,$M135*$B$5),0)+IF($B$6&gt;0,IF($N135="",1/0,$N135*$B$6),0),""))</f>
        <v>79880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7988</v>
      </c>
      <c r="T135" s="17">
        <f aca="false">IF($P135="","",$P135-$S135)</f>
        <v>71892</v>
      </c>
      <c r="U135" s="17">
        <f aca="false">IF($T135="","",IF($B$10=0,"",$T135/$B$10))</f>
        <v>1797.3</v>
      </c>
      <c r="V135" s="17">
        <f aca="false">IF($P135="","",IF($B$10=0,"",$P135/$B$10))</f>
        <v>1997</v>
      </c>
      <c r="W135" s="19">
        <f aca="false">IF($T135="",1000000000000000,$T135)</f>
        <v>71892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IF($T136="","",1+COUNTIF($W$15:$W$884,"&lt;"&amp;W136))</f>
        <v>120</v>
      </c>
      <c r="B136" s="16" t="s">
        <v>12</v>
      </c>
      <c r="C136" s="16" t="s">
        <v>298</v>
      </c>
      <c r="D136" s="21" t="s">
        <v>64</v>
      </c>
      <c r="E136" s="16" t="s">
        <v>26</v>
      </c>
      <c r="F136" s="16" t="s">
        <v>299</v>
      </c>
      <c r="G136" s="17">
        <v>1997</v>
      </c>
      <c r="H136" s="17"/>
      <c r="I136" s="17"/>
      <c r="J136" s="17">
        <v>1997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1997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79,880원</v>
      </c>
      <c r="P136" s="17">
        <f aca="false">IF($B$10=0,"",IFERROR(IF($B$4&gt;0,IF($L136="",1/0,$L136*$B$4),0)+IF($B$5&gt;0,IF($M136="",1/0,$M136*$B$5),0)+IF($B$6&gt;0,IF($N136="",1/0,$N136*$B$6),0),""))</f>
        <v>79880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7988</v>
      </c>
      <c r="T136" s="17">
        <f aca="false">IF($P136="","",$P136-$S136)</f>
        <v>71892</v>
      </c>
      <c r="U136" s="17">
        <f aca="false">IF($T136="","",IF($B$10=0,"",$T136/$B$10))</f>
        <v>1797.3</v>
      </c>
      <c r="V136" s="17">
        <f aca="false">IF($P136="","",IF($B$10=0,"",$P136/$B$10))</f>
        <v>1997</v>
      </c>
      <c r="W136" s="19">
        <f aca="false">IF($T136="",1000000000000000,$T136)</f>
        <v>71892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IF($T137="","",1+COUNTIF($W$15:$W$884,"&lt;"&amp;W137))</f>
        <v>120</v>
      </c>
      <c r="B137" s="16" t="s">
        <v>10</v>
      </c>
      <c r="C137" s="16" t="s">
        <v>300</v>
      </c>
      <c r="D137" s="16" t="s">
        <v>64</v>
      </c>
      <c r="E137" s="16" t="s">
        <v>51</v>
      </c>
      <c r="F137" s="16" t="s">
        <v>301</v>
      </c>
      <c r="G137" s="17">
        <v>1997</v>
      </c>
      <c r="H137" s="17"/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79,880원</v>
      </c>
      <c r="P137" s="17">
        <f aca="false">IF($B$10=0,"",IFERROR(IF($B$4&gt;0,IF($L137="",1/0,$L137*$B$4),0)+IF($B$5&gt;0,IF($M137="",1/0,$M137*$B$5),0)+IF($B$6&gt;0,IF($N137="",1/0,$N137*$B$6),0),""))</f>
        <v>79880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7988</v>
      </c>
      <c r="T137" s="17">
        <f aca="false">IF($P137="","",$P137-$S137)</f>
        <v>71892</v>
      </c>
      <c r="U137" s="17">
        <f aca="false">IF($T137="","",IF($B$10=0,"",$T137/$B$10))</f>
        <v>1797.3</v>
      </c>
      <c r="V137" s="17">
        <f aca="false">IF($P137="","",IF($B$10=0,"",$P137/$B$10))</f>
        <v>1997</v>
      </c>
      <c r="W137" s="19">
        <f aca="false">IF($T137="",1000000000000000,$T137)</f>
        <v>71892</v>
      </c>
      <c r="XFB137" s="6"/>
      <c r="XFC137" s="3"/>
    </row>
    <row r="138" s="6" collapsed="false" customFormat="true" customHeight="true" hidden="false" ht="28.5" outlineLevel="0">
      <c r="A138" s="16">
        <f aca="false">IF($T138="","",1+COUNTIF($W$15:$W$884,"&lt;"&amp;W138))</f>
        <v>124</v>
      </c>
      <c r="B138" s="16" t="s">
        <v>10</v>
      </c>
      <c r="C138" s="16" t="s">
        <v>83</v>
      </c>
      <c r="D138" s="20" t="s">
        <v>54</v>
      </c>
      <c r="E138" s="16" t="s">
        <v>26</v>
      </c>
      <c r="F138" s="16" t="s">
        <v>302</v>
      </c>
      <c r="G138" s="17">
        <v>1998</v>
      </c>
      <c r="H138" s="17"/>
      <c r="I138" s="17"/>
      <c r="J138" s="17">
        <v>1988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1998</v>
      </c>
      <c r="M138" s="17">
        <f aca="false">IF($H138="","",$H138+$K138)</f>
        <v/>
      </c>
      <c r="N138" s="17">
        <f aca="false">IF($J138="","",$J138+$K138)</f>
        <v>1988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79,920원</v>
      </c>
      <c r="P138" s="17">
        <f aca="false">IF($B$10=0,"",IFERROR(IF($B$4&gt;0,IF($L138="",1/0,$L138*$B$4),0)+IF($B$5&gt;0,IF($M138="",1/0,$M138*$B$5),0)+IF($B$6&gt;0,IF($N138="",1/0,$N138*$B$6),0),""))</f>
        <v>79920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7992</v>
      </c>
      <c r="T138" s="17">
        <f aca="false">IF($P138="","",$P138-$S138)</f>
        <v>71928</v>
      </c>
      <c r="U138" s="17">
        <f aca="false">IF($T138="","",IF($B$10=0,"",$T138/$B$10))</f>
        <v>1798.2</v>
      </c>
      <c r="V138" s="17">
        <f aca="false">IF($P138="","",IF($B$10=0,"",$P138/$B$10))</f>
        <v>1998</v>
      </c>
      <c r="W138" s="19">
        <f aca="false">IF($T138="",1000000000000000,$T138)</f>
        <v>71928</v>
      </c>
      <c r="XFC138" s="3"/>
    </row>
    <row r="139" s="5" collapsed="false" customFormat="true" customHeight="true" hidden="false" ht="28.5" outlineLevel="0">
      <c r="A139" s="16">
        <f aca="false">IF($T139="","",1+COUNTIF($W$15:$W$884,"&lt;"&amp;W139))</f>
        <v>124</v>
      </c>
      <c r="B139" s="16" t="s">
        <v>6</v>
      </c>
      <c r="C139" s="16" t="s">
        <v>303</v>
      </c>
      <c r="D139" s="16" t="s">
        <v>77</v>
      </c>
      <c r="E139" s="16" t="s">
        <v>51</v>
      </c>
      <c r="F139" s="16" t="s">
        <v>304</v>
      </c>
      <c r="G139" s="17">
        <v>1998</v>
      </c>
      <c r="H139" s="17"/>
      <c r="I139" s="17"/>
      <c r="J139" s="17">
        <v>1989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79,920원</v>
      </c>
      <c r="P139" s="17">
        <f aca="false">IF($B$10=0,"",IFERROR(IF($B$4&gt;0,IF($L139="",1/0,$L139*$B$4),0)+IF($B$5&gt;0,IF($M139="",1/0,$M139*$B$5),0)+IF($B$6&gt;0,IF($N139="",1/0,$N139*$B$6),0),""))</f>
        <v>79920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7992</v>
      </c>
      <c r="T139" s="17">
        <f aca="false">IF($P139="","",$P139-$S139)</f>
        <v>71928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71928</v>
      </c>
      <c r="XFB139" s="6"/>
      <c r="XFC139" s="3"/>
    </row>
    <row r="140" s="6" collapsed="false" customFormat="true" customHeight="true" hidden="false" ht="28.5" outlineLevel="0">
      <c r="A140" s="16">
        <f aca="false">IF($T140="","",1+COUNTIF($W$15:$W$884,"&lt;"&amp;W140))</f>
        <v>124</v>
      </c>
      <c r="B140" s="16" t="s">
        <v>10</v>
      </c>
      <c r="C140" s="16" t="s">
        <v>305</v>
      </c>
      <c r="D140" s="16" t="s">
        <v>122</v>
      </c>
      <c r="E140" s="16" t="s">
        <v>26</v>
      </c>
      <c r="F140" s="16" t="s">
        <v>306</v>
      </c>
      <c r="G140" s="17">
        <v>1998</v>
      </c>
      <c r="H140" s="17"/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C140" s="3"/>
    </row>
    <row r="141" s="5" collapsed="false" customFormat="true" customHeight="true" hidden="false" ht="28.5" outlineLevel="0">
      <c r="A141" s="16">
        <f aca="false">IF($T141="","",1+COUNTIF($W$15:$W$884,"&lt;"&amp;W141))</f>
        <v>124</v>
      </c>
      <c r="B141" s="16" t="s">
        <v>6</v>
      </c>
      <c r="C141" s="16" t="s">
        <v>307</v>
      </c>
      <c r="D141" s="16" t="s">
        <v>122</v>
      </c>
      <c r="E141" s="16" t="s">
        <v>26</v>
      </c>
      <c r="F141" s="16" t="s">
        <v>308</v>
      </c>
      <c r="G141" s="17">
        <v>1998</v>
      </c>
      <c r="H141" s="17"/>
      <c r="I141" s="17"/>
      <c r="J141" s="17">
        <v>1992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1992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IF($T142="","",1+COUNTIF($W$15:$W$884,"&lt;"&amp;W142))</f>
        <v>124</v>
      </c>
      <c r="B142" s="16" t="s">
        <v>6</v>
      </c>
      <c r="C142" s="16" t="s">
        <v>309</v>
      </c>
      <c r="D142" s="20" t="s">
        <v>54</v>
      </c>
      <c r="E142" s="16" t="s">
        <v>51</v>
      </c>
      <c r="F142" s="16" t="s">
        <v>310</v>
      </c>
      <c r="G142" s="17">
        <v>1998</v>
      </c>
      <c r="H142" s="17"/>
      <c r="I142" s="17"/>
      <c r="J142" s="17">
        <v>1997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1997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IF($T143="","",1+COUNTIF($W$15:$W$884,"&lt;"&amp;W143))</f>
        <v>124</v>
      </c>
      <c r="B143" s="16" t="s">
        <v>6</v>
      </c>
      <c r="C143" s="16" t="s">
        <v>311</v>
      </c>
      <c r="D143" s="21" t="s">
        <v>57</v>
      </c>
      <c r="E143" s="16" t="s">
        <v>51</v>
      </c>
      <c r="F143" s="16" t="s">
        <v>312</v>
      </c>
      <c r="G143" s="17">
        <v>1998</v>
      </c>
      <c r="H143" s="17"/>
      <c r="I143" s="17"/>
      <c r="J143" s="17">
        <v>1998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IF($T144="","",1+COUNTIF($W$15:$W$884,"&lt;"&amp;W144))</f>
        <v>124</v>
      </c>
      <c r="B144" s="16" t="s">
        <v>6</v>
      </c>
      <c r="C144" s="16" t="s">
        <v>313</v>
      </c>
      <c r="D144" s="16" t="s">
        <v>45</v>
      </c>
      <c r="E144" s="16" t="s">
        <v>26</v>
      </c>
      <c r="F144" s="16" t="s">
        <v>314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IF($T145="","",1+COUNTIF($W$15:$W$884,"&lt;"&amp;W145))</f>
        <v>124</v>
      </c>
      <c r="B145" s="16" t="s">
        <v>6</v>
      </c>
      <c r="C145" s="16" t="s">
        <v>315</v>
      </c>
      <c r="D145" s="20" t="s">
        <v>54</v>
      </c>
      <c r="E145" s="16" t="s">
        <v>26</v>
      </c>
      <c r="F145" s="16" t="s">
        <v>316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IF($T146="","",1+COUNTIF($W$15:$W$884,"&lt;"&amp;W146))</f>
        <v>124</v>
      </c>
      <c r="B146" s="16" t="s">
        <v>6</v>
      </c>
      <c r="C146" s="16" t="s">
        <v>317</v>
      </c>
      <c r="D146" s="16" t="s">
        <v>64</v>
      </c>
      <c r="E146" s="16" t="s">
        <v>26</v>
      </c>
      <c r="F146" s="16" t="s">
        <v>318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C146" s="3"/>
    </row>
    <row r="147" s="5" collapsed="false" customFormat="true" customHeight="true" hidden="false" ht="28.5" outlineLevel="0">
      <c r="A147" s="16">
        <f aca="false">IF($T147="","",1+COUNTIF($W$15:$W$884,"&lt;"&amp;W147))</f>
        <v>124</v>
      </c>
      <c r="B147" s="16" t="s">
        <v>12</v>
      </c>
      <c r="C147" s="16" t="s">
        <v>319</v>
      </c>
      <c r="D147" s="21" t="s">
        <v>64</v>
      </c>
      <c r="E147" s="16" t="s">
        <v>26</v>
      </c>
      <c r="F147" s="16" t="s">
        <v>320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79,920원</v>
      </c>
      <c r="P147" s="17">
        <f aca="false">IF($B$10=0,"",IFERROR(IF($B$4&gt;0,IF($L147="",1/0,$L147*$B$4),0)+IF($B$5&gt;0,IF($M147="",1/0,$M147*$B$5),0)+IF($B$6&gt;0,IF($N147="",1/0,$N147*$B$6),0),""))</f>
        <v>79920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7992</v>
      </c>
      <c r="T147" s="17">
        <f aca="false">IF($P147="","",$P147-$S147)</f>
        <v>71928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71928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IF($T148="","",1+COUNTIF($W$15:$W$884,"&lt;"&amp;W148))</f>
        <v>124</v>
      </c>
      <c r="B148" s="16" t="s">
        <v>10</v>
      </c>
      <c r="C148" s="16" t="s">
        <v>321</v>
      </c>
      <c r="D148" s="16" t="s">
        <v>45</v>
      </c>
      <c r="E148" s="16" t="s">
        <v>51</v>
      </c>
      <c r="F148" s="16" t="s">
        <v>322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79,920원</v>
      </c>
      <c r="P148" s="17">
        <f aca="false">IF($B$10=0,"",IFERROR(IF($B$4&gt;0,IF($L148="",1/0,$L148*$B$4),0)+IF($B$5&gt;0,IF($M148="",1/0,$M148*$B$5),0)+IF($B$6&gt;0,IF($N148="",1/0,$N148*$B$6),0),""))</f>
        <v>79920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7992</v>
      </c>
      <c r="T148" s="17">
        <f aca="false">IF($P148="","",$P148-$S148)</f>
        <v>71928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71928</v>
      </c>
      <c r="XFC148" s="3"/>
    </row>
    <row r="149" s="5" collapsed="false" customFormat="true" customHeight="true" hidden="false" ht="28.5" outlineLevel="0">
      <c r="A149" s="16">
        <f aca="false">IF($T149="","",1+COUNTIF($W$15:$W$884,"&lt;"&amp;W149))</f>
        <v>124</v>
      </c>
      <c r="B149" s="16" t="s">
        <v>10</v>
      </c>
      <c r="C149" s="16" t="s">
        <v>323</v>
      </c>
      <c r="D149" s="20" t="s">
        <v>54</v>
      </c>
      <c r="E149" s="16" t="s">
        <v>26</v>
      </c>
      <c r="F149" s="16" t="s">
        <v>324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79,920원</v>
      </c>
      <c r="P149" s="17">
        <f aca="false">IF($B$10=0,"",IFERROR(IF($B$4&gt;0,IF($L149="",1/0,$L149*$B$4),0)+IF($B$5&gt;0,IF($M149="",1/0,$M149*$B$5),0)+IF($B$6&gt;0,IF($N149="",1/0,$N149*$B$6),0),""))</f>
        <v>79920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7992</v>
      </c>
      <c r="T149" s="17">
        <f aca="false">IF($P149="","",$P149-$S149)</f>
        <v>71928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71928</v>
      </c>
      <c r="XFB149" s="6"/>
      <c r="XFC149" s="3"/>
    </row>
    <row r="150" s="6" collapsed="false" customFormat="true" customHeight="true" hidden="false" ht="28.5" outlineLevel="0">
      <c r="A150" s="16">
        <f aca="false">IF($T150="","",1+COUNTIF($W$15:$W$884,"&lt;"&amp;W150))</f>
        <v>136</v>
      </c>
      <c r="B150" s="16" t="s">
        <v>10</v>
      </c>
      <c r="C150" s="16" t="s">
        <v>327</v>
      </c>
      <c r="D150" s="16" t="s">
        <v>64</v>
      </c>
      <c r="E150" s="16" t="s">
        <v>26</v>
      </c>
      <c r="F150" s="16" t="s">
        <v>328</v>
      </c>
      <c r="G150" s="17">
        <v>1999</v>
      </c>
      <c r="H150" s="17">
        <v>2399</v>
      </c>
      <c r="I150" s="17"/>
      <c r="J150" s="17">
        <v>1989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1999</v>
      </c>
      <c r="M150" s="17">
        <f aca="false">IF($H150="","",$H150+$K150)</f>
        <v>2399</v>
      </c>
      <c r="N150" s="17">
        <f aca="false">IF($J150="","",$J150+$K150)</f>
        <v>1989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79,960원</v>
      </c>
      <c r="P150" s="17">
        <f aca="false">IF($B$10=0,"",IFERROR(IF($B$4&gt;0,IF($L150="",1/0,$L150*$B$4),0)+IF($B$5&gt;0,IF($M150="",1/0,$M150*$B$5),0)+IF($B$6&gt;0,IF($N150="",1/0,$N150*$B$6),0),""))</f>
        <v>79960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7996</v>
      </c>
      <c r="T150" s="17">
        <f aca="false">IF($P150="","",$P150-$S150)</f>
        <v>71964</v>
      </c>
      <c r="U150" s="17">
        <f aca="false">IF($T150="","",IF($B$10=0,"",$T150/$B$10))</f>
        <v>1799.1</v>
      </c>
      <c r="V150" s="17">
        <f aca="false">IF($P150="","",IF($B$10=0,"",$P150/$B$10))</f>
        <v>1999</v>
      </c>
      <c r="W150" s="19">
        <f aca="false">IF($T150="",1000000000000000,$T150)</f>
        <v>71964</v>
      </c>
      <c r="XFC150" s="3"/>
    </row>
    <row r="151" s="5" collapsed="false" customFormat="true" customHeight="true" hidden="false" ht="28.5" outlineLevel="0">
      <c r="A151" s="16">
        <f aca="false">IF($T151="","",1+COUNTIF($W$15:$W$884,"&lt;"&amp;W151))</f>
        <v>136</v>
      </c>
      <c r="B151" s="16" t="s">
        <v>6</v>
      </c>
      <c r="C151" s="16" t="s">
        <v>325</v>
      </c>
      <c r="D151" s="20" t="s">
        <v>54</v>
      </c>
      <c r="E151" s="16" t="s">
        <v>26</v>
      </c>
      <c r="F151" s="16" t="s">
        <v>326</v>
      </c>
      <c r="G151" s="17">
        <v>1999</v>
      </c>
      <c r="H151" s="17">
        <v>2399</v>
      </c>
      <c r="I151" s="17"/>
      <c r="J151" s="17">
        <v>1999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2399</v>
      </c>
      <c r="N151" s="17">
        <f aca="false">IF($J151="","",$J151+$K151)</f>
        <v>1999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B151" s="6"/>
      <c r="XFC151" s="3"/>
    </row>
    <row r="152" s="22" collapsed="false" customFormat="true" customHeight="true" hidden="false" ht="28.5" outlineLevel="0">
      <c r="A152" s="16">
        <f aca="false">IF($T152="","",1+COUNTIF($W$15:$W$884,"&lt;"&amp;W152))</f>
        <v>136</v>
      </c>
      <c r="B152" s="16" t="s">
        <v>10</v>
      </c>
      <c r="C152" s="16" t="s">
        <v>329</v>
      </c>
      <c r="D152" s="16" t="s">
        <v>45</v>
      </c>
      <c r="E152" s="16" t="s">
        <v>26</v>
      </c>
      <c r="F152" s="16" t="s">
        <v>330</v>
      </c>
      <c r="G152" s="17">
        <v>1999</v>
      </c>
      <c r="H152" s="17">
        <v>2429</v>
      </c>
      <c r="I152" s="17"/>
      <c r="J152" s="17">
        <v>1989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2429</v>
      </c>
      <c r="N152" s="17">
        <f aca="false">IF($J152="","",$J152+$K152)</f>
        <v>1989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IF($T153="","",1+COUNTIF($W$15:$W$884,"&lt;"&amp;W153))</f>
        <v>136</v>
      </c>
      <c r="B153" s="16" t="s">
        <v>8</v>
      </c>
      <c r="C153" s="16" t="s">
        <v>331</v>
      </c>
      <c r="D153" s="20" t="s">
        <v>54</v>
      </c>
      <c r="E153" s="16" t="s">
        <v>26</v>
      </c>
      <c r="F153" s="16" t="s">
        <v>332</v>
      </c>
      <c r="G153" s="17">
        <v>1999</v>
      </c>
      <c r="H153" s="17">
        <v>2499</v>
      </c>
      <c r="I153" s="17"/>
      <c r="J153" s="17">
        <v>1990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2499</v>
      </c>
      <c r="N153" s="17">
        <f aca="false">IF($J153="","",$J153+$K153)</f>
        <v>1990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B153" s="6"/>
      <c r="XFC153" s="3"/>
    </row>
    <row r="154" s="22" collapsed="false" customFormat="true" customHeight="true" hidden="false" ht="28.5" outlineLevel="0">
      <c r="A154" s="16">
        <f aca="false">IF($T154="","",1+COUNTIF($W$15:$W$884,"&lt;"&amp;W154))</f>
        <v>136</v>
      </c>
      <c r="B154" s="16" t="s">
        <v>10</v>
      </c>
      <c r="C154" s="16" t="s">
        <v>335</v>
      </c>
      <c r="D154" s="16" t="s">
        <v>45</v>
      </c>
      <c r="E154" s="16" t="s">
        <v>51</v>
      </c>
      <c r="F154" s="16" t="s">
        <v>336</v>
      </c>
      <c r="G154" s="17">
        <v>1999</v>
      </c>
      <c r="H154" s="17"/>
      <c r="I154" s="17"/>
      <c r="J154" s="17">
        <v>1989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/>
      </c>
      <c r="N154" s="17">
        <f aca="false">IF($J154="","",$J154+$K154)</f>
        <v>1989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B154" s="6"/>
      <c r="XFC154" s="3"/>
    </row>
    <row r="155" s="6" collapsed="false" customFormat="true" customHeight="true" hidden="false" ht="28.5" outlineLevel="0">
      <c r="A155" s="16">
        <f aca="false">IF($T155="","",1+COUNTIF($W$15:$W$884,"&lt;"&amp;W155))</f>
        <v>136</v>
      </c>
      <c r="B155" s="16" t="s">
        <v>10</v>
      </c>
      <c r="C155" s="16" t="s">
        <v>282</v>
      </c>
      <c r="D155" s="20" t="s">
        <v>54</v>
      </c>
      <c r="E155" s="16" t="s">
        <v>51</v>
      </c>
      <c r="F155" s="16" t="s">
        <v>283</v>
      </c>
      <c r="G155" s="17">
        <v>1999</v>
      </c>
      <c r="H155" s="17"/>
      <c r="I155" s="17"/>
      <c r="J155" s="17">
        <v>1995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/>
      </c>
      <c r="N155" s="17">
        <f aca="false">IF($J155="","",$J155+$K155)</f>
        <v>1995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C155" s="3"/>
    </row>
    <row r="156" s="5" collapsed="false" customFormat="true" customHeight="true" hidden="false" ht="28.5" outlineLevel="0">
      <c r="A156" s="16">
        <f aca="false">IF($T156="","",1+COUNTIF($W$15:$W$884,"&lt;"&amp;W156))</f>
        <v>136</v>
      </c>
      <c r="B156" s="16" t="s">
        <v>10</v>
      </c>
      <c r="C156" s="16" t="s">
        <v>284</v>
      </c>
      <c r="D156" s="20" t="s">
        <v>54</v>
      </c>
      <c r="E156" s="16" t="s">
        <v>51</v>
      </c>
      <c r="F156" s="16" t="s">
        <v>337</v>
      </c>
      <c r="G156" s="17">
        <v>1999</v>
      </c>
      <c r="H156" s="17"/>
      <c r="I156" s="17"/>
      <c r="J156" s="17">
        <v>1998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1998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IF($T157="","",1+COUNTIF($W$15:$W$884,"&lt;"&amp;W157))</f>
        <v>136</v>
      </c>
      <c r="B157" s="16" t="s">
        <v>6</v>
      </c>
      <c r="C157" s="16" t="s">
        <v>338</v>
      </c>
      <c r="D157" s="21" t="s">
        <v>57</v>
      </c>
      <c r="E157" s="16" t="s">
        <v>26</v>
      </c>
      <c r="F157" s="16" t="s">
        <v>339</v>
      </c>
      <c r="G157" s="17">
        <v>1999</v>
      </c>
      <c r="H157" s="17"/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IF($T158="","",1+COUNTIF($W$15:$W$884,"&lt;"&amp;W158))</f>
        <v>136</v>
      </c>
      <c r="B158" s="16" t="s">
        <v>6</v>
      </c>
      <c r="C158" s="16" t="s">
        <v>340</v>
      </c>
      <c r="D158" s="16" t="s">
        <v>64</v>
      </c>
      <c r="E158" s="16" t="s">
        <v>26</v>
      </c>
      <c r="F158" s="16" t="s">
        <v>341</v>
      </c>
      <c r="G158" s="17">
        <v>1999</v>
      </c>
      <c r="H158" s="17"/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IF($T159="","",1+COUNTIF($W$15:$W$884,"&lt;"&amp;W159))</f>
        <v>136</v>
      </c>
      <c r="B159" s="16" t="s">
        <v>8</v>
      </c>
      <c r="C159" s="16" t="s">
        <v>342</v>
      </c>
      <c r="D159" s="16" t="s">
        <v>64</v>
      </c>
      <c r="E159" s="16" t="s">
        <v>51</v>
      </c>
      <c r="F159" s="16" t="s">
        <v>343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IF($T160="","",1+COUNTIF($W$15:$W$884,"&lt;"&amp;W160))</f>
        <v>136</v>
      </c>
      <c r="B160" s="16" t="s">
        <v>8</v>
      </c>
      <c r="C160" s="16" t="s">
        <v>344</v>
      </c>
      <c r="D160" s="16" t="s">
        <v>45</v>
      </c>
      <c r="E160" s="16" t="s">
        <v>51</v>
      </c>
      <c r="F160" s="16" t="s">
        <v>345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IF($T161="","",1+COUNTIF($W$15:$W$884,"&lt;"&amp;W161))</f>
        <v>136</v>
      </c>
      <c r="B161" s="16" t="s">
        <v>8</v>
      </c>
      <c r="C161" s="16" t="s">
        <v>346</v>
      </c>
      <c r="D161" s="16" t="s">
        <v>45</v>
      </c>
      <c r="E161" s="16" t="s">
        <v>26</v>
      </c>
      <c r="F161" s="16" t="s">
        <v>347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C161" s="3"/>
    </row>
    <row r="162" s="22" collapsed="false" customFormat="true" customHeight="true" hidden="false" ht="28.5" outlineLevel="0">
      <c r="A162" s="16">
        <f aca="false">IF($T162="","",1+COUNTIF($W$15:$W$884,"&lt;"&amp;W162))</f>
        <v>136</v>
      </c>
      <c r="B162" s="16" t="s">
        <v>8</v>
      </c>
      <c r="C162" s="16" t="s">
        <v>348</v>
      </c>
      <c r="D162" s="16" t="s">
        <v>45</v>
      </c>
      <c r="E162" s="16" t="s">
        <v>26</v>
      </c>
      <c r="F162" s="16" t="s">
        <v>349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IF($T163="","",1+COUNTIF($W$15:$W$884,"&lt;"&amp;W163))</f>
        <v>136</v>
      </c>
      <c r="B163" s="16" t="s">
        <v>10</v>
      </c>
      <c r="C163" s="16" t="s">
        <v>350</v>
      </c>
      <c r="D163" s="16" t="s">
        <v>64</v>
      </c>
      <c r="E163" s="16" t="s">
        <v>26</v>
      </c>
      <c r="F163" s="16" t="s">
        <v>351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IF($T164="","",1+COUNTIF($W$15:$W$884,"&lt;"&amp;W164))</f>
        <v>136</v>
      </c>
      <c r="B164" s="16" t="s">
        <v>12</v>
      </c>
      <c r="C164" s="16" t="s">
        <v>352</v>
      </c>
      <c r="D164" s="21" t="s">
        <v>64</v>
      </c>
      <c r="E164" s="16" t="s">
        <v>26</v>
      </c>
      <c r="F164" s="16" t="s">
        <v>353</v>
      </c>
      <c r="G164" s="17">
        <v>1999</v>
      </c>
      <c r="H164" s="17"/>
      <c r="I164" s="17"/>
      <c r="J164" s="17">
        <v>2059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2059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79,960원</v>
      </c>
      <c r="P164" s="17">
        <f aca="false">IF($B$10=0,"",IFERROR(IF($B$4&gt;0,IF($L164="",1/0,$L164*$B$4),0)+IF($B$5&gt;0,IF($M164="",1/0,$M164*$B$5),0)+IF($B$6&gt;0,IF($N164="",1/0,$N164*$B$6),0),""))</f>
        <v>79960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7996</v>
      </c>
      <c r="T164" s="17">
        <f aca="false">IF($P164="","",$P164-$S164)</f>
        <v>71964</v>
      </c>
      <c r="U164" s="17">
        <f aca="false">IF($T164="","",IF($B$10=0,"",$T164/$B$10))</f>
        <v>1799.1</v>
      </c>
      <c r="V164" s="17">
        <f aca="false">IF($P164="","",IF($B$10=0,"",$P164/$B$10))</f>
        <v>1999</v>
      </c>
      <c r="W164" s="19">
        <f aca="false">IF($T164="",1000000000000000,$T164)</f>
        <v>71964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IF($T165="","",1+COUNTIF($W$15:$W$884,"&lt;"&amp;W165))</f>
        <v>151</v>
      </c>
      <c r="B165" s="16" t="s">
        <v>14</v>
      </c>
      <c r="C165" s="16" t="s">
        <v>356</v>
      </c>
      <c r="D165" s="21" t="s">
        <v>57</v>
      </c>
      <c r="E165" s="16" t="s">
        <v>51</v>
      </c>
      <c r="F165" s="16" t="s">
        <v>357</v>
      </c>
      <c r="G165" s="17">
        <v>2025</v>
      </c>
      <c r="H165" s="17"/>
      <c r="I165" s="17"/>
      <c r="J165" s="17">
        <v>2025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2025</v>
      </c>
      <c r="M165" s="17">
        <f aca="false">IF($H165="","",$H165+$K165)</f>
        <v/>
      </c>
      <c r="N165" s="17">
        <f aca="false">IF($J165="","",$J165+$K165)</f>
        <v>2025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81,000원</v>
      </c>
      <c r="P165" s="17">
        <f aca="false">IF($B$10=0,"",IFERROR(IF($B$4&gt;0,IF($L165="",1/0,$L165*$B$4),0)+IF($B$5&gt;0,IF($M165="",1/0,$M165*$B$5),0)+IF($B$6&gt;0,IF($N165="",1/0,$N165*$B$6),0),""))</f>
        <v>81000</v>
      </c>
      <c r="Q165" s="17" t="s">
        <v>47</v>
      </c>
      <c r="R165" s="18">
        <f aca="false">IF($P165="","",IF($Q165="Y",IFERROR(VLOOKUP($B165,$C$4:$D$13,2,FALSE()),0),0))</f>
        <v>0.11</v>
      </c>
      <c r="S165" s="17">
        <f aca="false">IF($P165="","",ROUNDDOWN($P165*$R165,0))</f>
        <v>8910</v>
      </c>
      <c r="T165" s="17">
        <f aca="false">IF($P165="","",$P165-$S165)</f>
        <v>72090</v>
      </c>
      <c r="U165" s="17">
        <f aca="false">IF($T165="","",IF($B$10=0,"",$T165/$B$10))</f>
        <v>1802.25</v>
      </c>
      <c r="V165" s="17">
        <f aca="false">IF($P165="","",IF($B$10=0,"",$P165/$B$10))</f>
        <v>2025</v>
      </c>
      <c r="W165" s="19">
        <f aca="false">IF($T165="",1000000000000000,$T165)</f>
        <v>72090</v>
      </c>
      <c r="XFC165" s="3"/>
    </row>
    <row r="166" s="6" collapsed="false" customFormat="true" customHeight="true" hidden="false" ht="28.5" outlineLevel="0">
      <c r="A166" s="16">
        <f aca="false">IF($T166="","",1+COUNTIF($W$15:$W$884,"&lt;"&amp;W166))</f>
        <v>152</v>
      </c>
      <c r="B166" s="16" t="s">
        <v>14</v>
      </c>
      <c r="C166" s="16" t="s">
        <v>358</v>
      </c>
      <c r="D166" s="16" t="s">
        <v>45</v>
      </c>
      <c r="E166" s="16" t="s">
        <v>51</v>
      </c>
      <c r="F166" s="16" t="s">
        <v>359</v>
      </c>
      <c r="G166" s="17">
        <v>2027</v>
      </c>
      <c r="H166" s="17"/>
      <c r="I166" s="17"/>
      <c r="J166" s="17">
        <v>2017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2027</v>
      </c>
      <c r="M166" s="17">
        <f aca="false">IF($H166="","",$H166+$K166)</f>
        <v/>
      </c>
      <c r="N166" s="17">
        <f aca="false">IF($J166="","",$J166+$K166)</f>
        <v>2017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81,080원</v>
      </c>
      <c r="P166" s="17">
        <f aca="false">IF($B$10=0,"",IFERROR(IF($B$4&gt;0,IF($L166="",1/0,$L166*$B$4),0)+IF($B$5&gt;0,IF($M166="",1/0,$M166*$B$5),0)+IF($B$6&gt;0,IF($N166="",1/0,$N166*$B$6),0),""))</f>
        <v>81080</v>
      </c>
      <c r="Q166" s="17" t="s">
        <v>47</v>
      </c>
      <c r="R166" s="18">
        <f aca="false">IF($P166="","",IF($Q166="Y",IFERROR(VLOOKUP($B166,$C$4:$D$13,2,FALSE()),0),0))</f>
        <v>0.11</v>
      </c>
      <c r="S166" s="17">
        <f aca="false">IF($P166="","",ROUNDDOWN($P166*$R166,0))</f>
        <v>8918</v>
      </c>
      <c r="T166" s="17">
        <f aca="false">IF($P166="","",$P166-$S166)</f>
        <v>72162</v>
      </c>
      <c r="U166" s="17">
        <f aca="false">IF($T166="","",IF($B$10=0,"",$T166/$B$10))</f>
        <v>1804.05</v>
      </c>
      <c r="V166" s="17">
        <f aca="false">IF($P166="","",IF($B$10=0,"",$P166/$B$10))</f>
        <v>2027</v>
      </c>
      <c r="W166" s="19">
        <f aca="false">IF($T166="",1000000000000000,$T166)</f>
        <v>72162</v>
      </c>
      <c r="XFC166" s="3"/>
    </row>
    <row r="167" s="5" collapsed="false" customFormat="true" customHeight="true" hidden="false" ht="28.5" outlineLevel="0">
      <c r="A167" s="16">
        <f aca="false">IF($T167="","",1+COUNTIF($W$15:$W$884,"&lt;"&amp;W167))</f>
        <v>152</v>
      </c>
      <c r="B167" s="16" t="s">
        <v>14</v>
      </c>
      <c r="C167" s="16" t="s">
        <v>360</v>
      </c>
      <c r="D167" s="21" t="s">
        <v>57</v>
      </c>
      <c r="E167" s="16" t="s">
        <v>26</v>
      </c>
      <c r="F167" s="16" t="s">
        <v>361</v>
      </c>
      <c r="G167" s="17">
        <v>2027</v>
      </c>
      <c r="H167" s="17"/>
      <c r="I167" s="17"/>
      <c r="J167" s="17">
        <v>2017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2027</v>
      </c>
      <c r="M167" s="17">
        <f aca="false">IF($H167="","",$H167+$K167)</f>
        <v/>
      </c>
      <c r="N167" s="17">
        <f aca="false">IF($J167="","",$J167+$K167)</f>
        <v>2017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81,080원</v>
      </c>
      <c r="P167" s="17">
        <f aca="false">IF($B$10=0,"",IFERROR(IF($B$4&gt;0,IF($L167="",1/0,$L167*$B$4),0)+IF($B$5&gt;0,IF($M167="",1/0,$M167*$B$5),0)+IF($B$6&gt;0,IF($N167="",1/0,$N167*$B$6),0),""))</f>
        <v>81080</v>
      </c>
      <c r="Q167" s="17" t="s">
        <v>47</v>
      </c>
      <c r="R167" s="18">
        <f aca="false">IF($P167="","",IF($Q167="Y",IFERROR(VLOOKUP($B167,$C$4:$D$13,2,FALSE()),0),0))</f>
        <v>0.11</v>
      </c>
      <c r="S167" s="17">
        <f aca="false">IF($P167="","",ROUNDDOWN($P167*$R167,0))</f>
        <v>8918</v>
      </c>
      <c r="T167" s="17">
        <f aca="false">IF($P167="","",$P167-$S167)</f>
        <v>72162</v>
      </c>
      <c r="U167" s="17">
        <f aca="false">IF($T167="","",IF($B$10=0,"",$T167/$B$10))</f>
        <v>1804.05</v>
      </c>
      <c r="V167" s="17">
        <f aca="false">IF($P167="","",IF($B$10=0,"",$P167/$B$10))</f>
        <v>2027</v>
      </c>
      <c r="W167" s="19">
        <f aca="false">IF($T167="",1000000000000000,$T167)</f>
        <v>72162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IF($T168="","",1+COUNTIF($W$15:$W$884,"&lt;"&amp;W168))</f>
        <v>154</v>
      </c>
      <c r="B168" s="16" t="s">
        <v>8</v>
      </c>
      <c r="C168" s="16" t="s">
        <v>362</v>
      </c>
      <c r="D168" s="16" t="s">
        <v>64</v>
      </c>
      <c r="E168" s="16" t="s">
        <v>26</v>
      </c>
      <c r="F168" s="16" t="s">
        <v>363</v>
      </c>
      <c r="G168" s="17">
        <v>2005</v>
      </c>
      <c r="H168" s="17"/>
      <c r="I168" s="17"/>
      <c r="J168" s="17">
        <v>1995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2005</v>
      </c>
      <c r="M168" s="17">
        <f aca="false">IF($H168="","",$H168+$K168)</f>
        <v/>
      </c>
      <c r="N168" s="17">
        <f aca="false">IF($J168="","",$J168+$K168)</f>
        <v>1995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80,200원</v>
      </c>
      <c r="P168" s="17">
        <f aca="false">IF($B$10=0,"",IFERROR(IF($B$4&gt;0,IF($L168="",1/0,$L168*$B$4),0)+IF($B$5&gt;0,IF($M168="",1/0,$M168*$B$5),0)+IF($B$6&gt;0,IF($N168="",1/0,$N168*$B$6),0),""))</f>
        <v>80200</v>
      </c>
      <c r="Q168" s="17" t="s">
        <v>47</v>
      </c>
      <c r="R168" s="18">
        <f aca="false">IF($P168="","",IF($Q168="Y",IFERROR(VLOOKUP($B168,$C$4:$D$13,2,FALSE()),0),0))</f>
        <v>0.1</v>
      </c>
      <c r="S168" s="17">
        <f aca="false">IF($P168="","",ROUNDDOWN($P168*$R168,0))</f>
        <v>8020</v>
      </c>
      <c r="T168" s="17">
        <f aca="false">IF($P168="","",$P168-$S168)</f>
        <v>72180</v>
      </c>
      <c r="U168" s="17">
        <f aca="false">IF($T168="","",IF($B$10=0,"",$T168/$B$10))</f>
        <v>1804.5</v>
      </c>
      <c r="V168" s="17">
        <f aca="false">IF($P168="","",IF($B$10=0,"",$P168/$B$10))</f>
        <v>2005</v>
      </c>
      <c r="W168" s="19">
        <f aca="false">IF($T168="",1000000000000000,$T168)</f>
        <v>72180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IF($T169="","",1+COUNTIF($W$15:$W$884,"&lt;"&amp;W169))</f>
        <v>154</v>
      </c>
      <c r="B169" s="16" t="s">
        <v>12</v>
      </c>
      <c r="C169" s="16" t="s">
        <v>364</v>
      </c>
      <c r="D169" s="20" t="s">
        <v>54</v>
      </c>
      <c r="E169" s="16" t="s">
        <v>51</v>
      </c>
      <c r="F169" s="16" t="s">
        <v>365</v>
      </c>
      <c r="G169" s="17">
        <v>2005</v>
      </c>
      <c r="H169" s="17"/>
      <c r="I169" s="17"/>
      <c r="J169" s="17">
        <v>2005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2005</v>
      </c>
      <c r="M169" s="17">
        <f aca="false">IF($H169="","",$H169+$K169)</f>
        <v/>
      </c>
      <c r="N169" s="17">
        <f aca="false">IF($J169="","",$J169+$K169)</f>
        <v>2005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80,200원</v>
      </c>
      <c r="P169" s="17">
        <f aca="false">IF($B$10=0,"",IFERROR(IF($B$4&gt;0,IF($L169="",1/0,$L169*$B$4),0)+IF($B$5&gt;0,IF($M169="",1/0,$M169*$B$5),0)+IF($B$6&gt;0,IF($N169="",1/0,$N169*$B$6),0),""))</f>
        <v>80200</v>
      </c>
      <c r="Q169" s="17" t="s">
        <v>47</v>
      </c>
      <c r="R169" s="18">
        <f aca="false">IF($P169="","",IF($Q169="Y",IFERROR(VLOOKUP($B169,$C$4:$D$13,2,FALSE()),0),0))</f>
        <v>0.1</v>
      </c>
      <c r="S169" s="17">
        <f aca="false">IF($P169="","",ROUNDDOWN($P169*$R169,0))</f>
        <v>8020</v>
      </c>
      <c r="T169" s="17">
        <f aca="false">IF($P169="","",$P169-$S169)</f>
        <v>72180</v>
      </c>
      <c r="U169" s="17">
        <f aca="false">IF($T169="","",IF($B$10=0,"",$T169/$B$10))</f>
        <v>1804.5</v>
      </c>
      <c r="V169" s="17">
        <f aca="false">IF($P169="","",IF($B$10=0,"",$P169/$B$10))</f>
        <v>2005</v>
      </c>
      <c r="W169" s="19">
        <f aca="false">IF($T169="",1000000000000000,$T169)</f>
        <v>72180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IF($T170="","",1+COUNTIF($W$15:$W$884,"&lt;"&amp;W170))</f>
        <v>156</v>
      </c>
      <c r="B170" s="16" t="s">
        <v>14</v>
      </c>
      <c r="C170" s="16" t="s">
        <v>366</v>
      </c>
      <c r="D170" s="21" t="s">
        <v>57</v>
      </c>
      <c r="E170" s="16" t="s">
        <v>51</v>
      </c>
      <c r="F170" s="16" t="s">
        <v>367</v>
      </c>
      <c r="G170" s="17">
        <v>2028</v>
      </c>
      <c r="H170" s="17"/>
      <c r="I170" s="17"/>
      <c r="J170" s="17">
        <v>2019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2028</v>
      </c>
      <c r="M170" s="17">
        <f aca="false">IF($H170="","",$H170+$K170)</f>
        <v/>
      </c>
      <c r="N170" s="17">
        <f aca="false">IF($J170="","",$J170+$K170)</f>
        <v>2019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81,120원</v>
      </c>
      <c r="P170" s="17">
        <f aca="false">IF($B$10=0,"",IFERROR(IF($B$4&gt;0,IF($L170="",1/0,$L170*$B$4),0)+IF($B$5&gt;0,IF($M170="",1/0,$M170*$B$5),0)+IF($B$6&gt;0,IF($N170="",1/0,$N170*$B$6),0),""))</f>
        <v>81120</v>
      </c>
      <c r="Q170" s="17" t="s">
        <v>47</v>
      </c>
      <c r="R170" s="18">
        <f aca="false">IF($P170="","",IF($Q170="Y",IFERROR(VLOOKUP($B170,$C$4:$D$13,2,FALSE()),0),0))</f>
        <v>0.11</v>
      </c>
      <c r="S170" s="17">
        <f aca="false">IF($P170="","",ROUNDDOWN($P170*$R170,0))</f>
        <v>8923</v>
      </c>
      <c r="T170" s="17">
        <f aca="false">IF($P170="","",$P170-$S170)</f>
        <v>72197</v>
      </c>
      <c r="U170" s="17">
        <f aca="false">IF($T170="","",IF($B$10=0,"",$T170/$B$10))</f>
        <v>1804.925</v>
      </c>
      <c r="V170" s="17">
        <f aca="false">IF($P170="","",IF($B$10=0,"",$P170/$B$10))</f>
        <v>2028</v>
      </c>
      <c r="W170" s="19">
        <f aca="false">IF($T170="",1000000000000000,$T170)</f>
        <v>72197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IF($T171="","",1+COUNTIF($W$15:$W$884,"&lt;"&amp;W171))</f>
        <v>157</v>
      </c>
      <c r="B171" s="16" t="s">
        <v>10</v>
      </c>
      <c r="C171" s="16" t="s">
        <v>368</v>
      </c>
      <c r="D171" s="16" t="s">
        <v>64</v>
      </c>
      <c r="E171" s="16" t="s">
        <v>51</v>
      </c>
      <c r="F171" s="16" t="s">
        <v>369</v>
      </c>
      <c r="G171" s="17">
        <v>2006</v>
      </c>
      <c r="H171" s="17"/>
      <c r="I171" s="17"/>
      <c r="J171" s="17">
        <v>1999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2006</v>
      </c>
      <c r="M171" s="17">
        <f aca="false">IF($H171="","",$H171+$K171)</f>
        <v/>
      </c>
      <c r="N171" s="17">
        <f aca="false">IF($J171="","",$J171+$K171)</f>
        <v>1999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80,240원</v>
      </c>
      <c r="P171" s="17">
        <f aca="false">IF($B$10=0,"",IFERROR(IF($B$4&gt;0,IF($L171="",1/0,$L171*$B$4),0)+IF($B$5&gt;0,IF($M171="",1/0,$M171*$B$5),0)+IF($B$6&gt;0,IF($N171="",1/0,$N171*$B$6),0),""))</f>
        <v>80240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8024</v>
      </c>
      <c r="T171" s="17">
        <f aca="false">IF($P171="","",$P171-$S171)</f>
        <v>72216</v>
      </c>
      <c r="U171" s="17">
        <f aca="false">IF($T171="","",IF($B$10=0,"",$T171/$B$10))</f>
        <v>1805.4</v>
      </c>
      <c r="V171" s="17">
        <f aca="false">IF($P171="","",IF($B$10=0,"",$P171/$B$10))</f>
        <v>2006</v>
      </c>
      <c r="W171" s="19">
        <f aca="false">IF($T171="",1000000000000000,$T171)</f>
        <v>72216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IF($T172="","",1+COUNTIF($W$15:$W$884,"&lt;"&amp;W172))</f>
        <v>158</v>
      </c>
      <c r="B172" s="16" t="s">
        <v>14</v>
      </c>
      <c r="C172" s="16" t="s">
        <v>370</v>
      </c>
      <c r="D172" s="16" t="s">
        <v>64</v>
      </c>
      <c r="E172" s="16" t="s">
        <v>51</v>
      </c>
      <c r="F172" s="16" t="s">
        <v>371</v>
      </c>
      <c r="G172" s="17">
        <v>2029</v>
      </c>
      <c r="H172" s="17"/>
      <c r="I172" s="17"/>
      <c r="J172" s="17">
        <v>2029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2029</v>
      </c>
      <c r="M172" s="17">
        <f aca="false">IF($H172="","",$H172+$K172)</f>
        <v/>
      </c>
      <c r="N172" s="17">
        <f aca="false">IF($J172="","",$J172+$K172)</f>
        <v>2029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81,160원</v>
      </c>
      <c r="P172" s="17">
        <f aca="false">IF($B$10=0,"",IFERROR(IF($B$4&gt;0,IF($L172="",1/0,$L172*$B$4),0)+IF($B$5&gt;0,IF($M172="",1/0,$M172*$B$5),0)+IF($B$6&gt;0,IF($N172="",1/0,$N172*$B$6),0),""))</f>
        <v>81160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8927</v>
      </c>
      <c r="T172" s="17">
        <f aca="false">IF($P172="","",$P172-$S172)</f>
        <v>72233</v>
      </c>
      <c r="U172" s="17">
        <f aca="false">IF($T172="","",IF($B$10=0,"",$T172/$B$10))</f>
        <v>1805.825</v>
      </c>
      <c r="V172" s="17">
        <f aca="false">IF($P172="","",IF($B$10=0,"",$P172/$B$10))</f>
        <v>2029</v>
      </c>
      <c r="W172" s="19">
        <f aca="false">IF($T172="",1000000000000000,$T172)</f>
        <v>72233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IF($T173="","",1+COUNTIF($W$15:$W$884,"&lt;"&amp;W173))</f>
        <v>159</v>
      </c>
      <c r="B173" s="16" t="s">
        <v>14</v>
      </c>
      <c r="C173" s="16" t="s">
        <v>372</v>
      </c>
      <c r="D173" s="16" t="s">
        <v>64</v>
      </c>
      <c r="E173" s="16" t="s">
        <v>51</v>
      </c>
      <c r="F173" s="16" t="s">
        <v>373</v>
      </c>
      <c r="G173" s="17">
        <v>2030</v>
      </c>
      <c r="H173" s="17"/>
      <c r="I173" s="17"/>
      <c r="J173" s="17">
        <v>1995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2030</v>
      </c>
      <c r="M173" s="17">
        <f aca="false">IF($H173="","",$H173+$K173)</f>
        <v/>
      </c>
      <c r="N173" s="17">
        <f aca="false">IF($J173="","",$J173+$K173)</f>
        <v>1995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81,200원</v>
      </c>
      <c r="P173" s="17">
        <f aca="false">IF($B$10=0,"",IFERROR(IF($B$4&gt;0,IF($L173="",1/0,$L173*$B$4),0)+IF($B$5&gt;0,IF($M173="",1/0,$M173*$B$5),0)+IF($B$6&gt;0,IF($N173="",1/0,$N173*$B$6),0),""))</f>
        <v>81200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8932</v>
      </c>
      <c r="T173" s="17">
        <f aca="false">IF($P173="","",$P173-$S173)</f>
        <v>72268</v>
      </c>
      <c r="U173" s="17">
        <f aca="false">IF($T173="","",IF($B$10=0,"",$T173/$B$10))</f>
        <v>1806.7</v>
      </c>
      <c r="V173" s="17">
        <f aca="false">IF($P173="","",IF($B$10=0,"",$P173/$B$10))</f>
        <v>2030</v>
      </c>
      <c r="W173" s="19">
        <f aca="false">IF($T173="",1000000000000000,$T173)</f>
        <v>72268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IF($T174="","",1+COUNTIF($W$15:$W$884,"&lt;"&amp;W174))</f>
        <v>159</v>
      </c>
      <c r="B174" s="16" t="s">
        <v>14</v>
      </c>
      <c r="C174" s="16" t="s">
        <v>374</v>
      </c>
      <c r="D174" s="16" t="s">
        <v>64</v>
      </c>
      <c r="E174" s="16" t="s">
        <v>51</v>
      </c>
      <c r="F174" s="16" t="s">
        <v>375</v>
      </c>
      <c r="G174" s="17">
        <v>2030</v>
      </c>
      <c r="H174" s="17"/>
      <c r="I174" s="17"/>
      <c r="J174" s="17">
        <v>2030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2030</v>
      </c>
      <c r="M174" s="17">
        <f aca="false">IF($H174="","",$H174+$K174)</f>
        <v/>
      </c>
      <c r="N174" s="17">
        <f aca="false">IF($J174="","",$J174+$K174)</f>
        <v>2030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81,200원</v>
      </c>
      <c r="P174" s="17">
        <f aca="false">IF($B$10=0,"",IFERROR(IF($B$4&gt;0,IF($L174="",1/0,$L174*$B$4),0)+IF($B$5&gt;0,IF($M174="",1/0,$M174*$B$5),0)+IF($B$6&gt;0,IF($N174="",1/0,$N174*$B$6),0),""))</f>
        <v>81200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8932</v>
      </c>
      <c r="T174" s="17">
        <f aca="false">IF($P174="","",$P174-$S174)</f>
        <v>72268</v>
      </c>
      <c r="U174" s="17">
        <f aca="false">IF($T174="","",IF($B$10=0,"",$T174/$B$10))</f>
        <v>1806.7</v>
      </c>
      <c r="V174" s="17">
        <f aca="false">IF($P174="","",IF($B$10=0,"",$P174/$B$10))</f>
        <v>2030</v>
      </c>
      <c r="W174" s="19">
        <f aca="false">IF($T174="",1000000000000000,$T174)</f>
        <v>72268</v>
      </c>
      <c r="XFC174" s="3"/>
    </row>
    <row r="175" s="6" collapsed="false" customFormat="true" customHeight="true" hidden="false" ht="28.5" outlineLevel="0">
      <c r="A175" s="16">
        <f aca="false">IF($T175="","",1+COUNTIF($W$15:$W$884,"&lt;"&amp;W175))</f>
        <v>161</v>
      </c>
      <c r="B175" s="16" t="s">
        <v>6</v>
      </c>
      <c r="C175" s="16" t="s">
        <v>376</v>
      </c>
      <c r="D175" s="21" t="s">
        <v>57</v>
      </c>
      <c r="E175" s="16" t="s">
        <v>26</v>
      </c>
      <c r="F175" s="16" t="s">
        <v>377</v>
      </c>
      <c r="G175" s="17">
        <v>2008</v>
      </c>
      <c r="H175" s="17">
        <v>2404</v>
      </c>
      <c r="I175" s="17"/>
      <c r="J175" s="17">
        <v>1999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2008</v>
      </c>
      <c r="M175" s="17">
        <f aca="false">IF($H175="","",$H175+$K175)</f>
        <v>2404</v>
      </c>
      <c r="N175" s="17">
        <f aca="false">IF($J175="","",$J175+$K175)</f>
        <v>1999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80,320원</v>
      </c>
      <c r="P175" s="17">
        <f aca="false">IF($B$10=0,"",IFERROR(IF($B$4&gt;0,IF($L175="",1/0,$L175*$B$4),0)+IF($B$5&gt;0,IF($M175="",1/0,$M175*$B$5),0)+IF($B$6&gt;0,IF($N175="",1/0,$N175*$B$6),0),""))</f>
        <v>80320</v>
      </c>
      <c r="Q175" s="17" t="s">
        <v>47</v>
      </c>
      <c r="R175" s="18">
        <f aca="false">IF($P175="","",IF($Q175="Y",IFERROR(VLOOKUP($B175,$C$4:$D$13,2,FALSE()),0),0))</f>
        <v>0.1</v>
      </c>
      <c r="S175" s="17">
        <f aca="false">IF($P175="","",ROUNDDOWN($P175*$R175,0))</f>
        <v>8032</v>
      </c>
      <c r="T175" s="17">
        <f aca="false">IF($P175="","",$P175-$S175)</f>
        <v>72288</v>
      </c>
      <c r="U175" s="17">
        <f aca="false">IF($T175="","",IF($B$10=0,"",$T175/$B$10))</f>
        <v>1807.2</v>
      </c>
      <c r="V175" s="17">
        <f aca="false">IF($P175="","",IF($B$10=0,"",$P175/$B$10))</f>
        <v>2008</v>
      </c>
      <c r="W175" s="19">
        <f aca="false">IF($T175="",1000000000000000,$T175)</f>
        <v>72288</v>
      </c>
      <c r="XFC175" s="3"/>
    </row>
    <row r="176" s="5" collapsed="false" customFormat="true" customHeight="true" hidden="false" ht="28.5" outlineLevel="0">
      <c r="A176" s="16">
        <f aca="false">IF($T176="","",1+COUNTIF($W$15:$W$884,"&lt;"&amp;W176))</f>
        <v>162</v>
      </c>
      <c r="B176" s="16" t="s">
        <v>12</v>
      </c>
      <c r="C176" s="16" t="s">
        <v>333</v>
      </c>
      <c r="D176" s="21" t="s">
        <v>64</v>
      </c>
      <c r="E176" s="16" t="s">
        <v>26</v>
      </c>
      <c r="F176" s="16" t="s">
        <v>334</v>
      </c>
      <c r="G176" s="17">
        <v>2009</v>
      </c>
      <c r="H176" s="17"/>
      <c r="I176" s="17"/>
      <c r="J176" s="17">
        <v>1979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2009</v>
      </c>
      <c r="M176" s="17">
        <f aca="false">IF($H176="","",$H176+$K176)</f>
        <v/>
      </c>
      <c r="N176" s="17">
        <f aca="false">IF($J176="","",$J176+$K176)</f>
        <v>1979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80,360원</v>
      </c>
      <c r="P176" s="17">
        <f aca="false">IF($B$10=0,"",IFERROR(IF($B$4&gt;0,IF($L176="",1/0,$L176*$B$4),0)+IF($B$5&gt;0,IF($M176="",1/0,$M176*$B$5),0)+IF($B$6&gt;0,IF($N176="",1/0,$N176*$B$6),0),""))</f>
        <v>80360</v>
      </c>
      <c r="Q176" s="17" t="s">
        <v>47</v>
      </c>
      <c r="R176" s="18">
        <f aca="false">IF($P176="","",IF($Q176="Y",IFERROR(VLOOKUP($B176,$C$4:$D$13,2,FALSE()),0),0))</f>
        <v>0.1</v>
      </c>
      <c r="S176" s="17">
        <f aca="false">IF($P176="","",ROUNDDOWN($P176*$R176,0))</f>
        <v>8036</v>
      </c>
      <c r="T176" s="17">
        <f aca="false">IF($P176="","",$P176-$S176)</f>
        <v>72324</v>
      </c>
      <c r="U176" s="17">
        <f aca="false">IF($T176="","",IF($B$10=0,"",$T176/$B$10))</f>
        <v>1808.1</v>
      </c>
      <c r="V176" s="17">
        <f aca="false">IF($P176="","",IF($B$10=0,"",$P176/$B$10))</f>
        <v>2009</v>
      </c>
      <c r="W176" s="19">
        <f aca="false">IF($T176="",1000000000000000,$T176)</f>
        <v>72324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IF($T177="","",1+COUNTIF($W$15:$W$884,"&lt;"&amp;W177))</f>
        <v>162</v>
      </c>
      <c r="B177" s="16" t="s">
        <v>12</v>
      </c>
      <c r="C177" s="16" t="s">
        <v>378</v>
      </c>
      <c r="D177" s="21" t="s">
        <v>45</v>
      </c>
      <c r="E177" s="16" t="s">
        <v>26</v>
      </c>
      <c r="F177" s="16" t="s">
        <v>379</v>
      </c>
      <c r="G177" s="17">
        <v>2009</v>
      </c>
      <c r="H177" s="17"/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2009</v>
      </c>
      <c r="M177" s="17">
        <f aca="false">IF($H177="","",$H177+$K177)</f>
        <v/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80,360원</v>
      </c>
      <c r="P177" s="17">
        <f aca="false">IF($B$10=0,"",IFERROR(IF($B$4&gt;0,IF($L177="",1/0,$L177*$B$4),0)+IF($B$5&gt;0,IF($M177="",1/0,$M177*$B$5),0)+IF($B$6&gt;0,IF($N177="",1/0,$N177*$B$6),0),""))</f>
        <v>80360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8036</v>
      </c>
      <c r="T177" s="17">
        <f aca="false">IF($P177="","",$P177-$S177)</f>
        <v>72324</v>
      </c>
      <c r="U177" s="17">
        <f aca="false">IF($T177="","",IF($B$10=0,"",$T177/$B$10))</f>
        <v>1808.1</v>
      </c>
      <c r="V177" s="17">
        <f aca="false">IF($P177="","",IF($B$10=0,"",$P177/$B$10))</f>
        <v>2009</v>
      </c>
      <c r="W177" s="19">
        <f aca="false">IF($T177="",1000000000000000,$T177)</f>
        <v>72324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IF($T178="","",1+COUNTIF($W$15:$W$884,"&lt;"&amp;W178))</f>
        <v>162</v>
      </c>
      <c r="B178" s="16" t="s">
        <v>10</v>
      </c>
      <c r="C178" s="16" t="s">
        <v>346</v>
      </c>
      <c r="D178" s="16" t="s">
        <v>64</v>
      </c>
      <c r="E178" s="16" t="s">
        <v>26</v>
      </c>
      <c r="F178" s="16" t="s">
        <v>380</v>
      </c>
      <c r="G178" s="17">
        <v>2009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IF($T179="","",1+COUNTIF($W$15:$W$884,"&lt;"&amp;W179))</f>
        <v>165</v>
      </c>
      <c r="B179" s="16" t="s">
        <v>6</v>
      </c>
      <c r="C179" s="16" t="s">
        <v>381</v>
      </c>
      <c r="D179" s="16" t="s">
        <v>64</v>
      </c>
      <c r="E179" s="16" t="s">
        <v>26</v>
      </c>
      <c r="F179" s="16" t="s">
        <v>382</v>
      </c>
      <c r="G179" s="17">
        <v>2013</v>
      </c>
      <c r="H179" s="17"/>
      <c r="I179" s="17"/>
      <c r="J179" s="17">
        <v>1995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2013</v>
      </c>
      <c r="M179" s="17">
        <f aca="false">IF($H179="","",$H179+$K179)</f>
        <v/>
      </c>
      <c r="N179" s="17">
        <f aca="false">IF($J179="","",$J179+$K179)</f>
        <v>1995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80,520원</v>
      </c>
      <c r="P179" s="17">
        <f aca="false">IF($B$10=0,"",IFERROR(IF($B$4&gt;0,IF($L179="",1/0,$L179*$B$4),0)+IF($B$5&gt;0,IF($M179="",1/0,$M179*$B$5),0)+IF($B$6&gt;0,IF($N179="",1/0,$N179*$B$6),0),""))</f>
        <v>80520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8052</v>
      </c>
      <c r="T179" s="17">
        <f aca="false">IF($P179="","",$P179-$S179)</f>
        <v>72468</v>
      </c>
      <c r="U179" s="17">
        <f aca="false">IF($T179="","",IF($B$10=0,"",$T179/$B$10))</f>
        <v>1811.7</v>
      </c>
      <c r="V179" s="17">
        <f aca="false">IF($P179="","",IF($B$10=0,"",$P179/$B$10))</f>
        <v>2013</v>
      </c>
      <c r="W179" s="19">
        <f aca="false">IF($T179="",1000000000000000,$T179)</f>
        <v>72468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IF($T180="","",1+COUNTIF($W$15:$W$884,"&lt;"&amp;W180))</f>
        <v>166</v>
      </c>
      <c r="B180" s="16" t="s">
        <v>10</v>
      </c>
      <c r="C180" s="16" t="s">
        <v>385</v>
      </c>
      <c r="D180" s="20" t="s">
        <v>54</v>
      </c>
      <c r="E180" s="16" t="s">
        <v>26</v>
      </c>
      <c r="F180" s="16" t="s">
        <v>386</v>
      </c>
      <c r="G180" s="17">
        <v>2014</v>
      </c>
      <c r="H180" s="17"/>
      <c r="I180" s="17"/>
      <c r="J180" s="17">
        <v>1984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2014</v>
      </c>
      <c r="M180" s="17">
        <f aca="false">IF($H180="","",$H180+$K180)</f>
        <v/>
      </c>
      <c r="N180" s="17">
        <f aca="false">IF($J180="","",$J180+$K180)</f>
        <v>1984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80,560원</v>
      </c>
      <c r="P180" s="17">
        <f aca="false">IF($B$10=0,"",IFERROR(IF($B$4&gt;0,IF($L180="",1/0,$L180*$B$4),0)+IF($B$5&gt;0,IF($M180="",1/0,$M180*$B$5),0)+IF($B$6&gt;0,IF($N180="",1/0,$N180*$B$6),0),""))</f>
        <v>80560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8056</v>
      </c>
      <c r="T180" s="17">
        <f aca="false">IF($P180="","",$P180-$S180)</f>
        <v>72504</v>
      </c>
      <c r="U180" s="17">
        <f aca="false">IF($T180="","",IF($B$10=0,"",$T180/$B$10))</f>
        <v>1812.6</v>
      </c>
      <c r="V180" s="17">
        <f aca="false">IF($P180="","",IF($B$10=0,"",$P180/$B$10))</f>
        <v>2014</v>
      </c>
      <c r="W180" s="19">
        <f aca="false">IF($T180="",1000000000000000,$T180)</f>
        <v>72504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IF($T181="","",1+COUNTIF($W$15:$W$884,"&lt;"&amp;W181))</f>
        <v>166</v>
      </c>
      <c r="B181" s="16" t="s">
        <v>12</v>
      </c>
      <c r="C181" s="16" t="s">
        <v>383</v>
      </c>
      <c r="D181" s="21" t="s">
        <v>45</v>
      </c>
      <c r="E181" s="16" t="s">
        <v>26</v>
      </c>
      <c r="F181" s="16" t="s">
        <v>384</v>
      </c>
      <c r="G181" s="17">
        <v>2014</v>
      </c>
      <c r="H181" s="17"/>
      <c r="I181" s="17"/>
      <c r="J181" s="17">
        <v>1994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2014</v>
      </c>
      <c r="M181" s="17">
        <f aca="false">IF($H181="","",$H181+$K181)</f>
        <v/>
      </c>
      <c r="N181" s="17">
        <f aca="false">IF($J181="","",$J181+$K181)</f>
        <v>1994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80,560원</v>
      </c>
      <c r="P181" s="17">
        <f aca="false">IF($B$10=0,"",IFERROR(IF($B$4&gt;0,IF($L181="",1/0,$L181*$B$4),0)+IF($B$5&gt;0,IF($M181="",1/0,$M181*$B$5),0)+IF($B$6&gt;0,IF($N181="",1/0,$N181*$B$6),0),""))</f>
        <v>80560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8056</v>
      </c>
      <c r="T181" s="17">
        <f aca="false">IF($P181="","",$P181-$S181)</f>
        <v>72504</v>
      </c>
      <c r="U181" s="17">
        <f aca="false">IF($T181="","",IF($B$10=0,"",$T181/$B$10))</f>
        <v>1812.6</v>
      </c>
      <c r="V181" s="17">
        <f aca="false">IF($P181="","",IF($B$10=0,"",$P181/$B$10))</f>
        <v>2014</v>
      </c>
      <c r="W181" s="19">
        <f aca="false">IF($T181="",1000000000000000,$T181)</f>
        <v>72504</v>
      </c>
      <c r="XFB181" s="6"/>
      <c r="XFC181" s="3"/>
    </row>
    <row r="182" s="6" collapsed="false" customFormat="true" customHeight="true" hidden="false" ht="28.5" outlineLevel="0">
      <c r="A182" s="16">
        <f aca="false">IF($T182="","",1+COUNTIF($W$15:$W$884,"&lt;"&amp;W182))</f>
        <v>166</v>
      </c>
      <c r="B182" s="16" t="s">
        <v>8</v>
      </c>
      <c r="C182" s="16" t="s">
        <v>387</v>
      </c>
      <c r="D182" s="16" t="s">
        <v>64</v>
      </c>
      <c r="E182" s="16" t="s">
        <v>51</v>
      </c>
      <c r="F182" s="16" t="s">
        <v>388</v>
      </c>
      <c r="G182" s="17">
        <v>2014</v>
      </c>
      <c r="H182" s="17"/>
      <c r="I182" s="17"/>
      <c r="J182" s="17">
        <v>2013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2014</v>
      </c>
      <c r="M182" s="17">
        <f aca="false">IF($H182="","",$H182+$K182)</f>
        <v/>
      </c>
      <c r="N182" s="17">
        <f aca="false">IF($J182="","",$J182+$K182)</f>
        <v>2013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80,560원</v>
      </c>
      <c r="P182" s="17">
        <f aca="false">IF($B$10=0,"",IFERROR(IF($B$4&gt;0,IF($L182="",1/0,$L182*$B$4),0)+IF($B$5&gt;0,IF($M182="",1/0,$M182*$B$5),0)+IF($B$6&gt;0,IF($N182="",1/0,$N182*$B$6),0),""))</f>
        <v>80560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8056</v>
      </c>
      <c r="T182" s="17">
        <f aca="false">IF($P182="","",$P182-$S182)</f>
        <v>72504</v>
      </c>
      <c r="U182" s="17">
        <f aca="false">IF($T182="","",IF($B$10=0,"",$T182/$B$10))</f>
        <v>1812.6</v>
      </c>
      <c r="V182" s="17">
        <f aca="false">IF($P182="","",IF($B$10=0,"",$P182/$B$10))</f>
        <v>2014</v>
      </c>
      <c r="W182" s="19">
        <f aca="false">IF($T182="",1000000000000000,$T182)</f>
        <v>72504</v>
      </c>
      <c r="XFC182" s="3"/>
    </row>
    <row r="183" s="22" collapsed="false" customFormat="true" customHeight="true" hidden="false" ht="28.5" outlineLevel="0">
      <c r="A183" s="16">
        <f aca="false">IF($T183="","",1+COUNTIF($W$15:$W$884,"&lt;"&amp;W183))</f>
        <v>166</v>
      </c>
      <c r="B183" s="16" t="s">
        <v>12</v>
      </c>
      <c r="C183" s="16" t="s">
        <v>389</v>
      </c>
      <c r="D183" s="21" t="s">
        <v>57</v>
      </c>
      <c r="E183" s="16" t="s">
        <v>26</v>
      </c>
      <c r="F183" s="16" t="s">
        <v>390</v>
      </c>
      <c r="G183" s="17">
        <v>2014</v>
      </c>
      <c r="H183" s="17"/>
      <c r="I183" s="17"/>
      <c r="J183" s="17">
        <v>2013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2014</v>
      </c>
      <c r="M183" s="17">
        <f aca="false">IF($H183="","",$H183+$K183)</f>
        <v/>
      </c>
      <c r="N183" s="17">
        <f aca="false">IF($J183="","",$J183+$K183)</f>
        <v>2013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80,560원</v>
      </c>
      <c r="P183" s="17">
        <f aca="false">IF($B$10=0,"",IFERROR(IF($B$4&gt;0,IF($L183="",1/0,$L183*$B$4),0)+IF($B$5&gt;0,IF($M183="",1/0,$M183*$B$5),0)+IF($B$6&gt;0,IF($N183="",1/0,$N183*$B$6),0),""))</f>
        <v>80560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8056</v>
      </c>
      <c r="T183" s="17">
        <f aca="false">IF($P183="","",$P183-$S183)</f>
        <v>72504</v>
      </c>
      <c r="U183" s="17">
        <f aca="false">IF($T183="","",IF($B$10=0,"",$T183/$B$10))</f>
        <v>1812.6</v>
      </c>
      <c r="V183" s="17">
        <f aca="false">IF($P183="","",IF($B$10=0,"",$P183/$B$10))</f>
        <v>2014</v>
      </c>
      <c r="W183" s="19">
        <f aca="false">IF($T183="",1000000000000000,$T183)</f>
        <v>72504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IF($T184="","",1+COUNTIF($W$15:$W$884,"&lt;"&amp;W184))</f>
        <v>170</v>
      </c>
      <c r="B184" s="16" t="s">
        <v>14</v>
      </c>
      <c r="C184" s="16" t="s">
        <v>391</v>
      </c>
      <c r="D184" s="20" t="s">
        <v>54</v>
      </c>
      <c r="E184" s="16" t="s">
        <v>26</v>
      </c>
      <c r="F184" s="16" t="s">
        <v>392</v>
      </c>
      <c r="G184" s="17">
        <v>2037</v>
      </c>
      <c r="H184" s="17"/>
      <c r="I184" s="17"/>
      <c r="J184" s="17">
        <v>2027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2037</v>
      </c>
      <c r="M184" s="17">
        <f aca="false">IF($H184="","",$H184+$K184)</f>
        <v/>
      </c>
      <c r="N184" s="17">
        <f aca="false">IF($J184="","",$J184+$K184)</f>
        <v>2027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81,480원</v>
      </c>
      <c r="P184" s="17">
        <f aca="false">IF($B$10=0,"",IFERROR(IF($B$4&gt;0,IF($L184="",1/0,$L184*$B$4),0)+IF($B$5&gt;0,IF($M184="",1/0,$M184*$B$5),0)+IF($B$6&gt;0,IF($N184="",1/0,$N184*$B$6),0),""))</f>
        <v>81480</v>
      </c>
      <c r="Q184" s="17" t="s">
        <v>47</v>
      </c>
      <c r="R184" s="18">
        <f aca="false">IF($P184="","",IF($Q184="Y",IFERROR(VLOOKUP($B184,$C$4:$D$13,2,FALSE()),0),0))</f>
        <v>0.11</v>
      </c>
      <c r="S184" s="17">
        <f aca="false">IF($P184="","",ROUNDDOWN($P184*$R184,0))</f>
        <v>8962</v>
      </c>
      <c r="T184" s="17">
        <f aca="false">IF($P184="","",$P184-$S184)</f>
        <v>72518</v>
      </c>
      <c r="U184" s="17">
        <f aca="false">IF($T184="","",IF($B$10=0,"",$T184/$B$10))</f>
        <v>1812.95</v>
      </c>
      <c r="V184" s="17">
        <f aca="false">IF($P184="","",IF($B$10=0,"",$P184/$B$10))</f>
        <v>2037</v>
      </c>
      <c r="W184" s="19">
        <f aca="false">IF($T184="",1000000000000000,$T184)</f>
        <v>72518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IF($T185="","",1+COUNTIF($W$15:$W$884,"&lt;"&amp;W185))</f>
        <v>171</v>
      </c>
      <c r="B185" s="16" t="s">
        <v>6</v>
      </c>
      <c r="C185" s="16" t="s">
        <v>393</v>
      </c>
      <c r="D185" s="16" t="s">
        <v>45</v>
      </c>
      <c r="E185" s="16" t="s">
        <v>26</v>
      </c>
      <c r="F185" s="16" t="s">
        <v>394</v>
      </c>
      <c r="G185" s="17">
        <v>2015</v>
      </c>
      <c r="H185" s="17">
        <v>2380</v>
      </c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>2380</v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80,600원</v>
      </c>
      <c r="P185" s="17">
        <f aca="false">IF($B$10=0,"",IFERROR(IF($B$4&gt;0,IF($L185="",1/0,$L185*$B$4),0)+IF($B$5&gt;0,IF($M185="",1/0,$M185*$B$5),0)+IF($B$6&gt;0,IF($N185="",1/0,$N185*$B$6),0),""))</f>
        <v>80600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8060</v>
      </c>
      <c r="T185" s="17">
        <f aca="false">IF($P185="","",$P185-$S185)</f>
        <v>72540</v>
      </c>
      <c r="U185" s="17">
        <f aca="false">IF($T185="","",IF($B$10=0,"",$T185/$B$10))</f>
        <v>1813.5</v>
      </c>
      <c r="V185" s="17">
        <f aca="false">IF($P185="","",IF($B$10=0,"",$P185/$B$10))</f>
        <v>2015</v>
      </c>
      <c r="W185" s="19">
        <f aca="false">IF($T185="",1000000000000000,$T185)</f>
        <v>72540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IF($T186="","",1+COUNTIF($W$15:$W$884,"&lt;"&amp;W186))</f>
        <v>171</v>
      </c>
      <c r="B186" s="16" t="s">
        <v>10</v>
      </c>
      <c r="C186" s="16" t="s">
        <v>397</v>
      </c>
      <c r="D186" s="16" t="s">
        <v>45</v>
      </c>
      <c r="E186" s="16" t="s">
        <v>26</v>
      </c>
      <c r="F186" s="16" t="s">
        <v>398</v>
      </c>
      <c r="G186" s="17">
        <v>2015</v>
      </c>
      <c r="H186" s="17"/>
      <c r="I186" s="17"/>
      <c r="J186" s="17">
        <v>2010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2010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80,600원</v>
      </c>
      <c r="P186" s="17">
        <f aca="false">IF($B$10=0,"",IFERROR(IF($B$4&gt;0,IF($L186="",1/0,$L186*$B$4),0)+IF($B$5&gt;0,IF($M186="",1/0,$M186*$B$5),0)+IF($B$6&gt;0,IF($N186="",1/0,$N186*$B$6),0),""))</f>
        <v>80600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8060</v>
      </c>
      <c r="T186" s="17">
        <f aca="false">IF($P186="","",$P186-$S186)</f>
        <v>72540</v>
      </c>
      <c r="U186" s="17">
        <f aca="false">IF($T186="","",IF($B$10=0,"",$T186/$B$10))</f>
        <v>1813.5</v>
      </c>
      <c r="V186" s="17">
        <f aca="false">IF($P186="","",IF($B$10=0,"",$P186/$B$10))</f>
        <v>2015</v>
      </c>
      <c r="W186" s="19">
        <f aca="false">IF($T186="",1000000000000000,$T186)</f>
        <v>72540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IF($T187="","",1+COUNTIF($W$15:$W$884,"&lt;"&amp;W187))</f>
        <v>171</v>
      </c>
      <c r="B187" s="16" t="s">
        <v>12</v>
      </c>
      <c r="C187" s="16" t="s">
        <v>399</v>
      </c>
      <c r="D187" s="20" t="s">
        <v>54</v>
      </c>
      <c r="E187" s="16" t="s">
        <v>26</v>
      </c>
      <c r="F187" s="16" t="s">
        <v>400</v>
      </c>
      <c r="G187" s="17">
        <v>2015</v>
      </c>
      <c r="H187" s="17"/>
      <c r="I187" s="17"/>
      <c r="J187" s="17">
        <v>2065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2065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80,600원</v>
      </c>
      <c r="P187" s="17">
        <f aca="false">IF($B$10=0,"",IFERROR(IF($B$4&gt;0,IF($L187="",1/0,$L187*$B$4),0)+IF($B$5&gt;0,IF($M187="",1/0,$M187*$B$5),0)+IF($B$6&gt;0,IF($N187="",1/0,$N187*$B$6),0),""))</f>
        <v>80600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8060</v>
      </c>
      <c r="T187" s="17">
        <f aca="false">IF($P187="","",$P187-$S187)</f>
        <v>72540</v>
      </c>
      <c r="U187" s="17">
        <f aca="false">IF($T187="","",IF($B$10=0,"",$T187/$B$10))</f>
        <v>1813.5</v>
      </c>
      <c r="V187" s="17">
        <f aca="false">IF($P187="","",IF($B$10=0,"",$P187/$B$10))</f>
        <v>2015</v>
      </c>
      <c r="W187" s="19">
        <f aca="false">IF($T187="",1000000000000000,$T187)</f>
        <v>72540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IF($T188="","",1+COUNTIF($W$15:$W$884,"&lt;"&amp;W188))</f>
        <v>174</v>
      </c>
      <c r="B188" s="16" t="s">
        <v>14</v>
      </c>
      <c r="C188" s="16" t="s">
        <v>401</v>
      </c>
      <c r="D188" s="16" t="s">
        <v>45</v>
      </c>
      <c r="E188" s="16" t="s">
        <v>26</v>
      </c>
      <c r="F188" s="16" t="s">
        <v>402</v>
      </c>
      <c r="G188" s="17">
        <v>2039</v>
      </c>
      <c r="H188" s="17"/>
      <c r="I188" s="17"/>
      <c r="J188" s="17">
        <v>2019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2039</v>
      </c>
      <c r="M188" s="17">
        <f aca="false">IF($H188="","",$H188+$K188)</f>
        <v/>
      </c>
      <c r="N188" s="17">
        <f aca="false">IF($J188="","",$J188+$K188)</f>
        <v>2019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81,560원</v>
      </c>
      <c r="P188" s="17">
        <f aca="false">IF($B$10=0,"",IFERROR(IF($B$4&gt;0,IF($L188="",1/0,$L188*$B$4),0)+IF($B$5&gt;0,IF($M188="",1/0,$M188*$B$5),0)+IF($B$6&gt;0,IF($N188="",1/0,$N188*$B$6),0),""))</f>
        <v>81560</v>
      </c>
      <c r="Q188" s="17" t="s">
        <v>47</v>
      </c>
      <c r="R188" s="18">
        <f aca="false">IF($P188="","",IF($Q188="Y",IFERROR(VLOOKUP($B188,$C$4:$D$13,2,FALSE()),0),0))</f>
        <v>0.11</v>
      </c>
      <c r="S188" s="17">
        <f aca="false">IF($P188="","",ROUNDDOWN($P188*$R188,0))</f>
        <v>8971</v>
      </c>
      <c r="T188" s="17">
        <f aca="false">IF($P188="","",$P188-$S188)</f>
        <v>72589</v>
      </c>
      <c r="U188" s="17">
        <f aca="false">IF($T188="","",IF($B$10=0,"",$T188/$B$10))</f>
        <v>1814.725</v>
      </c>
      <c r="V188" s="17">
        <f aca="false">IF($P188="","",IF($B$10=0,"",$P188/$B$10))</f>
        <v>2039</v>
      </c>
      <c r="W188" s="19">
        <f aca="false">IF($T188="",1000000000000000,$T188)</f>
        <v>72589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IF($T189="","",1+COUNTIF($W$15:$W$884,"&lt;"&amp;W189))</f>
        <v>174</v>
      </c>
      <c r="B189" s="16" t="s">
        <v>14</v>
      </c>
      <c r="C189" s="16" t="s">
        <v>268</v>
      </c>
      <c r="D189" s="16" t="s">
        <v>45</v>
      </c>
      <c r="E189" s="16" t="s">
        <v>51</v>
      </c>
      <c r="F189" s="16" t="s">
        <v>403</v>
      </c>
      <c r="G189" s="17">
        <v>2039</v>
      </c>
      <c r="H189" s="17"/>
      <c r="I189" s="17"/>
      <c r="J189" s="17">
        <v>2027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2039</v>
      </c>
      <c r="M189" s="17">
        <f aca="false">IF($H189="","",$H189+$K189)</f>
        <v/>
      </c>
      <c r="N189" s="17">
        <f aca="false">IF($J189="","",$J189+$K189)</f>
        <v>2027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81,560원</v>
      </c>
      <c r="P189" s="17">
        <f aca="false">IF($B$10=0,"",IFERROR(IF($B$4&gt;0,IF($L189="",1/0,$L189*$B$4),0)+IF($B$5&gt;0,IF($M189="",1/0,$M189*$B$5),0)+IF($B$6&gt;0,IF($N189="",1/0,$N189*$B$6),0),""))</f>
        <v>81560</v>
      </c>
      <c r="Q189" s="17" t="s">
        <v>47</v>
      </c>
      <c r="R189" s="18">
        <f aca="false">IF($P189="","",IF($Q189="Y",IFERROR(VLOOKUP($B189,$C$4:$D$13,2,FALSE()),0),0))</f>
        <v>0.11</v>
      </c>
      <c r="S189" s="17">
        <f aca="false">IF($P189="","",ROUNDDOWN($P189*$R189,0))</f>
        <v>8971</v>
      </c>
      <c r="T189" s="17">
        <f aca="false">IF($P189="","",$P189-$S189)</f>
        <v>72589</v>
      </c>
      <c r="U189" s="17">
        <f aca="false">IF($T189="","",IF($B$10=0,"",$T189/$B$10))</f>
        <v>1814.725</v>
      </c>
      <c r="V189" s="17">
        <f aca="false">IF($P189="","",IF($B$10=0,"",$P189/$B$10))</f>
        <v>2039</v>
      </c>
      <c r="W189" s="19">
        <f aca="false">IF($T189="",1000000000000000,$T189)</f>
        <v>72589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IF($T190="","",1+COUNTIF($W$15:$W$884,"&lt;"&amp;W190))</f>
        <v>174</v>
      </c>
      <c r="B190" s="16" t="s">
        <v>14</v>
      </c>
      <c r="C190" s="16" t="s">
        <v>404</v>
      </c>
      <c r="D190" s="16" t="s">
        <v>45</v>
      </c>
      <c r="E190" s="16" t="s">
        <v>26</v>
      </c>
      <c r="F190" s="16" t="s">
        <v>405</v>
      </c>
      <c r="G190" s="17">
        <v>2039</v>
      </c>
      <c r="H190" s="17"/>
      <c r="I190" s="17"/>
      <c r="J190" s="17">
        <v>2029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2029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81,560원</v>
      </c>
      <c r="P190" s="17">
        <f aca="false">IF($B$10=0,"",IFERROR(IF($B$4&gt;0,IF($L190="",1/0,$L190*$B$4),0)+IF($B$5&gt;0,IF($M190="",1/0,$M190*$B$5),0)+IF($B$6&gt;0,IF($N190="",1/0,$N190*$B$6),0),""))</f>
        <v>81560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8971</v>
      </c>
      <c r="T190" s="17">
        <f aca="false">IF($P190="","",$P190-$S190)</f>
        <v>72589</v>
      </c>
      <c r="U190" s="17">
        <f aca="false">IF($T190="","",IF($B$10=0,"",$T190/$B$10))</f>
        <v>1814.725</v>
      </c>
      <c r="V190" s="17">
        <f aca="false">IF($P190="","",IF($B$10=0,"",$P190/$B$10))</f>
        <v>2039</v>
      </c>
      <c r="W190" s="19">
        <f aca="false">IF($T190="",1000000000000000,$T190)</f>
        <v>72589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IF($T191="","",1+COUNTIF($W$15:$W$884,"&lt;"&amp;W191))</f>
        <v>174</v>
      </c>
      <c r="B191" s="16" t="s">
        <v>14</v>
      </c>
      <c r="C191" s="16" t="s">
        <v>406</v>
      </c>
      <c r="D191" s="16" t="s">
        <v>45</v>
      </c>
      <c r="E191" s="16" t="s">
        <v>51</v>
      </c>
      <c r="F191" s="16" t="s">
        <v>407</v>
      </c>
      <c r="G191" s="17">
        <v>2039</v>
      </c>
      <c r="H191" s="17"/>
      <c r="I191" s="17"/>
      <c r="J191" s="17">
        <v>2029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2029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IF($T192="","",1+COUNTIF($W$15:$W$884,"&lt;"&amp;W192))</f>
        <v>174</v>
      </c>
      <c r="B192" s="16" t="s">
        <v>14</v>
      </c>
      <c r="C192" s="16" t="s">
        <v>408</v>
      </c>
      <c r="D192" s="16" t="s">
        <v>64</v>
      </c>
      <c r="E192" s="16" t="s">
        <v>26</v>
      </c>
      <c r="F192" s="16" t="s">
        <v>409</v>
      </c>
      <c r="G192" s="17">
        <v>2039</v>
      </c>
      <c r="H192" s="17"/>
      <c r="I192" s="17"/>
      <c r="J192" s="17">
        <v>2029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2029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IF($T193="","",1+COUNTIF($W$15:$W$884,"&lt;"&amp;W193))</f>
        <v>174</v>
      </c>
      <c r="B193" s="16" t="s">
        <v>14</v>
      </c>
      <c r="C193" s="16" t="s">
        <v>410</v>
      </c>
      <c r="D193" s="16" t="s">
        <v>45</v>
      </c>
      <c r="E193" s="16" t="s">
        <v>51</v>
      </c>
      <c r="F193" s="16" t="s">
        <v>411</v>
      </c>
      <c r="G193" s="17">
        <v>2039</v>
      </c>
      <c r="H193" s="17"/>
      <c r="I193" s="17"/>
      <c r="J193" s="17">
        <v>2039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2039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81,560원</v>
      </c>
      <c r="P193" s="17">
        <f aca="false">IF($B$10=0,"",IFERROR(IF($B$4&gt;0,IF($L193="",1/0,$L193*$B$4),0)+IF($B$5&gt;0,IF($M193="",1/0,$M193*$B$5),0)+IF($B$6&gt;0,IF($N193="",1/0,$N193*$B$6),0),""))</f>
        <v>81560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8971</v>
      </c>
      <c r="T193" s="17">
        <f aca="false">IF($P193="","",$P193-$S193)</f>
        <v>72589</v>
      </c>
      <c r="U193" s="17">
        <f aca="false">IF($T193="","",IF($B$10=0,"",$T193/$B$10))</f>
        <v>1814.725</v>
      </c>
      <c r="V193" s="17">
        <f aca="false">IF($P193="","",IF($B$10=0,"",$P193/$B$10))</f>
        <v>2039</v>
      </c>
      <c r="W193" s="19">
        <f aca="false">IF($T193="",1000000000000000,$T193)</f>
        <v>72589</v>
      </c>
      <c r="XFC193" s="3"/>
    </row>
    <row r="194" s="5" collapsed="false" customFormat="true" customHeight="true" hidden="false" ht="28.5" outlineLevel="0">
      <c r="A194" s="16">
        <f aca="false">IF($T194="","",1+COUNTIF($W$15:$W$884,"&lt;"&amp;W194))</f>
        <v>174</v>
      </c>
      <c r="B194" s="16" t="s">
        <v>14</v>
      </c>
      <c r="C194" s="16" t="s">
        <v>412</v>
      </c>
      <c r="D194" s="16" t="s">
        <v>45</v>
      </c>
      <c r="E194" s="16" t="s">
        <v>26</v>
      </c>
      <c r="F194" s="16" t="s">
        <v>413</v>
      </c>
      <c r="G194" s="17">
        <v>2039</v>
      </c>
      <c r="H194" s="17"/>
      <c r="I194" s="17"/>
      <c r="J194" s="17">
        <v>2049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2049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81,560원</v>
      </c>
      <c r="P194" s="17">
        <f aca="false">IF($B$10=0,"",IFERROR(IF($B$4&gt;0,IF($L194="",1/0,$L194*$B$4),0)+IF($B$5&gt;0,IF($M194="",1/0,$M194*$B$5),0)+IF($B$6&gt;0,IF($N194="",1/0,$N194*$B$6),0),""))</f>
        <v>81560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8971</v>
      </c>
      <c r="T194" s="17">
        <f aca="false">IF($P194="","",$P194-$S194)</f>
        <v>72589</v>
      </c>
      <c r="U194" s="17">
        <f aca="false">IF($T194="","",IF($B$10=0,"",$T194/$B$10))</f>
        <v>1814.725</v>
      </c>
      <c r="V194" s="17">
        <f aca="false">IF($P194="","",IF($B$10=0,"",$P194/$B$10))</f>
        <v>2039</v>
      </c>
      <c r="W194" s="19">
        <f aca="false">IF($T194="",1000000000000000,$T194)</f>
        <v>72589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IF($T195="","",1+COUNTIF($W$15:$W$884,"&lt;"&amp;W195))</f>
        <v>181</v>
      </c>
      <c r="B195" s="16" t="s">
        <v>12</v>
      </c>
      <c r="C195" s="16" t="s">
        <v>414</v>
      </c>
      <c r="D195" s="21" t="s">
        <v>64</v>
      </c>
      <c r="E195" s="16" t="s">
        <v>26</v>
      </c>
      <c r="F195" s="16" t="s">
        <v>415</v>
      </c>
      <c r="G195" s="17">
        <v>2017</v>
      </c>
      <c r="H195" s="17"/>
      <c r="I195" s="17"/>
      <c r="J195" s="17">
        <v>1997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2017</v>
      </c>
      <c r="M195" s="17">
        <f aca="false">IF($H195="","",$H195+$K195)</f>
        <v/>
      </c>
      <c r="N195" s="17">
        <f aca="false">IF($J195="","",$J195+$K195)</f>
        <v>1997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80,680원</v>
      </c>
      <c r="P195" s="17">
        <f aca="false">IF($B$10=0,"",IFERROR(IF($B$4&gt;0,IF($L195="",1/0,$L195*$B$4),0)+IF($B$5&gt;0,IF($M195="",1/0,$M195*$B$5),0)+IF($B$6&gt;0,IF($N195="",1/0,$N195*$B$6),0),""))</f>
        <v>80680</v>
      </c>
      <c r="Q195" s="17" t="s">
        <v>47</v>
      </c>
      <c r="R195" s="18">
        <f aca="false">IF($P195="","",IF($Q195="Y",IFERROR(VLOOKUP($B195,$C$4:$D$13,2,FALSE()),0),0))</f>
        <v>0.1</v>
      </c>
      <c r="S195" s="17">
        <f aca="false">IF($P195="","",ROUNDDOWN($P195*$R195,0))</f>
        <v>8068</v>
      </c>
      <c r="T195" s="17">
        <f aca="false">IF($P195="","",$P195-$S195)</f>
        <v>72612</v>
      </c>
      <c r="U195" s="17">
        <f aca="false">IF($T195="","",IF($B$10=0,"",$T195/$B$10))</f>
        <v>1815.3</v>
      </c>
      <c r="V195" s="17">
        <f aca="false">IF($P195="","",IF($B$10=0,"",$P195/$B$10))</f>
        <v>2017</v>
      </c>
      <c r="W195" s="19">
        <f aca="false">IF($T195="",1000000000000000,$T195)</f>
        <v>72612</v>
      </c>
      <c r="XFB195" s="6"/>
      <c r="XFC195" s="3"/>
    </row>
    <row r="196" s="22" collapsed="false" customFormat="true" customHeight="true" hidden="false" ht="28.5" outlineLevel="0">
      <c r="A196" s="16">
        <f aca="false">IF($T196="","",1+COUNTIF($W$15:$W$884,"&lt;"&amp;W196))</f>
        <v>181</v>
      </c>
      <c r="B196" s="16" t="s">
        <v>10</v>
      </c>
      <c r="C196" s="16" t="s">
        <v>416</v>
      </c>
      <c r="D196" s="16" t="s">
        <v>64</v>
      </c>
      <c r="E196" s="16" t="s">
        <v>26</v>
      </c>
      <c r="F196" s="16" t="s">
        <v>417</v>
      </c>
      <c r="G196" s="17">
        <v>2017</v>
      </c>
      <c r="H196" s="17"/>
      <c r="I196" s="17"/>
      <c r="J196" s="17">
        <v>1997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2017</v>
      </c>
      <c r="M196" s="17">
        <f aca="false">IF($H196="","",$H196+$K196)</f>
        <v/>
      </c>
      <c r="N196" s="17">
        <f aca="false">IF($J196="","",$J196+$K196)</f>
        <v>1997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80,680원</v>
      </c>
      <c r="P196" s="17">
        <f aca="false">IF($B$10=0,"",IFERROR(IF($B$4&gt;0,IF($L196="",1/0,$L196*$B$4),0)+IF($B$5&gt;0,IF($M196="",1/0,$M196*$B$5),0)+IF($B$6&gt;0,IF($N196="",1/0,$N196*$B$6),0),""))</f>
        <v>80680</v>
      </c>
      <c r="Q196" s="17" t="s">
        <v>47</v>
      </c>
      <c r="R196" s="18">
        <f aca="false">IF($P196="","",IF($Q196="Y",IFERROR(VLOOKUP($B196,$C$4:$D$13,2,FALSE()),0),0))</f>
        <v>0.1</v>
      </c>
      <c r="S196" s="17">
        <f aca="false">IF($P196="","",ROUNDDOWN($P196*$R196,0))</f>
        <v>8068</v>
      </c>
      <c r="T196" s="17">
        <f aca="false">IF($P196="","",$P196-$S196)</f>
        <v>72612</v>
      </c>
      <c r="U196" s="17">
        <f aca="false">IF($T196="","",IF($B$10=0,"",$T196/$B$10))</f>
        <v>1815.3</v>
      </c>
      <c r="V196" s="17">
        <f aca="false">IF($P196="","",IF($B$10=0,"",$P196/$B$10))</f>
        <v>2017</v>
      </c>
      <c r="W196" s="19">
        <f aca="false">IF($T196="",1000000000000000,$T196)</f>
        <v>72612</v>
      </c>
      <c r="XFB196" s="6"/>
      <c r="XFC196" s="3"/>
    </row>
    <row r="197" s="6" collapsed="false" customFormat="true" customHeight="true" hidden="false" ht="28.5" outlineLevel="0">
      <c r="A197" s="16">
        <f aca="false">IF($T197="","",1+COUNTIF($W$15:$W$884,"&lt;"&amp;W197))</f>
        <v>181</v>
      </c>
      <c r="B197" s="16" t="s">
        <v>8</v>
      </c>
      <c r="C197" s="16" t="s">
        <v>418</v>
      </c>
      <c r="D197" s="21" t="s">
        <v>57</v>
      </c>
      <c r="E197" s="16" t="s">
        <v>26</v>
      </c>
      <c r="F197" s="16" t="s">
        <v>419</v>
      </c>
      <c r="G197" s="17">
        <v>2017</v>
      </c>
      <c r="H197" s="17"/>
      <c r="I197" s="17"/>
      <c r="J197" s="17">
        <v>2017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2017</v>
      </c>
      <c r="M197" s="17">
        <f aca="false">IF($H197="","",$H197+$K197)</f>
        <v/>
      </c>
      <c r="N197" s="17">
        <f aca="false">IF($J197="","",$J197+$K197)</f>
        <v>2017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80,680원</v>
      </c>
      <c r="P197" s="17">
        <f aca="false">IF($B$10=0,"",IFERROR(IF($B$4&gt;0,IF($L197="",1/0,$L197*$B$4),0)+IF($B$5&gt;0,IF($M197="",1/0,$M197*$B$5),0)+IF($B$6&gt;0,IF($N197="",1/0,$N197*$B$6),0),""))</f>
        <v>80680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8068</v>
      </c>
      <c r="T197" s="17">
        <f aca="false">IF($P197="","",$P197-$S197)</f>
        <v>72612</v>
      </c>
      <c r="U197" s="17">
        <f aca="false">IF($T197="","",IF($B$10=0,"",$T197/$B$10))</f>
        <v>1815.3</v>
      </c>
      <c r="V197" s="17">
        <f aca="false">IF($P197="","",IF($B$10=0,"",$P197/$B$10))</f>
        <v>2017</v>
      </c>
      <c r="W197" s="19">
        <f aca="false">IF($T197="",1000000000000000,$T197)</f>
        <v>72612</v>
      </c>
      <c r="XFC197" s="3"/>
    </row>
    <row r="198" s="6" collapsed="false" customFormat="true" customHeight="true" hidden="false" ht="28.5" outlineLevel="0">
      <c r="A198" s="16">
        <f aca="false">IF($T198="","",1+COUNTIF($W$15:$W$884,"&lt;"&amp;W198))</f>
        <v>184</v>
      </c>
      <c r="B198" s="16" t="s">
        <v>6</v>
      </c>
      <c r="C198" s="16" t="s">
        <v>420</v>
      </c>
      <c r="D198" s="20" t="s">
        <v>54</v>
      </c>
      <c r="E198" s="16" t="s">
        <v>26</v>
      </c>
      <c r="F198" s="16" t="s">
        <v>421</v>
      </c>
      <c r="G198" s="17">
        <v>2018</v>
      </c>
      <c r="H198" s="17">
        <v>2417</v>
      </c>
      <c r="I198" s="17"/>
      <c r="J198" s="17">
        <v>2012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2018</v>
      </c>
      <c r="M198" s="17">
        <f aca="false">IF($H198="","",$H198+$K198)</f>
        <v>2417</v>
      </c>
      <c r="N198" s="17">
        <f aca="false">IF($J198="","",$J198+$K198)</f>
        <v>2012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80,720원</v>
      </c>
      <c r="P198" s="17">
        <f aca="false">IF($B$10=0,"",IFERROR(IF($B$4&gt;0,IF($L198="",1/0,$L198*$B$4),0)+IF($B$5&gt;0,IF($M198="",1/0,$M198*$B$5),0)+IF($B$6&gt;0,IF($N198="",1/0,$N198*$B$6),0),""))</f>
        <v>80720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8072</v>
      </c>
      <c r="T198" s="17">
        <f aca="false">IF($P198="","",$P198-$S198)</f>
        <v>72648</v>
      </c>
      <c r="U198" s="17">
        <f aca="false">IF($T198="","",IF($B$10=0,"",$T198/$B$10))</f>
        <v>1816.2</v>
      </c>
      <c r="V198" s="17">
        <f aca="false">IF($P198="","",IF($B$10=0,"",$P198/$B$10))</f>
        <v>2018</v>
      </c>
      <c r="W198" s="19">
        <f aca="false">IF($T198="",1000000000000000,$T198)</f>
        <v>72648</v>
      </c>
      <c r="XFC198" s="3"/>
    </row>
    <row r="199" s="5" collapsed="false" customFormat="true" customHeight="true" hidden="false" ht="28.5" outlineLevel="0">
      <c r="A199" s="16">
        <f aca="false">IF($T199="","",1+COUNTIF($W$15:$W$884,"&lt;"&amp;W199))</f>
        <v>184</v>
      </c>
      <c r="B199" s="16" t="s">
        <v>10</v>
      </c>
      <c r="C199" s="16" t="s">
        <v>422</v>
      </c>
      <c r="D199" s="21" t="s">
        <v>57</v>
      </c>
      <c r="E199" s="16" t="s">
        <v>51</v>
      </c>
      <c r="F199" s="16" t="s">
        <v>423</v>
      </c>
      <c r="G199" s="17">
        <v>2018</v>
      </c>
      <c r="H199" s="17">
        <v>2498</v>
      </c>
      <c r="I199" s="17"/>
      <c r="J199" s="17">
        <v>2018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2018</v>
      </c>
      <c r="M199" s="17">
        <f aca="false">IF($H199="","",$H199+$K199)</f>
        <v>2498</v>
      </c>
      <c r="N199" s="17">
        <f aca="false">IF($J199="","",$J199+$K199)</f>
        <v>2018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80,720원</v>
      </c>
      <c r="P199" s="17">
        <f aca="false">IF($B$10=0,"",IFERROR(IF($B$4&gt;0,IF($L199="",1/0,$L199*$B$4),0)+IF($B$5&gt;0,IF($M199="",1/0,$M199*$B$5),0)+IF($B$6&gt;0,IF($N199="",1/0,$N199*$B$6),0),""))</f>
        <v>80720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8072</v>
      </c>
      <c r="T199" s="17">
        <f aca="false">IF($P199="","",$P199-$S199)</f>
        <v>72648</v>
      </c>
      <c r="U199" s="17">
        <f aca="false">IF($T199="","",IF($B$10=0,"",$T199/$B$10))</f>
        <v>1816.2</v>
      </c>
      <c r="V199" s="17">
        <f aca="false">IF($P199="","",IF($B$10=0,"",$P199/$B$10))</f>
        <v>2018</v>
      </c>
      <c r="W199" s="19">
        <f aca="false">IF($T199="",1000000000000000,$T199)</f>
        <v>72648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IF($T200="","",1+COUNTIF($W$15:$W$884,"&lt;"&amp;W200))</f>
        <v>184</v>
      </c>
      <c r="B200" s="16" t="s">
        <v>12</v>
      </c>
      <c r="C200" s="16" t="s">
        <v>424</v>
      </c>
      <c r="D200" s="21" t="s">
        <v>64</v>
      </c>
      <c r="E200" s="16" t="s">
        <v>26</v>
      </c>
      <c r="F200" s="16" t="s">
        <v>425</v>
      </c>
      <c r="G200" s="17">
        <v>2018</v>
      </c>
      <c r="H200" s="17"/>
      <c r="I200" s="17"/>
      <c r="J200" s="17">
        <v>1998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2018</v>
      </c>
      <c r="M200" s="17">
        <f aca="false">IF($H200="","",$H200+$K200)</f>
        <v/>
      </c>
      <c r="N200" s="17">
        <f aca="false">IF($J200="","",$J200+$K200)</f>
        <v>1998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80,720원</v>
      </c>
      <c r="P200" s="17">
        <f aca="false">IF($B$10=0,"",IFERROR(IF($B$4&gt;0,IF($L200="",1/0,$L200*$B$4),0)+IF($B$5&gt;0,IF($M200="",1/0,$M200*$B$5),0)+IF($B$6&gt;0,IF($N200="",1/0,$N200*$B$6),0),""))</f>
        <v>80720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8072</v>
      </c>
      <c r="T200" s="17">
        <f aca="false">IF($P200="","",$P200-$S200)</f>
        <v>72648</v>
      </c>
      <c r="U200" s="17">
        <f aca="false">IF($T200="","",IF($B$10=0,"",$T200/$B$10))</f>
        <v>1816.2</v>
      </c>
      <c r="V200" s="17">
        <f aca="false">IF($P200="","",IF($B$10=0,"",$P200/$B$10))</f>
        <v>2018</v>
      </c>
      <c r="W200" s="19">
        <f aca="false">IF($T200="",1000000000000000,$T200)</f>
        <v>72648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IF($T201="","",1+COUNTIF($W$15:$W$884,"&lt;"&amp;W201))</f>
        <v>184</v>
      </c>
      <c r="B201" s="16" t="s">
        <v>12</v>
      </c>
      <c r="C201" s="16" t="s">
        <v>426</v>
      </c>
      <c r="D201" s="21" t="s">
        <v>45</v>
      </c>
      <c r="E201" s="16" t="s">
        <v>51</v>
      </c>
      <c r="F201" s="16" t="s">
        <v>427</v>
      </c>
      <c r="G201" s="17">
        <v>2018</v>
      </c>
      <c r="H201" s="17"/>
      <c r="I201" s="17"/>
      <c r="J201" s="17">
        <v>1998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2018</v>
      </c>
      <c r="M201" s="17">
        <f aca="false">IF($H201="","",$H201+$K201)</f>
        <v/>
      </c>
      <c r="N201" s="17">
        <f aca="false">IF($J201="","",$J201+$K201)</f>
        <v>1998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80,720원</v>
      </c>
      <c r="P201" s="17">
        <f aca="false">IF($B$10=0,"",IFERROR(IF($B$4&gt;0,IF($L201="",1/0,$L201*$B$4),0)+IF($B$5&gt;0,IF($M201="",1/0,$M201*$B$5),0)+IF($B$6&gt;0,IF($N201="",1/0,$N201*$B$6),0),""))</f>
        <v>80720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8072</v>
      </c>
      <c r="T201" s="17">
        <f aca="false">IF($P201="","",$P201-$S201)</f>
        <v>72648</v>
      </c>
      <c r="U201" s="17">
        <f aca="false">IF($T201="","",IF($B$10=0,"",$T201/$B$10))</f>
        <v>1816.2</v>
      </c>
      <c r="V201" s="17">
        <f aca="false">IF($P201="","",IF($B$10=0,"",$P201/$B$10))</f>
        <v>2018</v>
      </c>
      <c r="W201" s="19">
        <f aca="false">IF($T201="",1000000000000000,$T201)</f>
        <v>72648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IF($T202="","",1+COUNTIF($W$15:$W$884,"&lt;"&amp;W202))</f>
        <v>188</v>
      </c>
      <c r="B202" s="16" t="s">
        <v>6</v>
      </c>
      <c r="C202" s="16" t="s">
        <v>428</v>
      </c>
      <c r="D202" s="20" t="s">
        <v>54</v>
      </c>
      <c r="E202" s="16" t="s">
        <v>26</v>
      </c>
      <c r="F202" s="16" t="s">
        <v>429</v>
      </c>
      <c r="G202" s="17">
        <v>2019</v>
      </c>
      <c r="H202" s="17">
        <v>2467</v>
      </c>
      <c r="I202" s="17"/>
      <c r="J202" s="17">
        <v>2019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2019</v>
      </c>
      <c r="M202" s="17">
        <f aca="false">IF($H202="","",$H202+$K202)</f>
        <v>2467</v>
      </c>
      <c r="N202" s="17">
        <f aca="false">IF($J202="","",$J202+$K202)</f>
        <v>2019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80,760원</v>
      </c>
      <c r="P202" s="17">
        <f aca="false">IF($B$10=0,"",IFERROR(IF($B$4&gt;0,IF($L202="",1/0,$L202*$B$4),0)+IF($B$5&gt;0,IF($M202="",1/0,$M202*$B$5),0)+IF($B$6&gt;0,IF($N202="",1/0,$N202*$B$6),0),""))</f>
        <v>80760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8076</v>
      </c>
      <c r="T202" s="17">
        <f aca="false">IF($P202="","",$P202-$S202)</f>
        <v>72684</v>
      </c>
      <c r="U202" s="17">
        <f aca="false">IF($T202="","",IF($B$10=0,"",$T202/$B$10))</f>
        <v>1817.1</v>
      </c>
      <c r="V202" s="17">
        <f aca="false">IF($P202="","",IF($B$10=0,"",$P202/$B$10))</f>
        <v>2019</v>
      </c>
      <c r="W202" s="19">
        <f aca="false">IF($T202="",1000000000000000,$T202)</f>
        <v>72684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IF($T203="","",1+COUNTIF($W$15:$W$884,"&lt;"&amp;W203))</f>
        <v>188</v>
      </c>
      <c r="B203" s="16" t="s">
        <v>12</v>
      </c>
      <c r="C203" s="16" t="s">
        <v>430</v>
      </c>
      <c r="D203" s="21" t="s">
        <v>45</v>
      </c>
      <c r="E203" s="16" t="s">
        <v>26</v>
      </c>
      <c r="F203" s="16" t="s">
        <v>431</v>
      </c>
      <c r="G203" s="17">
        <v>2019</v>
      </c>
      <c r="H203" s="17"/>
      <c r="I203" s="17"/>
      <c r="J203" s="17">
        <v>1999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2019</v>
      </c>
      <c r="M203" s="17">
        <f aca="false">IF($H203="","",$H203+$K203)</f>
        <v/>
      </c>
      <c r="N203" s="17">
        <f aca="false">IF($J203="","",$J203+$K203)</f>
        <v>1999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80,760원</v>
      </c>
      <c r="P203" s="17">
        <f aca="false">IF($B$10=0,"",IFERROR(IF($B$4&gt;0,IF($L203="",1/0,$L203*$B$4),0)+IF($B$5&gt;0,IF($M203="",1/0,$M203*$B$5),0)+IF($B$6&gt;0,IF($N203="",1/0,$N203*$B$6),0),""))</f>
        <v>80760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8076</v>
      </c>
      <c r="T203" s="17">
        <f aca="false">IF($P203="","",$P203-$S203)</f>
        <v>72684</v>
      </c>
      <c r="U203" s="17">
        <f aca="false">IF($T203="","",IF($B$10=0,"",$T203/$B$10))</f>
        <v>1817.1</v>
      </c>
      <c r="V203" s="17">
        <f aca="false">IF($P203="","",IF($B$10=0,"",$P203/$B$10))</f>
        <v>2019</v>
      </c>
      <c r="W203" s="19">
        <f aca="false">IF($T203="",1000000000000000,$T203)</f>
        <v>72684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IF($T204="","",1+COUNTIF($W$15:$W$884,"&lt;"&amp;W204))</f>
        <v>188</v>
      </c>
      <c r="B204" s="16" t="s">
        <v>10</v>
      </c>
      <c r="C204" s="16" t="s">
        <v>572</v>
      </c>
      <c r="D204" s="20" t="s">
        <v>54</v>
      </c>
      <c r="E204" s="16" t="s">
        <v>51</v>
      </c>
      <c r="F204" s="16" t="s">
        <v>573</v>
      </c>
      <c r="G204" s="17">
        <v>2019</v>
      </c>
      <c r="H204" s="17"/>
      <c r="I204" s="17"/>
      <c r="J204" s="17">
        <v>2009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/>
      </c>
      <c r="N204" s="17">
        <f aca="false">IF($J204="","",$J204+$K204)</f>
        <v>2009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80,760원</v>
      </c>
      <c r="P204" s="17">
        <f aca="false">IF($B$10=0,"",IFERROR(IF($B$4&gt;0,IF($L204="",1/0,$L204*$B$4),0)+IF($B$5&gt;0,IF($M204="",1/0,$M204*$B$5),0)+IF($B$6&gt;0,IF($N204="",1/0,$N204*$B$6),0),""))</f>
        <v>80760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8076</v>
      </c>
      <c r="T204" s="17">
        <f aca="false">IF($P204="","",$P204-$S204)</f>
        <v>72684</v>
      </c>
      <c r="U204" s="17">
        <f aca="false">IF($T204="","",IF($B$10=0,"",$T204/$B$10))</f>
        <v>1817.1</v>
      </c>
      <c r="V204" s="17">
        <f aca="false">IF($P204="","",IF($B$10=0,"",$P204/$B$10))</f>
        <v>2019</v>
      </c>
      <c r="W204" s="19">
        <f aca="false">IF($T204="",1000000000000000,$T204)</f>
        <v>72684</v>
      </c>
      <c r="XFC204" s="3"/>
    </row>
    <row r="205" s="5" collapsed="false" customFormat="true" customHeight="true" hidden="false" ht="28.5" outlineLevel="0">
      <c r="A205" s="16">
        <f aca="false">IF($T205="","",1+COUNTIF($W$15:$W$884,"&lt;"&amp;W205))</f>
        <v>188</v>
      </c>
      <c r="B205" s="16" t="s">
        <v>12</v>
      </c>
      <c r="C205" s="16" t="s">
        <v>432</v>
      </c>
      <c r="D205" s="21" t="s">
        <v>45</v>
      </c>
      <c r="E205" s="16" t="s">
        <v>26</v>
      </c>
      <c r="F205" s="16" t="s">
        <v>433</v>
      </c>
      <c r="G205" s="17">
        <v>2019</v>
      </c>
      <c r="H205" s="17"/>
      <c r="I205" s="17"/>
      <c r="J205" s="17">
        <v>2015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2015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IF($T206="","",1+COUNTIF($W$15:$W$884,"&lt;"&amp;W206))</f>
        <v>188</v>
      </c>
      <c r="B206" s="16" t="s">
        <v>12</v>
      </c>
      <c r="C206" s="16" t="s">
        <v>434</v>
      </c>
      <c r="D206" s="21" t="s">
        <v>57</v>
      </c>
      <c r="E206" s="16" t="s">
        <v>51</v>
      </c>
      <c r="F206" s="16" t="s">
        <v>435</v>
      </c>
      <c r="G206" s="17">
        <v>2019</v>
      </c>
      <c r="H206" s="17"/>
      <c r="I206" s="17"/>
      <c r="J206" s="17">
        <v>2018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2018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B206" s="6"/>
      <c r="XFC206" s="3"/>
    </row>
    <row r="207" s="22" collapsed="false" customFormat="true" customHeight="true" hidden="false" ht="28.5" outlineLevel="0">
      <c r="A207" s="16">
        <f aca="false">IF($T207="","",1+COUNTIF($W$15:$W$884,"&lt;"&amp;W207))</f>
        <v>188</v>
      </c>
      <c r="B207" s="16" t="s">
        <v>6</v>
      </c>
      <c r="C207" s="16" t="s">
        <v>436</v>
      </c>
      <c r="D207" s="16" t="s">
        <v>45</v>
      </c>
      <c r="E207" s="16" t="s">
        <v>51</v>
      </c>
      <c r="F207" s="16" t="s">
        <v>437</v>
      </c>
      <c r="G207" s="17">
        <v>2019</v>
      </c>
      <c r="H207" s="17"/>
      <c r="I207" s="17"/>
      <c r="J207" s="17">
        <v>2019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B207" s="6"/>
      <c r="XFC207" s="3"/>
    </row>
    <row r="208" s="6" collapsed="false" customFormat="true" customHeight="true" hidden="false" ht="28.5" outlineLevel="0">
      <c r="A208" s="16">
        <f aca="false">IF($T208="","",1+COUNTIF($W$15:$W$884,"&lt;"&amp;W208))</f>
        <v>188</v>
      </c>
      <c r="B208" s="16" t="s">
        <v>6</v>
      </c>
      <c r="C208" s="16" t="s">
        <v>438</v>
      </c>
      <c r="D208" s="21" t="s">
        <v>57</v>
      </c>
      <c r="E208" s="16" t="s">
        <v>51</v>
      </c>
      <c r="F208" s="16" t="s">
        <v>439</v>
      </c>
      <c r="G208" s="17">
        <v>2019</v>
      </c>
      <c r="H208" s="17"/>
      <c r="I208" s="17"/>
      <c r="J208" s="17">
        <v>2019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2019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80,760원</v>
      </c>
      <c r="P208" s="17">
        <f aca="false">IF($B$10=0,"",IFERROR(IF($B$4&gt;0,IF($L208="",1/0,$L208*$B$4),0)+IF($B$5&gt;0,IF($M208="",1/0,$M208*$B$5),0)+IF($B$6&gt;0,IF($N208="",1/0,$N208*$B$6),0),""))</f>
        <v>80760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8076</v>
      </c>
      <c r="T208" s="17">
        <f aca="false">IF($P208="","",$P208-$S208)</f>
        <v>72684</v>
      </c>
      <c r="U208" s="17">
        <f aca="false">IF($T208="","",IF($B$10=0,"",$T208/$B$10))</f>
        <v>1817.1</v>
      </c>
      <c r="V208" s="17">
        <f aca="false">IF($P208="","",IF($B$10=0,"",$P208/$B$10))</f>
        <v>2019</v>
      </c>
      <c r="W208" s="19">
        <f aca="false">IF($T208="",1000000000000000,$T208)</f>
        <v>72684</v>
      </c>
      <c r="XFC208" s="3"/>
    </row>
    <row r="209" s="6" collapsed="false" customFormat="true" customHeight="true" hidden="false" ht="28.5" outlineLevel="0">
      <c r="A209" s="16">
        <f aca="false">IF($T209="","",1+COUNTIF($W$15:$W$884,"&lt;"&amp;W209))</f>
        <v>188</v>
      </c>
      <c r="B209" s="16" t="s">
        <v>6</v>
      </c>
      <c r="C209" s="16" t="s">
        <v>440</v>
      </c>
      <c r="D209" s="16" t="s">
        <v>64</v>
      </c>
      <c r="E209" s="16" t="s">
        <v>26</v>
      </c>
      <c r="F209" s="16" t="s">
        <v>441</v>
      </c>
      <c r="G209" s="17">
        <v>2019</v>
      </c>
      <c r="H209" s="17"/>
      <c r="I209" s="17"/>
      <c r="J209" s="17">
        <v>2019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2019</v>
      </c>
      <c r="M209" s="17">
        <f aca="false">IF($H209="","",$H209+$K209)</f>
        <v/>
      </c>
      <c r="N209" s="17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80,760원</v>
      </c>
      <c r="P209" s="17">
        <f aca="false">IF($B$10=0,"",IFERROR(IF($B$4&gt;0,IF($L209="",1/0,$L209*$B$4),0)+IF($B$5&gt;0,IF($M209="",1/0,$M209*$B$5),0)+IF($B$6&gt;0,IF($N209="",1/0,$N209*$B$6),0),""))</f>
        <v>80760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8076</v>
      </c>
      <c r="T209" s="17">
        <f aca="false">IF($P209="","",$P209-$S209)</f>
        <v>72684</v>
      </c>
      <c r="U209" s="17">
        <f aca="false">IF($T209="","",IF($B$10=0,"",$T209/$B$10))</f>
        <v>1817.1</v>
      </c>
      <c r="V209" s="17">
        <f aca="false">IF($P209="","",IF($B$10=0,"",$P209/$B$10))</f>
        <v>2019</v>
      </c>
      <c r="W209" s="19">
        <f aca="false">IF($T209="",1000000000000000,$T209)</f>
        <v>72684</v>
      </c>
      <c r="XFC209" s="3"/>
    </row>
    <row r="210" s="6" collapsed="false" customFormat="true" customHeight="true" hidden="false" ht="28.5" outlineLevel="0">
      <c r="A210" s="16">
        <f aca="false">IF($T210="","",1+COUNTIF($W$15:$W$884,"&lt;"&amp;W210))</f>
        <v>188</v>
      </c>
      <c r="B210" s="16" t="s">
        <v>10</v>
      </c>
      <c r="C210" s="16" t="s">
        <v>442</v>
      </c>
      <c r="D210" s="21" t="s">
        <v>57</v>
      </c>
      <c r="E210" s="16" t="s">
        <v>51</v>
      </c>
      <c r="F210" s="16" t="s">
        <v>443</v>
      </c>
      <c r="G210" s="17">
        <v>2019</v>
      </c>
      <c r="H210" s="17"/>
      <c r="I210" s="17"/>
      <c r="J210" s="17">
        <v>2029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2019</v>
      </c>
      <c r="M210" s="17">
        <f aca="false">IF($H210="","",$H210+$K210)</f>
        <v/>
      </c>
      <c r="N210" s="17">
        <f aca="false">IF($J210="","",$J210+$K210)</f>
        <v>2029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80,760원</v>
      </c>
      <c r="P210" s="17">
        <f aca="false">IF($B$10=0,"",IFERROR(IF($B$4&gt;0,IF($L210="",1/0,$L210*$B$4),0)+IF($B$5&gt;0,IF($M210="",1/0,$M210*$B$5),0)+IF($B$6&gt;0,IF($N210="",1/0,$N210*$B$6),0),""))</f>
        <v>80760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8076</v>
      </c>
      <c r="T210" s="17">
        <f aca="false">IF($P210="","",$P210-$S210)</f>
        <v>72684</v>
      </c>
      <c r="U210" s="17">
        <f aca="false">IF($T210="","",IF($B$10=0,"",$T210/$B$10))</f>
        <v>1817.1</v>
      </c>
      <c r="V210" s="17">
        <f aca="false">IF($P210="","",IF($B$10=0,"",$P210/$B$10))</f>
        <v>2019</v>
      </c>
      <c r="W210" s="19">
        <f aca="false">IF($T210="",1000000000000000,$T210)</f>
        <v>72684</v>
      </c>
      <c r="XFC210" s="3"/>
    </row>
    <row r="211" s="5" collapsed="false" customFormat="true" customHeight="true" hidden="false" ht="28.5" outlineLevel="0">
      <c r="A211" s="16">
        <f aca="false">IF($T211="","",1+COUNTIF($W$15:$W$884,"&lt;"&amp;W211))</f>
        <v>197</v>
      </c>
      <c r="B211" s="16" t="s">
        <v>12</v>
      </c>
      <c r="C211" s="16" t="s">
        <v>444</v>
      </c>
      <c r="D211" s="20" t="s">
        <v>54</v>
      </c>
      <c r="E211" s="16" t="s">
        <v>26</v>
      </c>
      <c r="F211" s="16" t="s">
        <v>445</v>
      </c>
      <c r="G211" s="17">
        <v>2024</v>
      </c>
      <c r="H211" s="17"/>
      <c r="I211" s="17"/>
      <c r="J211" s="17">
        <v>2013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2024</v>
      </c>
      <c r="M211" s="17">
        <f aca="false">IF($H211="","",$H211+$K211)</f>
        <v/>
      </c>
      <c r="N211" s="17">
        <f aca="false">IF($J211="","",$J211+$K211)</f>
        <v>2013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80,960원</v>
      </c>
      <c r="P211" s="17">
        <f aca="false">IF($B$10=0,"",IFERROR(IF($B$4&gt;0,IF($L211="",1/0,$L211*$B$4),0)+IF($B$5&gt;0,IF($M211="",1/0,$M211*$B$5),0)+IF($B$6&gt;0,IF($N211="",1/0,$N211*$B$6),0),""))</f>
        <v>80960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8096</v>
      </c>
      <c r="T211" s="17">
        <f aca="false">IF($P211="","",$P211-$S211)</f>
        <v>72864</v>
      </c>
      <c r="U211" s="17">
        <f aca="false">IF($T211="","",IF($B$10=0,"",$T211/$B$10))</f>
        <v>1821.6</v>
      </c>
      <c r="V211" s="17">
        <f aca="false">IF($P211="","",IF($B$10=0,"",$P211/$B$10))</f>
        <v>2024</v>
      </c>
      <c r="W211" s="19">
        <f aca="false">IF($T211="",1000000000000000,$T211)</f>
        <v>72864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IF($T212="","",1+COUNTIF($W$15:$W$884,"&lt;"&amp;W212))</f>
        <v>198</v>
      </c>
      <c r="B212" s="16" t="s">
        <v>6</v>
      </c>
      <c r="C212" s="16" t="s">
        <v>446</v>
      </c>
      <c r="D212" s="20" t="s">
        <v>54</v>
      </c>
      <c r="E212" s="16" t="s">
        <v>26</v>
      </c>
      <c r="F212" s="16" t="s">
        <v>447</v>
      </c>
      <c r="G212" s="17">
        <v>2025</v>
      </c>
      <c r="H212" s="17"/>
      <c r="I212" s="17"/>
      <c r="J212" s="17">
        <v>1995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2025</v>
      </c>
      <c r="M212" s="17">
        <f aca="false">IF($H212="","",$H212+$K212)</f>
        <v/>
      </c>
      <c r="N212" s="17">
        <f aca="false">IF($J212="","",$J212+$K212)</f>
        <v>1995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81,000원</v>
      </c>
      <c r="P212" s="17">
        <f aca="false">IF($B$10=0,"",IFERROR(IF($B$4&gt;0,IF($L212="",1/0,$L212*$B$4),0)+IF($B$5&gt;0,IF($M212="",1/0,$M212*$B$5),0)+IF($B$6&gt;0,IF($N212="",1/0,$N212*$B$6),0),""))</f>
        <v>81000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8100</v>
      </c>
      <c r="T212" s="17">
        <f aca="false">IF($P212="","",$P212-$S212)</f>
        <v>72900</v>
      </c>
      <c r="U212" s="17">
        <f aca="false">IF($T212="","",IF($B$10=0,"",$T212/$B$10))</f>
        <v>1822.5</v>
      </c>
      <c r="V212" s="17">
        <f aca="false">IF($P212="","",IF($B$10=0,"",$P212/$B$10))</f>
        <v>2025</v>
      </c>
      <c r="W212" s="19">
        <f aca="false">IF($T212="",1000000000000000,$T212)</f>
        <v>72900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IF($T213="","",1+COUNTIF($W$15:$W$884,"&lt;"&amp;W213))</f>
        <v>198</v>
      </c>
      <c r="B213" s="16" t="s">
        <v>6</v>
      </c>
      <c r="C213" s="16" t="s">
        <v>448</v>
      </c>
      <c r="D213" s="16" t="s">
        <v>45</v>
      </c>
      <c r="E213" s="16" t="s">
        <v>51</v>
      </c>
      <c r="F213" s="16" t="s">
        <v>449</v>
      </c>
      <c r="G213" s="17">
        <v>2025</v>
      </c>
      <c r="H213" s="17"/>
      <c r="I213" s="17"/>
      <c r="J213" s="17">
        <v>2015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2015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81,000원</v>
      </c>
      <c r="P213" s="17">
        <f aca="false">IF($B$10=0,"",IFERROR(IF($B$4&gt;0,IF($L213="",1/0,$L213*$B$4),0)+IF($B$5&gt;0,IF($M213="",1/0,$M213*$B$5),0)+IF($B$6&gt;0,IF($N213="",1/0,$N213*$B$6),0),""))</f>
        <v>81000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8100</v>
      </c>
      <c r="T213" s="17">
        <f aca="false">IF($P213="","",$P213-$S213)</f>
        <v>72900</v>
      </c>
      <c r="U213" s="17">
        <f aca="false">IF($T213="","",IF($B$10=0,"",$T213/$B$10))</f>
        <v>1822.5</v>
      </c>
      <c r="V213" s="17">
        <f aca="false">IF($P213="","",IF($B$10=0,"",$P213/$B$10))</f>
        <v>2025</v>
      </c>
      <c r="W213" s="19">
        <f aca="false">IF($T213="",1000000000000000,$T213)</f>
        <v>72900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IF($T214="","",1+COUNTIF($W$15:$W$884,"&lt;"&amp;W214))</f>
        <v>198</v>
      </c>
      <c r="B214" s="16" t="s">
        <v>12</v>
      </c>
      <c r="C214" s="16" t="s">
        <v>450</v>
      </c>
      <c r="D214" s="21" t="s">
        <v>45</v>
      </c>
      <c r="E214" s="16" t="s">
        <v>51</v>
      </c>
      <c r="F214" s="16" t="s">
        <v>451</v>
      </c>
      <c r="G214" s="17">
        <v>2025</v>
      </c>
      <c r="H214" s="17"/>
      <c r="I214" s="17"/>
      <c r="J214" s="17">
        <v>2015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2015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81,000원</v>
      </c>
      <c r="P214" s="17">
        <f aca="false">IF($B$10=0,"",IFERROR(IF($B$4&gt;0,IF($L214="",1/0,$L214*$B$4),0)+IF($B$5&gt;0,IF($M214="",1/0,$M214*$B$5),0)+IF($B$6&gt;0,IF($N214="",1/0,$N214*$B$6),0),""))</f>
        <v>81000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8100</v>
      </c>
      <c r="T214" s="17">
        <f aca="false">IF($P214="","",$P214-$S214)</f>
        <v>72900</v>
      </c>
      <c r="U214" s="17">
        <f aca="false">IF($T214="","",IF($B$10=0,"",$T214/$B$10))</f>
        <v>1822.5</v>
      </c>
      <c r="V214" s="17">
        <f aca="false">IF($P214="","",IF($B$10=0,"",$P214/$B$10))</f>
        <v>2025</v>
      </c>
      <c r="W214" s="19">
        <f aca="false">IF($T214="",1000000000000000,$T214)</f>
        <v>72900</v>
      </c>
      <c r="XFB214" s="6"/>
      <c r="XFC214" s="3"/>
    </row>
    <row r="215" s="6" collapsed="false" customFormat="true" customHeight="true" hidden="false" ht="28.5" outlineLevel="0">
      <c r="A215" s="16">
        <f aca="false">IF($T215="","",1+COUNTIF($W$15:$W$884,"&lt;"&amp;W215))</f>
        <v>198</v>
      </c>
      <c r="B215" s="16" t="s">
        <v>10</v>
      </c>
      <c r="C215" s="16" t="s">
        <v>452</v>
      </c>
      <c r="D215" s="16" t="s">
        <v>45</v>
      </c>
      <c r="E215" s="16" t="s">
        <v>51</v>
      </c>
      <c r="F215" s="16" t="s">
        <v>453</v>
      </c>
      <c r="G215" s="17">
        <v>2025</v>
      </c>
      <c r="H215" s="17"/>
      <c r="I215" s="17"/>
      <c r="J215" s="17">
        <v>2025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2025</v>
      </c>
      <c r="M215" s="17">
        <f aca="false">IF($H215="","",$H215+$K215)</f>
        <v/>
      </c>
      <c r="N215" s="17">
        <f aca="false">IF($J215="","",$J215+$K215)</f>
        <v>2025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81,000원</v>
      </c>
      <c r="P215" s="17">
        <f aca="false">IF($B$10=0,"",IFERROR(IF($B$4&gt;0,IF($L215="",1/0,$L215*$B$4),0)+IF($B$5&gt;0,IF($M215="",1/0,$M215*$B$5),0)+IF($B$6&gt;0,IF($N215="",1/0,$N215*$B$6),0),""))</f>
        <v>81000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8100</v>
      </c>
      <c r="T215" s="17">
        <f aca="false">IF($P215="","",$P215-$S215)</f>
        <v>72900</v>
      </c>
      <c r="U215" s="17">
        <f aca="false">IF($T215="","",IF($B$10=0,"",$T215/$B$10))</f>
        <v>1822.5</v>
      </c>
      <c r="V215" s="17">
        <f aca="false">IF($P215="","",IF($B$10=0,"",$P215/$B$10))</f>
        <v>2025</v>
      </c>
      <c r="W215" s="19">
        <f aca="false">IF($T215="",1000000000000000,$T215)</f>
        <v>72900</v>
      </c>
      <c r="XFC215" s="3"/>
    </row>
    <row r="216" s="22" collapsed="false" customFormat="true" customHeight="true" hidden="false" ht="28.5" outlineLevel="0">
      <c r="A216" s="16">
        <f aca="false">IF($T216="","",1+COUNTIF($W$15:$W$884,"&lt;"&amp;W216))</f>
        <v>202</v>
      </c>
      <c r="B216" s="16" t="s">
        <v>12</v>
      </c>
      <c r="C216" s="16" t="s">
        <v>454</v>
      </c>
      <c r="D216" s="20" t="s">
        <v>54</v>
      </c>
      <c r="E216" s="16" t="s">
        <v>26</v>
      </c>
      <c r="F216" s="16" t="s">
        <v>455</v>
      </c>
      <c r="G216" s="17">
        <v>2027</v>
      </c>
      <c r="H216" s="17"/>
      <c r="I216" s="17"/>
      <c r="J216" s="17">
        <v>2007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2007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81,080원</v>
      </c>
      <c r="P216" s="17">
        <f aca="false">IF($B$10=0,"",IFERROR(IF($B$4&gt;0,IF($L216="",1/0,$L216*$B$4),0)+IF($B$5&gt;0,IF($M216="",1/0,$M216*$B$5),0)+IF($B$6&gt;0,IF($N216="",1/0,$N216*$B$6),0),""))</f>
        <v>81080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8108</v>
      </c>
      <c r="T216" s="17">
        <f aca="false">IF($P216="","",$P216-$S216)</f>
        <v>72972</v>
      </c>
      <c r="U216" s="17">
        <f aca="false">IF($T216="","",IF($B$10=0,"",$T216/$B$10))</f>
        <v>1824.3</v>
      </c>
      <c r="V216" s="17">
        <f aca="false">IF($P216="","",IF($B$10=0,"",$P216/$B$10))</f>
        <v>2027</v>
      </c>
      <c r="W216" s="19">
        <f aca="false">IF($T216="",1000000000000000,$T216)</f>
        <v>72972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IF($T217="","",1+COUNTIF($W$15:$W$884,"&lt;"&amp;W217))</f>
        <v>202</v>
      </c>
      <c r="B217" s="16" t="s">
        <v>10</v>
      </c>
      <c r="C217" s="16" t="s">
        <v>456</v>
      </c>
      <c r="D217" s="16" t="s">
        <v>45</v>
      </c>
      <c r="E217" s="16" t="s">
        <v>26</v>
      </c>
      <c r="F217" s="16" t="s">
        <v>457</v>
      </c>
      <c r="G217" s="17">
        <v>2027</v>
      </c>
      <c r="H217" s="17"/>
      <c r="I217" s="17"/>
      <c r="J217" s="17">
        <v>2007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2007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81,080원</v>
      </c>
      <c r="P217" s="17">
        <f aca="false">IF($B$10=0,"",IFERROR(IF($B$4&gt;0,IF($L217="",1/0,$L217*$B$4),0)+IF($B$5&gt;0,IF($M217="",1/0,$M217*$B$5),0)+IF($B$6&gt;0,IF($N217="",1/0,$N217*$B$6),0),""))</f>
        <v>81080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8108</v>
      </c>
      <c r="T217" s="17">
        <f aca="false">IF($P217="","",$P217-$S217)</f>
        <v>72972</v>
      </c>
      <c r="U217" s="17">
        <f aca="false">IF($T217="","",IF($B$10=0,"",$T217/$B$10))</f>
        <v>1824.3</v>
      </c>
      <c r="V217" s="17">
        <f aca="false">IF($P217="","",IF($B$10=0,"",$P217/$B$10))</f>
        <v>2027</v>
      </c>
      <c r="W217" s="19">
        <f aca="false">IF($T217="",1000000000000000,$T217)</f>
        <v>72972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IF($T218="","",1+COUNTIF($W$15:$W$884,"&lt;"&amp;W218))</f>
        <v>202</v>
      </c>
      <c r="B218" s="16" t="s">
        <v>10</v>
      </c>
      <c r="C218" s="16" t="s">
        <v>458</v>
      </c>
      <c r="D218" s="21" t="s">
        <v>57</v>
      </c>
      <c r="E218" s="16" t="s">
        <v>26</v>
      </c>
      <c r="F218" s="16" t="s">
        <v>459</v>
      </c>
      <c r="G218" s="17">
        <v>2027</v>
      </c>
      <c r="H218" s="17"/>
      <c r="I218" s="17"/>
      <c r="J218" s="17">
        <v>2017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2017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81,080원</v>
      </c>
      <c r="P218" s="17">
        <f aca="false">IF($B$10=0,"",IFERROR(IF($B$4&gt;0,IF($L218="",1/0,$L218*$B$4),0)+IF($B$5&gt;0,IF($M218="",1/0,$M218*$B$5),0)+IF($B$6&gt;0,IF($N218="",1/0,$N218*$B$6),0),""))</f>
        <v>81080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8108</v>
      </c>
      <c r="T218" s="17">
        <f aca="false">IF($P218="","",$P218-$S218)</f>
        <v>72972</v>
      </c>
      <c r="U218" s="17">
        <f aca="false">IF($T218="","",IF($B$10=0,"",$T218/$B$10))</f>
        <v>1824.3</v>
      </c>
      <c r="V218" s="17">
        <f aca="false">IF($P218="","",IF($B$10=0,"",$P218/$B$10))</f>
        <v>2027</v>
      </c>
      <c r="W218" s="19">
        <f aca="false">IF($T218="",1000000000000000,$T218)</f>
        <v>72972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IF($T219="","",1+COUNTIF($W$15:$W$884,"&lt;"&amp;W219))</f>
        <v>202</v>
      </c>
      <c r="B219" s="16" t="s">
        <v>10</v>
      </c>
      <c r="C219" s="16" t="s">
        <v>460</v>
      </c>
      <c r="D219" s="16" t="s">
        <v>64</v>
      </c>
      <c r="E219" s="16" t="s">
        <v>26</v>
      </c>
      <c r="F219" s="16" t="s">
        <v>461</v>
      </c>
      <c r="G219" s="17">
        <v>2027</v>
      </c>
      <c r="H219" s="17"/>
      <c r="I219" s="17"/>
      <c r="J219" s="17">
        <v>2017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2027</v>
      </c>
      <c r="M219" s="17">
        <f aca="false">IF($H219="","",$H219+$K219)</f>
        <v/>
      </c>
      <c r="N219" s="17">
        <f aca="false">IF($J219="","",$J219+$K219)</f>
        <v>2017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81,080원</v>
      </c>
      <c r="P219" s="17">
        <f aca="false">IF($B$10=0,"",IFERROR(IF($B$4&gt;0,IF($L219="",1/0,$L219*$B$4),0)+IF($B$5&gt;0,IF($M219="",1/0,$M219*$B$5),0)+IF($B$6&gt;0,IF($N219="",1/0,$N219*$B$6),0),""))</f>
        <v>81080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8108</v>
      </c>
      <c r="T219" s="17">
        <f aca="false">IF($P219="","",$P219-$S219)</f>
        <v>72972</v>
      </c>
      <c r="U219" s="17">
        <f aca="false">IF($T219="","",IF($B$10=0,"",$T219/$B$10))</f>
        <v>1824.3</v>
      </c>
      <c r="V219" s="17">
        <f aca="false">IF($P219="","",IF($B$10=0,"",$P219/$B$10))</f>
        <v>2027</v>
      </c>
      <c r="W219" s="19">
        <f aca="false">IF($T219="",1000000000000000,$T219)</f>
        <v>72972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IF($T220="","",1+COUNTIF($W$15:$W$884,"&lt;"&amp;W220))</f>
        <v>206</v>
      </c>
      <c r="B220" s="16" t="s">
        <v>12</v>
      </c>
      <c r="C220" s="16" t="s">
        <v>462</v>
      </c>
      <c r="D220" s="20" t="s">
        <v>54</v>
      </c>
      <c r="E220" s="16" t="s">
        <v>26</v>
      </c>
      <c r="F220" s="16" t="s">
        <v>463</v>
      </c>
      <c r="G220" s="17">
        <v>2028</v>
      </c>
      <c r="H220" s="17"/>
      <c r="I220" s="17"/>
      <c r="J220" s="17">
        <v>1998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2028</v>
      </c>
      <c r="M220" s="17">
        <f aca="false">IF($H220="","",$H220+$K220)</f>
        <v/>
      </c>
      <c r="N220" s="17">
        <f aca="false">IF($J220="","",$J220+$K220)</f>
        <v>1998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81,120원</v>
      </c>
      <c r="P220" s="17">
        <f aca="false">IF($B$10=0,"",IFERROR(IF($B$4&gt;0,IF($L220="",1/0,$L220*$B$4),0)+IF($B$5&gt;0,IF($M220="",1/0,$M220*$B$5),0)+IF($B$6&gt;0,IF($N220="",1/0,$N220*$B$6),0),""))</f>
        <v>81120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8112</v>
      </c>
      <c r="T220" s="17">
        <f aca="false">IF($P220="","",$P220-$S220)</f>
        <v>73008</v>
      </c>
      <c r="U220" s="17">
        <f aca="false">IF($T220="","",IF($B$10=0,"",$T220/$B$10))</f>
        <v>1825.2</v>
      </c>
      <c r="V220" s="17">
        <f aca="false">IF($P220="","",IF($B$10=0,"",$P220/$B$10))</f>
        <v>2028</v>
      </c>
      <c r="W220" s="19">
        <f aca="false">IF($T220="",1000000000000000,$T220)</f>
        <v>73008</v>
      </c>
      <c r="XFC220" s="3"/>
    </row>
    <row r="221" s="5" collapsed="false" customFormat="true" customHeight="true" hidden="false" ht="28.5" outlineLevel="0">
      <c r="A221" s="16">
        <f aca="false">IF($T221="","",1+COUNTIF($W$15:$W$884,"&lt;"&amp;W221))</f>
        <v>207</v>
      </c>
      <c r="B221" s="16" t="s">
        <v>12</v>
      </c>
      <c r="C221" s="16" t="s">
        <v>464</v>
      </c>
      <c r="D221" s="21" t="s">
        <v>57</v>
      </c>
      <c r="E221" s="16" t="s">
        <v>26</v>
      </c>
      <c r="F221" s="16" t="s">
        <v>465</v>
      </c>
      <c r="G221" s="17">
        <v>2029</v>
      </c>
      <c r="H221" s="17"/>
      <c r="I221" s="17"/>
      <c r="J221" s="17">
        <v>1999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2029</v>
      </c>
      <c r="M221" s="17">
        <f aca="false">IF($H221="","",$H221+$K221)</f>
        <v/>
      </c>
      <c r="N221" s="17">
        <f aca="false">IF($J221="","",$J221+$K221)</f>
        <v>1999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81,160원</v>
      </c>
      <c r="P221" s="17">
        <f aca="false">IF($B$10=0,"",IFERROR(IF($B$4&gt;0,IF($L221="",1/0,$L221*$B$4),0)+IF($B$5&gt;0,IF($M221="",1/0,$M221*$B$5),0)+IF($B$6&gt;0,IF($N221="",1/0,$N221*$B$6),0),""))</f>
        <v>81160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8116</v>
      </c>
      <c r="T221" s="17">
        <f aca="false">IF($P221="","",$P221-$S221)</f>
        <v>73044</v>
      </c>
      <c r="U221" s="17">
        <f aca="false">IF($T221="","",IF($B$10=0,"",$T221/$B$10))</f>
        <v>1826.1</v>
      </c>
      <c r="V221" s="17">
        <f aca="false">IF($P221="","",IF($B$10=0,"",$P221/$B$10))</f>
        <v>2029</v>
      </c>
      <c r="W221" s="23">
        <f aca="false">IF($T221="",1000000000000000,$T221)</f>
        <v>73044</v>
      </c>
      <c r="XFB221" s="6"/>
      <c r="XFC221" s="3"/>
    </row>
    <row r="222" s="22" collapsed="false" customFormat="true" customHeight="true" hidden="false" ht="28.5" outlineLevel="0">
      <c r="A222" s="16">
        <f aca="false">IF($T222="","",1+COUNTIF($W$15:$W$884,"&lt;"&amp;W222))</f>
        <v>207</v>
      </c>
      <c r="B222" s="16" t="s">
        <v>12</v>
      </c>
      <c r="C222" s="16" t="s">
        <v>466</v>
      </c>
      <c r="D222" s="20" t="s">
        <v>54</v>
      </c>
      <c r="E222" s="16" t="s">
        <v>26</v>
      </c>
      <c r="F222" s="16" t="s">
        <v>467</v>
      </c>
      <c r="G222" s="17">
        <v>2029</v>
      </c>
      <c r="H222" s="17"/>
      <c r="I222" s="17"/>
      <c r="J222" s="17">
        <v>2019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2019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81,160원</v>
      </c>
      <c r="P222" s="17">
        <f aca="false">IF($B$10=0,"",IFERROR(IF($B$4&gt;0,IF($L222="",1/0,$L222*$B$4),0)+IF($B$5&gt;0,IF($M222="",1/0,$M222*$B$5),0)+IF($B$6&gt;0,IF($N222="",1/0,$N222*$B$6),0),""))</f>
        <v>81160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8116</v>
      </c>
      <c r="T222" s="17">
        <f aca="false">IF($P222="","",$P222-$S222)</f>
        <v>73044</v>
      </c>
      <c r="U222" s="17">
        <f aca="false">IF($T222="","",IF($B$10=0,"",$T222/$B$10))</f>
        <v>1826.1</v>
      </c>
      <c r="V222" s="17">
        <f aca="false">IF($P222="","",IF($B$10=0,"",$P222/$B$10))</f>
        <v>2029</v>
      </c>
      <c r="W222" s="19">
        <f aca="false">IF($T222="",1000000000000000,$T222)</f>
        <v>73044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IF($T223="","",1+COUNTIF($W$15:$W$884,"&lt;"&amp;W223))</f>
        <v>207</v>
      </c>
      <c r="B223" s="16" t="s">
        <v>10</v>
      </c>
      <c r="C223" s="16" t="s">
        <v>346</v>
      </c>
      <c r="D223" s="21" t="s">
        <v>57</v>
      </c>
      <c r="E223" s="16" t="s">
        <v>26</v>
      </c>
      <c r="F223" s="16" t="s">
        <v>468</v>
      </c>
      <c r="G223" s="17">
        <v>2029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19">
        <f aca="false">IF($T223="",1000000000000000,$T223)</f>
        <v>73044</v>
      </c>
      <c r="XFC223" s="3"/>
    </row>
    <row r="224" s="22" collapsed="false" customFormat="true" customHeight="true" hidden="false" ht="28.5" outlineLevel="0">
      <c r="A224" s="16">
        <f aca="false">IF($T224="","",1+COUNTIF($W$15:$W$884,"&lt;"&amp;W224))</f>
        <v>207</v>
      </c>
      <c r="B224" s="16" t="s">
        <v>6</v>
      </c>
      <c r="C224" s="16" t="s">
        <v>469</v>
      </c>
      <c r="D224" s="16" t="s">
        <v>45</v>
      </c>
      <c r="E224" s="16" t="s">
        <v>26</v>
      </c>
      <c r="F224" s="16" t="s">
        <v>470</v>
      </c>
      <c r="G224" s="17">
        <v>2029</v>
      </c>
      <c r="H224" s="17"/>
      <c r="I224" s="17"/>
      <c r="J224" s="17">
        <v>2024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2024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IF($T225="","",1+COUNTIF($W$15:$W$884,"&lt;"&amp;W225))</f>
        <v>207</v>
      </c>
      <c r="B225" s="16" t="s">
        <v>8</v>
      </c>
      <c r="C225" s="16" t="s">
        <v>471</v>
      </c>
      <c r="D225" s="20" t="s">
        <v>54</v>
      </c>
      <c r="E225" s="16" t="s">
        <v>51</v>
      </c>
      <c r="F225" s="16" t="s">
        <v>472</v>
      </c>
      <c r="G225" s="17">
        <v>2029</v>
      </c>
      <c r="H225" s="17"/>
      <c r="I225" s="17"/>
      <c r="J225" s="17">
        <v>2029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IF($T226="","",1+COUNTIF($W$15:$W$884,"&lt;"&amp;W226))</f>
        <v>207</v>
      </c>
      <c r="B226" s="16" t="s">
        <v>8</v>
      </c>
      <c r="C226" s="16" t="s">
        <v>473</v>
      </c>
      <c r="D226" s="16" t="s">
        <v>45</v>
      </c>
      <c r="E226" s="16" t="s">
        <v>51</v>
      </c>
      <c r="F226" s="16" t="s">
        <v>474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81,160원</v>
      </c>
      <c r="P226" s="17">
        <f aca="false">IF($B$10=0,"",IFERROR(IF($B$4&gt;0,IF($L226="",1/0,$L226*$B$4),0)+IF($B$5&gt;0,IF($M226="",1/0,$M226*$B$5),0)+IF($B$6&gt;0,IF($N226="",1/0,$N226*$B$6),0),""))</f>
        <v>81160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8116</v>
      </c>
      <c r="T226" s="17">
        <f aca="false">IF($P226="","",$P226-$S226)</f>
        <v>73044</v>
      </c>
      <c r="U226" s="17">
        <f aca="false">IF($T226="","",IF($B$10=0,"",$T226/$B$10))</f>
        <v>1826.1</v>
      </c>
      <c r="V226" s="17">
        <f aca="false">IF($P226="","",IF($B$10=0,"",$P226/$B$10))</f>
        <v>2029</v>
      </c>
      <c r="W226" s="19">
        <f aca="false">IF($T226="",1000000000000000,$T226)</f>
        <v>73044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IF($T227="","",1+COUNTIF($W$15:$W$884,"&lt;"&amp;W227))</f>
        <v>207</v>
      </c>
      <c r="B227" s="16" t="s">
        <v>8</v>
      </c>
      <c r="C227" s="16" t="s">
        <v>475</v>
      </c>
      <c r="D227" s="16" t="s">
        <v>45</v>
      </c>
      <c r="E227" s="16" t="s">
        <v>26</v>
      </c>
      <c r="F227" s="16" t="s">
        <v>476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81,160원</v>
      </c>
      <c r="P227" s="17">
        <f aca="false">IF($B$10=0,"",IFERROR(IF($B$4&gt;0,IF($L227="",1/0,$L227*$B$4),0)+IF($B$5&gt;0,IF($M227="",1/0,$M227*$B$5),0)+IF($B$6&gt;0,IF($N227="",1/0,$N227*$B$6),0),""))</f>
        <v>81160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8116</v>
      </c>
      <c r="T227" s="17">
        <f aca="false">IF($P227="","",$P227-$S227)</f>
        <v>73044</v>
      </c>
      <c r="U227" s="17">
        <f aca="false">IF($T227="","",IF($B$10=0,"",$T227/$B$10))</f>
        <v>1826.1</v>
      </c>
      <c r="V227" s="17">
        <f aca="false">IF($P227="","",IF($B$10=0,"",$P227/$B$10))</f>
        <v>2029</v>
      </c>
      <c r="W227" s="19">
        <f aca="false">IF($T227="",1000000000000000,$T227)</f>
        <v>73044</v>
      </c>
      <c r="XFB227" s="6"/>
      <c r="XFC227" s="3"/>
    </row>
    <row r="228" s="22" collapsed="false" customFormat="true" customHeight="true" hidden="false" ht="28.5" outlineLevel="0">
      <c r="A228" s="16">
        <f aca="false">IF($T228="","",1+COUNTIF($W$15:$W$884,"&lt;"&amp;W228))</f>
        <v>207</v>
      </c>
      <c r="B228" s="16" t="s">
        <v>8</v>
      </c>
      <c r="C228" s="16" t="s">
        <v>477</v>
      </c>
      <c r="D228" s="16" t="s">
        <v>64</v>
      </c>
      <c r="E228" s="16" t="s">
        <v>26</v>
      </c>
      <c r="F228" s="16" t="s">
        <v>478</v>
      </c>
      <c r="G228" s="17">
        <v>2029</v>
      </c>
      <c r="H228" s="17"/>
      <c r="I228" s="17"/>
      <c r="J228" s="17">
        <v>2029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2029</v>
      </c>
      <c r="M228" s="17">
        <f aca="false">IF($H228="","",$H228+$K228)</f>
        <v/>
      </c>
      <c r="N228" s="17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81,160원</v>
      </c>
      <c r="P228" s="17">
        <f aca="false">IF($B$10=0,"",IFERROR(IF($B$4&gt;0,IF($L228="",1/0,$L228*$B$4),0)+IF($B$5&gt;0,IF($M228="",1/0,$M228*$B$5),0)+IF($B$6&gt;0,IF($N228="",1/0,$N228*$B$6),0),""))</f>
        <v>81160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8116</v>
      </c>
      <c r="T228" s="17">
        <f aca="false">IF($P228="","",$P228-$S228)</f>
        <v>73044</v>
      </c>
      <c r="U228" s="17">
        <f aca="false">IF($T228="","",IF($B$10=0,"",$T228/$B$10))</f>
        <v>1826.1</v>
      </c>
      <c r="V228" s="17">
        <f aca="false">IF($P228="","",IF($B$10=0,"",$P228/$B$10))</f>
        <v>2029</v>
      </c>
      <c r="W228" s="19">
        <f aca="false">IF($T228="",1000000000000000,$T228)</f>
        <v>73044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IF($T229="","",1+COUNTIF($W$15:$W$884,"&lt;"&amp;W229))</f>
        <v>215</v>
      </c>
      <c r="B229" s="16" t="s">
        <v>12</v>
      </c>
      <c r="C229" s="16" t="s">
        <v>479</v>
      </c>
      <c r="D229" s="20" t="s">
        <v>54</v>
      </c>
      <c r="E229" s="16" t="s">
        <v>26</v>
      </c>
      <c r="F229" s="16" t="s">
        <v>480</v>
      </c>
      <c r="G229" s="17">
        <v>2030</v>
      </c>
      <c r="H229" s="17"/>
      <c r="I229" s="17"/>
      <c r="J229" s="17">
        <v>2030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2030</v>
      </c>
      <c r="M229" s="17">
        <f aca="false">IF($H229="","",$H229+$K229)</f>
        <v/>
      </c>
      <c r="N229" s="17">
        <f aca="false">IF($J229="","",$J229+$K229)</f>
        <v>2030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81,200원</v>
      </c>
      <c r="P229" s="17">
        <f aca="false">IF($B$10=0,"",IFERROR(IF($B$4&gt;0,IF($L229="",1/0,$L229*$B$4),0)+IF($B$5&gt;0,IF($M229="",1/0,$M229*$B$5),0)+IF($B$6&gt;0,IF($N229="",1/0,$N229*$B$6),0),""))</f>
        <v>81200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8120</v>
      </c>
      <c r="T229" s="17">
        <f aca="false">IF($P229="","",$P229-$S229)</f>
        <v>73080</v>
      </c>
      <c r="U229" s="17">
        <f aca="false">IF($T229="","",IF($B$10=0,"",$T229/$B$10))</f>
        <v>1827</v>
      </c>
      <c r="V229" s="17">
        <f aca="false">IF($P229="","",IF($B$10=0,"",$P229/$B$10))</f>
        <v>2030</v>
      </c>
      <c r="W229" s="19">
        <f aca="false">IF($T229="",1000000000000000,$T229)</f>
        <v>73080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IF($T230="","",1+COUNTIF($W$15:$W$884,"&lt;"&amp;W230))</f>
        <v>216</v>
      </c>
      <c r="B230" s="16" t="s">
        <v>14</v>
      </c>
      <c r="C230" s="16" t="s">
        <v>481</v>
      </c>
      <c r="D230" s="16" t="s">
        <v>45</v>
      </c>
      <c r="E230" s="16" t="s">
        <v>26</v>
      </c>
      <c r="F230" s="16" t="s">
        <v>482</v>
      </c>
      <c r="G230" s="17">
        <v>2054</v>
      </c>
      <c r="H230" s="17">
        <v>2430</v>
      </c>
      <c r="I230" s="17"/>
      <c r="J230" s="17">
        <v>2025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2054</v>
      </c>
      <c r="M230" s="17">
        <f aca="false">IF($H230="","",$H230+$K230)</f>
        <v>2430</v>
      </c>
      <c r="N230" s="17">
        <f aca="false">IF($J230="","",$J230+$K230)</f>
        <v>2025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82,160원</v>
      </c>
      <c r="P230" s="17">
        <f aca="false">IF($B$10=0,"",IFERROR(IF($B$4&gt;0,IF($L230="",1/0,$L230*$B$4),0)+IF($B$5&gt;0,IF($M230="",1/0,$M230*$B$5),0)+IF($B$6&gt;0,IF($N230="",1/0,$N230*$B$6),0),""))</f>
        <v>82160</v>
      </c>
      <c r="Q230" s="17" t="s">
        <v>47</v>
      </c>
      <c r="R230" s="18">
        <f aca="false">IF($P230="","",IF($Q230="Y",IFERROR(VLOOKUP($B230,$C$4:$D$13,2,FALSE()),0),0))</f>
        <v>0.11</v>
      </c>
      <c r="S230" s="17">
        <f aca="false">IF($P230="","",ROUNDDOWN($P230*$R230,0))</f>
        <v>9037</v>
      </c>
      <c r="T230" s="17">
        <f aca="false">IF($P230="","",$P230-$S230)</f>
        <v>73123</v>
      </c>
      <c r="U230" s="17">
        <f aca="false">IF($T230="","",IF($B$10=0,"",$T230/$B$10))</f>
        <v>1828.075</v>
      </c>
      <c r="V230" s="17">
        <f aca="false">IF($P230="","",IF($B$10=0,"",$P230/$B$10))</f>
        <v>2054</v>
      </c>
      <c r="W230" s="19">
        <f aca="false">IF($T230="",1000000000000000,$T230)</f>
        <v>73123</v>
      </c>
      <c r="XFC230" s="3"/>
    </row>
    <row r="231" s="5" collapsed="false" customFormat="true" customHeight="true" hidden="false" ht="28.5" outlineLevel="0">
      <c r="A231" s="16">
        <f aca="false">IF($T231="","",1+COUNTIF($W$15:$W$884,"&lt;"&amp;W231))</f>
        <v>216</v>
      </c>
      <c r="B231" s="16" t="s">
        <v>14</v>
      </c>
      <c r="C231" s="16" t="s">
        <v>483</v>
      </c>
      <c r="D231" s="21" t="s">
        <v>57</v>
      </c>
      <c r="E231" s="16" t="s">
        <v>26</v>
      </c>
      <c r="F231" s="16" t="s">
        <v>484</v>
      </c>
      <c r="G231" s="17">
        <v>2054</v>
      </c>
      <c r="H231" s="17">
        <v>2499</v>
      </c>
      <c r="I231" s="17"/>
      <c r="J231" s="17">
        <v>2049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2054</v>
      </c>
      <c r="M231" s="17">
        <f aca="false">IF($H231="","",$H231+$K231)</f>
        <v>2499</v>
      </c>
      <c r="N231" s="17">
        <f aca="false">IF($J231="","",$J231+$K231)</f>
        <v>2049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82,160원</v>
      </c>
      <c r="P231" s="17">
        <f aca="false">IF($B$10=0,"",IFERROR(IF($B$4&gt;0,IF($L231="",1/0,$L231*$B$4),0)+IF($B$5&gt;0,IF($M231="",1/0,$M231*$B$5),0)+IF($B$6&gt;0,IF($N231="",1/0,$N231*$B$6),0),""))</f>
        <v>82160</v>
      </c>
      <c r="Q231" s="17" t="s">
        <v>47</v>
      </c>
      <c r="R231" s="18">
        <f aca="false">IF($P231="","",IF($Q231="Y",IFERROR(VLOOKUP($B231,$C$4:$D$13,2,FALSE()),0),0))</f>
        <v>0.11</v>
      </c>
      <c r="S231" s="17">
        <f aca="false">IF($P231="","",ROUNDDOWN($P231*$R231,0))</f>
        <v>9037</v>
      </c>
      <c r="T231" s="17">
        <f aca="false">IF($P231="","",$P231-$S231)</f>
        <v>73123</v>
      </c>
      <c r="U231" s="17">
        <f aca="false">IF($T231="","",IF($B$10=0,"",$T231/$B$10))</f>
        <v>1828.075</v>
      </c>
      <c r="V231" s="17">
        <f aca="false">IF($P231="","",IF($B$10=0,"",$P231/$B$10))</f>
        <v>2054</v>
      </c>
      <c r="W231" s="19">
        <f aca="false">IF($T231="",1000000000000000,$T231)</f>
        <v>73123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IF($T232="","",1+COUNTIF($W$15:$W$884,"&lt;"&amp;W232))</f>
        <v>218</v>
      </c>
      <c r="B232" s="16" t="s">
        <v>10</v>
      </c>
      <c r="C232" s="16" t="s">
        <v>485</v>
      </c>
      <c r="D232" s="16" t="s">
        <v>45</v>
      </c>
      <c r="E232" s="16" t="s">
        <v>26</v>
      </c>
      <c r="F232" s="16" t="s">
        <v>486</v>
      </c>
      <c r="G232" s="17">
        <v>2034</v>
      </c>
      <c r="H232" s="17"/>
      <c r="I232" s="17"/>
      <c r="J232" s="17">
        <v>2023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2034</v>
      </c>
      <c r="M232" s="17">
        <f aca="false">IF($H232="","",$H232+$K232)</f>
        <v/>
      </c>
      <c r="N232" s="17">
        <f aca="false">IF($J232="","",$J232+$K232)</f>
        <v>2023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81,360원</v>
      </c>
      <c r="P232" s="17">
        <f aca="false">IF($B$10=0,"",IFERROR(IF($B$4&gt;0,IF($L232="",1/0,$L232*$B$4),0)+IF($B$5&gt;0,IF($M232="",1/0,$M232*$B$5),0)+IF($B$6&gt;0,IF($N232="",1/0,$N232*$B$6),0),""))</f>
        <v>81360</v>
      </c>
      <c r="Q232" s="17" t="s">
        <v>47</v>
      </c>
      <c r="R232" s="18">
        <f aca="false">IF($P232="","",IF($Q232="Y",IFERROR(VLOOKUP($B232,$C$4:$D$13,2,FALSE()),0),0))</f>
        <v>0.1</v>
      </c>
      <c r="S232" s="17">
        <f aca="false">IF($P232="","",ROUNDDOWN($P232*$R232,0))</f>
        <v>8136</v>
      </c>
      <c r="T232" s="17">
        <f aca="false">IF($P232="","",$P232-$S232)</f>
        <v>73224</v>
      </c>
      <c r="U232" s="17">
        <f aca="false">IF($T232="","",IF($B$10=0,"",$T232/$B$10))</f>
        <v>1830.6</v>
      </c>
      <c r="V232" s="17">
        <f aca="false">IF($P232="","",IF($B$10=0,"",$P232/$B$10))</f>
        <v>2034</v>
      </c>
      <c r="W232" s="19">
        <f aca="false">IF($T232="",1000000000000000,$T232)</f>
        <v>73224</v>
      </c>
      <c r="XFB232" s="6"/>
      <c r="XFC232" s="3"/>
    </row>
    <row r="233" s="6" collapsed="false" customFormat="true" customHeight="true" hidden="false" ht="28.5" outlineLevel="0">
      <c r="A233" s="16">
        <f aca="false">IF($T233="","",1+COUNTIF($W$15:$W$884,"&lt;"&amp;W233))</f>
        <v>218</v>
      </c>
      <c r="B233" s="16" t="s">
        <v>10</v>
      </c>
      <c r="C233" s="16" t="s">
        <v>487</v>
      </c>
      <c r="D233" s="21" t="s">
        <v>57</v>
      </c>
      <c r="E233" s="16" t="s">
        <v>26</v>
      </c>
      <c r="F233" s="16" t="s">
        <v>488</v>
      </c>
      <c r="G233" s="17">
        <v>2034</v>
      </c>
      <c r="H233" s="17"/>
      <c r="I233" s="17"/>
      <c r="J233" s="17">
        <v>2025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2034</v>
      </c>
      <c r="M233" s="17">
        <f aca="false">IF($H233="","",$H233+$K233)</f>
        <v/>
      </c>
      <c r="N233" s="17">
        <f aca="false">IF($J233="","",$J233+$K233)</f>
        <v>2025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81,360원</v>
      </c>
      <c r="P233" s="17">
        <f aca="false">IF($B$10=0,"",IFERROR(IF($B$4&gt;0,IF($L233="",1/0,$L233*$B$4),0)+IF($B$5&gt;0,IF($M233="",1/0,$M233*$B$5),0)+IF($B$6&gt;0,IF($N233="",1/0,$N233*$B$6),0),""))</f>
        <v>81360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8136</v>
      </c>
      <c r="T233" s="17">
        <f aca="false">IF($P233="","",$P233-$S233)</f>
        <v>73224</v>
      </c>
      <c r="U233" s="17">
        <f aca="false">IF($T233="","",IF($B$10=0,"",$T233/$B$10))</f>
        <v>1830.6</v>
      </c>
      <c r="V233" s="17">
        <f aca="false">IF($P233="","",IF($B$10=0,"",$P233/$B$10))</f>
        <v>2034</v>
      </c>
      <c r="W233" s="19">
        <f aca="false">IF($T233="",1000000000000000,$T233)</f>
        <v>73224</v>
      </c>
      <c r="XFC233" s="3"/>
    </row>
    <row r="234" s="5" collapsed="false" customFormat="true" customHeight="true" hidden="false" ht="28.5" outlineLevel="0">
      <c r="A234" s="16">
        <f aca="false">IF($T234="","",1+COUNTIF($W$15:$W$884,"&lt;"&amp;W234))</f>
        <v>220</v>
      </c>
      <c r="B234" s="16" t="s">
        <v>14</v>
      </c>
      <c r="C234" s="16" t="s">
        <v>489</v>
      </c>
      <c r="D234" s="16" t="s">
        <v>45</v>
      </c>
      <c r="E234" s="16" t="s">
        <v>51</v>
      </c>
      <c r="F234" s="16" t="s">
        <v>490</v>
      </c>
      <c r="G234" s="17">
        <v>2057</v>
      </c>
      <c r="H234" s="17"/>
      <c r="I234" s="17"/>
      <c r="J234" s="17">
        <v>2038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2057</v>
      </c>
      <c r="M234" s="17">
        <f aca="false">IF($H234="","",$H234+$K234)</f>
        <v/>
      </c>
      <c r="N234" s="17">
        <f aca="false">IF($J234="","",$J234+$K234)</f>
        <v>2038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82,280원</v>
      </c>
      <c r="P234" s="17">
        <f aca="false">IF($B$10=0,"",IFERROR(IF($B$4&gt;0,IF($L234="",1/0,$L234*$B$4),0)+IF($B$5&gt;0,IF($M234="",1/0,$M234*$B$5),0)+IF($B$6&gt;0,IF($N234="",1/0,$N234*$B$6),0),""))</f>
        <v>82280</v>
      </c>
      <c r="Q234" s="17" t="s">
        <v>47</v>
      </c>
      <c r="R234" s="18">
        <f aca="false">IF($P234="","",IF($Q234="Y",IFERROR(VLOOKUP($B234,$C$4:$D$13,2,FALSE()),0),0))</f>
        <v>0.11</v>
      </c>
      <c r="S234" s="17">
        <f aca="false">IF($P234="","",ROUNDDOWN($P234*$R234,0))</f>
        <v>9050</v>
      </c>
      <c r="T234" s="17">
        <f aca="false">IF($P234="","",$P234-$S234)</f>
        <v>73230</v>
      </c>
      <c r="U234" s="17">
        <f aca="false">IF($T234="","",IF($B$10=0,"",$T234/$B$10))</f>
        <v>1830.75</v>
      </c>
      <c r="V234" s="17">
        <f aca="false">IF($P234="","",IF($B$10=0,"",$P234/$B$10))</f>
        <v>2057</v>
      </c>
      <c r="W234" s="19">
        <f aca="false">IF($T234="",1000000000000000,$T234)</f>
        <v>73230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IF($T235="","",1+COUNTIF($W$15:$W$884,"&lt;"&amp;W235))</f>
        <v>221</v>
      </c>
      <c r="B235" s="16" t="s">
        <v>6</v>
      </c>
      <c r="C235" s="16" t="s">
        <v>491</v>
      </c>
      <c r="D235" s="20" t="s">
        <v>54</v>
      </c>
      <c r="E235" s="16" t="s">
        <v>26</v>
      </c>
      <c r="F235" s="16" t="s">
        <v>492</v>
      </c>
      <c r="G235" s="17">
        <v>2035</v>
      </c>
      <c r="H235" s="17">
        <v>2425</v>
      </c>
      <c r="I235" s="17"/>
      <c r="J235" s="17">
        <v>1995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2035</v>
      </c>
      <c r="M235" s="17">
        <f aca="false">IF($H235="","",$H235+$K235)</f>
        <v>2425</v>
      </c>
      <c r="N235" s="17">
        <f aca="false">IF($J235="","",$J235+$K235)</f>
        <v>1995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81,400원</v>
      </c>
      <c r="P235" s="17">
        <f aca="false">IF($B$10=0,"",IFERROR(IF($B$4&gt;0,IF($L235="",1/0,$L235*$B$4),0)+IF($B$5&gt;0,IF($M235="",1/0,$M235*$B$5),0)+IF($B$6&gt;0,IF($N235="",1/0,$N235*$B$6),0),""))</f>
        <v>81400</v>
      </c>
      <c r="Q235" s="17" t="s">
        <v>47</v>
      </c>
      <c r="R235" s="18">
        <f aca="false">IF($P235="","",IF($Q235="Y",IFERROR(VLOOKUP($B235,$C$4:$D$13,2,FALSE()),0),0))</f>
        <v>0.1</v>
      </c>
      <c r="S235" s="17">
        <f aca="false">IF($P235="","",ROUNDDOWN($P235*$R235,0))</f>
        <v>8140</v>
      </c>
      <c r="T235" s="17">
        <f aca="false">IF($P235="","",$P235-$S235)</f>
        <v>73260</v>
      </c>
      <c r="U235" s="17">
        <f aca="false">IF($T235="","",IF($B$10=0,"",$T235/$B$10))</f>
        <v>1831.5</v>
      </c>
      <c r="V235" s="17">
        <f aca="false">IF($P235="","",IF($B$10=0,"",$P235/$B$10))</f>
        <v>2035</v>
      </c>
      <c r="W235" s="19">
        <f aca="false">IF($T235="",1000000000000000,$T235)</f>
        <v>73260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IF($T236="","",1+COUNTIF($W$15:$W$884,"&lt;"&amp;W236))</f>
        <v>221</v>
      </c>
      <c r="B236" s="16" t="s">
        <v>6</v>
      </c>
      <c r="C236" s="16" t="s">
        <v>493</v>
      </c>
      <c r="D236" s="16" t="s">
        <v>45</v>
      </c>
      <c r="E236" s="16" t="s">
        <v>26</v>
      </c>
      <c r="F236" s="16" t="s">
        <v>494</v>
      </c>
      <c r="G236" s="17">
        <v>2035</v>
      </c>
      <c r="H236" s="17"/>
      <c r="I236" s="17"/>
      <c r="J236" s="17">
        <v>1999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/>
      </c>
      <c r="N236" s="17">
        <f aca="false">IF($J236="","",$J236+$K236)</f>
        <v>1999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81,400원</v>
      </c>
      <c r="P236" s="17">
        <f aca="false">IF($B$10=0,"",IFERROR(IF($B$4&gt;0,IF($L236="",1/0,$L236*$B$4),0)+IF($B$5&gt;0,IF($M236="",1/0,$M236*$B$5),0)+IF($B$6&gt;0,IF($N236="",1/0,$N236*$B$6),0),""))</f>
        <v>81400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8140</v>
      </c>
      <c r="T236" s="17">
        <f aca="false">IF($P236="","",$P236-$S236)</f>
        <v>73260</v>
      </c>
      <c r="U236" s="17">
        <f aca="false">IF($T236="","",IF($B$10=0,"",$T236/$B$10))</f>
        <v>1831.5</v>
      </c>
      <c r="V236" s="17">
        <f aca="false">IF($P236="","",IF($B$10=0,"",$P236/$B$10))</f>
        <v>2035</v>
      </c>
      <c r="W236" s="19">
        <f aca="false">IF($T236="",1000000000000000,$T236)</f>
        <v>73260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IF($T237="","",1+COUNTIF($W$15:$W$884,"&lt;"&amp;W237))</f>
        <v>221</v>
      </c>
      <c r="B237" s="16" t="s">
        <v>6</v>
      </c>
      <c r="C237" s="16" t="s">
        <v>495</v>
      </c>
      <c r="D237" s="20" t="s">
        <v>54</v>
      </c>
      <c r="E237" s="16" t="s">
        <v>26</v>
      </c>
      <c r="F237" s="16" t="s">
        <v>496</v>
      </c>
      <c r="G237" s="17">
        <v>2035</v>
      </c>
      <c r="H237" s="17"/>
      <c r="I237" s="17"/>
      <c r="J237" s="17">
        <v>2025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IF($T238="","",1+COUNTIF($W$15:$W$884,"&lt;"&amp;W238))</f>
        <v>221</v>
      </c>
      <c r="B238" s="16" t="s">
        <v>8</v>
      </c>
      <c r="C238" s="16" t="s">
        <v>497</v>
      </c>
      <c r="D238" s="16" t="s">
        <v>45</v>
      </c>
      <c r="E238" s="16" t="s">
        <v>51</v>
      </c>
      <c r="F238" s="16" t="s">
        <v>498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C238" s="3"/>
    </row>
    <row r="239" s="6" collapsed="false" customFormat="true" customHeight="true" hidden="false" ht="28.5" outlineLevel="0">
      <c r="A239" s="16">
        <f aca="false">IF($T239="","",1+COUNTIF($W$15:$W$884,"&lt;"&amp;W239))</f>
        <v>221</v>
      </c>
      <c r="B239" s="16" t="s">
        <v>12</v>
      </c>
      <c r="C239" s="16" t="s">
        <v>499</v>
      </c>
      <c r="D239" s="21" t="s">
        <v>45</v>
      </c>
      <c r="E239" s="16" t="s">
        <v>51</v>
      </c>
      <c r="F239" s="16" t="s">
        <v>500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C239" s="3"/>
    </row>
    <row r="240" s="22" collapsed="false" customFormat="true" customHeight="true" hidden="false" ht="28.5" outlineLevel="0">
      <c r="A240" s="16">
        <f aca="false">IF($T240="","",1+COUNTIF($W$15:$W$884,"&lt;"&amp;W240))</f>
        <v>221</v>
      </c>
      <c r="B240" s="16" t="s">
        <v>10</v>
      </c>
      <c r="C240" s="16" t="s">
        <v>501</v>
      </c>
      <c r="D240" s="16" t="s">
        <v>64</v>
      </c>
      <c r="E240" s="16" t="s">
        <v>26</v>
      </c>
      <c r="F240" s="16" t="s">
        <v>502</v>
      </c>
      <c r="G240" s="17">
        <v>2035</v>
      </c>
      <c r="H240" s="17"/>
      <c r="I240" s="17"/>
      <c r="J240" s="17">
        <v>2030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2030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IF($T241="","",1+COUNTIF($W$15:$W$884,"&lt;"&amp;W241))</f>
        <v>221</v>
      </c>
      <c r="B241" s="16" t="s">
        <v>6</v>
      </c>
      <c r="C241" s="16" t="s">
        <v>503</v>
      </c>
      <c r="D241" s="16" t="s">
        <v>64</v>
      </c>
      <c r="E241" s="16" t="s">
        <v>26</v>
      </c>
      <c r="F241" s="16" t="s">
        <v>504</v>
      </c>
      <c r="G241" s="17">
        <v>2035</v>
      </c>
      <c r="H241" s="17"/>
      <c r="I241" s="17"/>
      <c r="J241" s="17">
        <v>2034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IF($T242="","",1+COUNTIF($W$15:$W$884,"&lt;"&amp;W242))</f>
        <v>221</v>
      </c>
      <c r="B242" s="16" t="s">
        <v>6</v>
      </c>
      <c r="C242" s="16" t="s">
        <v>505</v>
      </c>
      <c r="D242" s="16" t="s">
        <v>64</v>
      </c>
      <c r="E242" s="16" t="s">
        <v>26</v>
      </c>
      <c r="F242" s="16" t="s">
        <v>506</v>
      </c>
      <c r="G242" s="17">
        <v>2035</v>
      </c>
      <c r="H242" s="17"/>
      <c r="I242" s="17"/>
      <c r="J242" s="17">
        <v>2035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81,400원</v>
      </c>
      <c r="P242" s="17">
        <f aca="false">IF($B$10=0,"",IFERROR(IF($B$4&gt;0,IF($L242="",1/0,$L242*$B$4),0)+IF($B$5&gt;0,IF($M242="",1/0,$M242*$B$5),0)+IF($B$6&gt;0,IF($N242="",1/0,$N242*$B$6),0),""))</f>
        <v>81400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8140</v>
      </c>
      <c r="T242" s="17">
        <f aca="false">IF($P242="","",$P242-$S242)</f>
        <v>73260</v>
      </c>
      <c r="U242" s="17">
        <f aca="false">IF($T242="","",IF($B$10=0,"",$T242/$B$10))</f>
        <v>1831.5</v>
      </c>
      <c r="V242" s="17">
        <f aca="false">IF($P242="","",IF($B$10=0,"",$P242/$B$10))</f>
        <v>2035</v>
      </c>
      <c r="W242" s="19">
        <f aca="false">IF($T242="",1000000000000000,$T242)</f>
        <v>73260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IF($T243="","",1+COUNTIF($W$15:$W$884,"&lt;"&amp;W243))</f>
        <v>229</v>
      </c>
      <c r="B243" s="16" t="s">
        <v>10</v>
      </c>
      <c r="C243" s="16" t="s">
        <v>406</v>
      </c>
      <c r="D243" s="20" t="s">
        <v>54</v>
      </c>
      <c r="E243" s="16" t="s">
        <v>51</v>
      </c>
      <c r="F243" s="16" t="s">
        <v>507</v>
      </c>
      <c r="G243" s="17">
        <v>2036</v>
      </c>
      <c r="H243" s="17"/>
      <c r="I243" s="17"/>
      <c r="J243" s="17">
        <v>2026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2036</v>
      </c>
      <c r="M243" s="17">
        <f aca="false">IF($H243="","",$H243+$K243)</f>
        <v/>
      </c>
      <c r="N243" s="17">
        <f aca="false">IF($J243="","",$J243+$K243)</f>
        <v>2026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81,440원</v>
      </c>
      <c r="P243" s="17">
        <f aca="false">IF($B$10=0,"",IFERROR(IF($B$4&gt;0,IF($L243="",1/0,$L243*$B$4),0)+IF($B$5&gt;0,IF($M243="",1/0,$M243*$B$5),0)+IF($B$6&gt;0,IF($N243="",1/0,$N243*$B$6),0),""))</f>
        <v>81440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8144</v>
      </c>
      <c r="T243" s="17">
        <f aca="false">IF($P243="","",$P243-$S243)</f>
        <v>73296</v>
      </c>
      <c r="U243" s="17">
        <f aca="false">IF($T243="","",IF($B$10=0,"",$T243/$B$10))</f>
        <v>1832.4</v>
      </c>
      <c r="V243" s="17">
        <f aca="false">IF($P243="","",IF($B$10=0,"",$P243/$B$10))</f>
        <v>2036</v>
      </c>
      <c r="W243" s="19">
        <f aca="false">IF($T243="",1000000000000000,$T243)</f>
        <v>73296</v>
      </c>
      <c r="XFC243" s="3"/>
    </row>
    <row r="244" s="5" collapsed="false" customFormat="true" customHeight="true" hidden="false" ht="28.5" outlineLevel="0">
      <c r="A244" s="16">
        <f aca="false">IF($T244="","",1+COUNTIF($W$15:$W$884,"&lt;"&amp;W244))</f>
        <v>230</v>
      </c>
      <c r="B244" s="16" t="s">
        <v>14</v>
      </c>
      <c r="C244" s="16" t="s">
        <v>508</v>
      </c>
      <c r="D244" s="16" t="s">
        <v>64</v>
      </c>
      <c r="E244" s="16" t="s">
        <v>51</v>
      </c>
      <c r="F244" s="16" t="s">
        <v>509</v>
      </c>
      <c r="G244" s="17">
        <v>2059</v>
      </c>
      <c r="H244" s="17"/>
      <c r="I244" s="17"/>
      <c r="J244" s="17">
        <v>2039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2059</v>
      </c>
      <c r="M244" s="17">
        <f aca="false">IF($H244="","",$H244+$K244)</f>
        <v/>
      </c>
      <c r="N244" s="17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82,360원</v>
      </c>
      <c r="P244" s="17">
        <f aca="false">IF($B$10=0,"",IFERROR(IF($B$4&gt;0,IF($L244="",1/0,$L244*$B$4),0)+IF($B$5&gt;0,IF($M244="",1/0,$M244*$B$5),0)+IF($B$6&gt;0,IF($N244="",1/0,$N244*$B$6),0),""))</f>
        <v>82360</v>
      </c>
      <c r="Q244" s="17" t="s">
        <v>47</v>
      </c>
      <c r="R244" s="18">
        <f aca="false">IF($P244="","",IF($Q244="Y",IFERROR(VLOOKUP($B244,$C$4:$D$13,2,FALSE()),0),0))</f>
        <v>0.11</v>
      </c>
      <c r="S244" s="17">
        <f aca="false">IF($P244="","",ROUNDDOWN($P244*$R244,0))</f>
        <v>9059</v>
      </c>
      <c r="T244" s="17">
        <f aca="false">IF($P244="","",$P244-$S244)</f>
        <v>73301</v>
      </c>
      <c r="U244" s="17">
        <f aca="false">IF($T244="","",IF($B$10=0,"",$T244/$B$10))</f>
        <v>1832.525</v>
      </c>
      <c r="V244" s="17">
        <f aca="false">IF($P244="","",IF($B$10=0,"",$P244/$B$10))</f>
        <v>2059</v>
      </c>
      <c r="W244" s="19">
        <f aca="false">IF($T244="",1000000000000000,$T244)</f>
        <v>73301</v>
      </c>
      <c r="XFB244" s="6"/>
      <c r="XFC244" s="3"/>
    </row>
    <row r="245" s="22" collapsed="false" customFormat="true" customHeight="true" hidden="false" ht="28.5" outlineLevel="0">
      <c r="A245" s="16">
        <f aca="false">IF($T245="","",1+COUNTIF($W$15:$W$884,"&lt;"&amp;W245))</f>
        <v>230</v>
      </c>
      <c r="B245" s="16" t="s">
        <v>14</v>
      </c>
      <c r="C245" s="16" t="s">
        <v>510</v>
      </c>
      <c r="D245" s="16" t="s">
        <v>64</v>
      </c>
      <c r="E245" s="16" t="s">
        <v>51</v>
      </c>
      <c r="F245" s="16" t="s">
        <v>511</v>
      </c>
      <c r="G245" s="17">
        <v>2059</v>
      </c>
      <c r="H245" s="17"/>
      <c r="I245" s="17"/>
      <c r="J245" s="17">
        <v>2039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IF($T246="","",1+COUNTIF($W$15:$W$884,"&lt;"&amp;W246))</f>
        <v>230</v>
      </c>
      <c r="B246" s="16" t="s">
        <v>14</v>
      </c>
      <c r="C246" s="16" t="s">
        <v>512</v>
      </c>
      <c r="D246" s="16" t="s">
        <v>64</v>
      </c>
      <c r="E246" s="16" t="s">
        <v>26</v>
      </c>
      <c r="F246" s="16" t="s">
        <v>513</v>
      </c>
      <c r="G246" s="17">
        <v>2059</v>
      </c>
      <c r="H246" s="17"/>
      <c r="I246" s="17"/>
      <c r="J246" s="17">
        <v>2049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2059</v>
      </c>
      <c r="M246" s="17">
        <f aca="false">IF($H246="","",$H246+$K246)</f>
        <v/>
      </c>
      <c r="N246" s="17">
        <f aca="false">IF($J246="","",$J246+$K246)</f>
        <v>2049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82,360원</v>
      </c>
      <c r="P246" s="17">
        <f aca="false">IF($B$10=0,"",IFERROR(IF($B$4&gt;0,IF($L246="",1/0,$L246*$B$4),0)+IF($B$5&gt;0,IF($M246="",1/0,$M246*$B$5),0)+IF($B$6&gt;0,IF($N246="",1/0,$N246*$B$6),0),""))</f>
        <v>82360</v>
      </c>
      <c r="Q246" s="17" t="s">
        <v>47</v>
      </c>
      <c r="R246" s="18">
        <f aca="false">IF($P246="","",IF($Q246="Y",IFERROR(VLOOKUP($B246,$C$4:$D$13,2,FALSE()),0),0))</f>
        <v>0.11</v>
      </c>
      <c r="S246" s="17">
        <f aca="false">IF($P246="","",ROUNDDOWN($P246*$R246,0))</f>
        <v>9059</v>
      </c>
      <c r="T246" s="17">
        <f aca="false">IF($P246="","",$P246-$S246)</f>
        <v>73301</v>
      </c>
      <c r="U246" s="17">
        <f aca="false">IF($T246="","",IF($B$10=0,"",$T246/$B$10))</f>
        <v>1832.525</v>
      </c>
      <c r="V246" s="17">
        <f aca="false">IF($P246="","",IF($B$10=0,"",$P246/$B$10))</f>
        <v>2059</v>
      </c>
      <c r="W246" s="19">
        <f aca="false">IF($T246="",1000000000000000,$T246)</f>
        <v>73301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IF($T247="","",1+COUNTIF($W$15:$W$884,"&lt;"&amp;W247))</f>
        <v>233</v>
      </c>
      <c r="B247" s="16" t="s">
        <v>10</v>
      </c>
      <c r="C247" s="16" t="s">
        <v>514</v>
      </c>
      <c r="D247" s="20" t="s">
        <v>54</v>
      </c>
      <c r="E247" s="16" t="s">
        <v>26</v>
      </c>
      <c r="F247" s="16" t="s">
        <v>515</v>
      </c>
      <c r="G247" s="17">
        <v>2037</v>
      </c>
      <c r="H247" s="17">
        <v>2537</v>
      </c>
      <c r="I247" s="17"/>
      <c r="J247" s="17">
        <v>2027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>2537</v>
      </c>
      <c r="N247" s="17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81,480원</v>
      </c>
      <c r="P247" s="17">
        <f aca="false">IF($B$10=0,"",IFERROR(IF($B$4&gt;0,IF($L247="",1/0,$L247*$B$4),0)+IF($B$5&gt;0,IF($M247="",1/0,$M247*$B$5),0)+IF($B$6&gt;0,IF($N247="",1/0,$N247*$B$6),0),""))</f>
        <v>81480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8148</v>
      </c>
      <c r="T247" s="17">
        <f aca="false">IF($P247="","",$P247-$S247)</f>
        <v>73332</v>
      </c>
      <c r="U247" s="17">
        <f aca="false">IF($T247="","",IF($B$10=0,"",$T247/$B$10))</f>
        <v>1833.3</v>
      </c>
      <c r="V247" s="17">
        <f aca="false">IF($P247="","",IF($B$10=0,"",$P247/$B$10))</f>
        <v>2037</v>
      </c>
      <c r="W247" s="19">
        <f aca="false">IF($T247="",1000000000000000,$T247)</f>
        <v>73332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IF($T248="","",1+COUNTIF($W$15:$W$884,"&lt;"&amp;W248))</f>
        <v>233</v>
      </c>
      <c r="B248" s="16" t="s">
        <v>12</v>
      </c>
      <c r="C248" s="16" t="s">
        <v>516</v>
      </c>
      <c r="D248" s="20" t="s">
        <v>54</v>
      </c>
      <c r="E248" s="16" t="s">
        <v>51</v>
      </c>
      <c r="F248" s="16" t="s">
        <v>517</v>
      </c>
      <c r="G248" s="17">
        <v>2037</v>
      </c>
      <c r="H248" s="17"/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IF($T249="","",1+COUNTIF($W$15:$W$884,"&lt;"&amp;W249))</f>
        <v>233</v>
      </c>
      <c r="B249" s="16" t="s">
        <v>10</v>
      </c>
      <c r="C249" s="16" t="s">
        <v>518</v>
      </c>
      <c r="D249" s="16" t="s">
        <v>45</v>
      </c>
      <c r="E249" s="16" t="s">
        <v>26</v>
      </c>
      <c r="F249" s="16" t="s">
        <v>519</v>
      </c>
      <c r="G249" s="17">
        <v>2037</v>
      </c>
      <c r="H249" s="17"/>
      <c r="I249" s="17"/>
      <c r="J249" s="17">
        <v>2027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IF($T250="","",1+COUNTIF($W$15:$W$884,"&lt;"&amp;W250))</f>
        <v>233</v>
      </c>
      <c r="B250" s="16" t="s">
        <v>12</v>
      </c>
      <c r="C250" s="16" t="s">
        <v>520</v>
      </c>
      <c r="D250" s="21" t="s">
        <v>64</v>
      </c>
      <c r="E250" s="16" t="s">
        <v>51</v>
      </c>
      <c r="F250" s="16" t="s">
        <v>521</v>
      </c>
      <c r="G250" s="17">
        <v>2037</v>
      </c>
      <c r="H250" s="17"/>
      <c r="I250" s="17"/>
      <c r="J250" s="17">
        <v>2037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IF($T251="","",1+COUNTIF($W$15:$W$884,"&lt;"&amp;W251))</f>
        <v>233</v>
      </c>
      <c r="B251" s="16" t="s">
        <v>12</v>
      </c>
      <c r="C251" s="16" t="s">
        <v>522</v>
      </c>
      <c r="D251" s="21" t="s">
        <v>64</v>
      </c>
      <c r="E251" s="16" t="s">
        <v>51</v>
      </c>
      <c r="F251" s="16" t="s">
        <v>523</v>
      </c>
      <c r="G251" s="17">
        <v>2037</v>
      </c>
      <c r="H251" s="17"/>
      <c r="I251" s="17"/>
      <c r="J251" s="17">
        <v>2037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2037</v>
      </c>
      <c r="M251" s="17">
        <f aca="false">IF($H251="","",$H251+$K251)</f>
        <v/>
      </c>
      <c r="N251" s="17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81,480원</v>
      </c>
      <c r="P251" s="17">
        <f aca="false">IF($B$10=0,"",IFERROR(IF($B$4&gt;0,IF($L251="",1/0,$L251*$B$4),0)+IF($B$5&gt;0,IF($M251="",1/0,$M251*$B$5),0)+IF($B$6&gt;0,IF($N251="",1/0,$N251*$B$6),0),""))</f>
        <v>81480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8148</v>
      </c>
      <c r="T251" s="17">
        <f aca="false">IF($P251="","",$P251-$S251)</f>
        <v>73332</v>
      </c>
      <c r="U251" s="17">
        <f aca="false">IF($T251="","",IF($B$10=0,"",$T251/$B$10))</f>
        <v>1833.3</v>
      </c>
      <c r="V251" s="17">
        <f aca="false">IF($P251="","",IF($B$10=0,"",$P251/$B$10))</f>
        <v>2037</v>
      </c>
      <c r="W251" s="19">
        <f aca="false">IF($T251="",1000000000000000,$T251)</f>
        <v>73332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IF($T252="","",1+COUNTIF($W$15:$W$884,"&lt;"&amp;W252))</f>
        <v>238</v>
      </c>
      <c r="B252" s="16" t="s">
        <v>12</v>
      </c>
      <c r="C252" s="16" t="s">
        <v>524</v>
      </c>
      <c r="D252" s="21" t="s">
        <v>64</v>
      </c>
      <c r="E252" s="16" t="s">
        <v>26</v>
      </c>
      <c r="F252" s="16" t="s">
        <v>525</v>
      </c>
      <c r="G252" s="17">
        <v>2038</v>
      </c>
      <c r="H252" s="17"/>
      <c r="I252" s="17"/>
      <c r="J252" s="17">
        <v>2028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81,520원</v>
      </c>
      <c r="P252" s="17">
        <f aca="false">IF($B$10=0,"",IFERROR(IF($B$4&gt;0,IF($L252="",1/0,$L252*$B$4),0)+IF($B$5&gt;0,IF($M252="",1/0,$M252*$B$5),0)+IF($B$6&gt;0,IF($N252="",1/0,$N252*$B$6),0),""))</f>
        <v>81520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8152</v>
      </c>
      <c r="T252" s="17">
        <f aca="false">IF($P252="","",$P252-$S252)</f>
        <v>73368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73368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IF($T253="","",1+COUNTIF($W$15:$W$884,"&lt;"&amp;W253))</f>
        <v>238</v>
      </c>
      <c r="B253" s="16" t="s">
        <v>12</v>
      </c>
      <c r="C253" s="16" t="s">
        <v>526</v>
      </c>
      <c r="D253" s="21" t="s">
        <v>45</v>
      </c>
      <c r="E253" s="16" t="s">
        <v>51</v>
      </c>
      <c r="F253" s="16" t="s">
        <v>527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IF($T254="","",1+COUNTIF($W$15:$W$884,"&lt;"&amp;W254))</f>
        <v>238</v>
      </c>
      <c r="B254" s="16" t="s">
        <v>10</v>
      </c>
      <c r="C254" s="16" t="s">
        <v>528</v>
      </c>
      <c r="D254" s="20" t="s">
        <v>54</v>
      </c>
      <c r="E254" s="16" t="s">
        <v>51</v>
      </c>
      <c r="F254" s="16" t="s">
        <v>529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IF($T255="","",1+COUNTIF($W$15:$W$884,"&lt;"&amp;W255))</f>
        <v>238</v>
      </c>
      <c r="B255" s="16" t="s">
        <v>8</v>
      </c>
      <c r="C255" s="16" t="s">
        <v>530</v>
      </c>
      <c r="D255" s="20" t="s">
        <v>54</v>
      </c>
      <c r="E255" s="16" t="s">
        <v>51</v>
      </c>
      <c r="F255" s="16" t="s">
        <v>531</v>
      </c>
      <c r="G255" s="17">
        <v>2038</v>
      </c>
      <c r="H255" s="17"/>
      <c r="I255" s="17"/>
      <c r="J255" s="17">
        <v>2038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IF($T256="","",1+COUNTIF($W$15:$W$884,"&lt;"&amp;W256))</f>
        <v>238</v>
      </c>
      <c r="B256" s="16" t="s">
        <v>12</v>
      </c>
      <c r="C256" s="16" t="s">
        <v>532</v>
      </c>
      <c r="D256" s="21" t="s">
        <v>45</v>
      </c>
      <c r="E256" s="16" t="s">
        <v>51</v>
      </c>
      <c r="F256" s="16" t="s">
        <v>533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IF($T257="","",1+COUNTIF($W$15:$W$884,"&lt;"&amp;W257))</f>
        <v>243</v>
      </c>
      <c r="B257" s="16" t="s">
        <v>12</v>
      </c>
      <c r="C257" s="16" t="s">
        <v>534</v>
      </c>
      <c r="D257" s="20" t="s">
        <v>54</v>
      </c>
      <c r="E257" s="16" t="s">
        <v>26</v>
      </c>
      <c r="F257" s="16" t="s">
        <v>535</v>
      </c>
      <c r="G257" s="17">
        <v>2039</v>
      </c>
      <c r="H257" s="17">
        <v>2458</v>
      </c>
      <c r="I257" s="17"/>
      <c r="J257" s="17">
        <v>2009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>2458</v>
      </c>
      <c r="N257" s="17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81,560원</v>
      </c>
      <c r="P257" s="17">
        <f aca="false">IF($B$10=0,"",IFERROR(IF($B$4&gt;0,IF($L257="",1/0,$L257*$B$4),0)+IF($B$5&gt;0,IF($M257="",1/0,$M257*$B$5),0)+IF($B$6&gt;0,IF($N257="",1/0,$N257*$B$6),0),""))</f>
        <v>81560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8156</v>
      </c>
      <c r="T257" s="17">
        <f aca="false">IF($P257="","",$P257-$S257)</f>
        <v>73404</v>
      </c>
      <c r="U257" s="17">
        <f aca="false">IF($T257="","",IF($B$10=0,"",$T257/$B$10))</f>
        <v>1835.1</v>
      </c>
      <c r="V257" s="17">
        <f aca="false">IF($P257="","",IF($B$10=0,"",$P257/$B$10))</f>
        <v>2039</v>
      </c>
      <c r="W257" s="19">
        <f aca="false">IF($T257="",1000000000000000,$T257)</f>
        <v>73404</v>
      </c>
      <c r="XFC257" s="3"/>
    </row>
    <row r="258" s="5" collapsed="false" customFormat="true" customHeight="true" hidden="false" ht="28.5" outlineLevel="0">
      <c r="A258" s="16">
        <f aca="false">IF($T258="","",1+COUNTIF($W$15:$W$884,"&lt;"&amp;W258))</f>
        <v>243</v>
      </c>
      <c r="B258" s="16" t="s">
        <v>6</v>
      </c>
      <c r="C258" s="16" t="s">
        <v>536</v>
      </c>
      <c r="D258" s="21" t="s">
        <v>57</v>
      </c>
      <c r="E258" s="16" t="s">
        <v>51</v>
      </c>
      <c r="F258" s="16" t="s">
        <v>537</v>
      </c>
      <c r="G258" s="17">
        <v>2039</v>
      </c>
      <c r="H258" s="17"/>
      <c r="I258" s="17"/>
      <c r="J258" s="17">
        <v>2026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2026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IF($T259="","",1+COUNTIF($W$15:$W$884,"&lt;"&amp;W259))</f>
        <v>243</v>
      </c>
      <c r="B259" s="16" t="s">
        <v>8</v>
      </c>
      <c r="C259" s="16" t="s">
        <v>99</v>
      </c>
      <c r="D259" s="16" t="s">
        <v>64</v>
      </c>
      <c r="E259" s="16" t="s">
        <v>51</v>
      </c>
      <c r="F259" s="16" t="s">
        <v>538</v>
      </c>
      <c r="G259" s="17">
        <v>2039</v>
      </c>
      <c r="H259" s="17"/>
      <c r="I259" s="17"/>
      <c r="J259" s="17">
        <v>2029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IF($T260="","",1+COUNTIF($W$15:$W$884,"&lt;"&amp;W260))</f>
        <v>243</v>
      </c>
      <c r="B260" s="16" t="s">
        <v>10</v>
      </c>
      <c r="C260" s="16" t="s">
        <v>539</v>
      </c>
      <c r="D260" s="16" t="s">
        <v>45</v>
      </c>
      <c r="E260" s="16" t="s">
        <v>51</v>
      </c>
      <c r="F260" s="16" t="s">
        <v>540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IF($T261="","",1+COUNTIF($W$15:$W$884,"&lt;"&amp;W261))</f>
        <v>243</v>
      </c>
      <c r="B261" s="16" t="s">
        <v>12</v>
      </c>
      <c r="C261" s="16" t="s">
        <v>543</v>
      </c>
      <c r="D261" s="21" t="s">
        <v>64</v>
      </c>
      <c r="E261" s="16" t="s">
        <v>26</v>
      </c>
      <c r="F261" s="16" t="s">
        <v>544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IF($T262="","",1+COUNTIF($W$15:$W$884,"&lt;"&amp;W262))</f>
        <v>243</v>
      </c>
      <c r="B262" s="16" t="s">
        <v>12</v>
      </c>
      <c r="C262" s="16" t="s">
        <v>545</v>
      </c>
      <c r="D262" s="21" t="s">
        <v>64</v>
      </c>
      <c r="E262" s="16" t="s">
        <v>51</v>
      </c>
      <c r="F262" s="16" t="s">
        <v>546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IF($T263="","",1+COUNTIF($W$15:$W$884,"&lt;"&amp;W263))</f>
        <v>243</v>
      </c>
      <c r="B263" s="16" t="s">
        <v>12</v>
      </c>
      <c r="C263" s="16" t="s">
        <v>547</v>
      </c>
      <c r="D263" s="20" t="s">
        <v>54</v>
      </c>
      <c r="E263" s="16" t="s">
        <v>26</v>
      </c>
      <c r="F263" s="16" t="s">
        <v>548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IF($T264="","",1+COUNTIF($W$15:$W$884,"&lt;"&amp;W264))</f>
        <v>243</v>
      </c>
      <c r="B264" s="16" t="s">
        <v>10</v>
      </c>
      <c r="C264" s="16" t="s">
        <v>549</v>
      </c>
      <c r="D264" s="16" t="s">
        <v>45</v>
      </c>
      <c r="E264" s="16" t="s">
        <v>51</v>
      </c>
      <c r="F264" s="16" t="s">
        <v>550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IF($T265="","",1+COUNTIF($W$15:$W$884,"&lt;"&amp;W265))</f>
        <v>243</v>
      </c>
      <c r="B265" s="16" t="s">
        <v>10</v>
      </c>
      <c r="C265" s="16" t="s">
        <v>551</v>
      </c>
      <c r="D265" s="16" t="s">
        <v>64</v>
      </c>
      <c r="E265" s="16" t="s">
        <v>51</v>
      </c>
      <c r="F265" s="16" t="s">
        <v>552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IF($T266="","",1+COUNTIF($W$15:$W$884,"&lt;"&amp;W266))</f>
        <v>243</v>
      </c>
      <c r="B266" s="16" t="s">
        <v>10</v>
      </c>
      <c r="C266" s="16" t="s">
        <v>553</v>
      </c>
      <c r="D266" s="20" t="s">
        <v>54</v>
      </c>
      <c r="E266" s="16" t="s">
        <v>51</v>
      </c>
      <c r="F266" s="16" t="s">
        <v>554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IF($T267="","",1+COUNTIF($W$15:$W$884,"&lt;"&amp;W267))</f>
        <v>243</v>
      </c>
      <c r="B267" s="16" t="s">
        <v>10</v>
      </c>
      <c r="C267" s="16" t="s">
        <v>541</v>
      </c>
      <c r="D267" s="16" t="s">
        <v>45</v>
      </c>
      <c r="E267" s="16" t="s">
        <v>51</v>
      </c>
      <c r="F267" s="16" t="s">
        <v>542</v>
      </c>
      <c r="G267" s="17">
        <v>2039</v>
      </c>
      <c r="H267" s="17"/>
      <c r="I267" s="17"/>
      <c r="J267" s="17">
        <v>2039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2039</v>
      </c>
      <c r="M267" s="17">
        <f aca="false">IF($H267="","",$H267+$K267)</f>
        <v/>
      </c>
      <c r="N267" s="17">
        <f aca="false">IF($J267="","",$J267+$K267)</f>
        <v>2039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81,560원</v>
      </c>
      <c r="P267" s="17">
        <f aca="false">IF($B$10=0,"",IFERROR(IF($B$4&gt;0,IF($L267="",1/0,$L267*$B$4),0)+IF($B$5&gt;0,IF($M267="",1/0,$M267*$B$5),0)+IF($B$6&gt;0,IF($N267="",1/0,$N267*$B$6),0),""))</f>
        <v>81560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8156</v>
      </c>
      <c r="T267" s="17">
        <f aca="false">IF($P267="","",$P267-$S267)</f>
        <v>73404</v>
      </c>
      <c r="U267" s="17">
        <f aca="false">IF($T267="","",IF($B$10=0,"",$T267/$B$10))</f>
        <v>1835.1</v>
      </c>
      <c r="V267" s="17">
        <f aca="false">IF($P267="","",IF($B$10=0,"",$P267/$B$10))</f>
        <v>2039</v>
      </c>
      <c r="W267" s="19">
        <f aca="false">IF($T267="",1000000000000000,$T267)</f>
        <v>73404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IF($T268="","",1+COUNTIF($W$15:$W$884,"&lt;"&amp;W268))</f>
        <v>254</v>
      </c>
      <c r="B268" s="16" t="s">
        <v>10</v>
      </c>
      <c r="C268" s="16" t="s">
        <v>436</v>
      </c>
      <c r="D268" s="16" t="s">
        <v>64</v>
      </c>
      <c r="E268" s="16" t="s">
        <v>51</v>
      </c>
      <c r="F268" s="16" t="s">
        <v>555</v>
      </c>
      <c r="G268" s="17">
        <v>2040</v>
      </c>
      <c r="H268" s="17"/>
      <c r="I268" s="17"/>
      <c r="J268" s="17">
        <v>2030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2040</v>
      </c>
      <c r="M268" s="17">
        <f aca="false">IF($H268="","",$H268+$K268)</f>
        <v/>
      </c>
      <c r="N268" s="17">
        <f aca="false">IF($J268="","",$J268+$K268)</f>
        <v>2030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81,600원</v>
      </c>
      <c r="P268" s="17">
        <f aca="false">IF($B$10=0,"",IFERROR(IF($B$4&gt;0,IF($L268="",1/0,$L268*$B$4),0)+IF($B$5&gt;0,IF($M268="",1/0,$M268*$B$5),0)+IF($B$6&gt;0,IF($N268="",1/0,$N268*$B$6),0),""))</f>
        <v>81600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8160</v>
      </c>
      <c r="T268" s="17">
        <f aca="false">IF($P268="","",$P268-$S268)</f>
        <v>73440</v>
      </c>
      <c r="U268" s="17">
        <f aca="false">IF($T268="","",IF($B$10=0,"",$T268/$B$10))</f>
        <v>1836</v>
      </c>
      <c r="V268" s="17">
        <f aca="false">IF($P268="","",IF($B$10=0,"",$P268/$B$10))</f>
        <v>2040</v>
      </c>
      <c r="W268" s="19">
        <f aca="false">IF($T268="",1000000000000000,$T268)</f>
        <v>73440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IF($T269="","",1+COUNTIF($W$15:$W$884,"&lt;"&amp;W269))</f>
        <v>254</v>
      </c>
      <c r="B269" s="16" t="s">
        <v>10</v>
      </c>
      <c r="C269" s="16" t="s">
        <v>556</v>
      </c>
      <c r="D269" s="16" t="s">
        <v>45</v>
      </c>
      <c r="E269" s="16" t="s">
        <v>26</v>
      </c>
      <c r="F269" s="16" t="s">
        <v>557</v>
      </c>
      <c r="G269" s="17">
        <v>2040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2040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81,600원</v>
      </c>
      <c r="P269" s="17">
        <f aca="false">IF($B$10=0,"",IFERROR(IF($B$4&gt;0,IF($L269="",1/0,$L269*$B$4),0)+IF($B$5&gt;0,IF($M269="",1/0,$M269*$B$5),0)+IF($B$6&gt;0,IF($N269="",1/0,$N269*$B$6),0),""))</f>
        <v>81600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8160</v>
      </c>
      <c r="T269" s="17">
        <f aca="false">IF($P269="","",$P269-$S269)</f>
        <v>73440</v>
      </c>
      <c r="U269" s="17">
        <f aca="false">IF($T269="","",IF($B$10=0,"",$T269/$B$10))</f>
        <v>1836</v>
      </c>
      <c r="V269" s="17">
        <f aca="false">IF($P269="","",IF($B$10=0,"",$P269/$B$10))</f>
        <v>2040</v>
      </c>
      <c r="W269" s="19">
        <f aca="false">IF($T269="",1000000000000000,$T269)</f>
        <v>73440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IF($T270="","",1+COUNTIF($W$15:$W$884,"&lt;"&amp;W270))</f>
        <v>256</v>
      </c>
      <c r="B270" s="16" t="s">
        <v>12</v>
      </c>
      <c r="C270" s="16" t="s">
        <v>512</v>
      </c>
      <c r="D270" s="20" t="s">
        <v>54</v>
      </c>
      <c r="E270" s="16" t="s">
        <v>26</v>
      </c>
      <c r="F270" s="16" t="s">
        <v>558</v>
      </c>
      <c r="G270" s="17">
        <v>2041</v>
      </c>
      <c r="H270" s="17"/>
      <c r="I270" s="17"/>
      <c r="J270" s="17">
        <v>2030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2041</v>
      </c>
      <c r="M270" s="17">
        <f aca="false">IF($H270="","",$H270+$K270)</f>
        <v/>
      </c>
      <c r="N270" s="17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81,640원</v>
      </c>
      <c r="P270" s="17">
        <f aca="false">IF($B$10=0,"",IFERROR(IF($B$4&gt;0,IF($L270="",1/0,$L270*$B$4),0)+IF($B$5&gt;0,IF($M270="",1/0,$M270*$B$5),0)+IF($B$6&gt;0,IF($N270="",1/0,$N270*$B$6),0),""))</f>
        <v>81640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8164</v>
      </c>
      <c r="T270" s="17">
        <f aca="false">IF($P270="","",$P270-$S270)</f>
        <v>73476</v>
      </c>
      <c r="U270" s="17">
        <f aca="false">IF($T270="","",IF($B$10=0,"",$T270/$B$10))</f>
        <v>1836.9</v>
      </c>
      <c r="V270" s="17">
        <f aca="false">IF($P270="","",IF($B$10=0,"",$P270/$B$10))</f>
        <v>2041</v>
      </c>
      <c r="W270" s="19">
        <f aca="false">IF($T270="",1000000000000000,$T270)</f>
        <v>73476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IF($T271="","",1+COUNTIF($W$15:$W$884,"&lt;"&amp;W271))</f>
        <v>257</v>
      </c>
      <c r="B271" s="16" t="s">
        <v>10</v>
      </c>
      <c r="C271" s="16" t="s">
        <v>450</v>
      </c>
      <c r="D271" s="16" t="s">
        <v>64</v>
      </c>
      <c r="E271" s="16" t="s">
        <v>26</v>
      </c>
      <c r="F271" s="16" t="s">
        <v>559</v>
      </c>
      <c r="G271" s="17">
        <v>2045</v>
      </c>
      <c r="H271" s="17"/>
      <c r="I271" s="17"/>
      <c r="J271" s="17">
        <v>1995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1995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81,800원</v>
      </c>
      <c r="P271" s="17">
        <f aca="false">IF($B$10=0,"",IFERROR(IF($B$4&gt;0,IF($L271="",1/0,$L271*$B$4),0)+IF($B$5&gt;0,IF($M271="",1/0,$M271*$B$5),0)+IF($B$6&gt;0,IF($N271="",1/0,$N271*$B$6),0),""))</f>
        <v>81800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8180</v>
      </c>
      <c r="T271" s="17">
        <f aca="false">IF($P271="","",$P271-$S271)</f>
        <v>73620</v>
      </c>
      <c r="U271" s="17">
        <f aca="false">IF($T271="","",IF($B$10=0,"",$T271/$B$10))</f>
        <v>1840.5</v>
      </c>
      <c r="V271" s="17">
        <f aca="false">IF($P271="","",IF($B$10=0,"",$P271/$B$10))</f>
        <v>2045</v>
      </c>
      <c r="W271" s="19">
        <f aca="false">IF($T271="",1000000000000000,$T271)</f>
        <v>73620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IF($T272="","",1+COUNTIF($W$15:$W$884,"&lt;"&amp;W272))</f>
        <v>257</v>
      </c>
      <c r="B272" s="16" t="s">
        <v>6</v>
      </c>
      <c r="C272" s="16" t="s">
        <v>560</v>
      </c>
      <c r="D272" s="16" t="s">
        <v>64</v>
      </c>
      <c r="E272" s="16" t="s">
        <v>51</v>
      </c>
      <c r="F272" s="16" t="s">
        <v>561</v>
      </c>
      <c r="G272" s="17">
        <v>2045</v>
      </c>
      <c r="H272" s="17"/>
      <c r="I272" s="17"/>
      <c r="J272" s="17">
        <v>2024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2024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IF($T273="","",1+COUNTIF($W$15:$W$884,"&lt;"&amp;W273))</f>
        <v>257</v>
      </c>
      <c r="B273" s="16" t="s">
        <v>10</v>
      </c>
      <c r="C273" s="16" t="s">
        <v>562</v>
      </c>
      <c r="D273" s="16" t="s">
        <v>45</v>
      </c>
      <c r="E273" s="16" t="s">
        <v>26</v>
      </c>
      <c r="F273" s="16" t="s">
        <v>563</v>
      </c>
      <c r="G273" s="17">
        <v>2045</v>
      </c>
      <c r="H273" s="17"/>
      <c r="I273" s="17"/>
      <c r="J273" s="17">
        <v>2035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2035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IF($T274="","",1+COUNTIF($W$15:$W$884,"&lt;"&amp;W274))</f>
        <v>257</v>
      </c>
      <c r="B274" s="16" t="s">
        <v>12</v>
      </c>
      <c r="C274" s="16" t="s">
        <v>564</v>
      </c>
      <c r="D274" s="20" t="s">
        <v>54</v>
      </c>
      <c r="E274" s="16" t="s">
        <v>26</v>
      </c>
      <c r="F274" s="16" t="s">
        <v>565</v>
      </c>
      <c r="G274" s="17">
        <v>2045</v>
      </c>
      <c r="H274" s="17"/>
      <c r="I274" s="17"/>
      <c r="J274" s="17">
        <v>2045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2045</v>
      </c>
      <c r="M274" s="17">
        <f aca="false">IF($H274="","",$H274+$K274)</f>
        <v/>
      </c>
      <c r="N274" s="17">
        <f aca="false">IF($J274="","",$J274+$K274)</f>
        <v>2045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81,800원</v>
      </c>
      <c r="P274" s="17">
        <f aca="false">IF($B$10=0,"",IFERROR(IF($B$4&gt;0,IF($L274="",1/0,$L274*$B$4),0)+IF($B$5&gt;0,IF($M274="",1/0,$M274*$B$5),0)+IF($B$6&gt;0,IF($N274="",1/0,$N274*$B$6),0),""))</f>
        <v>81800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8180</v>
      </c>
      <c r="T274" s="17">
        <f aca="false">IF($P274="","",$P274-$S274)</f>
        <v>73620</v>
      </c>
      <c r="U274" s="17">
        <f aca="false">IF($T274="","",IF($B$10=0,"",$T274/$B$10))</f>
        <v>1840.5</v>
      </c>
      <c r="V274" s="17">
        <f aca="false">IF($P274="","",IF($B$10=0,"",$P274/$B$10))</f>
        <v>2045</v>
      </c>
      <c r="W274" s="19">
        <f aca="false">IF($T274="",1000000000000000,$T274)</f>
        <v>73620</v>
      </c>
      <c r="XFB274" s="6"/>
      <c r="XFC274" s="3"/>
    </row>
    <row r="275" s="22" collapsed="false" customFormat="true" customHeight="true" hidden="false" ht="28.5" outlineLevel="0">
      <c r="A275" s="16">
        <f aca="false">IF($T275="","",1+COUNTIF($W$15:$W$884,"&lt;"&amp;W275))</f>
        <v>261</v>
      </c>
      <c r="B275" s="16" t="s">
        <v>14</v>
      </c>
      <c r="C275" s="16" t="s">
        <v>566</v>
      </c>
      <c r="D275" s="16" t="s">
        <v>64</v>
      </c>
      <c r="E275" s="16" t="s">
        <v>26</v>
      </c>
      <c r="F275" s="16" t="s">
        <v>567</v>
      </c>
      <c r="G275" s="17">
        <v>2069</v>
      </c>
      <c r="H275" s="17"/>
      <c r="I275" s="17"/>
      <c r="J275" s="17">
        <v>2059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2069</v>
      </c>
      <c r="M275" s="17">
        <f aca="false">IF($H275="","",$H275+$K275)</f>
        <v/>
      </c>
      <c r="N275" s="17">
        <f aca="false">IF($J275="","",$J275+$K275)</f>
        <v>2059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82,760원</v>
      </c>
      <c r="P275" s="17">
        <f aca="false">IF($B$10=0,"",IFERROR(IF($B$4&gt;0,IF($L275="",1/0,$L275*$B$4),0)+IF($B$5&gt;0,IF($M275="",1/0,$M275*$B$5),0)+IF($B$6&gt;0,IF($N275="",1/0,$N275*$B$6),0),""))</f>
        <v>82760</v>
      </c>
      <c r="Q275" s="17" t="s">
        <v>47</v>
      </c>
      <c r="R275" s="18">
        <f aca="false">IF($P275="","",IF($Q275="Y",IFERROR(VLOOKUP($B275,$C$4:$D$13,2,FALSE()),0),0))</f>
        <v>0.11</v>
      </c>
      <c r="S275" s="17">
        <f aca="false">IF($P275="","",ROUNDDOWN($P275*$R275,0))</f>
        <v>9103</v>
      </c>
      <c r="T275" s="17">
        <f aca="false">IF($P275="","",$P275-$S275)</f>
        <v>73657</v>
      </c>
      <c r="U275" s="17">
        <f aca="false">IF($T275="","",IF($B$10=0,"",$T275/$B$10))</f>
        <v>1841.425</v>
      </c>
      <c r="V275" s="17">
        <f aca="false">IF($P275="","",IF($B$10=0,"",$P275/$B$10))</f>
        <v>2069</v>
      </c>
      <c r="W275" s="19">
        <f aca="false">IF($T275="",1000000000000000,$T275)</f>
        <v>73657</v>
      </c>
      <c r="XFB275" s="6"/>
      <c r="XFC275" s="3"/>
    </row>
    <row r="276" s="6" collapsed="false" customFormat="true" customHeight="true" hidden="false" ht="28.5" outlineLevel="0">
      <c r="A276" s="16">
        <f aca="false">IF($T276="","",1+COUNTIF($W$15:$W$884,"&lt;"&amp;W276))</f>
        <v>262</v>
      </c>
      <c r="B276" s="16" t="s">
        <v>10</v>
      </c>
      <c r="C276" s="16" t="s">
        <v>568</v>
      </c>
      <c r="D276" s="21" t="s">
        <v>57</v>
      </c>
      <c r="E276" s="16" t="s">
        <v>26</v>
      </c>
      <c r="F276" s="16" t="s">
        <v>569</v>
      </c>
      <c r="G276" s="17">
        <v>2048</v>
      </c>
      <c r="H276" s="17">
        <v>2438</v>
      </c>
      <c r="I276" s="17"/>
      <c r="J276" s="17">
        <v>2048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2048</v>
      </c>
      <c r="M276" s="17">
        <f aca="false">IF($H276="","",$H276+$K276)</f>
        <v>2438</v>
      </c>
      <c r="N276" s="17">
        <f aca="false">IF($J276="","",$J276+$K276)</f>
        <v>2048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81,920원</v>
      </c>
      <c r="P276" s="17">
        <f aca="false">IF($B$10=0,"",IFERROR(IF($B$4&gt;0,IF($L276="",1/0,$L276*$B$4),0)+IF($B$5&gt;0,IF($M276="",1/0,$M276*$B$5),0)+IF($B$6&gt;0,IF($N276="",1/0,$N276*$B$6),0),""))</f>
        <v>81920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8192</v>
      </c>
      <c r="T276" s="17">
        <f aca="false">IF($P276="","",$P276-$S276)</f>
        <v>73728</v>
      </c>
      <c r="U276" s="17">
        <f aca="false">IF($T276="","",IF($B$10=0,"",$T276/$B$10))</f>
        <v>1843.2</v>
      </c>
      <c r="V276" s="17">
        <f aca="false">IF($P276="","",IF($B$10=0,"",$P276/$B$10))</f>
        <v>2048</v>
      </c>
      <c r="W276" s="19">
        <f aca="false">IF($T276="",1000000000000000,$T276)</f>
        <v>73728</v>
      </c>
      <c r="XFC276" s="3"/>
    </row>
    <row r="277" s="22" collapsed="false" customFormat="true" customHeight="true" hidden="false" ht="28.5" outlineLevel="0">
      <c r="A277" s="16">
        <f aca="false">IF($T277="","",1+COUNTIF($W$15:$W$884,"&lt;"&amp;W277))</f>
        <v>262</v>
      </c>
      <c r="B277" s="16" t="s">
        <v>12</v>
      </c>
      <c r="C277" s="16" t="s">
        <v>570</v>
      </c>
      <c r="D277" s="21" t="s">
        <v>57</v>
      </c>
      <c r="E277" s="16" t="s">
        <v>26</v>
      </c>
      <c r="F277" s="16" t="s">
        <v>571</v>
      </c>
      <c r="G277" s="17">
        <v>2048</v>
      </c>
      <c r="H277" s="17"/>
      <c r="I277" s="17"/>
      <c r="J277" s="17">
        <v>2038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/>
      </c>
      <c r="N277" s="17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IF($T278="","",1+COUNTIF($W$15:$W$884,"&lt;"&amp;W278))</f>
        <v>262</v>
      </c>
      <c r="B278" s="16" t="s">
        <v>10</v>
      </c>
      <c r="C278" s="16" t="s">
        <v>574</v>
      </c>
      <c r="D278" s="16" t="s">
        <v>64</v>
      </c>
      <c r="E278" s="16" t="s">
        <v>51</v>
      </c>
      <c r="F278" s="16" t="s">
        <v>575</v>
      </c>
      <c r="G278" s="17">
        <v>2048</v>
      </c>
      <c r="H278" s="17"/>
      <c r="I278" s="17"/>
      <c r="J278" s="17">
        <v>2048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IF($T279="","",1+COUNTIF($W$15:$W$884,"&lt;"&amp;W279))</f>
        <v>262</v>
      </c>
      <c r="B279" s="16" t="s">
        <v>10</v>
      </c>
      <c r="C279" s="16" t="s">
        <v>576</v>
      </c>
      <c r="D279" s="16" t="s">
        <v>64</v>
      </c>
      <c r="E279" s="16" t="s">
        <v>26</v>
      </c>
      <c r="F279" s="16" t="s">
        <v>577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IF($T280="","",1+COUNTIF($W$15:$W$884,"&lt;"&amp;W280))</f>
        <v>266</v>
      </c>
      <c r="B280" s="16" t="s">
        <v>6</v>
      </c>
      <c r="C280" s="16" t="s">
        <v>578</v>
      </c>
      <c r="D280" s="21" t="s">
        <v>57</v>
      </c>
      <c r="E280" s="16" t="s">
        <v>51</v>
      </c>
      <c r="F280" s="16" t="s">
        <v>579</v>
      </c>
      <c r="G280" s="17">
        <v>2049</v>
      </c>
      <c r="H280" s="17"/>
      <c r="I280" s="17"/>
      <c r="J280" s="17">
        <v>2039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2049</v>
      </c>
      <c r="M280" s="17">
        <f aca="false">IF($H280="","",$H280+$K280)</f>
        <v/>
      </c>
      <c r="N280" s="17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81,960원</v>
      </c>
      <c r="P280" s="17">
        <f aca="false">IF($B$10=0,"",IFERROR(IF($B$4&gt;0,IF($L280="",1/0,$L280*$B$4),0)+IF($B$5&gt;0,IF($M280="",1/0,$M280*$B$5),0)+IF($B$6&gt;0,IF($N280="",1/0,$N280*$B$6),0),""))</f>
        <v>81960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8196</v>
      </c>
      <c r="T280" s="17">
        <f aca="false">IF($P280="","",$P280-$S280)</f>
        <v>73764</v>
      </c>
      <c r="U280" s="17">
        <f aca="false">IF($T280="","",IF($B$10=0,"",$T280/$B$10))</f>
        <v>1844.1</v>
      </c>
      <c r="V280" s="17">
        <f aca="false">IF($P280="","",IF($B$10=0,"",$P280/$B$10))</f>
        <v>2049</v>
      </c>
      <c r="W280" s="19">
        <f aca="false">IF($T280="",1000000000000000,$T280)</f>
        <v>73764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IF($T281="","",1+COUNTIF($W$15:$W$884,"&lt;"&amp;W281))</f>
        <v>266</v>
      </c>
      <c r="B281" s="16" t="s">
        <v>10</v>
      </c>
      <c r="C281" s="16" t="s">
        <v>580</v>
      </c>
      <c r="D281" s="16" t="s">
        <v>45</v>
      </c>
      <c r="E281" s="16" t="s">
        <v>26</v>
      </c>
      <c r="F281" s="16" t="s">
        <v>581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81,960원</v>
      </c>
      <c r="P281" s="17">
        <f aca="false">IF($B$10=0,"",IFERROR(IF($B$4&gt;0,IF($L281="",1/0,$L281*$B$4),0)+IF($B$5&gt;0,IF($M281="",1/0,$M281*$B$5),0)+IF($B$6&gt;0,IF($N281="",1/0,$N281*$B$6),0),""))</f>
        <v>81960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8196</v>
      </c>
      <c r="T281" s="17">
        <f aca="false">IF($P281="","",$P281-$S281)</f>
        <v>73764</v>
      </c>
      <c r="U281" s="17">
        <f aca="false">IF($T281="","",IF($B$10=0,"",$T281/$B$10))</f>
        <v>1844.1</v>
      </c>
      <c r="V281" s="17">
        <f aca="false">IF($P281="","",IF($B$10=0,"",$P281/$B$10))</f>
        <v>2049</v>
      </c>
      <c r="W281" s="19">
        <f aca="false">IF($T281="",1000000000000000,$T281)</f>
        <v>73764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IF($T282="","",1+COUNTIF($W$15:$W$884,"&lt;"&amp;W282))</f>
        <v>266</v>
      </c>
      <c r="B282" s="16" t="s">
        <v>10</v>
      </c>
      <c r="C282" s="16" t="s">
        <v>582</v>
      </c>
      <c r="D282" s="21" t="s">
        <v>57</v>
      </c>
      <c r="E282" s="16" t="s">
        <v>51</v>
      </c>
      <c r="F282" s="16" t="s">
        <v>583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IF($T283="","",1+COUNTIF($W$15:$W$884,"&lt;"&amp;W283))</f>
        <v>266</v>
      </c>
      <c r="B283" s="16" t="s">
        <v>8</v>
      </c>
      <c r="C283" s="16" t="s">
        <v>584</v>
      </c>
      <c r="D283" s="16" t="s">
        <v>45</v>
      </c>
      <c r="E283" s="16" t="s">
        <v>51</v>
      </c>
      <c r="F283" s="16" t="s">
        <v>585</v>
      </c>
      <c r="G283" s="17">
        <v>2049</v>
      </c>
      <c r="H283" s="17"/>
      <c r="I283" s="17"/>
      <c r="J283" s="17">
        <v>2069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6" collapsed="false" customFormat="true" customHeight="true" hidden="false" ht="28.5" outlineLevel="0">
      <c r="A284" s="16">
        <f aca="false">IF($T284="","",1+COUNTIF($W$15:$W$884,"&lt;"&amp;W284))</f>
        <v>270</v>
      </c>
      <c r="B284" s="16" t="s">
        <v>8</v>
      </c>
      <c r="C284" s="16" t="s">
        <v>586</v>
      </c>
      <c r="D284" s="16" t="s">
        <v>45</v>
      </c>
      <c r="E284" s="16" t="s">
        <v>51</v>
      </c>
      <c r="F284" s="16" t="s">
        <v>587</v>
      </c>
      <c r="G284" s="17">
        <v>2050</v>
      </c>
      <c r="H284" s="17"/>
      <c r="I284" s="17"/>
      <c r="J284" s="17">
        <v>2030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2050</v>
      </c>
      <c r="M284" s="17">
        <f aca="false">IF($H284="","",$H284+$K284)</f>
        <v/>
      </c>
      <c r="N284" s="17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82,000원</v>
      </c>
      <c r="P284" s="17">
        <f aca="false">IF($B$10=0,"",IFERROR(IF($B$4&gt;0,IF($L284="",1/0,$L284*$B$4),0)+IF($B$5&gt;0,IF($M284="",1/0,$M284*$B$5),0)+IF($B$6&gt;0,IF($N284="",1/0,$N284*$B$6),0),""))</f>
        <v>82000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8200</v>
      </c>
      <c r="T284" s="17">
        <f aca="false">IF($P284="","",$P284-$S284)</f>
        <v>73800</v>
      </c>
      <c r="U284" s="17">
        <f aca="false">IF($T284="","",IF($B$10=0,"",$T284/$B$10))</f>
        <v>1845</v>
      </c>
      <c r="V284" s="17">
        <f aca="false">IF($P284="","",IF($B$10=0,"",$P284/$B$10))</f>
        <v>2050</v>
      </c>
      <c r="W284" s="19">
        <f aca="false">IF($T284="",1000000000000000,$T284)</f>
        <v>73800</v>
      </c>
      <c r="XFC284" s="3"/>
    </row>
    <row r="285" s="5" collapsed="false" customFormat="true" customHeight="true" hidden="false" ht="28.5" outlineLevel="0">
      <c r="A285" s="16">
        <f aca="false">IF($T285="","",1+COUNTIF($W$15:$W$884,"&lt;"&amp;W285))</f>
        <v>270</v>
      </c>
      <c r="B285" s="16" t="s">
        <v>10</v>
      </c>
      <c r="C285" s="16" t="s">
        <v>588</v>
      </c>
      <c r="D285" s="16" t="s">
        <v>45</v>
      </c>
      <c r="E285" s="16" t="s">
        <v>51</v>
      </c>
      <c r="F285" s="16" t="s">
        <v>589</v>
      </c>
      <c r="G285" s="17">
        <v>2050</v>
      </c>
      <c r="H285" s="17"/>
      <c r="I285" s="17"/>
      <c r="J285" s="17">
        <v>2045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82,000원</v>
      </c>
      <c r="P285" s="17">
        <f aca="false">IF($B$10=0,"",IFERROR(IF($B$4&gt;0,IF($L285="",1/0,$L285*$B$4),0)+IF($B$5&gt;0,IF($M285="",1/0,$M285*$B$5),0)+IF($B$6&gt;0,IF($N285="",1/0,$N285*$B$6),0),""))</f>
        <v>82000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8200</v>
      </c>
      <c r="T285" s="17">
        <f aca="false">IF($P285="","",$P285-$S285)</f>
        <v>73800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73800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IF($T286="","",1+COUNTIF($W$15:$W$884,"&lt;"&amp;W286))</f>
        <v>272</v>
      </c>
      <c r="B286" s="16" t="s">
        <v>14</v>
      </c>
      <c r="C286" s="16" t="s">
        <v>590</v>
      </c>
      <c r="D286" s="16" t="s">
        <v>64</v>
      </c>
      <c r="E286" s="16" t="s">
        <v>51</v>
      </c>
      <c r="F286" s="16" t="s">
        <v>591</v>
      </c>
      <c r="G286" s="17">
        <v>2079</v>
      </c>
      <c r="H286" s="17"/>
      <c r="I286" s="17"/>
      <c r="J286" s="17">
        <v>2069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2079</v>
      </c>
      <c r="M286" s="17">
        <f aca="false">IF($H286="","",$H286+$K286)</f>
        <v/>
      </c>
      <c r="N286" s="17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83,160원</v>
      </c>
      <c r="P286" s="17">
        <f aca="false">IF($B$10=0,"",IFERROR(IF($B$4&gt;0,IF($L286="",1/0,$L286*$B$4),0)+IF($B$5&gt;0,IF($M286="",1/0,$M286*$B$5),0)+IF($B$6&gt;0,IF($N286="",1/0,$N286*$B$6),0),""))</f>
        <v>83160</v>
      </c>
      <c r="Q286" s="17" t="s">
        <v>47</v>
      </c>
      <c r="R286" s="18">
        <f aca="false">IF($P286="","",IF($Q286="Y",IFERROR(VLOOKUP($B286,$C$4:$D$13,2,FALSE()),0),0))</f>
        <v>0.11</v>
      </c>
      <c r="S286" s="17">
        <f aca="false">IF($P286="","",ROUNDDOWN($P286*$R286,0))</f>
        <v>9147</v>
      </c>
      <c r="T286" s="17">
        <f aca="false">IF($P286="","",$P286-$S286)</f>
        <v>74013</v>
      </c>
      <c r="U286" s="17">
        <f aca="false">IF($T286="","",IF($B$10=0,"",$T286/$B$10))</f>
        <v>1850.325</v>
      </c>
      <c r="V286" s="17">
        <f aca="false">IF($P286="","",IF($B$10=0,"",$P286/$B$10))</f>
        <v>2079</v>
      </c>
      <c r="W286" s="19">
        <f aca="false">IF($T286="",1000000000000000,$T286)</f>
        <v>74013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IF($T287="","",1+COUNTIF($W$15:$W$884,"&lt;"&amp;W287))</f>
        <v>273</v>
      </c>
      <c r="B287" s="16" t="s">
        <v>14</v>
      </c>
      <c r="C287" s="16" t="s">
        <v>592</v>
      </c>
      <c r="D287" s="21" t="s">
        <v>57</v>
      </c>
      <c r="E287" s="16" t="s">
        <v>51</v>
      </c>
      <c r="F287" s="16" t="s">
        <v>593</v>
      </c>
      <c r="G287" s="17">
        <v>2080</v>
      </c>
      <c r="H287" s="17"/>
      <c r="I287" s="17"/>
      <c r="J287" s="17">
        <v>2060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2080</v>
      </c>
      <c r="M287" s="17">
        <f aca="false">IF($H287="","",$H287+$K287)</f>
        <v/>
      </c>
      <c r="N287" s="17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83,200원</v>
      </c>
      <c r="P287" s="17">
        <f aca="false">IF($B$10=0,"",IFERROR(IF($B$4&gt;0,IF($L287="",1/0,$L287*$B$4),0)+IF($B$5&gt;0,IF($M287="",1/0,$M287*$B$5),0)+IF($B$6&gt;0,IF($N287="",1/0,$N287*$B$6),0),""))</f>
        <v>83200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9152</v>
      </c>
      <c r="T287" s="17">
        <f aca="false">IF($P287="","",$P287-$S287)</f>
        <v>74048</v>
      </c>
      <c r="U287" s="17">
        <f aca="false">IF($T287="","",IF($B$10=0,"",$T287/$B$10))</f>
        <v>1851.2</v>
      </c>
      <c r="V287" s="17">
        <f aca="false">IF($P287="","",IF($B$10=0,"",$P287/$B$10))</f>
        <v>2080</v>
      </c>
      <c r="W287" s="19">
        <f aca="false">IF($T287="",1000000000000000,$T287)</f>
        <v>74048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IF($T288="","",1+COUNTIF($W$15:$W$884,"&lt;"&amp;W288))</f>
        <v>274</v>
      </c>
      <c r="B288" s="16" t="s">
        <v>12</v>
      </c>
      <c r="C288" s="16" t="s">
        <v>594</v>
      </c>
      <c r="D288" s="21" t="s">
        <v>57</v>
      </c>
      <c r="E288" s="16" t="s">
        <v>51</v>
      </c>
      <c r="F288" s="16" t="s">
        <v>595</v>
      </c>
      <c r="G288" s="17">
        <v>2058</v>
      </c>
      <c r="H288" s="17"/>
      <c r="I288" s="17"/>
      <c r="J288" s="17">
        <v>2058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2058</v>
      </c>
      <c r="M288" s="17">
        <f aca="false">IF($H288="","",$H288+$K288)</f>
        <v/>
      </c>
      <c r="N288" s="17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82,320원</v>
      </c>
      <c r="P288" s="17">
        <f aca="false">IF($B$10=0,"",IFERROR(IF($B$4&gt;0,IF($L288="",1/0,$L288*$B$4),0)+IF($B$5&gt;0,IF($M288="",1/0,$M288*$B$5),0)+IF($B$6&gt;0,IF($N288="",1/0,$N288*$B$6),0),""))</f>
        <v>82320</v>
      </c>
      <c r="Q288" s="17" t="s">
        <v>47</v>
      </c>
      <c r="R288" s="18">
        <f aca="false">IF($P288="","",IF($Q288="Y",IFERROR(VLOOKUP($B288,$C$4:$D$13,2,FALSE()),0),0))</f>
        <v>0.1</v>
      </c>
      <c r="S288" s="17">
        <f aca="false">IF($P288="","",ROUNDDOWN($P288*$R288,0))</f>
        <v>8232</v>
      </c>
      <c r="T288" s="17">
        <f aca="false">IF($P288="","",$P288-$S288)</f>
        <v>74088</v>
      </c>
      <c r="U288" s="17">
        <f aca="false">IF($T288="","",IF($B$10=0,"",$T288/$B$10))</f>
        <v>1852.2</v>
      </c>
      <c r="V288" s="17">
        <f aca="false">IF($P288="","",IF($B$10=0,"",$P288/$B$10))</f>
        <v>2058</v>
      </c>
      <c r="W288" s="19">
        <f aca="false">IF($T288="",1000000000000000,$T288)</f>
        <v>74088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IF($T289="","",1+COUNTIF($W$15:$W$884,"&lt;"&amp;W289))</f>
        <v>275</v>
      </c>
      <c r="B289" s="16" t="s">
        <v>6</v>
      </c>
      <c r="C289" s="16" t="s">
        <v>596</v>
      </c>
      <c r="D289" s="16" t="s">
        <v>45</v>
      </c>
      <c r="E289" s="16" t="s">
        <v>51</v>
      </c>
      <c r="F289" s="16" t="s">
        <v>597</v>
      </c>
      <c r="G289" s="17">
        <v>2059</v>
      </c>
      <c r="H289" s="17"/>
      <c r="I289" s="17"/>
      <c r="J289" s="17">
        <v>2049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2059</v>
      </c>
      <c r="M289" s="17">
        <f aca="false">IF($H289="","",$H289+$K289)</f>
        <v/>
      </c>
      <c r="N289" s="17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82,360원</v>
      </c>
      <c r="P289" s="17">
        <f aca="false">IF($B$10=0,"",IFERROR(IF($B$4&gt;0,IF($L289="",1/0,$L289*$B$4),0)+IF($B$5&gt;0,IF($M289="",1/0,$M289*$B$5),0)+IF($B$6&gt;0,IF($N289="",1/0,$N289*$B$6),0),""))</f>
        <v>82360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8236</v>
      </c>
      <c r="T289" s="17">
        <f aca="false">IF($P289="","",$P289-$S289)</f>
        <v>74124</v>
      </c>
      <c r="U289" s="17">
        <f aca="false">IF($T289="","",IF($B$10=0,"",$T289/$B$10))</f>
        <v>1853.1</v>
      </c>
      <c r="V289" s="17">
        <f aca="false">IF($P289="","",IF($B$10=0,"",$P289/$B$10))</f>
        <v>2059</v>
      </c>
      <c r="W289" s="19">
        <f aca="false">IF($T289="",1000000000000000,$T289)</f>
        <v>74124</v>
      </c>
      <c r="XFC289" s="3"/>
    </row>
    <row r="290" s="22" collapsed="false" customFormat="true" customHeight="true" hidden="false" ht="28.5" outlineLevel="0">
      <c r="A290" s="16">
        <f aca="false">IF($T290="","",1+COUNTIF($W$15:$W$884,"&lt;"&amp;W290))</f>
        <v>275</v>
      </c>
      <c r="B290" s="16" t="s">
        <v>10</v>
      </c>
      <c r="C290" s="16" t="s">
        <v>524</v>
      </c>
      <c r="D290" s="21" t="s">
        <v>57</v>
      </c>
      <c r="E290" s="16" t="s">
        <v>51</v>
      </c>
      <c r="F290" s="16" t="s">
        <v>598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82,360원</v>
      </c>
      <c r="P290" s="17">
        <f aca="false">IF($B$10=0,"",IFERROR(IF($B$4&gt;0,IF($L290="",1/0,$L290*$B$4),0)+IF($B$5&gt;0,IF($M290="",1/0,$M290*$B$5),0)+IF($B$6&gt;0,IF($N290="",1/0,$N290*$B$6),0),""))</f>
        <v>82360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8236</v>
      </c>
      <c r="T290" s="17">
        <f aca="false">IF($P290="","",$P290-$S290)</f>
        <v>74124</v>
      </c>
      <c r="U290" s="17">
        <f aca="false">IF($T290="","",IF($B$10=0,"",$T290/$B$10))</f>
        <v>1853.1</v>
      </c>
      <c r="V290" s="17">
        <f aca="false">IF($P290="","",IF($B$10=0,"",$P290/$B$10))</f>
        <v>2059</v>
      </c>
      <c r="W290" s="19">
        <f aca="false">IF($T290="",1000000000000000,$T290)</f>
        <v>74124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IF($T291="","",1+COUNTIF($W$15:$W$884,"&lt;"&amp;W291))</f>
        <v>275</v>
      </c>
      <c r="B291" s="16" t="s">
        <v>10</v>
      </c>
      <c r="C291" s="16" t="s">
        <v>599</v>
      </c>
      <c r="D291" s="20" t="s">
        <v>54</v>
      </c>
      <c r="E291" s="16" t="s">
        <v>51</v>
      </c>
      <c r="F291" s="16" t="s">
        <v>600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IF($T292="","",1+COUNTIF($W$15:$W$884,"&lt;"&amp;W292))</f>
        <v>278</v>
      </c>
      <c r="B292" s="16" t="s">
        <v>14</v>
      </c>
      <c r="C292" s="16" t="s">
        <v>601</v>
      </c>
      <c r="D292" s="16" t="s">
        <v>45</v>
      </c>
      <c r="E292" s="16" t="s">
        <v>26</v>
      </c>
      <c r="F292" s="16" t="s">
        <v>602</v>
      </c>
      <c r="G292" s="17">
        <v>2085</v>
      </c>
      <c r="H292" s="17"/>
      <c r="I292" s="17"/>
      <c r="J292" s="17">
        <v>2085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2085</v>
      </c>
      <c r="M292" s="17">
        <f aca="false">IF($H292="","",$H292+$K292)</f>
        <v/>
      </c>
      <c r="N292" s="17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83,400원</v>
      </c>
      <c r="P292" s="17">
        <f aca="false">IF($B$10=0,"",IFERROR(IF($B$4&gt;0,IF($L292="",1/0,$L292*$B$4),0)+IF($B$5&gt;0,IF($M292="",1/0,$M292*$B$5),0)+IF($B$6&gt;0,IF($N292="",1/0,$N292*$B$6),0),""))</f>
        <v>83400</v>
      </c>
      <c r="Q292" s="17" t="s">
        <v>47</v>
      </c>
      <c r="R292" s="18">
        <f aca="false">IF($P292="","",IF($Q292="Y",IFERROR(VLOOKUP($B292,$C$4:$D$13,2,FALSE()),0),0))</f>
        <v>0.11</v>
      </c>
      <c r="S292" s="17">
        <f aca="false">IF($P292="","",ROUNDDOWN($P292*$R292,0))</f>
        <v>9174</v>
      </c>
      <c r="T292" s="17">
        <f aca="false">IF($P292="","",$P292-$S292)</f>
        <v>74226</v>
      </c>
      <c r="U292" s="17">
        <f aca="false">IF($T292="","",IF($B$10=0,"",$T292/$B$10))</f>
        <v>1855.65</v>
      </c>
      <c r="V292" s="17">
        <f aca="false">IF($P292="","",IF($B$10=0,"",$P292/$B$10))</f>
        <v>2085</v>
      </c>
      <c r="W292" s="19">
        <f aca="false">IF($T292="",1000000000000000,$T292)</f>
        <v>74226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IF($T293="","",1+COUNTIF($W$15:$W$884,"&lt;"&amp;W293))</f>
        <v>279</v>
      </c>
      <c r="B293" s="16" t="s">
        <v>10</v>
      </c>
      <c r="C293" s="16" t="s">
        <v>603</v>
      </c>
      <c r="D293" s="20" t="s">
        <v>54</v>
      </c>
      <c r="E293" s="16" t="s">
        <v>26</v>
      </c>
      <c r="F293" s="16" t="s">
        <v>604</v>
      </c>
      <c r="G293" s="17">
        <v>2065</v>
      </c>
      <c r="H293" s="17"/>
      <c r="I293" s="17"/>
      <c r="J293" s="17">
        <v>2064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2065</v>
      </c>
      <c r="M293" s="17">
        <f aca="false">IF($H293="","",$H293+$K293)</f>
        <v/>
      </c>
      <c r="N293" s="17">
        <f aca="false">IF($J293="","",$J293+$K293)</f>
        <v>2064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82,600원</v>
      </c>
      <c r="P293" s="17">
        <f aca="false">IF($B$10=0,"",IFERROR(IF($B$4&gt;0,IF($L293="",1/0,$L293*$B$4),0)+IF($B$5&gt;0,IF($M293="",1/0,$M293*$B$5),0)+IF($B$6&gt;0,IF($N293="",1/0,$N293*$B$6),0),""))</f>
        <v>82600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8260</v>
      </c>
      <c r="T293" s="17">
        <f aca="false">IF($P293="","",$P293-$S293)</f>
        <v>74340</v>
      </c>
      <c r="U293" s="17">
        <f aca="false">IF($T293="","",IF($B$10=0,"",$T293/$B$10))</f>
        <v>1858.5</v>
      </c>
      <c r="V293" s="17">
        <f aca="false">IF($P293="","",IF($B$10=0,"",$P293/$B$10))</f>
        <v>2065</v>
      </c>
      <c r="W293" s="19">
        <f aca="false">IF($T293="",1000000000000000,$T293)</f>
        <v>74340</v>
      </c>
      <c r="XFB293" s="6"/>
      <c r="XFC293" s="3"/>
    </row>
    <row r="294" s="22" collapsed="false" customFormat="true" customHeight="true" hidden="false" ht="28.5" outlineLevel="0">
      <c r="A294" s="16">
        <f aca="false">IF($T294="","",1+COUNTIF($W$15:$W$884,"&lt;"&amp;W294))</f>
        <v>280</v>
      </c>
      <c r="B294" s="16" t="s">
        <v>12</v>
      </c>
      <c r="C294" s="16" t="s">
        <v>605</v>
      </c>
      <c r="D294" s="21" t="s">
        <v>45</v>
      </c>
      <c r="E294" s="16" t="s">
        <v>51</v>
      </c>
      <c r="F294" s="16" t="s">
        <v>606</v>
      </c>
      <c r="G294" s="17">
        <v>2068</v>
      </c>
      <c r="H294" s="17"/>
      <c r="I294" s="17"/>
      <c r="J294" s="17">
        <v>2058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2068</v>
      </c>
      <c r="M294" s="17">
        <f aca="false">IF($H294="","",$H294+$K294)</f>
        <v/>
      </c>
      <c r="N294" s="17">
        <f aca="false">IF($J294="","",$J294+$K294)</f>
        <v>2058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82,720원</v>
      </c>
      <c r="P294" s="17">
        <f aca="false">IF($B$10=0,"",IFERROR(IF($B$4&gt;0,IF($L294="",1/0,$L294*$B$4),0)+IF($B$5&gt;0,IF($M294="",1/0,$M294*$B$5),0)+IF($B$6&gt;0,IF($N294="",1/0,$N294*$B$6),0),""))</f>
        <v>82720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8272</v>
      </c>
      <c r="T294" s="17">
        <f aca="false">IF($P294="","",$P294-$S294)</f>
        <v>74448</v>
      </c>
      <c r="U294" s="17">
        <f aca="false">IF($T294="","",IF($B$10=0,"",$T294/$B$10))</f>
        <v>1861.2</v>
      </c>
      <c r="V294" s="17">
        <f aca="false">IF($P294="","",IF($B$10=0,"",$P294/$B$10))</f>
        <v>2068</v>
      </c>
      <c r="W294" s="19">
        <f aca="false">IF($T294="",1000000000000000,$T294)</f>
        <v>74448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IF($T295="","",1+COUNTIF($W$15:$W$884,"&lt;"&amp;W295))</f>
        <v>281</v>
      </c>
      <c r="B295" s="16" t="s">
        <v>10</v>
      </c>
      <c r="C295" s="16" t="s">
        <v>607</v>
      </c>
      <c r="D295" s="20" t="s">
        <v>54</v>
      </c>
      <c r="E295" s="16" t="s">
        <v>51</v>
      </c>
      <c r="F295" s="16" t="s">
        <v>608</v>
      </c>
      <c r="G295" s="17">
        <v>2069</v>
      </c>
      <c r="H295" s="17"/>
      <c r="I295" s="17"/>
      <c r="J295" s="17">
        <v>2059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2069</v>
      </c>
      <c r="M295" s="17">
        <f aca="false">IF($H295="","",$H295+$K295)</f>
        <v/>
      </c>
      <c r="N295" s="17">
        <f aca="false">IF($J295="","",$J295+$K295)</f>
        <v>2059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82,760원</v>
      </c>
      <c r="P295" s="17">
        <f aca="false">IF($B$10=0,"",IFERROR(IF($B$4&gt;0,IF($L295="",1/0,$L295*$B$4),0)+IF($B$5&gt;0,IF($M295="",1/0,$M295*$B$5),0)+IF($B$6&gt;0,IF($N295="",1/0,$N295*$B$6),0),""))</f>
        <v>82760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8276</v>
      </c>
      <c r="T295" s="17">
        <f aca="false">IF($P295="","",$P295-$S295)</f>
        <v>74484</v>
      </c>
      <c r="U295" s="17">
        <f aca="false">IF($T295="","",IF($B$10=0,"",$T295/$B$10))</f>
        <v>1862.1</v>
      </c>
      <c r="V295" s="17">
        <f aca="false">IF($P295="","",IF($B$10=0,"",$P295/$B$10))</f>
        <v>2069</v>
      </c>
      <c r="W295" s="19">
        <f aca="false">IF($T295="",1000000000000000,$T295)</f>
        <v>74484</v>
      </c>
      <c r="XFB295" s="6"/>
      <c r="XFC295" s="3"/>
    </row>
    <row r="296" s="22" collapsed="false" customFormat="true" customHeight="true" hidden="false" ht="28.5" outlineLevel="0">
      <c r="A296" s="16">
        <f aca="false">IF($T296="","",1+COUNTIF($W$15:$W$884,"&lt;"&amp;W296))</f>
        <v>282</v>
      </c>
      <c r="B296" s="16" t="s">
        <v>6</v>
      </c>
      <c r="C296" s="16" t="s">
        <v>473</v>
      </c>
      <c r="D296" s="16" t="s">
        <v>64</v>
      </c>
      <c r="E296" s="16" t="s">
        <v>26</v>
      </c>
      <c r="F296" s="16" t="s">
        <v>609</v>
      </c>
      <c r="G296" s="17">
        <v>2078</v>
      </c>
      <c r="H296" s="17"/>
      <c r="I296" s="17"/>
      <c r="J296" s="17">
        <v>2069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2078</v>
      </c>
      <c r="M296" s="17">
        <f aca="false">IF($H296="","",$H296+$K296)</f>
        <v/>
      </c>
      <c r="N296" s="17">
        <f aca="false">IF($J296="","",$J296+$K296)</f>
        <v>2069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83,120원</v>
      </c>
      <c r="P296" s="17">
        <f aca="false">IF($B$10=0,"",IFERROR(IF($B$4&gt;0,IF($L296="",1/0,$L296*$B$4),0)+IF($B$5&gt;0,IF($M296="",1/0,$M296*$B$5),0)+IF($B$6&gt;0,IF($N296="",1/0,$N296*$B$6),0),""))</f>
        <v>83120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8312</v>
      </c>
      <c r="T296" s="17">
        <f aca="false">IF($P296="","",$P296-$S296)</f>
        <v>74808</v>
      </c>
      <c r="U296" s="17">
        <f aca="false">IF($T296="","",IF($B$10=0,"",$T296/$B$10))</f>
        <v>1870.2</v>
      </c>
      <c r="V296" s="17">
        <f aca="false">IF($P296="","",IF($B$10=0,"",$P296/$B$10))</f>
        <v>2078</v>
      </c>
      <c r="W296" s="19">
        <f aca="false">IF($T296="",1000000000000000,$T296)</f>
        <v>74808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IF($T297="","",1+COUNTIF($W$15:$W$884,"&lt;"&amp;W297))</f>
        <v>283</v>
      </c>
      <c r="B297" s="16" t="s">
        <v>10</v>
      </c>
      <c r="C297" s="16" t="s">
        <v>610</v>
      </c>
      <c r="D297" s="16" t="s">
        <v>45</v>
      </c>
      <c r="E297" s="16" t="s">
        <v>26</v>
      </c>
      <c r="F297" s="16" t="s">
        <v>611</v>
      </c>
      <c r="G297" s="17">
        <v>2080</v>
      </c>
      <c r="H297" s="17"/>
      <c r="I297" s="17"/>
      <c r="J297" s="17">
        <v>1978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2080</v>
      </c>
      <c r="M297" s="17">
        <f aca="false">IF($H297="","",$H297+$K297)</f>
        <v/>
      </c>
      <c r="N297" s="17">
        <f aca="false">IF($J297="","",$J297+$K297)</f>
        <v>1978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83,200원</v>
      </c>
      <c r="P297" s="17">
        <f aca="false">IF($B$10=0,"",IFERROR(IF($B$4&gt;0,IF($L297="",1/0,$L297*$B$4),0)+IF($B$5&gt;0,IF($M297="",1/0,$M297*$B$5),0)+IF($B$6&gt;0,IF($N297="",1/0,$N297*$B$6),0),""))</f>
        <v>83200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8320</v>
      </c>
      <c r="T297" s="17">
        <f aca="false">IF($P297="","",$P297-$S297)</f>
        <v>74880</v>
      </c>
      <c r="U297" s="17">
        <f aca="false">IF($T297="","",IF($B$10=0,"",$T297/$B$10))</f>
        <v>1872</v>
      </c>
      <c r="V297" s="17">
        <f aca="false">IF($P297="","",IF($B$10=0,"",$P297/$B$10))</f>
        <v>2080</v>
      </c>
      <c r="W297" s="19">
        <f aca="false">IF($T297="",1000000000000000,$T297)</f>
        <v>74880</v>
      </c>
      <c r="XFB297" s="6"/>
      <c r="XFC297" s="3"/>
    </row>
    <row r="298" s="6" collapsed="false" customFormat="true" customHeight="true" hidden="false" ht="28.5" outlineLevel="0">
      <c r="A298" s="16">
        <f aca="false">IF($T298="","",1+COUNTIF($W$15:$W$884,"&lt;"&amp;W298))</f>
        <v>284</v>
      </c>
      <c r="B298" s="16" t="s">
        <v>12</v>
      </c>
      <c r="C298" s="16" t="s">
        <v>612</v>
      </c>
      <c r="D298" s="21" t="s">
        <v>64</v>
      </c>
      <c r="E298" s="16" t="s">
        <v>26</v>
      </c>
      <c r="F298" s="16" t="s">
        <v>613</v>
      </c>
      <c r="G298" s="17">
        <v>2085</v>
      </c>
      <c r="H298" s="17"/>
      <c r="I298" s="17"/>
      <c r="J298" s="17">
        <v>2075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2085</v>
      </c>
      <c r="M298" s="17">
        <f aca="false">IF($H298="","",$H298+$K298)</f>
        <v/>
      </c>
      <c r="N298" s="17">
        <f aca="false">IF($J298="","",$J298+$K298)</f>
        <v>2075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83,400원</v>
      </c>
      <c r="P298" s="17">
        <f aca="false">IF($B$10=0,"",IFERROR(IF($B$4&gt;0,IF($L298="",1/0,$L298*$B$4),0)+IF($B$5&gt;0,IF($M298="",1/0,$M298*$B$5),0)+IF($B$6&gt;0,IF($N298="",1/0,$N298*$B$6),0),""))</f>
        <v>83400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8340</v>
      </c>
      <c r="T298" s="17">
        <f aca="false">IF($P298="","",$P298-$S298)</f>
        <v>75060</v>
      </c>
      <c r="U298" s="17">
        <f aca="false">IF($T298="","",IF($B$10=0,"",$T298/$B$10))</f>
        <v>1876.5</v>
      </c>
      <c r="V298" s="17">
        <f aca="false">IF($P298="","",IF($B$10=0,"",$P298/$B$10))</f>
        <v>2085</v>
      </c>
      <c r="W298" s="19">
        <f aca="false">IF($T298="",1000000000000000,$T298)</f>
        <v>75060</v>
      </c>
      <c r="XFC298" s="3"/>
    </row>
    <row r="299" s="6" collapsed="false" customFormat="true" customHeight="true" hidden="false" ht="28.5" outlineLevel="0">
      <c r="A299" s="16">
        <f aca="false">IF($T299="","",1+COUNTIF($W$15:$W$884,"&lt;"&amp;W299))</f>
        <v>285</v>
      </c>
      <c r="B299" s="16" t="s">
        <v>10</v>
      </c>
      <c r="C299" s="16" t="s">
        <v>614</v>
      </c>
      <c r="D299" s="21" t="s">
        <v>57</v>
      </c>
      <c r="E299" s="16" t="s">
        <v>51</v>
      </c>
      <c r="F299" s="16" t="s">
        <v>615</v>
      </c>
      <c r="G299" s="17">
        <v>2090</v>
      </c>
      <c r="H299" s="17"/>
      <c r="I299" s="17"/>
      <c r="J299" s="17">
        <v>2090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2090</v>
      </c>
      <c r="M299" s="17">
        <f aca="false">IF($H299="","",$H299+$K299)</f>
        <v/>
      </c>
      <c r="N299" s="17">
        <f aca="false">IF($J299="","",$J299+$K299)</f>
        <v>2090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83,600원</v>
      </c>
      <c r="P299" s="17">
        <f aca="false">IF($B$10=0,"",IFERROR(IF($B$4&gt;0,IF($L299="",1/0,$L299*$B$4),0)+IF($B$5&gt;0,IF($M299="",1/0,$M299*$B$5),0)+IF($B$6&gt;0,IF($N299="",1/0,$N299*$B$6),0),""))</f>
        <v>83600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8360</v>
      </c>
      <c r="T299" s="17">
        <f aca="false">IF($P299="","",$P299-$S299)</f>
        <v>75240</v>
      </c>
      <c r="U299" s="17">
        <f aca="false">IF($T299="","",IF($B$10=0,"",$T299/$B$10))</f>
        <v>1881</v>
      </c>
      <c r="V299" s="17">
        <f aca="false">IF($P299="","",IF($B$10=0,"",$P299/$B$10))</f>
        <v>2090</v>
      </c>
      <c r="W299" s="19">
        <f aca="false">IF($T299="",1000000000000000,$T299)</f>
        <v>75240</v>
      </c>
      <c r="XFC299" s="3"/>
    </row>
    <row r="300" s="6" collapsed="false" customFormat="true" customHeight="true" hidden="false" ht="28.5" outlineLevel="0">
      <c r="A300" s="16">
        <f aca="false">IF($T300="","",1+COUNTIF($W$15:$W$884,"&lt;"&amp;W300))</f>
        <v>286</v>
      </c>
      <c r="B300" s="16" t="s">
        <v>12</v>
      </c>
      <c r="C300" s="16" t="s">
        <v>616</v>
      </c>
      <c r="D300" s="21" t="s">
        <v>45</v>
      </c>
      <c r="E300" s="16" t="s">
        <v>26</v>
      </c>
      <c r="F300" s="16" t="s">
        <v>617</v>
      </c>
      <c r="G300" s="17">
        <v>2094</v>
      </c>
      <c r="H300" s="17"/>
      <c r="I300" s="17"/>
      <c r="J300" s="17">
        <v>2094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2094</v>
      </c>
      <c r="M300" s="17">
        <f aca="false">IF($H300="","",$H300+$K300)</f>
        <v/>
      </c>
      <c r="N300" s="17">
        <f aca="false">IF($J300="","",$J300+$K300)</f>
        <v>2094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83,760원</v>
      </c>
      <c r="P300" s="17">
        <f aca="false">IF($B$10=0,"",IFERROR(IF($B$4&gt;0,IF($L300="",1/0,$L300*$B$4),0)+IF($B$5&gt;0,IF($M300="",1/0,$M300*$B$5),0)+IF($B$6&gt;0,IF($N300="",1/0,$N300*$B$6),0),""))</f>
        <v>83760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8376</v>
      </c>
      <c r="T300" s="17">
        <f aca="false">IF($P300="","",$P300-$S300)</f>
        <v>75384</v>
      </c>
      <c r="U300" s="17">
        <f aca="false">IF($T300="","",IF($B$10=0,"",$T300/$B$10))</f>
        <v>1884.6</v>
      </c>
      <c r="V300" s="17">
        <f aca="false">IF($P300="","",IF($B$10=0,"",$P300/$B$10))</f>
        <v>2094</v>
      </c>
      <c r="W300" s="19">
        <f aca="false">IF($T300="",1000000000000000,$T300)</f>
        <v>75384</v>
      </c>
      <c r="XFC300" s="3"/>
    </row>
    <row r="301" s="5" collapsed="false" customFormat="true" customHeight="true" hidden="false" ht="28.5" outlineLevel="0">
      <c r="A301" s="16">
        <f aca="false">IF($T301="","",1+COUNTIF($W$15:$W$884,"&lt;"&amp;W301))</f>
        <v>287</v>
      </c>
      <c r="B301" s="16" t="s">
        <v>8</v>
      </c>
      <c r="C301" s="16" t="s">
        <v>619</v>
      </c>
      <c r="D301" s="21" t="s">
        <v>57</v>
      </c>
      <c r="E301" s="16" t="s">
        <v>51</v>
      </c>
      <c r="F301" s="16" t="s">
        <v>620</v>
      </c>
      <c r="G301" s="17">
        <v>2095</v>
      </c>
      <c r="H301" s="17"/>
      <c r="I301" s="17"/>
      <c r="J301" s="17">
        <v>2095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2095</v>
      </c>
      <c r="M301" s="17">
        <f aca="false">IF($H301="","",$H301+$K301)</f>
        <v/>
      </c>
      <c r="N301" s="17">
        <f aca="false">IF($J301="","",$J301+$K301)</f>
        <v>2095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83,800원</v>
      </c>
      <c r="P301" s="17">
        <f aca="false">IF($B$10=0,"",IFERROR(IF($B$4&gt;0,IF($L301="",1/0,$L301*$B$4),0)+IF($B$5&gt;0,IF($M301="",1/0,$M301*$B$5),0)+IF($B$6&gt;0,IF($N301="",1/0,$N301*$B$6),0),""))</f>
        <v>83800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8380</v>
      </c>
      <c r="T301" s="17">
        <f aca="false">IF($P301="","",$P301-$S301)</f>
        <v>75420</v>
      </c>
      <c r="U301" s="17">
        <f aca="false">IF($T301="","",IF($B$10=0,"",$T301/$B$10))</f>
        <v>1885.5</v>
      </c>
      <c r="V301" s="17">
        <f aca="false">IF($P301="","",IF($B$10=0,"",$P301/$B$10))</f>
        <v>2095</v>
      </c>
      <c r="W301" s="19">
        <f aca="false">IF($T301="",1000000000000000,$T301)</f>
        <v>75420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IF($T302="","",1+COUNTIF($W$15:$W$884,"&lt;"&amp;W302))</f>
        <v>287</v>
      </c>
      <c r="B302" s="16" t="s">
        <v>12</v>
      </c>
      <c r="C302" s="16" t="s">
        <v>621</v>
      </c>
      <c r="D302" s="21" t="s">
        <v>45</v>
      </c>
      <c r="E302" s="16" t="s">
        <v>51</v>
      </c>
      <c r="F302" s="16" t="s">
        <v>622</v>
      </c>
      <c r="G302" s="17">
        <v>2095</v>
      </c>
      <c r="H302" s="17"/>
      <c r="I302" s="17"/>
      <c r="J302" s="17">
        <v>2095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2095</v>
      </c>
      <c r="M302" s="17">
        <f aca="false">IF($H302="","",$H302+$K302)</f>
        <v/>
      </c>
      <c r="N302" s="17">
        <f aca="false">IF($J302="","",$J302+$K302)</f>
        <v>2095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83,800원</v>
      </c>
      <c r="P302" s="17">
        <f aca="false">IF($B$10=0,"",IFERROR(IF($B$4&gt;0,IF($L302="",1/0,$L302*$B$4),0)+IF($B$5&gt;0,IF($M302="",1/0,$M302*$B$5),0)+IF($B$6&gt;0,IF($N302="",1/0,$N302*$B$6),0),""))</f>
        <v>83800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8380</v>
      </c>
      <c r="T302" s="17">
        <f aca="false">IF($P302="","",$P302-$S302)</f>
        <v>75420</v>
      </c>
      <c r="U302" s="17">
        <f aca="false">IF($T302="","",IF($B$10=0,"",$T302/$B$10))</f>
        <v>1885.5</v>
      </c>
      <c r="V302" s="17">
        <f aca="false">IF($P302="","",IF($B$10=0,"",$P302/$B$10))</f>
        <v>2095</v>
      </c>
      <c r="W302" s="19">
        <f aca="false">IF($T302="",1000000000000000,$T302)</f>
        <v>75420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IF($T303="","",1+COUNTIF($W$15:$W$884,"&lt;"&amp;W303))</f>
        <v>289</v>
      </c>
      <c r="B303" s="16" t="s">
        <v>12</v>
      </c>
      <c r="C303" s="16" t="s">
        <v>623</v>
      </c>
      <c r="D303" s="20" t="s">
        <v>54</v>
      </c>
      <c r="E303" s="16" t="s">
        <v>51</v>
      </c>
      <c r="F303" s="16" t="s">
        <v>624</v>
      </c>
      <c r="G303" s="17">
        <v>2098</v>
      </c>
      <c r="H303" s="17"/>
      <c r="I303" s="17"/>
      <c r="J303" s="17">
        <v>2097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2098</v>
      </c>
      <c r="M303" s="17">
        <f aca="false">IF($H303="","",$H303+$K303)</f>
        <v/>
      </c>
      <c r="N303" s="17">
        <f aca="false">IF($J303="","",$J303+$K303)</f>
        <v>2097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83,920원</v>
      </c>
      <c r="P303" s="17">
        <f aca="false">IF($B$10=0,"",IFERROR(IF($B$4&gt;0,IF($L303="",1/0,$L303*$B$4),0)+IF($B$5&gt;0,IF($M303="",1/0,$M303*$B$5),0)+IF($B$6&gt;0,IF($N303="",1/0,$N303*$B$6),0),""))</f>
        <v>83920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8392</v>
      </c>
      <c r="T303" s="17">
        <f aca="false">IF($P303="","",$P303-$S303)</f>
        <v>75528</v>
      </c>
      <c r="U303" s="17">
        <f aca="false">IF($T303="","",IF($B$10=0,"",$T303/$B$10))</f>
        <v>1888.2</v>
      </c>
      <c r="V303" s="17">
        <f aca="false">IF($P303="","",IF($B$10=0,"",$P303/$B$10))</f>
        <v>2098</v>
      </c>
      <c r="W303" s="19">
        <f aca="false">IF($T303="",1000000000000000,$T303)</f>
        <v>75528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IF($T304="","",1+COUNTIF($W$15:$W$884,"&lt;"&amp;W304))</f>
        <v>289</v>
      </c>
      <c r="B304" s="16" t="s">
        <v>6</v>
      </c>
      <c r="C304" s="16" t="s">
        <v>625</v>
      </c>
      <c r="D304" s="21" t="s">
        <v>57</v>
      </c>
      <c r="E304" s="16" t="s">
        <v>51</v>
      </c>
      <c r="F304" s="16" t="s">
        <v>626</v>
      </c>
      <c r="G304" s="17">
        <v>2098</v>
      </c>
      <c r="H304" s="17"/>
      <c r="I304" s="17"/>
      <c r="J304" s="17">
        <v>2098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2098</v>
      </c>
      <c r="M304" s="17">
        <f aca="false">IF($H304="","",$H304+$K304)</f>
        <v/>
      </c>
      <c r="N304" s="17">
        <f aca="false">IF($J304="","",$J304+$K304)</f>
        <v>2098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83,920원</v>
      </c>
      <c r="P304" s="17">
        <f aca="false">IF($B$10=0,"",IFERROR(IF($B$4&gt;0,IF($L304="",1/0,$L304*$B$4),0)+IF($B$5&gt;0,IF($M304="",1/0,$M304*$B$5),0)+IF($B$6&gt;0,IF($N304="",1/0,$N304*$B$6),0),""))</f>
        <v>83920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8392</v>
      </c>
      <c r="T304" s="17">
        <f aca="false">IF($P304="","",$P304-$S304)</f>
        <v>75528</v>
      </c>
      <c r="U304" s="17">
        <f aca="false">IF($T304="","",IF($B$10=0,"",$T304/$B$10))</f>
        <v>1888.2</v>
      </c>
      <c r="V304" s="17">
        <f aca="false">IF($P304="","",IF($B$10=0,"",$P304/$B$10))</f>
        <v>2098</v>
      </c>
      <c r="W304" s="19">
        <f aca="false">IF($T304="",1000000000000000,$T304)</f>
        <v>75528</v>
      </c>
      <c r="XFB304" s="6"/>
      <c r="XFC304" s="3"/>
    </row>
    <row r="305" s="22" collapsed="false" customFormat="true" customHeight="true" hidden="false" ht="28.5" outlineLevel="0">
      <c r="A305" s="16">
        <f aca="false">IF($T305="","",1+COUNTIF($W$15:$W$884,"&lt;"&amp;W305))</f>
        <v>291</v>
      </c>
      <c r="B305" s="16" t="s">
        <v>12</v>
      </c>
      <c r="C305" s="16" t="s">
        <v>282</v>
      </c>
      <c r="D305" s="21" t="s">
        <v>57</v>
      </c>
      <c r="E305" s="16" t="s">
        <v>51</v>
      </c>
      <c r="F305" s="16" t="s">
        <v>618</v>
      </c>
      <c r="G305" s="17">
        <v>2099</v>
      </c>
      <c r="H305" s="17"/>
      <c r="I305" s="17"/>
      <c r="J305" s="17">
        <v>2089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2099</v>
      </c>
      <c r="M305" s="17">
        <f aca="false">IF($H305="","",$H305+$K305)</f>
        <v/>
      </c>
      <c r="N305" s="17">
        <f aca="false">IF($J305="","",$J305+$K305)</f>
        <v>2089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83,960원</v>
      </c>
      <c r="P305" s="17">
        <f aca="false">IF($B$10=0,"",IFERROR(IF($B$4&gt;0,IF($L305="",1/0,$L305*$B$4),0)+IF($B$5&gt;0,IF($M305="",1/0,$M305*$B$5),0)+IF($B$6&gt;0,IF($N305="",1/0,$N305*$B$6),0),""))</f>
        <v>83960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8396</v>
      </c>
      <c r="T305" s="17">
        <f aca="false">IF($P305="","",$P305-$S305)</f>
        <v>75564</v>
      </c>
      <c r="U305" s="17">
        <f aca="false">IF($T305="","",IF($B$10=0,"",$T305/$B$10))</f>
        <v>1889.1</v>
      </c>
      <c r="V305" s="17">
        <f aca="false">IF($P305="","",IF($B$10=0,"",$P305/$B$10))</f>
        <v>2099</v>
      </c>
      <c r="W305" s="19">
        <f aca="false">IF($T305="",1000000000000000,$T305)</f>
        <v>75564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IF($T306="","",1+COUNTIF($W$15:$W$884,"&lt;"&amp;W306))</f>
        <v>291</v>
      </c>
      <c r="B306" s="16" t="s">
        <v>12</v>
      </c>
      <c r="C306" s="16" t="s">
        <v>627</v>
      </c>
      <c r="D306" s="21" t="s">
        <v>45</v>
      </c>
      <c r="E306" s="16" t="s">
        <v>51</v>
      </c>
      <c r="F306" s="16" t="s">
        <v>628</v>
      </c>
      <c r="G306" s="17">
        <v>2099</v>
      </c>
      <c r="H306" s="17"/>
      <c r="I306" s="17"/>
      <c r="J306" s="17">
        <v>2094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2099</v>
      </c>
      <c r="M306" s="17">
        <f aca="false">IF($H306="","",$H306+$K306)</f>
        <v/>
      </c>
      <c r="N306" s="17">
        <f aca="false">IF($J306="","",$J306+$K306)</f>
        <v>2094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83,960원</v>
      </c>
      <c r="P306" s="17">
        <f aca="false">IF($B$10=0,"",IFERROR(IF($B$4&gt;0,IF($L306="",1/0,$L306*$B$4),0)+IF($B$5&gt;0,IF($M306="",1/0,$M306*$B$5),0)+IF($B$6&gt;0,IF($N306="",1/0,$N306*$B$6),0),""))</f>
        <v>83960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8396</v>
      </c>
      <c r="T306" s="17">
        <f aca="false">IF($P306="","",$P306-$S306)</f>
        <v>75564</v>
      </c>
      <c r="U306" s="17">
        <f aca="false">IF($T306="","",IF($B$10=0,"",$T306/$B$10))</f>
        <v>1889.1</v>
      </c>
      <c r="V306" s="17">
        <f aca="false">IF($P306="","",IF($B$10=0,"",$P306/$B$10))</f>
        <v>2099</v>
      </c>
      <c r="W306" s="19">
        <f aca="false">IF($T306="",1000000000000000,$T306)</f>
        <v>75564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IF($T307="","",1+COUNTIF($W$15:$W$884,"&lt;"&amp;W307))</f>
        <v>293</v>
      </c>
      <c r="B307" s="16" t="s">
        <v>12</v>
      </c>
      <c r="C307" s="16" t="s">
        <v>629</v>
      </c>
      <c r="D307" s="21" t="s">
        <v>45</v>
      </c>
      <c r="E307" s="16" t="s">
        <v>51</v>
      </c>
      <c r="F307" s="16" t="s">
        <v>630</v>
      </c>
      <c r="G307" s="17">
        <v>2100</v>
      </c>
      <c r="H307" s="17"/>
      <c r="I307" s="17"/>
      <c r="J307" s="17">
        <v>2078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2100</v>
      </c>
      <c r="M307" s="17">
        <f aca="false">IF($H307="","",$H307+$K307)</f>
        <v/>
      </c>
      <c r="N307" s="17">
        <f aca="false">IF($J307="","",$J307+$K307)</f>
        <v>2078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84,000원</v>
      </c>
      <c r="P307" s="17">
        <f aca="false">IF($B$10=0,"",IFERROR(IF($B$4&gt;0,IF($L307="",1/0,$L307*$B$4),0)+IF($B$5&gt;0,IF($M307="",1/0,$M307*$B$5),0)+IF($B$6&gt;0,IF($N307="",1/0,$N307*$B$6),0),""))</f>
        <v>84000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8400</v>
      </c>
      <c r="T307" s="17">
        <f aca="false">IF($P307="","",$P307-$S307)</f>
        <v>75600</v>
      </c>
      <c r="U307" s="17">
        <f aca="false">IF($T307="","",IF($B$10=0,"",$T307/$B$10))</f>
        <v>1890</v>
      </c>
      <c r="V307" s="17">
        <f aca="false">IF($P307="","",IF($B$10=0,"",$P307/$B$10))</f>
        <v>2100</v>
      </c>
      <c r="W307" s="19">
        <f aca="false">IF($T307="",1000000000000000,$T307)</f>
        <v>75600</v>
      </c>
      <c r="XFB307" s="6"/>
      <c r="XFC307" s="3"/>
    </row>
    <row r="308" s="6" collapsed="false" customFormat="true" customHeight="true" hidden="false" ht="28.5" outlineLevel="0">
      <c r="A308" s="16">
        <f aca="false">IF($T308="","",1+COUNTIF($W$15:$W$884,"&lt;"&amp;W308))</f>
        <v>294</v>
      </c>
      <c r="B308" s="16" t="s">
        <v>6</v>
      </c>
      <c r="C308" s="16" t="s">
        <v>631</v>
      </c>
      <c r="D308" s="16" t="s">
        <v>64</v>
      </c>
      <c r="E308" s="16" t="s">
        <v>51</v>
      </c>
      <c r="F308" s="16" t="s">
        <v>632</v>
      </c>
      <c r="G308" s="17">
        <v>2134</v>
      </c>
      <c r="H308" s="17">
        <v>2598</v>
      </c>
      <c r="I308" s="17"/>
      <c r="J308" s="17">
        <v>2123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2134</v>
      </c>
      <c r="M308" s="17">
        <f aca="false">IF($H308="","",$H308+$K308)</f>
        <v>2598</v>
      </c>
      <c r="N308" s="17">
        <f aca="false">IF($J308="","",$J308+$K308)</f>
        <v>2123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85,360원</v>
      </c>
      <c r="P308" s="17">
        <f aca="false">IF($B$10=0,"",IFERROR(IF($B$4&gt;0,IF($L308="",1/0,$L308*$B$4),0)+IF($B$5&gt;0,IF($M308="",1/0,$M308*$B$5),0)+IF($B$6&gt;0,IF($N308="",1/0,$N308*$B$6),0),""))</f>
        <v>85360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8536</v>
      </c>
      <c r="T308" s="17">
        <f aca="false">IF($P308="","",$P308-$S308)</f>
        <v>76824</v>
      </c>
      <c r="U308" s="17">
        <f aca="false">IF($T308="","",IF($B$10=0,"",$T308/$B$10))</f>
        <v>1920.6</v>
      </c>
      <c r="V308" s="17">
        <f aca="false">IF($P308="","",IF($B$10=0,"",$P308/$B$10))</f>
        <v>2134</v>
      </c>
      <c r="W308" s="19">
        <f aca="false">IF($T308="",1000000000000000,$T308)</f>
        <v>76824</v>
      </c>
      <c r="XFC308" s="3"/>
    </row>
    <row r="309" s="22" collapsed="false" customFormat="true" customHeight="true" hidden="false" ht="28.5" outlineLevel="0">
      <c r="A309" s="16">
        <f aca="false">IF($T309="","",1+COUNTIF($W$15:$W$884,"&lt;"&amp;W309))</f>
        <v>295</v>
      </c>
      <c r="B309" s="16" t="s">
        <v>12</v>
      </c>
      <c r="C309" s="16" t="s">
        <v>635</v>
      </c>
      <c r="D309" s="21" t="s">
        <v>57</v>
      </c>
      <c r="E309" s="16" t="s">
        <v>26</v>
      </c>
      <c r="F309" s="16" t="s">
        <v>636</v>
      </c>
      <c r="G309" s="17">
        <v>1957</v>
      </c>
      <c r="H309" s="17"/>
      <c r="I309" s="17"/>
      <c r="J309" s="17">
        <v>1989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1957</v>
      </c>
      <c r="M309" s="17">
        <f aca="false">IF($H309="","",$H309+$K309)</f>
        <v/>
      </c>
      <c r="N309" s="17">
        <f aca="false">IF($J309="","",$J309+$K309)</f>
        <v>1989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78,280원</v>
      </c>
      <c r="P309" s="17">
        <f aca="false">IF($B$10=0,"",IFERROR(IF($B$4&gt;0,IF($L309="",1/0,$L309*$B$4),0)+IF($B$5&gt;0,IF($M309="",1/0,$M309*$B$5),0)+IF($B$6&gt;0,IF($N309="",1/0,$N309*$B$6),0),""))</f>
        <v>78280</v>
      </c>
      <c r="Q309" s="17"/>
      <c r="R309" s="18">
        <f aca="false">IF($P309="","",IF($Q309="Y",IFERROR(VLOOKUP($B309,$C$4:$D$13,2,FALSE()),0),0))</f>
        <v>0</v>
      </c>
      <c r="S309" s="17">
        <f aca="false">IF($P309="","",ROUNDDOWN($P309*$R309,0))</f>
        <v>0</v>
      </c>
      <c r="T309" s="17">
        <f aca="false">IF($P309="","",$P309-$S309)</f>
        <v>78280</v>
      </c>
      <c r="U309" s="17">
        <f aca="false">IF($T309="","",IF($B$10=0,"",$T309/$B$10))</f>
        <v>1957</v>
      </c>
      <c r="V309" s="17">
        <f aca="false">IF($P309="","",IF($B$10=0,"",$P309/$B$10))</f>
        <v>1957</v>
      </c>
      <c r="W309" s="19">
        <f aca="false">IF($T309="",1000000000000000,$T309)</f>
        <v>78280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IF($T310="","",1+COUNTIF($W$15:$W$884,"&lt;"&amp;W310))</f>
        <v>296</v>
      </c>
      <c r="B310" s="16" t="s">
        <v>12</v>
      </c>
      <c r="C310" s="16" t="s">
        <v>639</v>
      </c>
      <c r="D310" s="21" t="s">
        <v>45</v>
      </c>
      <c r="E310" s="16" t="s">
        <v>26</v>
      </c>
      <c r="F310" s="16" t="s">
        <v>640</v>
      </c>
      <c r="G310" s="17">
        <v>1959</v>
      </c>
      <c r="H310" s="17"/>
      <c r="I310" s="17"/>
      <c r="J310" s="17">
        <v>1975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1959</v>
      </c>
      <c r="M310" s="17">
        <f aca="false">IF($H310="","",$H310+$K310)</f>
        <v/>
      </c>
      <c r="N310" s="17">
        <f aca="false">IF($J310="","",$J310+$K310)</f>
        <v>1975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78,360원</v>
      </c>
      <c r="P310" s="17">
        <f aca="false">IF($B$10=0,"",IFERROR(IF($B$4&gt;0,IF($L310="",1/0,$L310*$B$4),0)+IF($B$5&gt;0,IF($M310="",1/0,$M310*$B$5),0)+IF($B$6&gt;0,IF($N310="",1/0,$N310*$B$6),0),""))</f>
        <v>78360</v>
      </c>
      <c r="Q310" s="17"/>
      <c r="R310" s="18">
        <f aca="false">IF($P310="","",IF($Q310="Y",IFERROR(VLOOKUP($B310,$C$4:$D$13,2,FALSE()),0),0))</f>
        <v>0</v>
      </c>
      <c r="S310" s="17">
        <f aca="false">IF($P310="","",ROUNDDOWN($P310*$R310,0))</f>
        <v>0</v>
      </c>
      <c r="T310" s="17">
        <f aca="false">IF($P310="","",$P310-$S310)</f>
        <v>78360</v>
      </c>
      <c r="U310" s="17">
        <f aca="false">IF($T310="","",IF($B$10=0,"",$T310/$B$10))</f>
        <v>1959</v>
      </c>
      <c r="V310" s="17">
        <f aca="false">IF($P310="","",IF($B$10=0,"",$P310/$B$10))</f>
        <v>1959</v>
      </c>
      <c r="W310" s="19">
        <f aca="false">IF($T310="",1000000000000000,$T310)</f>
        <v>78360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IF($T311="","",1+COUNTIF($W$15:$W$884,"&lt;"&amp;W311))</f>
        <v>296</v>
      </c>
      <c r="B311" s="16" t="s">
        <v>12</v>
      </c>
      <c r="C311" s="16" t="s">
        <v>633</v>
      </c>
      <c r="D311" s="21" t="s">
        <v>64</v>
      </c>
      <c r="E311" s="16" t="s">
        <v>26</v>
      </c>
      <c r="F311" s="16" t="s">
        <v>634</v>
      </c>
      <c r="G311" s="17">
        <v>1959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1959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78,360원</v>
      </c>
      <c r="P311" s="17">
        <f aca="false">IF($B$10=0,"",IFERROR(IF($B$4&gt;0,IF($L311="",1/0,$L311*$B$4),0)+IF($B$5&gt;0,IF($M311="",1/0,$M311*$B$5),0)+IF($B$6&gt;0,IF($N311="",1/0,$N311*$B$6),0),""))</f>
        <v>78360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78360</v>
      </c>
      <c r="U311" s="17">
        <f aca="false">IF($T311="","",IF($B$10=0,"",$T311/$B$10))</f>
        <v>1959</v>
      </c>
      <c r="V311" s="17">
        <f aca="false">IF($P311="","",IF($B$10=0,"",$P311/$B$10))</f>
        <v>1959</v>
      </c>
      <c r="W311" s="19">
        <f aca="false">IF($T311="",1000000000000000,$T311)</f>
        <v>78360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IF($T312="","",1+COUNTIF($W$15:$W$884,"&lt;"&amp;W312))</f>
        <v>298</v>
      </c>
      <c r="B312" s="16" t="s">
        <v>12</v>
      </c>
      <c r="C312" s="16" t="s">
        <v>637</v>
      </c>
      <c r="D312" s="21" t="s">
        <v>45</v>
      </c>
      <c r="E312" s="16" t="s">
        <v>26</v>
      </c>
      <c r="F312" s="16" t="s">
        <v>638</v>
      </c>
      <c r="G312" s="17">
        <v>1969</v>
      </c>
      <c r="H312" s="17"/>
      <c r="I312" s="17"/>
      <c r="J312" s="17">
        <v>1975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1969</v>
      </c>
      <c r="M312" s="17">
        <f aca="false">IF($H312="","",$H312+$K312)</f>
        <v/>
      </c>
      <c r="N312" s="17">
        <f aca="false">IF($J312="","",$J312+$K312)</f>
        <v>1975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78,760원</v>
      </c>
      <c r="P312" s="17">
        <f aca="false">IF($B$10=0,"",IFERROR(IF($B$4&gt;0,IF($L312="",1/0,$L312*$B$4),0)+IF($B$5&gt;0,IF($M312="",1/0,$M312*$B$5),0)+IF($B$6&gt;0,IF($N312="",1/0,$N312*$B$6),0),""))</f>
        <v>78760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78760</v>
      </c>
      <c r="U312" s="17">
        <f aca="false">IF($T312="","",IF($B$10=0,"",$T312/$B$10))</f>
        <v>1969</v>
      </c>
      <c r="V312" s="17">
        <f aca="false">IF($P312="","",IF($B$10=0,"",$P312/$B$10))</f>
        <v>1969</v>
      </c>
      <c r="W312" s="19">
        <f aca="false">IF($T312="",1000000000000000,$T312)</f>
        <v>78760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IF($T313="","",1+COUNTIF($W$15:$W$884,"&lt;"&amp;W313))</f>
        <v>299</v>
      </c>
      <c r="B313" s="16" t="s">
        <v>12</v>
      </c>
      <c r="C313" s="16" t="s">
        <v>641</v>
      </c>
      <c r="D313" s="21" t="s">
        <v>45</v>
      </c>
      <c r="E313" s="16" t="s">
        <v>26</v>
      </c>
      <c r="F313" s="16" t="s">
        <v>642</v>
      </c>
      <c r="G313" s="17">
        <v>1974</v>
      </c>
      <c r="H313" s="17">
        <v>2398</v>
      </c>
      <c r="I313" s="17"/>
      <c r="J313" s="17">
        <v>1994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1974</v>
      </c>
      <c r="M313" s="17">
        <f aca="false">IF($H313="","",$H313+$K313)</f>
        <v>2398</v>
      </c>
      <c r="N313" s="17">
        <f aca="false">IF($J313="","",$J313+$K313)</f>
        <v>1994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78,960원</v>
      </c>
      <c r="P313" s="17">
        <f aca="false">IF($B$10=0,"",IFERROR(IF($B$4&gt;0,IF($L313="",1/0,$L313*$B$4),0)+IF($B$5&gt;0,IF($M313="",1/0,$M313*$B$5),0)+IF($B$6&gt;0,IF($N313="",1/0,$N313*$B$6),0),""))</f>
        <v>78960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78960</v>
      </c>
      <c r="U313" s="17">
        <f aca="false">IF($T313="","",IF($B$10=0,"",$T313/$B$10))</f>
        <v>1974</v>
      </c>
      <c r="V313" s="17">
        <f aca="false">IF($P313="","",IF($B$10=0,"",$P313/$B$10))</f>
        <v>1974</v>
      </c>
      <c r="W313" s="19">
        <f aca="false">IF($T313="",1000000000000000,$T313)</f>
        <v>78960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IF($T314="","",1+COUNTIF($W$15:$W$884,"&lt;"&amp;W314))</f>
        <v>299</v>
      </c>
      <c r="B314" s="16" t="s">
        <v>8</v>
      </c>
      <c r="C314" s="16" t="s">
        <v>643</v>
      </c>
      <c r="D314" s="16" t="s">
        <v>176</v>
      </c>
      <c r="E314" s="16" t="s">
        <v>26</v>
      </c>
      <c r="F314" s="16" t="s">
        <v>644</v>
      </c>
      <c r="G314" s="17">
        <v>1974</v>
      </c>
      <c r="H314" s="17"/>
      <c r="I314" s="17"/>
      <c r="J314" s="17">
        <v>1974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1974</v>
      </c>
      <c r="M314" s="17">
        <f aca="false">IF($H314="","",$H314+$K314)</f>
        <v/>
      </c>
      <c r="N314" s="17">
        <f aca="false">IF($J314="","",$J314+$K314)</f>
        <v>1974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78,960원</v>
      </c>
      <c r="P314" s="17">
        <f aca="false">IF($B$10=0,"",IFERROR(IF($B$4&gt;0,IF($L314="",1/0,$L314*$B$4),0)+IF($B$5&gt;0,IF($M314="",1/0,$M314*$B$5),0)+IF($B$6&gt;0,IF($N314="",1/0,$N314*$B$6),0),""))</f>
        <v>78960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78960</v>
      </c>
      <c r="U314" s="17">
        <f aca="false">IF($T314="","",IF($B$10=0,"",$T314/$B$10))</f>
        <v>1974</v>
      </c>
      <c r="V314" s="17">
        <f aca="false">IF($P314="","",IF($B$10=0,"",$P314/$B$10))</f>
        <v>1974</v>
      </c>
      <c r="W314" s="19">
        <f aca="false">IF($T314="",1000000000000000,$T314)</f>
        <v>78960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IF($T315="","",1+COUNTIF($W$15:$W$884,"&lt;"&amp;W315))</f>
        <v>301</v>
      </c>
      <c r="B315" s="16" t="s">
        <v>6</v>
      </c>
      <c r="C315" s="16" t="s">
        <v>645</v>
      </c>
      <c r="D315" s="16" t="s">
        <v>45</v>
      </c>
      <c r="E315" s="16" t="s">
        <v>26</v>
      </c>
      <c r="F315" s="16" t="s">
        <v>646</v>
      </c>
      <c r="G315" s="17">
        <v>1975</v>
      </c>
      <c r="H315" s="17"/>
      <c r="I315" s="17"/>
      <c r="J315" s="17">
        <v>1965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1975</v>
      </c>
      <c r="M315" s="17">
        <f aca="false">IF($H315="","",$H315+$K315)</f>
        <v/>
      </c>
      <c r="N315" s="17">
        <f aca="false">IF($J315="","",$J315+$K315)</f>
        <v>1965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79,000원</v>
      </c>
      <c r="P315" s="17">
        <f aca="false">IF($B$10=0,"",IFERROR(IF($B$4&gt;0,IF($L315="",1/0,$L315*$B$4),0)+IF($B$5&gt;0,IF($M315="",1/0,$M315*$B$5),0)+IF($B$6&gt;0,IF($N315="",1/0,$N315*$B$6),0),""))</f>
        <v>79000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79000</v>
      </c>
      <c r="U315" s="17">
        <f aca="false">IF($T315="","",IF($B$10=0,"",$T315/$B$10))</f>
        <v>1975</v>
      </c>
      <c r="V315" s="17">
        <f aca="false">IF($P315="","",IF($B$10=0,"",$P315/$B$10))</f>
        <v>1975</v>
      </c>
      <c r="W315" s="19">
        <f aca="false">IF($T315="",1000000000000000,$T315)</f>
        <v>79000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IF($T316="","",1+COUNTIF($W$15:$W$884,"&lt;"&amp;W316))</f>
        <v>301</v>
      </c>
      <c r="B316" s="16" t="s">
        <v>6</v>
      </c>
      <c r="C316" s="16" t="s">
        <v>647</v>
      </c>
      <c r="D316" s="20" t="s">
        <v>54</v>
      </c>
      <c r="E316" s="16" t="s">
        <v>26</v>
      </c>
      <c r="F316" s="16" t="s">
        <v>648</v>
      </c>
      <c r="G316" s="17">
        <v>1975</v>
      </c>
      <c r="H316" s="17"/>
      <c r="I316" s="17"/>
      <c r="J316" s="17">
        <v>1965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1975</v>
      </c>
      <c r="M316" s="17">
        <f aca="false">IF($H316="","",$H316+$K316)</f>
        <v/>
      </c>
      <c r="N316" s="17">
        <f aca="false">IF($J316="","",$J316+$K316)</f>
        <v>1965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79,000원</v>
      </c>
      <c r="P316" s="17">
        <f aca="false">IF($B$10=0,"",IFERROR(IF($B$4&gt;0,IF($L316="",1/0,$L316*$B$4),0)+IF($B$5&gt;0,IF($M316="",1/0,$M316*$B$5),0)+IF($B$6&gt;0,IF($N316="",1/0,$N316*$B$6),0),""))</f>
        <v>79000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79000</v>
      </c>
      <c r="U316" s="17">
        <f aca="false">IF($T316="","",IF($B$10=0,"",$T316/$B$10))</f>
        <v>1975</v>
      </c>
      <c r="V316" s="17">
        <f aca="false">IF($P316="","",IF($B$10=0,"",$P316/$B$10))</f>
        <v>1975</v>
      </c>
      <c r="W316" s="19">
        <f aca="false">IF($T316="",1000000000000000,$T316)</f>
        <v>79000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IF($T317="","",1+COUNTIF($W$15:$W$884,"&lt;"&amp;W317))</f>
        <v>301</v>
      </c>
      <c r="B317" s="16" t="s">
        <v>10</v>
      </c>
      <c r="C317" s="16" t="s">
        <v>649</v>
      </c>
      <c r="D317" s="16" t="s">
        <v>45</v>
      </c>
      <c r="E317" s="16" t="s">
        <v>26</v>
      </c>
      <c r="F317" s="16" t="s">
        <v>650</v>
      </c>
      <c r="G317" s="17">
        <v>1975</v>
      </c>
      <c r="H317" s="17"/>
      <c r="I317" s="17"/>
      <c r="J317" s="17">
        <v>1965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1975</v>
      </c>
      <c r="M317" s="17">
        <f aca="false">IF($H317="","",$H317+$K317)</f>
        <v/>
      </c>
      <c r="N317" s="17">
        <f aca="false">IF($J317="","",$J317+$K317)</f>
        <v>1965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79,000원</v>
      </c>
      <c r="P317" s="17">
        <f aca="false">IF($B$10=0,"",IFERROR(IF($B$4&gt;0,IF($L317="",1/0,$L317*$B$4),0)+IF($B$5&gt;0,IF($M317="",1/0,$M317*$B$5),0)+IF($B$6&gt;0,IF($N317="",1/0,$N317*$B$6),0),""))</f>
        <v>79000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79000</v>
      </c>
      <c r="U317" s="17">
        <f aca="false">IF($T317="","",IF($B$10=0,"",$T317/$B$10))</f>
        <v>1975</v>
      </c>
      <c r="V317" s="17">
        <f aca="false">IF($P317="","",IF($B$10=0,"",$P317/$B$10))</f>
        <v>1975</v>
      </c>
      <c r="W317" s="19">
        <f aca="false">IF($T317="",1000000000000000,$T317)</f>
        <v>79000</v>
      </c>
      <c r="XFC317" s="3"/>
    </row>
    <row r="318" s="5" collapsed="false" customFormat="true" customHeight="true" hidden="false" ht="28.5" outlineLevel="0">
      <c r="A318" s="16">
        <f aca="false">IF($T318="","",1+COUNTIF($W$15:$W$884,"&lt;"&amp;W318))</f>
        <v>304</v>
      </c>
      <c r="B318" s="16" t="s">
        <v>10</v>
      </c>
      <c r="C318" s="16" t="s">
        <v>651</v>
      </c>
      <c r="D318" s="16" t="s">
        <v>45</v>
      </c>
      <c r="E318" s="16" t="s">
        <v>26</v>
      </c>
      <c r="F318" s="16" t="s">
        <v>652</v>
      </c>
      <c r="G318" s="17">
        <v>1976</v>
      </c>
      <c r="H318" s="17"/>
      <c r="I318" s="17"/>
      <c r="J318" s="17">
        <v>1995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1976</v>
      </c>
      <c r="M318" s="17">
        <f aca="false">IF($H318="","",$H318+$K318)</f>
        <v/>
      </c>
      <c r="N318" s="17">
        <f aca="false">IF($J318="","",$J318+$K318)</f>
        <v>1995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79,040원</v>
      </c>
      <c r="P318" s="17">
        <f aca="false">IF($B$10=0,"",IFERROR(IF($B$4&gt;0,IF($L318="",1/0,$L318*$B$4),0)+IF($B$5&gt;0,IF($M318="",1/0,$M318*$B$5),0)+IF($B$6&gt;0,IF($N318="",1/0,$N318*$B$6),0),""))</f>
        <v>79040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79040</v>
      </c>
      <c r="U318" s="17">
        <f aca="false">IF($T318="","",IF($B$10=0,"",$T318/$B$10))</f>
        <v>1976</v>
      </c>
      <c r="V318" s="17">
        <f aca="false">IF($P318="","",IF($B$10=0,"",$P318/$B$10))</f>
        <v>1976</v>
      </c>
      <c r="W318" s="19">
        <f aca="false">IF($T318="",1000000000000000,$T318)</f>
        <v>79040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IF($T319="","",1+COUNTIF($W$15:$W$884,"&lt;"&amp;W319))</f>
        <v>305</v>
      </c>
      <c r="B319" s="16" t="s">
        <v>10</v>
      </c>
      <c r="C319" s="16" t="s">
        <v>655</v>
      </c>
      <c r="D319" s="20" t="s">
        <v>54</v>
      </c>
      <c r="E319" s="16" t="s">
        <v>26</v>
      </c>
      <c r="F319" s="16" t="s">
        <v>656</v>
      </c>
      <c r="G319" s="17">
        <v>1978</v>
      </c>
      <c r="H319" s="17">
        <v>2399</v>
      </c>
      <c r="I319" s="17"/>
      <c r="J319" s="17">
        <v>1969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1978</v>
      </c>
      <c r="M319" s="17">
        <f aca="false">IF($H319="","",$H319+$K319)</f>
        <v>2399</v>
      </c>
      <c r="N319" s="17">
        <f aca="false">IF($J319="","",$J319+$K319)</f>
        <v>1969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79,120원</v>
      </c>
      <c r="P319" s="17">
        <f aca="false">IF($B$10=0,"",IFERROR(IF($B$4&gt;0,IF($L319="",1/0,$L319*$B$4),0)+IF($B$5&gt;0,IF($M319="",1/0,$M319*$B$5),0)+IF($B$6&gt;0,IF($N319="",1/0,$N319*$B$6),0),""))</f>
        <v>79120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79120</v>
      </c>
      <c r="U319" s="17">
        <f aca="false">IF($T319="","",IF($B$10=0,"",$T319/$B$10))</f>
        <v>1978</v>
      </c>
      <c r="V319" s="17">
        <f aca="false">IF($P319="","",IF($B$10=0,"",$P319/$B$10))</f>
        <v>1978</v>
      </c>
      <c r="W319" s="19">
        <f aca="false">IF($T319="",1000000000000000,$T319)</f>
        <v>79120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IF($T320="","",1+COUNTIF($W$15:$W$884,"&lt;"&amp;W320))</f>
        <v>305</v>
      </c>
      <c r="B320" s="16" t="s">
        <v>10</v>
      </c>
      <c r="C320" s="16" t="s">
        <v>657</v>
      </c>
      <c r="D320" s="16" t="s">
        <v>122</v>
      </c>
      <c r="E320" s="16" t="s">
        <v>26</v>
      </c>
      <c r="F320" s="16" t="s">
        <v>658</v>
      </c>
      <c r="G320" s="17">
        <v>1978</v>
      </c>
      <c r="H320" s="17">
        <v>2419</v>
      </c>
      <c r="I320" s="17"/>
      <c r="J320" s="17">
        <v>1969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1978</v>
      </c>
      <c r="M320" s="17">
        <f aca="false">IF($H320="","",$H320+$K320)</f>
        <v>2419</v>
      </c>
      <c r="N320" s="17">
        <f aca="false">IF($J320="","",$J320+$K320)</f>
        <v>1969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79,120원</v>
      </c>
      <c r="P320" s="17">
        <f aca="false">IF($B$10=0,"",IFERROR(IF($B$4&gt;0,IF($L320="",1/0,$L320*$B$4),0)+IF($B$5&gt;0,IF($M320="",1/0,$M320*$B$5),0)+IF($B$6&gt;0,IF($N320="",1/0,$N320*$B$6),0),""))</f>
        <v>79120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79120</v>
      </c>
      <c r="U320" s="17">
        <f aca="false">IF($T320="","",IF($B$10=0,"",$T320/$B$10))</f>
        <v>1978</v>
      </c>
      <c r="V320" s="17">
        <f aca="false">IF($P320="","",IF($B$10=0,"",$P320/$B$10))</f>
        <v>1978</v>
      </c>
      <c r="W320" s="19">
        <f aca="false">IF($T320="",1000000000000000,$T320)</f>
        <v>79120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IF($T321="","",1+COUNTIF($W$15:$W$884,"&lt;"&amp;W321))</f>
        <v>305</v>
      </c>
      <c r="B321" s="16" t="s">
        <v>6</v>
      </c>
      <c r="C321" s="16" t="s">
        <v>700</v>
      </c>
      <c r="D321" s="16" t="s">
        <v>64</v>
      </c>
      <c r="E321" s="16" t="s">
        <v>26</v>
      </c>
      <c r="F321" s="16" t="s">
        <v>701</v>
      </c>
      <c r="G321" s="17">
        <v>1978</v>
      </c>
      <c r="H321" s="17"/>
      <c r="I321" s="17"/>
      <c r="J321" s="17">
        <v>1973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1978</v>
      </c>
      <c r="M321" s="17">
        <f aca="false">IF($H321="","",$H321+$K321)</f>
        <v/>
      </c>
      <c r="N321" s="17">
        <f aca="false">IF($J321="","",$J321+$K321)</f>
        <v>1973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79,120원</v>
      </c>
      <c r="P321" s="17">
        <f aca="false">IF($B$10=0,"",IFERROR(IF($B$4&gt;0,IF($L321="",1/0,$L321*$B$4),0)+IF($B$5&gt;0,IF($M321="",1/0,$M321*$B$5),0)+IF($B$6&gt;0,IF($N321="",1/0,$N321*$B$6),0),""))</f>
        <v>79120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79120</v>
      </c>
      <c r="U321" s="17">
        <f aca="false">IF($T321="","",IF($B$10=0,"",$T321/$B$10))</f>
        <v>1978</v>
      </c>
      <c r="V321" s="17">
        <f aca="false">IF($P321="","",IF($B$10=0,"",$P321/$B$10))</f>
        <v>1978</v>
      </c>
      <c r="W321" s="19">
        <f aca="false">IF($T321="",1000000000000000,$T321)</f>
        <v>79120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IF($T322="","",1+COUNTIF($W$15:$W$884,"&lt;"&amp;W322))</f>
        <v>308</v>
      </c>
      <c r="B322" s="16" t="s">
        <v>10</v>
      </c>
      <c r="C322" s="16" t="s">
        <v>661</v>
      </c>
      <c r="D322" s="16" t="s">
        <v>122</v>
      </c>
      <c r="E322" s="16" t="s">
        <v>26</v>
      </c>
      <c r="F322" s="16" t="s">
        <v>662</v>
      </c>
      <c r="G322" s="17">
        <v>1979</v>
      </c>
      <c r="H322" s="17">
        <v>2419</v>
      </c>
      <c r="I322" s="17"/>
      <c r="J322" s="17">
        <v>1969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1979</v>
      </c>
      <c r="M322" s="17">
        <f aca="false">IF($H322="","",$H322+$K322)</f>
        <v>2419</v>
      </c>
      <c r="N322" s="17">
        <f aca="false">IF($J322="","",$J322+$K322)</f>
        <v>1969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79,160원</v>
      </c>
      <c r="P322" s="17">
        <f aca="false">IF($B$10=0,"",IFERROR(IF($B$4&gt;0,IF($L322="",1/0,$L322*$B$4),0)+IF($B$5&gt;0,IF($M322="",1/0,$M322*$B$5),0)+IF($B$6&gt;0,IF($N322="",1/0,$N322*$B$6),0),""))</f>
        <v>79160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79160</v>
      </c>
      <c r="U322" s="17">
        <f aca="false">IF($T322="","",IF($B$10=0,"",$T322/$B$10))</f>
        <v>1979</v>
      </c>
      <c r="V322" s="17">
        <f aca="false">IF($P322="","",IF($B$10=0,"",$P322/$B$10))</f>
        <v>1979</v>
      </c>
      <c r="W322" s="19">
        <f aca="false">IF($T322="",1000000000000000,$T322)</f>
        <v>79160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IF($T323="","",1+COUNTIF($W$15:$W$884,"&lt;"&amp;W323))</f>
        <v>308</v>
      </c>
      <c r="B323" s="16" t="s">
        <v>10</v>
      </c>
      <c r="C323" s="16" t="s">
        <v>663</v>
      </c>
      <c r="D323" s="16" t="s">
        <v>122</v>
      </c>
      <c r="E323" s="16" t="s">
        <v>26</v>
      </c>
      <c r="F323" s="16" t="s">
        <v>664</v>
      </c>
      <c r="G323" s="17">
        <v>1979</v>
      </c>
      <c r="H323" s="17"/>
      <c r="I323" s="17"/>
      <c r="J323" s="17">
        <v>1968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1979</v>
      </c>
      <c r="M323" s="17">
        <f aca="false">IF($H323="","",$H323+$K323)</f>
        <v/>
      </c>
      <c r="N323" s="17">
        <f aca="false">IF($J323="","",$J323+$K323)</f>
        <v>1968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79,160원</v>
      </c>
      <c r="P323" s="17">
        <f aca="false">IF($B$10=0,"",IFERROR(IF($B$4&gt;0,IF($L323="",1/0,$L323*$B$4),0)+IF($B$5&gt;0,IF($M323="",1/0,$M323*$B$5),0)+IF($B$6&gt;0,IF($N323="",1/0,$N323*$B$6),0),""))</f>
        <v>79160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79160</v>
      </c>
      <c r="U323" s="17">
        <f aca="false">IF($T323="","",IF($B$10=0,"",$T323/$B$10))</f>
        <v>1979</v>
      </c>
      <c r="V323" s="17">
        <f aca="false">IF($P323="","",IF($B$10=0,"",$P323/$B$10))</f>
        <v>1979</v>
      </c>
      <c r="W323" s="19">
        <f aca="false">IF($T323="",1000000000000000,$T323)</f>
        <v>79160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IF($T324="","",1+COUNTIF($W$15:$W$884,"&lt;"&amp;W324))</f>
        <v>308</v>
      </c>
      <c r="B324" s="16" t="s">
        <v>18</v>
      </c>
      <c r="C324" s="16" t="s">
        <v>665</v>
      </c>
      <c r="D324" s="16" t="s">
        <v>122</v>
      </c>
      <c r="E324" s="16" t="s">
        <v>26</v>
      </c>
      <c r="F324" s="16" t="s">
        <v>666</v>
      </c>
      <c r="G324" s="17">
        <v>1979</v>
      </c>
      <c r="H324" s="17"/>
      <c r="I324" s="17"/>
      <c r="J324" s="17">
        <v>1969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1979</v>
      </c>
      <c r="M324" s="17">
        <f aca="false">IF($H324="","",$H324+$K324)</f>
        <v/>
      </c>
      <c r="N324" s="17">
        <f aca="false">IF($J324="","",$J324+$K324)</f>
        <v>1969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79,160원</v>
      </c>
      <c r="P324" s="17">
        <f aca="false">IF($B$10=0,"",IFERROR(IF($B$4&gt;0,IF($L324="",1/0,$L324*$B$4),0)+IF($B$5&gt;0,IF($M324="",1/0,$M324*$B$5),0)+IF($B$6&gt;0,IF($N324="",1/0,$N324*$B$6),0),""))</f>
        <v>79160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79160</v>
      </c>
      <c r="U324" s="17">
        <f aca="false">IF($T324="","",IF($B$10=0,"",$T324/$B$10))</f>
        <v>1979</v>
      </c>
      <c r="V324" s="17">
        <f aca="false">IF($P324="","",IF($B$10=0,"",$P324/$B$10))</f>
        <v>1979</v>
      </c>
      <c r="W324" s="19">
        <f aca="false">IF($T324="",1000000000000000,$T324)</f>
        <v>79160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IF($T325="","",1+COUNTIF($W$15:$W$884,"&lt;"&amp;W325))</f>
        <v>308</v>
      </c>
      <c r="B325" s="16" t="s">
        <v>6</v>
      </c>
      <c r="C325" s="16" t="s">
        <v>667</v>
      </c>
      <c r="D325" s="16" t="s">
        <v>45</v>
      </c>
      <c r="E325" s="16" t="s">
        <v>26</v>
      </c>
      <c r="F325" s="16" t="s">
        <v>668</v>
      </c>
      <c r="G325" s="17">
        <v>1979</v>
      </c>
      <c r="H325" s="17"/>
      <c r="I325" s="17"/>
      <c r="J325" s="17">
        <v>1969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1979</v>
      </c>
      <c r="M325" s="17">
        <f aca="false">IF($H325="","",$H325+$K325)</f>
        <v/>
      </c>
      <c r="N325" s="17">
        <f aca="false">IF($J325="","",$J325+$K325)</f>
        <v>1969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79,160원</v>
      </c>
      <c r="P325" s="17">
        <f aca="false">IF($B$10=0,"",IFERROR(IF($B$4&gt;0,IF($L325="",1/0,$L325*$B$4),0)+IF($B$5&gt;0,IF($M325="",1/0,$M325*$B$5),0)+IF($B$6&gt;0,IF($N325="",1/0,$N325*$B$6),0),""))</f>
        <v>79160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79160</v>
      </c>
      <c r="U325" s="17">
        <f aca="false">IF($T325="","",IF($B$10=0,"",$T325/$B$10))</f>
        <v>1979</v>
      </c>
      <c r="V325" s="17">
        <f aca="false">IF($P325="","",IF($B$10=0,"",$P325/$B$10))</f>
        <v>1979</v>
      </c>
      <c r="W325" s="19">
        <f aca="false">IF($T325="",1000000000000000,$T325)</f>
        <v>79160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IF($T326="","",1+COUNTIF($W$15:$W$884,"&lt;"&amp;W326))</f>
        <v>308</v>
      </c>
      <c r="B326" s="16" t="s">
        <v>6</v>
      </c>
      <c r="C326" s="16" t="s">
        <v>669</v>
      </c>
      <c r="D326" s="16" t="s">
        <v>45</v>
      </c>
      <c r="E326" s="16" t="s">
        <v>26</v>
      </c>
      <c r="F326" s="16" t="s">
        <v>670</v>
      </c>
      <c r="G326" s="17">
        <v>1979</v>
      </c>
      <c r="H326" s="17"/>
      <c r="I326" s="17"/>
      <c r="J326" s="17">
        <v>1969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1979</v>
      </c>
      <c r="M326" s="17">
        <f aca="false">IF($H326="","",$H326+$K326)</f>
        <v/>
      </c>
      <c r="N326" s="17">
        <f aca="false">IF($J326="","",$J326+$K326)</f>
        <v>1969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79,160원</v>
      </c>
      <c r="P326" s="17">
        <f aca="false">IF($B$10=0,"",IFERROR(IF($B$4&gt;0,IF($L326="",1/0,$L326*$B$4),0)+IF($B$5&gt;0,IF($M326="",1/0,$M326*$B$5),0)+IF($B$6&gt;0,IF($N326="",1/0,$N326*$B$6),0),""))</f>
        <v>79160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79160</v>
      </c>
      <c r="U326" s="17">
        <f aca="false">IF($T326="","",IF($B$10=0,"",$T326/$B$10))</f>
        <v>1979</v>
      </c>
      <c r="V326" s="17">
        <f aca="false">IF($P326="","",IF($B$10=0,"",$P326/$B$10))</f>
        <v>1979</v>
      </c>
      <c r="W326" s="19">
        <f aca="false">IF($T326="",1000000000000000,$T326)</f>
        <v>79160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IF($T327="","",1+COUNTIF($W$15:$W$884,"&lt;"&amp;W327))</f>
        <v>308</v>
      </c>
      <c r="B327" s="16" t="s">
        <v>12</v>
      </c>
      <c r="C327" s="16" t="s">
        <v>671</v>
      </c>
      <c r="D327" s="21" t="s">
        <v>45</v>
      </c>
      <c r="E327" s="16" t="s">
        <v>26</v>
      </c>
      <c r="F327" s="16" t="s">
        <v>672</v>
      </c>
      <c r="G327" s="17">
        <v>1979</v>
      </c>
      <c r="H327" s="17"/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1979</v>
      </c>
      <c r="M327" s="17">
        <f aca="false">IF($H327="","",$H327+$K327)</f>
        <v/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79,160원</v>
      </c>
      <c r="P327" s="17">
        <f aca="false">IF($B$10=0,"",IFERROR(IF($B$4&gt;0,IF($L327="",1/0,$L327*$B$4),0)+IF($B$5&gt;0,IF($M327="",1/0,$M327*$B$5),0)+IF($B$6&gt;0,IF($N327="",1/0,$N327*$B$6),0),""))</f>
        <v>79160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79160</v>
      </c>
      <c r="U327" s="17">
        <f aca="false">IF($T327="","",IF($B$10=0,"",$T327/$B$10))</f>
        <v>1979</v>
      </c>
      <c r="V327" s="17">
        <f aca="false">IF($P327="","",IF($B$10=0,"",$P327/$B$10))</f>
        <v>1979</v>
      </c>
      <c r="W327" s="19">
        <f aca="false">IF($T327="",1000000000000000,$T327)</f>
        <v>79160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IF($T328="","",1+COUNTIF($W$15:$W$884,"&lt;"&amp;W328))</f>
        <v>308</v>
      </c>
      <c r="B328" s="16" t="s">
        <v>10</v>
      </c>
      <c r="C328" s="16" t="s">
        <v>311</v>
      </c>
      <c r="D328" s="16" t="s">
        <v>122</v>
      </c>
      <c r="E328" s="16" t="s">
        <v>26</v>
      </c>
      <c r="F328" s="16" t="s">
        <v>673</v>
      </c>
      <c r="G328" s="17">
        <v>1979</v>
      </c>
      <c r="H328" s="17"/>
      <c r="I328" s="17"/>
      <c r="J328" s="17">
        <v>1969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1979</v>
      </c>
      <c r="M328" s="17">
        <f aca="false">IF($H328="","",$H328+$K328)</f>
        <v/>
      </c>
      <c r="N328" s="17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79,160원</v>
      </c>
      <c r="P328" s="17">
        <f aca="false">IF($B$10=0,"",IFERROR(IF($B$4&gt;0,IF($L328="",1/0,$L328*$B$4),0)+IF($B$5&gt;0,IF($M328="",1/0,$M328*$B$5),0)+IF($B$6&gt;0,IF($N328="",1/0,$N328*$B$6),0),""))</f>
        <v>79160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79160</v>
      </c>
      <c r="U328" s="17">
        <f aca="false">IF($T328="","",IF($B$10=0,"",$T328/$B$10))</f>
        <v>1979</v>
      </c>
      <c r="V328" s="17">
        <f aca="false">IF($P328="","",IF($B$10=0,"",$P328/$B$10))</f>
        <v>1979</v>
      </c>
      <c r="W328" s="19">
        <f aca="false">IF($T328="",1000000000000000,$T328)</f>
        <v>79160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IF($T329="","",1+COUNTIF($W$15:$W$884,"&lt;"&amp;W329))</f>
        <v>308</v>
      </c>
      <c r="B329" s="16" t="s">
        <v>18</v>
      </c>
      <c r="C329" s="16" t="s">
        <v>878</v>
      </c>
      <c r="D329" s="16" t="s">
        <v>64</v>
      </c>
      <c r="E329" s="16" t="s">
        <v>26</v>
      </c>
      <c r="F329" s="16" t="s">
        <v>879</v>
      </c>
      <c r="G329" s="17">
        <v>1979</v>
      </c>
      <c r="H329" s="17"/>
      <c r="I329" s="17"/>
      <c r="J329" s="17">
        <v>1979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1979</v>
      </c>
      <c r="M329" s="17">
        <f aca="false">IF($H329="","",$H329+$K329)</f>
        <v/>
      </c>
      <c r="N329" s="17">
        <f aca="false">IF($J329="","",$J329+$K329)</f>
        <v>1979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79,160원</v>
      </c>
      <c r="P329" s="17">
        <f aca="false">IF($B$10=0,"",IFERROR(IF($B$4&gt;0,IF($L329="",1/0,$L329*$B$4),0)+IF($B$5&gt;0,IF($M329="",1/0,$M329*$B$5),0)+IF($B$6&gt;0,IF($N329="",1/0,$N329*$B$6),0),""))</f>
        <v>79160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79160</v>
      </c>
      <c r="U329" s="17">
        <f aca="false">IF($T329="","",IF($B$10=0,"",$T329/$B$10))</f>
        <v>1979</v>
      </c>
      <c r="V329" s="17">
        <f aca="false">IF($P329="","",IF($B$10=0,"",$P329/$B$10))</f>
        <v>1979</v>
      </c>
      <c r="W329" s="19">
        <f aca="false">IF($T329="",1000000000000000,$T329)</f>
        <v>79160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IF($T330="","",1+COUNTIF($W$15:$W$884,"&lt;"&amp;W330))</f>
        <v>308</v>
      </c>
      <c r="B330" s="16" t="s">
        <v>18</v>
      </c>
      <c r="C330" s="16" t="s">
        <v>680</v>
      </c>
      <c r="D330" s="16" t="s">
        <v>45</v>
      </c>
      <c r="E330" s="16" t="s">
        <v>26</v>
      </c>
      <c r="F330" s="16" t="s">
        <v>681</v>
      </c>
      <c r="G330" s="17">
        <v>1979</v>
      </c>
      <c r="H330" s="17"/>
      <c r="I330" s="17"/>
      <c r="J330" s="17">
        <v>1979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1979</v>
      </c>
      <c r="M330" s="17">
        <f aca="false">IF($H330="","",$H330+$K330)</f>
        <v/>
      </c>
      <c r="N330" s="17">
        <f aca="false">IF($J330="","",$J330+$K330)</f>
        <v>1979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79,160원</v>
      </c>
      <c r="P330" s="17">
        <f aca="false">IF($B$10=0,"",IFERROR(IF($B$4&gt;0,IF($L330="",1/0,$L330*$B$4),0)+IF($B$5&gt;0,IF($M330="",1/0,$M330*$B$5),0)+IF($B$6&gt;0,IF($N330="",1/0,$N330*$B$6),0),""))</f>
        <v>79160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79160</v>
      </c>
      <c r="U330" s="17">
        <f aca="false">IF($T330="","",IF($B$10=0,"",$T330/$B$10))</f>
        <v>1979</v>
      </c>
      <c r="V330" s="17">
        <f aca="false">IF($P330="","",IF($B$10=0,"",$P330/$B$10))</f>
        <v>1979</v>
      </c>
      <c r="W330" s="19">
        <f aca="false">IF($T330="",1000000000000000,$T330)</f>
        <v>79160</v>
      </c>
      <c r="XFB330" s="6"/>
      <c r="XFC330" s="3"/>
    </row>
    <row r="331" s="22" collapsed="false" customFormat="true" customHeight="true" hidden="false" ht="28.5" outlineLevel="0">
      <c r="A331" s="16">
        <f aca="false">IF($T331="","",1+COUNTIF($W$15:$W$884,"&lt;"&amp;W331))</f>
        <v>308</v>
      </c>
      <c r="B331" s="16" t="s">
        <v>18</v>
      </c>
      <c r="C331" s="16" t="s">
        <v>682</v>
      </c>
      <c r="D331" s="16" t="s">
        <v>45</v>
      </c>
      <c r="E331" s="16" t="s">
        <v>26</v>
      </c>
      <c r="F331" s="16" t="s">
        <v>683</v>
      </c>
      <c r="G331" s="17">
        <v>1979</v>
      </c>
      <c r="H331" s="17"/>
      <c r="I331" s="17"/>
      <c r="J331" s="17">
        <v>1979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1979</v>
      </c>
      <c r="M331" s="17">
        <f aca="false">IF($H331="","",$H331+$K331)</f>
        <v/>
      </c>
      <c r="N331" s="17">
        <f aca="false">IF($J331="","",$J331+$K331)</f>
        <v>1979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79,160원</v>
      </c>
      <c r="P331" s="17">
        <f aca="false">IF($B$10=0,"",IFERROR(IF($B$4&gt;0,IF($L331="",1/0,$L331*$B$4),0)+IF($B$5&gt;0,IF($M331="",1/0,$M331*$B$5),0)+IF($B$6&gt;0,IF($N331="",1/0,$N331*$B$6),0),""))</f>
        <v>79160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79160</v>
      </c>
      <c r="U331" s="17">
        <f aca="false">IF($T331="","",IF($B$10=0,"",$T331/$B$10))</f>
        <v>1979</v>
      </c>
      <c r="V331" s="17">
        <f aca="false">IF($P331="","",IF($B$10=0,"",$P331/$B$10))</f>
        <v>1979</v>
      </c>
      <c r="W331" s="19">
        <f aca="false">IF($T331="",1000000000000000,$T331)</f>
        <v>79160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IF($T332="","",1+COUNTIF($W$15:$W$884,"&lt;"&amp;W332))</f>
        <v>308</v>
      </c>
      <c r="B332" s="16" t="s">
        <v>18</v>
      </c>
      <c r="C332" s="16" t="s">
        <v>684</v>
      </c>
      <c r="D332" s="16" t="s">
        <v>64</v>
      </c>
      <c r="E332" s="16" t="s">
        <v>26</v>
      </c>
      <c r="F332" s="16" t="s">
        <v>685</v>
      </c>
      <c r="G332" s="17">
        <v>1979</v>
      </c>
      <c r="H332" s="17"/>
      <c r="I332" s="17"/>
      <c r="J332" s="17">
        <v>1979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1979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79,160원</v>
      </c>
      <c r="P332" s="17">
        <f aca="false">IF($B$10=0,"",IFERROR(IF($B$4&gt;0,IF($L332="",1/0,$L332*$B$4),0)+IF($B$5&gt;0,IF($M332="",1/0,$M332*$B$5),0)+IF($B$6&gt;0,IF($N332="",1/0,$N332*$B$6),0),""))</f>
        <v>79160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79160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79160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IF($T333="","",1+COUNTIF($W$15:$W$884,"&lt;"&amp;W333))</f>
        <v>308</v>
      </c>
      <c r="B333" s="16" t="s">
        <v>18</v>
      </c>
      <c r="C333" s="16" t="s">
        <v>686</v>
      </c>
      <c r="D333" s="16" t="s">
        <v>45</v>
      </c>
      <c r="E333" s="16" t="s">
        <v>26</v>
      </c>
      <c r="F333" s="16" t="s">
        <v>687</v>
      </c>
      <c r="G333" s="17">
        <v>1979</v>
      </c>
      <c r="H333" s="17"/>
      <c r="I333" s="17"/>
      <c r="J333" s="17">
        <v>1979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1979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79,160원</v>
      </c>
      <c r="P333" s="17">
        <f aca="false">IF($B$10=0,"",IFERROR(IF($B$4&gt;0,IF($L333="",1/0,$L333*$B$4),0)+IF($B$5&gt;0,IF($M333="",1/0,$M333*$B$5),0)+IF($B$6&gt;0,IF($N333="",1/0,$N333*$B$6),0),""))</f>
        <v>79160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79160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79160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IF($T334="","",1+COUNTIF($W$15:$W$884,"&lt;"&amp;W334))</f>
        <v>308</v>
      </c>
      <c r="B334" s="16" t="s">
        <v>10</v>
      </c>
      <c r="C334" s="16" t="s">
        <v>688</v>
      </c>
      <c r="D334" s="16" t="s">
        <v>45</v>
      </c>
      <c r="E334" s="16" t="s">
        <v>26</v>
      </c>
      <c r="F334" s="16" t="s">
        <v>689</v>
      </c>
      <c r="G334" s="17">
        <v>1979</v>
      </c>
      <c r="H334" s="17"/>
      <c r="I334" s="17"/>
      <c r="J334" s="17">
        <v>1979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1979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79,160원</v>
      </c>
      <c r="P334" s="17">
        <f aca="false">IF($B$10=0,"",IFERROR(IF($B$4&gt;0,IF($L334="",1/0,$L334*$B$4),0)+IF($B$5&gt;0,IF($M334="",1/0,$M334*$B$5),0)+IF($B$6&gt;0,IF($N334="",1/0,$N334*$B$6),0),""))</f>
        <v>79160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79160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79160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IF($T335="","",1+COUNTIF($W$15:$W$884,"&lt;"&amp;W335))</f>
        <v>308</v>
      </c>
      <c r="B335" s="16" t="s">
        <v>6</v>
      </c>
      <c r="C335" s="16" t="s">
        <v>1403</v>
      </c>
      <c r="D335" s="20" t="s">
        <v>54</v>
      </c>
      <c r="E335" s="16" t="s">
        <v>26</v>
      </c>
      <c r="F335" s="16" t="s">
        <v>1404</v>
      </c>
      <c r="G335" s="17">
        <v>1979</v>
      </c>
      <c r="H335" s="17"/>
      <c r="I335" s="17"/>
      <c r="J335" s="17">
        <v>1999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1999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79,160원</v>
      </c>
      <c r="P335" s="17">
        <f aca="false">IF($B$10=0,"",IFERROR(IF($B$4&gt;0,IF($L335="",1/0,$L335*$B$4),0)+IF($B$5&gt;0,IF($M335="",1/0,$M335*$B$5),0)+IF($B$6&gt;0,IF($N335="",1/0,$N335*$B$6),0),""))</f>
        <v>79160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79160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79160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IF($T336="","",1+COUNTIF($W$15:$W$884,"&lt;"&amp;W336))</f>
        <v>322</v>
      </c>
      <c r="B336" s="16" t="s">
        <v>6</v>
      </c>
      <c r="C336" s="16" t="s">
        <v>692</v>
      </c>
      <c r="D336" s="16" t="s">
        <v>45</v>
      </c>
      <c r="E336" s="16" t="s">
        <v>26</v>
      </c>
      <c r="F336" s="16" t="s">
        <v>693</v>
      </c>
      <c r="G336" s="17">
        <v>1982</v>
      </c>
      <c r="H336" s="17">
        <v>2398</v>
      </c>
      <c r="I336" s="17"/>
      <c r="J336" s="17">
        <v>1966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1982</v>
      </c>
      <c r="M336" s="17">
        <f aca="false">IF($H336="","",$H336+$K336)</f>
        <v>2398</v>
      </c>
      <c r="N336" s="17">
        <f aca="false">IF($J336="","",$J336+$K336)</f>
        <v>1966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79,280원</v>
      </c>
      <c r="P336" s="17">
        <f aca="false">IF($B$10=0,"",IFERROR(IF($B$4&gt;0,IF($L336="",1/0,$L336*$B$4),0)+IF($B$5&gt;0,IF($M336="",1/0,$M336*$B$5),0)+IF($B$6&gt;0,IF($N336="",1/0,$N336*$B$6),0),""))</f>
        <v>79280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79280</v>
      </c>
      <c r="U336" s="17">
        <f aca="false">IF($T336="","",IF($B$10=0,"",$T336/$B$10))</f>
        <v>1982</v>
      </c>
      <c r="V336" s="17">
        <f aca="false">IF($P336="","",IF($B$10=0,"",$P336/$B$10))</f>
        <v>1982</v>
      </c>
      <c r="W336" s="19">
        <f aca="false">IF($T336="",1000000000000000,$T336)</f>
        <v>79280</v>
      </c>
      <c r="XFB336" s="6"/>
      <c r="XFC336" s="3"/>
    </row>
    <row r="337" s="22" collapsed="false" customFormat="true" customHeight="true" hidden="false" ht="28.5" outlineLevel="0">
      <c r="A337" s="16">
        <f aca="false">IF($T337="","",1+COUNTIF($W$15:$W$884,"&lt;"&amp;W337))</f>
        <v>322</v>
      </c>
      <c r="B337" s="16" t="s">
        <v>18</v>
      </c>
      <c r="C337" s="16" t="s">
        <v>957</v>
      </c>
      <c r="D337" s="21" t="s">
        <v>57</v>
      </c>
      <c r="E337" s="16" t="s">
        <v>26</v>
      </c>
      <c r="F337" s="16" t="s">
        <v>958</v>
      </c>
      <c r="G337" s="17">
        <v>1982</v>
      </c>
      <c r="H337" s="17">
        <v>2469</v>
      </c>
      <c r="I337" s="17"/>
      <c r="J337" s="17">
        <v>2010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1982</v>
      </c>
      <c r="M337" s="17">
        <f aca="false">IF($H337="","",$H337+$K337)</f>
        <v>2469</v>
      </c>
      <c r="N337" s="17">
        <f aca="false">IF($J337="","",$J337+$K337)</f>
        <v>2010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79,280원</v>
      </c>
      <c r="P337" s="17">
        <f aca="false">IF($B$10=0,"",IFERROR(IF($B$4&gt;0,IF($L337="",1/0,$L337*$B$4),0)+IF($B$5&gt;0,IF($M337="",1/0,$M337*$B$5),0)+IF($B$6&gt;0,IF($N337="",1/0,$N337*$B$6),0),""))</f>
        <v>79280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79280</v>
      </c>
      <c r="U337" s="17">
        <f aca="false">IF($T337="","",IF($B$10=0,"",$T337/$B$10))</f>
        <v>1982</v>
      </c>
      <c r="V337" s="17">
        <f aca="false">IF($P337="","",IF($B$10=0,"",$P337/$B$10))</f>
        <v>1982</v>
      </c>
      <c r="W337" s="19">
        <f aca="false">IF($T337="",1000000000000000,$T337)</f>
        <v>79280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IF($T338="","",1+COUNTIF($W$15:$W$884,"&lt;"&amp;W338))</f>
        <v>322</v>
      </c>
      <c r="B338" s="16" t="s">
        <v>6</v>
      </c>
      <c r="C338" s="16" t="s">
        <v>694</v>
      </c>
      <c r="D338" s="16" t="s">
        <v>64</v>
      </c>
      <c r="E338" s="16" t="s">
        <v>26</v>
      </c>
      <c r="F338" s="16" t="s">
        <v>695</v>
      </c>
      <c r="G338" s="17">
        <v>1982</v>
      </c>
      <c r="H338" s="17"/>
      <c r="I338" s="17"/>
      <c r="J338" s="17">
        <v>1966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1982</v>
      </c>
      <c r="M338" s="17">
        <f aca="false">IF($H338="","",$H338+$K338)</f>
        <v/>
      </c>
      <c r="N338" s="17">
        <f aca="false">IF($J338="","",$J338+$K338)</f>
        <v>1966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79,280원</v>
      </c>
      <c r="P338" s="17">
        <f aca="false">IF($B$10=0,"",IFERROR(IF($B$4&gt;0,IF($L338="",1/0,$L338*$B$4),0)+IF($B$5&gt;0,IF($M338="",1/0,$M338*$B$5),0)+IF($B$6&gt;0,IF($N338="",1/0,$N338*$B$6),0),""))</f>
        <v>79280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79280</v>
      </c>
      <c r="U338" s="17">
        <f aca="false">IF($T338="","",IF($B$10=0,"",$T338/$B$10))</f>
        <v>1982</v>
      </c>
      <c r="V338" s="17">
        <f aca="false">IF($P338="","",IF($B$10=0,"",$P338/$B$10))</f>
        <v>1982</v>
      </c>
      <c r="W338" s="19">
        <f aca="false">IF($T338="",1000000000000000,$T338)</f>
        <v>79280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IF($T339="","",1+COUNTIF($W$15:$W$884,"&lt;"&amp;W339))</f>
        <v>322</v>
      </c>
      <c r="B339" s="16" t="s">
        <v>18</v>
      </c>
      <c r="C339" s="16" t="s">
        <v>696</v>
      </c>
      <c r="D339" s="21" t="s">
        <v>57</v>
      </c>
      <c r="E339" s="16" t="s">
        <v>26</v>
      </c>
      <c r="F339" s="16" t="s">
        <v>697</v>
      </c>
      <c r="G339" s="17">
        <v>1982</v>
      </c>
      <c r="H339" s="17"/>
      <c r="I339" s="17"/>
      <c r="J339" s="17">
        <v>1972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1982</v>
      </c>
      <c r="M339" s="17">
        <f aca="false">IF($H339="","",$H339+$K339)</f>
        <v/>
      </c>
      <c r="N339" s="17">
        <f aca="false">IF($J339="","",$J339+$K339)</f>
        <v>1972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79,280원</v>
      </c>
      <c r="P339" s="17">
        <f aca="false">IF($B$10=0,"",IFERROR(IF($B$4&gt;0,IF($L339="",1/0,$L339*$B$4),0)+IF($B$5&gt;0,IF($M339="",1/0,$M339*$B$5),0)+IF($B$6&gt;0,IF($N339="",1/0,$N339*$B$6),0),""))</f>
        <v>79280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79280</v>
      </c>
      <c r="U339" s="17">
        <f aca="false">IF($T339="","",IF($B$10=0,"",$T339/$B$10))</f>
        <v>1982</v>
      </c>
      <c r="V339" s="17">
        <f aca="false">IF($P339="","",IF($B$10=0,"",$P339/$B$10))</f>
        <v>1982</v>
      </c>
      <c r="W339" s="19">
        <f aca="false">IF($T339="",1000000000000000,$T339)</f>
        <v>79280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IF($T340="","",1+COUNTIF($W$15:$W$884,"&lt;"&amp;W340))</f>
        <v>322</v>
      </c>
      <c r="B340" s="16" t="s">
        <v>18</v>
      </c>
      <c r="C340" s="16" t="s">
        <v>698</v>
      </c>
      <c r="D340" s="16" t="s">
        <v>45</v>
      </c>
      <c r="E340" s="16" t="s">
        <v>26</v>
      </c>
      <c r="F340" s="16" t="s">
        <v>699</v>
      </c>
      <c r="G340" s="17">
        <v>1982</v>
      </c>
      <c r="H340" s="17"/>
      <c r="I340" s="17"/>
      <c r="J340" s="17">
        <v>1972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1982</v>
      </c>
      <c r="M340" s="17">
        <f aca="false">IF($H340="","",$H340+$K340)</f>
        <v/>
      </c>
      <c r="N340" s="17">
        <f aca="false">IF($J340="","",$J340+$K340)</f>
        <v>1972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79,280원</v>
      </c>
      <c r="P340" s="17">
        <f aca="false">IF($B$10=0,"",IFERROR(IF($B$4&gt;0,IF($L340="",1/0,$L340*$B$4),0)+IF($B$5&gt;0,IF($M340="",1/0,$M340*$B$5),0)+IF($B$6&gt;0,IF($N340="",1/0,$N340*$B$6),0),""))</f>
        <v>79280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79280</v>
      </c>
      <c r="U340" s="17">
        <f aca="false">IF($T340="","",IF($B$10=0,"",$T340/$B$10))</f>
        <v>1982</v>
      </c>
      <c r="V340" s="17">
        <f aca="false">IF($P340="","",IF($B$10=0,"",$P340/$B$10))</f>
        <v>1982</v>
      </c>
      <c r="W340" s="19">
        <f aca="false">IF($T340="",1000000000000000,$T340)</f>
        <v>79280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IF($T341="","",1+COUNTIF($W$15:$W$884,"&lt;"&amp;W341))</f>
        <v>322</v>
      </c>
      <c r="B341" s="16" t="s">
        <v>18</v>
      </c>
      <c r="C341" s="16" t="s">
        <v>702</v>
      </c>
      <c r="D341" s="16" t="s">
        <v>64</v>
      </c>
      <c r="E341" s="16" t="s">
        <v>26</v>
      </c>
      <c r="F341" s="16" t="s">
        <v>703</v>
      </c>
      <c r="G341" s="17">
        <v>1982</v>
      </c>
      <c r="H341" s="17"/>
      <c r="I341" s="17"/>
      <c r="J341" s="17">
        <v>1982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1982</v>
      </c>
      <c r="M341" s="17">
        <f aca="false">IF($H341="","",$H341+$K341)</f>
        <v/>
      </c>
      <c r="N341" s="17">
        <f aca="false">IF($J341="","",$J341+$K341)</f>
        <v>1982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79,280원</v>
      </c>
      <c r="P341" s="17">
        <f aca="false">IF($B$10=0,"",IFERROR(IF($B$4&gt;0,IF($L341="",1/0,$L341*$B$4),0)+IF($B$5&gt;0,IF($M341="",1/0,$M341*$B$5),0)+IF($B$6&gt;0,IF($N341="",1/0,$N341*$B$6),0),""))</f>
        <v>79280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79280</v>
      </c>
      <c r="U341" s="17">
        <f aca="false">IF($T341="","",IF($B$10=0,"",$T341/$B$10))</f>
        <v>1982</v>
      </c>
      <c r="V341" s="17">
        <f aca="false">IF($P341="","",IF($B$10=0,"",$P341/$B$10))</f>
        <v>1982</v>
      </c>
      <c r="W341" s="19">
        <f aca="false">IF($T341="",1000000000000000,$T341)</f>
        <v>79280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IF($T342="","",1+COUNTIF($W$15:$W$884,"&lt;"&amp;W342))</f>
        <v>328</v>
      </c>
      <c r="B342" s="16" t="s">
        <v>10</v>
      </c>
      <c r="C342" s="16" t="s">
        <v>704</v>
      </c>
      <c r="D342" s="16" t="s">
        <v>122</v>
      </c>
      <c r="E342" s="16" t="s">
        <v>26</v>
      </c>
      <c r="F342" s="16" t="s">
        <v>705</v>
      </c>
      <c r="G342" s="17">
        <v>1983</v>
      </c>
      <c r="H342" s="17"/>
      <c r="I342" s="17"/>
      <c r="J342" s="17">
        <v>1973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1983</v>
      </c>
      <c r="M342" s="17">
        <f aca="false">IF($H342="","",$H342+$K342)</f>
        <v/>
      </c>
      <c r="N342" s="17">
        <f aca="false">IF($J342="","",$J342+$K342)</f>
        <v>1973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79,320원</v>
      </c>
      <c r="P342" s="17">
        <f aca="false">IF($B$10=0,"",IFERROR(IF($B$4&gt;0,IF($L342="",1/0,$L342*$B$4),0)+IF($B$5&gt;0,IF($M342="",1/0,$M342*$B$5),0)+IF($B$6&gt;0,IF($N342="",1/0,$N342*$B$6),0),""))</f>
        <v>79320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79320</v>
      </c>
      <c r="U342" s="17">
        <f aca="false">IF($T342="","",IF($B$10=0,"",$T342/$B$10))</f>
        <v>1983</v>
      </c>
      <c r="V342" s="17">
        <f aca="false">IF($P342="","",IF($B$10=0,"",$P342/$B$10))</f>
        <v>1983</v>
      </c>
      <c r="W342" s="19">
        <f aca="false">IF($T342="",1000000000000000,$T342)</f>
        <v>79320</v>
      </c>
      <c r="XFB342" s="6"/>
      <c r="XFC342" s="3"/>
    </row>
    <row r="343" s="22" collapsed="false" customFormat="true" customHeight="true" hidden="false" ht="28.5" outlineLevel="0">
      <c r="A343" s="16">
        <f aca="false">IF($T343="","",1+COUNTIF($W$15:$W$884,"&lt;"&amp;W343))</f>
        <v>328</v>
      </c>
      <c r="B343" s="16" t="s">
        <v>10</v>
      </c>
      <c r="C343" s="16" t="s">
        <v>706</v>
      </c>
      <c r="D343" s="16" t="s">
        <v>176</v>
      </c>
      <c r="E343" s="16" t="s">
        <v>26</v>
      </c>
      <c r="F343" s="16" t="s">
        <v>707</v>
      </c>
      <c r="G343" s="17">
        <v>1983</v>
      </c>
      <c r="H343" s="17"/>
      <c r="I343" s="17"/>
      <c r="J343" s="17">
        <v>1973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1983</v>
      </c>
      <c r="M343" s="17">
        <f aca="false">IF($H343="","",$H343+$K343)</f>
        <v/>
      </c>
      <c r="N343" s="17">
        <f aca="false">IF($J343="","",$J343+$K343)</f>
        <v>1973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79,320원</v>
      </c>
      <c r="P343" s="17">
        <f aca="false">IF($B$10=0,"",IFERROR(IF($B$4&gt;0,IF($L343="",1/0,$L343*$B$4),0)+IF($B$5&gt;0,IF($M343="",1/0,$M343*$B$5),0)+IF($B$6&gt;0,IF($N343="",1/0,$N343*$B$6),0),""))</f>
        <v>79320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79320</v>
      </c>
      <c r="U343" s="17">
        <f aca="false">IF($T343="","",IF($B$10=0,"",$T343/$B$10))</f>
        <v>1983</v>
      </c>
      <c r="V343" s="17">
        <f aca="false">IF($P343="","",IF($B$10=0,"",$P343/$B$10))</f>
        <v>1983</v>
      </c>
      <c r="W343" s="19">
        <f aca="false">IF($T343="",1000000000000000,$T343)</f>
        <v>79320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IF($T344="","",1+COUNTIF($W$15:$W$884,"&lt;"&amp;W344))</f>
        <v>328</v>
      </c>
      <c r="B344" s="16" t="s">
        <v>10</v>
      </c>
      <c r="C344" s="16" t="s">
        <v>708</v>
      </c>
      <c r="D344" s="16" t="s">
        <v>64</v>
      </c>
      <c r="E344" s="16" t="s">
        <v>26</v>
      </c>
      <c r="F344" s="16" t="s">
        <v>709</v>
      </c>
      <c r="G344" s="17">
        <v>1983</v>
      </c>
      <c r="H344" s="17"/>
      <c r="I344" s="17"/>
      <c r="J344" s="17">
        <v>1973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1983</v>
      </c>
      <c r="M344" s="17">
        <f aca="false">IF($H344="","",$H344+$K344)</f>
        <v/>
      </c>
      <c r="N344" s="17">
        <f aca="false">IF($J344="","",$J344+$K344)</f>
        <v>1973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79,320원</v>
      </c>
      <c r="P344" s="17">
        <f aca="false">IF($B$10=0,"",IFERROR(IF($B$4&gt;0,IF($L344="",1/0,$L344*$B$4),0)+IF($B$5&gt;0,IF($M344="",1/0,$M344*$B$5),0)+IF($B$6&gt;0,IF($N344="",1/0,$N344*$B$6),0),""))</f>
        <v>79320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79320</v>
      </c>
      <c r="U344" s="17">
        <f aca="false">IF($T344="","",IF($B$10=0,"",$T344/$B$10))</f>
        <v>1983</v>
      </c>
      <c r="V344" s="17">
        <f aca="false">IF($P344="","",IF($B$10=0,"",$P344/$B$10))</f>
        <v>1983</v>
      </c>
      <c r="W344" s="19">
        <f aca="false">IF($T344="",1000000000000000,$T344)</f>
        <v>79320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IF($T345="","",1+COUNTIF($W$15:$W$884,"&lt;"&amp;W345))</f>
        <v>328</v>
      </c>
      <c r="B345" s="16" t="s">
        <v>6</v>
      </c>
      <c r="C345" s="16" t="s">
        <v>710</v>
      </c>
      <c r="D345" s="16" t="s">
        <v>64</v>
      </c>
      <c r="E345" s="16" t="s">
        <v>26</v>
      </c>
      <c r="F345" s="16" t="s">
        <v>711</v>
      </c>
      <c r="G345" s="17">
        <v>1983</v>
      </c>
      <c r="H345" s="17"/>
      <c r="I345" s="17"/>
      <c r="J345" s="17">
        <v>1974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1983</v>
      </c>
      <c r="M345" s="17">
        <f aca="false">IF($H345="","",$H345+$K345)</f>
        <v/>
      </c>
      <c r="N345" s="17">
        <f aca="false">IF($J345="","",$J345+$K345)</f>
        <v>1974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79,320원</v>
      </c>
      <c r="P345" s="17">
        <f aca="false">IF($B$10=0,"",IFERROR(IF($B$4&gt;0,IF($L345="",1/0,$L345*$B$4),0)+IF($B$5&gt;0,IF($M345="",1/0,$M345*$B$5),0)+IF($B$6&gt;0,IF($N345="",1/0,$N345*$B$6),0),""))</f>
        <v>79320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79320</v>
      </c>
      <c r="U345" s="17">
        <f aca="false">IF($T345="","",IF($B$10=0,"",$T345/$B$10))</f>
        <v>1983</v>
      </c>
      <c r="V345" s="17">
        <f aca="false">IF($P345="","",IF($B$10=0,"",$P345/$B$10))</f>
        <v>1983</v>
      </c>
      <c r="W345" s="19">
        <f aca="false">IF($T345="",1000000000000000,$T345)</f>
        <v>79320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IF($T346="","",1+COUNTIF($W$15:$W$884,"&lt;"&amp;W346))</f>
        <v>328</v>
      </c>
      <c r="B346" s="16" t="s">
        <v>12</v>
      </c>
      <c r="C346" s="16" t="s">
        <v>1379</v>
      </c>
      <c r="D346" s="21" t="s">
        <v>64</v>
      </c>
      <c r="E346" s="16" t="s">
        <v>26</v>
      </c>
      <c r="F346" s="16" t="s">
        <v>1380</v>
      </c>
      <c r="G346" s="17">
        <v>1983</v>
      </c>
      <c r="H346" s="17"/>
      <c r="I346" s="17"/>
      <c r="J346" s="17">
        <v>1983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1983</v>
      </c>
      <c r="M346" s="17">
        <f aca="false">IF($H346="","",$H346+$K346)</f>
        <v/>
      </c>
      <c r="N346" s="17">
        <f aca="false">IF($J346="","",$J346+$K346)</f>
        <v>1983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79,320원</v>
      </c>
      <c r="P346" s="17">
        <f aca="false">IF($B$10=0,"",IFERROR(IF($B$4&gt;0,IF($L346="",1/0,$L346*$B$4),0)+IF($B$5&gt;0,IF($M346="",1/0,$M346*$B$5),0)+IF($B$6&gt;0,IF($N346="",1/0,$N346*$B$6),0),""))</f>
        <v>79320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79320</v>
      </c>
      <c r="U346" s="17">
        <f aca="false">IF($T346="","",IF($B$10=0,"",$T346/$B$10))</f>
        <v>1983</v>
      </c>
      <c r="V346" s="17">
        <f aca="false">IF($P346="","",IF($B$10=0,"",$P346/$B$10))</f>
        <v>1983</v>
      </c>
      <c r="W346" s="19">
        <f aca="false">IF($T346="",1000000000000000,$T346)</f>
        <v>79320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IF($T347="","",1+COUNTIF($W$15:$W$884,"&lt;"&amp;W347))</f>
        <v>333</v>
      </c>
      <c r="B347" s="16" t="s">
        <v>6</v>
      </c>
      <c r="C347" s="16" t="s">
        <v>712</v>
      </c>
      <c r="D347" s="16" t="s">
        <v>45</v>
      </c>
      <c r="E347" s="16" t="s">
        <v>26</v>
      </c>
      <c r="F347" s="16" t="s">
        <v>713</v>
      </c>
      <c r="G347" s="17">
        <v>1984</v>
      </c>
      <c r="H347" s="17">
        <v>2397</v>
      </c>
      <c r="I347" s="17"/>
      <c r="J347" s="17">
        <v>1974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1984</v>
      </c>
      <c r="M347" s="17">
        <f aca="false">IF($H347="","",$H347+$K347)</f>
        <v>2397</v>
      </c>
      <c r="N347" s="17">
        <f aca="false">IF($J347="","",$J347+$K347)</f>
        <v>1974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79,360원</v>
      </c>
      <c r="P347" s="17">
        <f aca="false">IF($B$10=0,"",IFERROR(IF($B$4&gt;0,IF($L347="",1/0,$L347*$B$4),0)+IF($B$5&gt;0,IF($M347="",1/0,$M347*$B$5),0)+IF($B$6&gt;0,IF($N347="",1/0,$N347*$B$6),0),""))</f>
        <v>79360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79360</v>
      </c>
      <c r="U347" s="17">
        <f aca="false">IF($T347="","",IF($B$10=0,"",$T347/$B$10))</f>
        <v>1984</v>
      </c>
      <c r="V347" s="17">
        <f aca="false">IF($P347="","",IF($B$10=0,"",$P347/$B$10))</f>
        <v>1984</v>
      </c>
      <c r="W347" s="19">
        <f aca="false">IF($T347="",1000000000000000,$T347)</f>
        <v>79360</v>
      </c>
      <c r="XFB347" s="6"/>
      <c r="XFC347" s="3"/>
    </row>
    <row r="348" s="6" collapsed="false" customFormat="true" customHeight="true" hidden="false" ht="28.5" outlineLevel="0">
      <c r="A348" s="16">
        <f aca="false">IF($T348="","",1+COUNTIF($W$15:$W$884,"&lt;"&amp;W348))</f>
        <v>333</v>
      </c>
      <c r="B348" s="16" t="s">
        <v>10</v>
      </c>
      <c r="C348" s="16" t="s">
        <v>714</v>
      </c>
      <c r="D348" s="16" t="s">
        <v>122</v>
      </c>
      <c r="E348" s="16" t="s">
        <v>26</v>
      </c>
      <c r="F348" s="16" t="s">
        <v>715</v>
      </c>
      <c r="G348" s="17">
        <v>1984</v>
      </c>
      <c r="H348" s="17">
        <v>2399</v>
      </c>
      <c r="I348" s="17"/>
      <c r="J348" s="17">
        <v>1972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1984</v>
      </c>
      <c r="M348" s="17">
        <f aca="false">IF($H348="","",$H348+$K348)</f>
        <v>2399</v>
      </c>
      <c r="N348" s="17">
        <f aca="false">IF($J348="","",$J348+$K348)</f>
        <v>1972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79,360원</v>
      </c>
      <c r="P348" s="17">
        <f aca="false">IF($B$10=0,"",IFERROR(IF($B$4&gt;0,IF($L348="",1/0,$L348*$B$4),0)+IF($B$5&gt;0,IF($M348="",1/0,$M348*$B$5),0)+IF($B$6&gt;0,IF($N348="",1/0,$N348*$B$6),0),""))</f>
        <v>79360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79360</v>
      </c>
      <c r="U348" s="17">
        <f aca="false">IF($T348="","",IF($B$10=0,"",$T348/$B$10))</f>
        <v>1984</v>
      </c>
      <c r="V348" s="17">
        <f aca="false">IF($P348="","",IF($B$10=0,"",$P348/$B$10))</f>
        <v>1984</v>
      </c>
      <c r="W348" s="19">
        <f aca="false">IF($T348="",1000000000000000,$T348)</f>
        <v>79360</v>
      </c>
      <c r="XFC348" s="3"/>
    </row>
    <row r="349" s="5" collapsed="false" customFormat="true" customHeight="true" hidden="false" ht="28.5" outlineLevel="0">
      <c r="A349" s="16">
        <f aca="false">IF($T349="","",1+COUNTIF($W$15:$W$884,"&lt;"&amp;W349))</f>
        <v>333</v>
      </c>
      <c r="B349" s="16" t="s">
        <v>6</v>
      </c>
      <c r="C349" s="16" t="s">
        <v>716</v>
      </c>
      <c r="D349" s="20" t="s">
        <v>54</v>
      </c>
      <c r="E349" s="16" t="s">
        <v>26</v>
      </c>
      <c r="F349" s="16" t="s">
        <v>717</v>
      </c>
      <c r="G349" s="17">
        <v>1984</v>
      </c>
      <c r="H349" s="17">
        <v>2414</v>
      </c>
      <c r="I349" s="17"/>
      <c r="J349" s="17">
        <v>1983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1984</v>
      </c>
      <c r="M349" s="17">
        <f aca="false">IF($H349="","",$H349+$K349)</f>
        <v>2414</v>
      </c>
      <c r="N349" s="17">
        <f aca="false">IF($J349="","",$J349+$K349)</f>
        <v>1983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79,360원</v>
      </c>
      <c r="P349" s="17">
        <f aca="false">IF($B$10=0,"",IFERROR(IF($B$4&gt;0,IF($L349="",1/0,$L349*$B$4),0)+IF($B$5&gt;0,IF($M349="",1/0,$M349*$B$5),0)+IF($B$6&gt;0,IF($N349="",1/0,$N349*$B$6),0),""))</f>
        <v>79360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79360</v>
      </c>
      <c r="U349" s="17">
        <f aca="false">IF($T349="","",IF($B$10=0,"",$T349/$B$10))</f>
        <v>1984</v>
      </c>
      <c r="V349" s="17">
        <f aca="false">IF($P349="","",IF($B$10=0,"",$P349/$B$10))</f>
        <v>1984</v>
      </c>
      <c r="W349" s="19">
        <f aca="false">IF($T349="",1000000000000000,$T349)</f>
        <v>79360</v>
      </c>
      <c r="XFB349" s="6"/>
      <c r="XFC349" s="3"/>
    </row>
    <row r="350" s="22" collapsed="false" customFormat="true" customHeight="true" hidden="false" ht="28.5" outlineLevel="0">
      <c r="A350" s="16">
        <f aca="false">IF($T350="","",1+COUNTIF($W$15:$W$884,"&lt;"&amp;W350))</f>
        <v>333</v>
      </c>
      <c r="B350" s="16" t="s">
        <v>6</v>
      </c>
      <c r="C350" s="16" t="s">
        <v>763</v>
      </c>
      <c r="D350" s="20" t="s">
        <v>54</v>
      </c>
      <c r="E350" s="16" t="s">
        <v>26</v>
      </c>
      <c r="F350" s="16" t="s">
        <v>764</v>
      </c>
      <c r="G350" s="17">
        <v>1984</v>
      </c>
      <c r="H350" s="17">
        <v>2450</v>
      </c>
      <c r="I350" s="17"/>
      <c r="J350" s="17">
        <v>1982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1984</v>
      </c>
      <c r="M350" s="17">
        <f aca="false">IF($H350="","",$H350+$K350)</f>
        <v>2450</v>
      </c>
      <c r="N350" s="17">
        <f aca="false">IF($J350="","",$J350+$K350)</f>
        <v>1982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79,360원</v>
      </c>
      <c r="P350" s="17">
        <f aca="false">IF($B$10=0,"",IFERROR(IF($B$4&gt;0,IF($L350="",1/0,$L350*$B$4),0)+IF($B$5&gt;0,IF($M350="",1/0,$M350*$B$5),0)+IF($B$6&gt;0,IF($N350="",1/0,$N350*$B$6),0),""))</f>
        <v>79360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79360</v>
      </c>
      <c r="U350" s="17">
        <f aca="false">IF($T350="","",IF($B$10=0,"",$T350/$B$10))</f>
        <v>1984</v>
      </c>
      <c r="V350" s="17">
        <f aca="false">IF($P350="","",IF($B$10=0,"",$P350/$B$10))</f>
        <v>1984</v>
      </c>
      <c r="W350" s="19">
        <f aca="false">IF($T350="",1000000000000000,$T350)</f>
        <v>79360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IF($T351="","",1+COUNTIF($W$15:$W$884,"&lt;"&amp;W351))</f>
        <v>333</v>
      </c>
      <c r="B351" s="16" t="s">
        <v>12</v>
      </c>
      <c r="C351" s="16" t="s">
        <v>718</v>
      </c>
      <c r="D351" s="16" t="s">
        <v>719</v>
      </c>
      <c r="E351" s="16" t="s">
        <v>26</v>
      </c>
      <c r="F351" s="16" t="s">
        <v>720</v>
      </c>
      <c r="G351" s="17">
        <v>1984</v>
      </c>
      <c r="H351" s="17">
        <v>2538</v>
      </c>
      <c r="I351" s="17"/>
      <c r="J351" s="17">
        <v>1985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1984</v>
      </c>
      <c r="M351" s="17">
        <f aca="false">IF($H351="","",$H351+$K351)</f>
        <v>2538</v>
      </c>
      <c r="N351" s="17">
        <f aca="false">IF($J351="","",$J351+$K351)</f>
        <v>1985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79,360원</v>
      </c>
      <c r="P351" s="17">
        <f aca="false">IF($B$10=0,"",IFERROR(IF($B$4&gt;0,IF($L351="",1/0,$L351*$B$4),0)+IF($B$5&gt;0,IF($M351="",1/0,$M351*$B$5),0)+IF($B$6&gt;0,IF($N351="",1/0,$N351*$B$6),0),""))</f>
        <v>79360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79360</v>
      </c>
      <c r="U351" s="17">
        <f aca="false">IF($T351="","",IF($B$10=0,"",$T351/$B$10))</f>
        <v>1984</v>
      </c>
      <c r="V351" s="17">
        <f aca="false">IF($P351="","",IF($B$10=0,"",$P351/$B$10))</f>
        <v>1984</v>
      </c>
      <c r="W351" s="19">
        <f aca="false">IF($T351="",1000000000000000,$T351)</f>
        <v>79360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IF($T352="","",1+COUNTIF($W$15:$W$884,"&lt;"&amp;W352))</f>
        <v>333</v>
      </c>
      <c r="B352" s="16" t="s">
        <v>6</v>
      </c>
      <c r="C352" s="16" t="s">
        <v>1038</v>
      </c>
      <c r="D352" s="16" t="s">
        <v>45</v>
      </c>
      <c r="E352" s="16" t="s">
        <v>26</v>
      </c>
      <c r="F352" s="16" t="s">
        <v>1039</v>
      </c>
      <c r="G352" s="17">
        <v>1984</v>
      </c>
      <c r="H352" s="17"/>
      <c r="I352" s="17"/>
      <c r="J352" s="17">
        <v>1972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1984</v>
      </c>
      <c r="M352" s="17">
        <f aca="false">IF($H352="","",$H352+$K352)</f>
        <v/>
      </c>
      <c r="N352" s="17">
        <f aca="false">IF($J352="","",$J352+$K352)</f>
        <v>1972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79,360원</v>
      </c>
      <c r="P352" s="17">
        <f aca="false">IF($B$10=0,"",IFERROR(IF($B$4&gt;0,IF($L352="",1/0,$L352*$B$4),0)+IF($B$5&gt;0,IF($M352="",1/0,$M352*$B$5),0)+IF($B$6&gt;0,IF($N352="",1/0,$N352*$B$6),0),""))</f>
        <v>79360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79360</v>
      </c>
      <c r="U352" s="17">
        <f aca="false">IF($T352="","",IF($B$10=0,"",$T352/$B$10))</f>
        <v>1984</v>
      </c>
      <c r="V352" s="17">
        <f aca="false">IF($P352="","",IF($B$10=0,"",$P352/$B$10))</f>
        <v>1984</v>
      </c>
      <c r="W352" s="19">
        <f aca="false">IF($T352="",1000000000000000,$T352)</f>
        <v>79360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IF($T353="","",1+COUNTIF($W$15:$W$884,"&lt;"&amp;W353))</f>
        <v>333</v>
      </c>
      <c r="B353" s="16" t="s">
        <v>10</v>
      </c>
      <c r="C353" s="16" t="s">
        <v>721</v>
      </c>
      <c r="D353" s="16" t="s">
        <v>64</v>
      </c>
      <c r="E353" s="16" t="s">
        <v>26</v>
      </c>
      <c r="F353" s="16" t="s">
        <v>722</v>
      </c>
      <c r="G353" s="17">
        <v>1984</v>
      </c>
      <c r="H353" s="17"/>
      <c r="I353" s="17"/>
      <c r="J353" s="17">
        <v>1972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1984</v>
      </c>
      <c r="M353" s="17">
        <f aca="false">IF($H353="","",$H353+$K353)</f>
        <v/>
      </c>
      <c r="N353" s="17">
        <f aca="false">IF($J353="","",$J353+$K353)</f>
        <v>1972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79,360원</v>
      </c>
      <c r="P353" s="17">
        <f aca="false">IF($B$10=0,"",IFERROR(IF($B$4&gt;0,IF($L353="",1/0,$L353*$B$4),0)+IF($B$5&gt;0,IF($M353="",1/0,$M353*$B$5),0)+IF($B$6&gt;0,IF($N353="",1/0,$N353*$B$6),0),""))</f>
        <v>79360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79360</v>
      </c>
      <c r="U353" s="17">
        <f aca="false">IF($T353="","",IF($B$10=0,"",$T353/$B$10))</f>
        <v>1984</v>
      </c>
      <c r="V353" s="17">
        <f aca="false">IF($P353="","",IF($B$10=0,"",$P353/$B$10))</f>
        <v>1984</v>
      </c>
      <c r="W353" s="19">
        <f aca="false">IF($T353="",1000000000000000,$T353)</f>
        <v>79360</v>
      </c>
      <c r="XFC353" s="3"/>
    </row>
    <row r="354" s="5" collapsed="false" customFormat="true" customHeight="true" hidden="false" ht="28.5" outlineLevel="0">
      <c r="A354" s="16">
        <f aca="false">IF($T354="","",1+COUNTIF($W$15:$W$884,"&lt;"&amp;W354))</f>
        <v>333</v>
      </c>
      <c r="B354" s="16" t="s">
        <v>6</v>
      </c>
      <c r="C354" s="16" t="s">
        <v>723</v>
      </c>
      <c r="D354" s="16" t="s">
        <v>176</v>
      </c>
      <c r="E354" s="16" t="s">
        <v>26</v>
      </c>
      <c r="F354" s="16" t="s">
        <v>724</v>
      </c>
      <c r="G354" s="17">
        <v>1984</v>
      </c>
      <c r="H354" s="17"/>
      <c r="I354" s="17"/>
      <c r="J354" s="17">
        <v>1973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1984</v>
      </c>
      <c r="M354" s="17">
        <f aca="false">IF($H354="","",$H354+$K354)</f>
        <v/>
      </c>
      <c r="N354" s="17">
        <f aca="false">IF($J354="","",$J354+$K354)</f>
        <v>1973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79,360원</v>
      </c>
      <c r="P354" s="17">
        <f aca="false">IF($B$10=0,"",IFERROR(IF($B$4&gt;0,IF($L354="",1/0,$L354*$B$4),0)+IF($B$5&gt;0,IF($M354="",1/0,$M354*$B$5),0)+IF($B$6&gt;0,IF($N354="",1/0,$N354*$B$6),0),""))</f>
        <v>79360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79360</v>
      </c>
      <c r="U354" s="17">
        <f aca="false">IF($T354="","",IF($B$10=0,"",$T354/$B$10))</f>
        <v>1984</v>
      </c>
      <c r="V354" s="17">
        <f aca="false">IF($P354="","",IF($B$10=0,"",$P354/$B$10))</f>
        <v>1984</v>
      </c>
      <c r="W354" s="19">
        <f aca="false">IF($T354="",1000000000000000,$T354)</f>
        <v>79360</v>
      </c>
      <c r="XFB354" s="6"/>
      <c r="XFC354" s="3"/>
    </row>
    <row r="355" s="22" collapsed="false" customFormat="true" customHeight="true" hidden="false" ht="28.5" outlineLevel="0">
      <c r="A355" s="16">
        <f aca="false">IF($T355="","",1+COUNTIF($W$15:$W$884,"&lt;"&amp;W355))</f>
        <v>333</v>
      </c>
      <c r="B355" s="16" t="s">
        <v>6</v>
      </c>
      <c r="C355" s="16" t="s">
        <v>725</v>
      </c>
      <c r="D355" s="16" t="s">
        <v>64</v>
      </c>
      <c r="E355" s="16" t="s">
        <v>26</v>
      </c>
      <c r="F355" s="16" t="s">
        <v>726</v>
      </c>
      <c r="G355" s="17">
        <v>1984</v>
      </c>
      <c r="H355" s="17"/>
      <c r="I355" s="17"/>
      <c r="J355" s="17">
        <v>1974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1984</v>
      </c>
      <c r="M355" s="17">
        <f aca="false">IF($H355="","",$H355+$K355)</f>
        <v/>
      </c>
      <c r="N355" s="17">
        <f aca="false">IF($J355="","",$J355+$K355)</f>
        <v>1974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79,360원</v>
      </c>
      <c r="P355" s="17">
        <f aca="false">IF($B$10=0,"",IFERROR(IF($B$4&gt;0,IF($L355="",1/0,$L355*$B$4),0)+IF($B$5&gt;0,IF($M355="",1/0,$M355*$B$5),0)+IF($B$6&gt;0,IF($N355="",1/0,$N355*$B$6),0),""))</f>
        <v>79360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79360</v>
      </c>
      <c r="U355" s="17">
        <f aca="false">IF($T355="","",IF($B$10=0,"",$T355/$B$10))</f>
        <v>1984</v>
      </c>
      <c r="V355" s="17">
        <f aca="false">IF($P355="","",IF($B$10=0,"",$P355/$B$10))</f>
        <v>1984</v>
      </c>
      <c r="W355" s="19">
        <f aca="false">IF($T355="",1000000000000000,$T355)</f>
        <v>79360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IF($T356="","",1+COUNTIF($W$15:$W$884,"&lt;"&amp;W356))</f>
        <v>333</v>
      </c>
      <c r="B356" s="16" t="s">
        <v>12</v>
      </c>
      <c r="C356" s="16" t="s">
        <v>727</v>
      </c>
      <c r="D356" s="21" t="s">
        <v>64</v>
      </c>
      <c r="E356" s="16" t="s">
        <v>26</v>
      </c>
      <c r="F356" s="16" t="s">
        <v>728</v>
      </c>
      <c r="G356" s="17">
        <v>1984</v>
      </c>
      <c r="H356" s="17"/>
      <c r="I356" s="17"/>
      <c r="J356" s="17">
        <v>1974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1984</v>
      </c>
      <c r="M356" s="17">
        <f aca="false">IF($H356="","",$H356+$K356)</f>
        <v/>
      </c>
      <c r="N356" s="17">
        <f aca="false">IF($J356="","",$J356+$K356)</f>
        <v>1974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79,360원</v>
      </c>
      <c r="P356" s="17">
        <f aca="false">IF($B$10=0,"",IFERROR(IF($B$4&gt;0,IF($L356="",1/0,$L356*$B$4),0)+IF($B$5&gt;0,IF($M356="",1/0,$M356*$B$5),0)+IF($B$6&gt;0,IF($N356="",1/0,$N356*$B$6),0),""))</f>
        <v>79360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79360</v>
      </c>
      <c r="U356" s="17">
        <f aca="false">IF($T356="","",IF($B$10=0,"",$T356/$B$10))</f>
        <v>1984</v>
      </c>
      <c r="V356" s="17">
        <f aca="false">IF($P356="","",IF($B$10=0,"",$P356/$B$10))</f>
        <v>1984</v>
      </c>
      <c r="W356" s="19">
        <f aca="false">IF($T356="",1000000000000000,$T356)</f>
        <v>79360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IF($T357="","",1+COUNTIF($W$15:$W$884,"&lt;"&amp;W357))</f>
        <v>333</v>
      </c>
      <c r="B357" s="16" t="s">
        <v>12</v>
      </c>
      <c r="C357" s="16" t="s">
        <v>690</v>
      </c>
      <c r="D357" s="20" t="s">
        <v>54</v>
      </c>
      <c r="E357" s="16" t="s">
        <v>26</v>
      </c>
      <c r="F357" s="16" t="s">
        <v>691</v>
      </c>
      <c r="G357" s="17">
        <v>1984</v>
      </c>
      <c r="H357" s="17"/>
      <c r="I357" s="17"/>
      <c r="J357" s="17">
        <v>1974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1984</v>
      </c>
      <c r="M357" s="17">
        <f aca="false">IF($H357="","",$H357+$K357)</f>
        <v/>
      </c>
      <c r="N357" s="17">
        <f aca="false">IF($J357="","",$J357+$K357)</f>
        <v>1974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79,360원</v>
      </c>
      <c r="P357" s="17">
        <f aca="false">IF($B$10=0,"",IFERROR(IF($B$4&gt;0,IF($L357="",1/0,$L357*$B$4),0)+IF($B$5&gt;0,IF($M357="",1/0,$M357*$B$5),0)+IF($B$6&gt;0,IF($N357="",1/0,$N357*$B$6),0),""))</f>
        <v>79360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79360</v>
      </c>
      <c r="U357" s="17">
        <f aca="false">IF($T357="","",IF($B$10=0,"",$T357/$B$10))</f>
        <v>1984</v>
      </c>
      <c r="V357" s="17">
        <f aca="false">IF($P357="","",IF($B$10=0,"",$P357/$B$10))</f>
        <v>1984</v>
      </c>
      <c r="W357" s="19">
        <f aca="false">IF($T357="",1000000000000000,$T357)</f>
        <v>79360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IF($T358="","",1+COUNTIF($W$15:$W$884,"&lt;"&amp;W358))</f>
        <v>333</v>
      </c>
      <c r="B358" s="16" t="s">
        <v>10</v>
      </c>
      <c r="C358" s="16" t="s">
        <v>731</v>
      </c>
      <c r="D358" s="16" t="s">
        <v>122</v>
      </c>
      <c r="E358" s="16" t="s">
        <v>51</v>
      </c>
      <c r="F358" s="16" t="s">
        <v>732</v>
      </c>
      <c r="G358" s="17">
        <v>1984</v>
      </c>
      <c r="H358" s="17"/>
      <c r="I358" s="17"/>
      <c r="J358" s="17">
        <v>1974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1984</v>
      </c>
      <c r="M358" s="17">
        <f aca="false">IF($H358="","",$H358+$K358)</f>
        <v/>
      </c>
      <c r="N358" s="17">
        <f aca="false">IF($J358="","",$J358+$K358)</f>
        <v>1974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79,360원</v>
      </c>
      <c r="P358" s="17">
        <f aca="false">IF($B$10=0,"",IFERROR(IF($B$4&gt;0,IF($L358="",1/0,$L358*$B$4),0)+IF($B$5&gt;0,IF($M358="",1/0,$M358*$B$5),0)+IF($B$6&gt;0,IF($N358="",1/0,$N358*$B$6),0),""))</f>
        <v>79360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79360</v>
      </c>
      <c r="U358" s="17">
        <f aca="false">IF($T358="","",IF($B$10=0,"",$T358/$B$10))</f>
        <v>1984</v>
      </c>
      <c r="V358" s="17">
        <f aca="false">IF($P358="","",IF($B$10=0,"",$P358/$B$10))</f>
        <v>1984</v>
      </c>
      <c r="W358" s="19">
        <f aca="false">IF($T358="",1000000000000000,$T358)</f>
        <v>79360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IF($T359="","",1+COUNTIF($W$15:$W$884,"&lt;"&amp;W359))</f>
        <v>333</v>
      </c>
      <c r="B359" s="16" t="s">
        <v>14</v>
      </c>
      <c r="C359" s="16" t="s">
        <v>733</v>
      </c>
      <c r="D359" s="20" t="s">
        <v>54</v>
      </c>
      <c r="E359" s="16" t="s">
        <v>51</v>
      </c>
      <c r="F359" s="16" t="s">
        <v>734</v>
      </c>
      <c r="G359" s="17">
        <v>1984</v>
      </c>
      <c r="H359" s="17"/>
      <c r="I359" s="17"/>
      <c r="J359" s="17">
        <v>1979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1984</v>
      </c>
      <c r="M359" s="17">
        <f aca="false">IF($H359="","",$H359+$K359)</f>
        <v/>
      </c>
      <c r="N359" s="17">
        <f aca="false">IF($J359="","",$J359+$K359)</f>
        <v>1979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79,360원</v>
      </c>
      <c r="P359" s="17">
        <f aca="false">IF($B$10=0,"",IFERROR(IF($B$4&gt;0,IF($L359="",1/0,$L359*$B$4),0)+IF($B$5&gt;0,IF($M359="",1/0,$M359*$B$5),0)+IF($B$6&gt;0,IF($N359="",1/0,$N359*$B$6),0),""))</f>
        <v>79360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79360</v>
      </c>
      <c r="U359" s="17">
        <f aca="false">IF($T359="","",IF($B$10=0,"",$T359/$B$10))</f>
        <v>1984</v>
      </c>
      <c r="V359" s="17">
        <f aca="false">IF($P359="","",IF($B$10=0,"",$P359/$B$10))</f>
        <v>1984</v>
      </c>
      <c r="W359" s="19">
        <f aca="false">IF($T359="",1000000000000000,$T359)</f>
        <v>79360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IF($T360="","",1+COUNTIF($W$15:$W$884,"&lt;"&amp;W360))</f>
        <v>333</v>
      </c>
      <c r="B360" s="16" t="s">
        <v>14</v>
      </c>
      <c r="C360" s="16" t="s">
        <v>735</v>
      </c>
      <c r="D360" s="16" t="s">
        <v>45</v>
      </c>
      <c r="E360" s="16" t="s">
        <v>26</v>
      </c>
      <c r="F360" s="16" t="s">
        <v>736</v>
      </c>
      <c r="G360" s="17">
        <v>1984</v>
      </c>
      <c r="H360" s="17"/>
      <c r="I360" s="17"/>
      <c r="J360" s="17">
        <v>1979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1984</v>
      </c>
      <c r="M360" s="17">
        <f aca="false">IF($H360="","",$H360+$K360)</f>
        <v/>
      </c>
      <c r="N360" s="17">
        <f aca="false">IF($J360="","",$J360+$K360)</f>
        <v>1979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79,360원</v>
      </c>
      <c r="P360" s="17">
        <f aca="false">IF($B$10=0,"",IFERROR(IF($B$4&gt;0,IF($L360="",1/0,$L360*$B$4),0)+IF($B$5&gt;0,IF($M360="",1/0,$M360*$B$5),0)+IF($B$6&gt;0,IF($N360="",1/0,$N360*$B$6),0),""))</f>
        <v>79360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79360</v>
      </c>
      <c r="U360" s="17">
        <f aca="false">IF($T360="","",IF($B$10=0,"",$T360/$B$10))</f>
        <v>1984</v>
      </c>
      <c r="V360" s="17">
        <f aca="false">IF($P360="","",IF($B$10=0,"",$P360/$B$10))</f>
        <v>1984</v>
      </c>
      <c r="W360" s="19">
        <f aca="false">IF($T360="",1000000000000000,$T360)</f>
        <v>79360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IF($T361="","",1+COUNTIF($W$15:$W$884,"&lt;"&amp;W361))</f>
        <v>333</v>
      </c>
      <c r="B361" s="16" t="s">
        <v>14</v>
      </c>
      <c r="C361" s="16" t="s">
        <v>737</v>
      </c>
      <c r="D361" s="16" t="s">
        <v>45</v>
      </c>
      <c r="E361" s="16" t="s">
        <v>26</v>
      </c>
      <c r="F361" s="16" t="s">
        <v>738</v>
      </c>
      <c r="G361" s="17">
        <v>1984</v>
      </c>
      <c r="H361" s="17"/>
      <c r="I361" s="17"/>
      <c r="J361" s="17">
        <v>1979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1984</v>
      </c>
      <c r="M361" s="17">
        <f aca="false">IF($H361="","",$H361+$K361)</f>
        <v/>
      </c>
      <c r="N361" s="17">
        <f aca="false">IF($J361="","",$J361+$K361)</f>
        <v>1979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79,360원</v>
      </c>
      <c r="P361" s="17">
        <f aca="false">IF($B$10=0,"",IFERROR(IF($B$4&gt;0,IF($L361="",1/0,$L361*$B$4),0)+IF($B$5&gt;0,IF($M361="",1/0,$M361*$B$5),0)+IF($B$6&gt;0,IF($N361="",1/0,$N361*$B$6),0),""))</f>
        <v>79360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79360</v>
      </c>
      <c r="U361" s="17">
        <f aca="false">IF($T361="","",IF($B$10=0,"",$T361/$B$10))</f>
        <v>1984</v>
      </c>
      <c r="V361" s="17">
        <f aca="false">IF($P361="","",IF($B$10=0,"",$P361/$B$10))</f>
        <v>1984</v>
      </c>
      <c r="W361" s="19">
        <f aca="false">IF($T361="",1000000000000000,$T361)</f>
        <v>79360</v>
      </c>
      <c r="XFC361" s="3"/>
    </row>
    <row r="362" s="5" collapsed="false" customFormat="true" customHeight="true" hidden="false" ht="28.5" outlineLevel="0">
      <c r="A362" s="16">
        <f aca="false">IF($T362="","",1+COUNTIF($W$15:$W$884,"&lt;"&amp;W362))</f>
        <v>333</v>
      </c>
      <c r="B362" s="16" t="s">
        <v>14</v>
      </c>
      <c r="C362" s="16" t="s">
        <v>739</v>
      </c>
      <c r="D362" s="16" t="s">
        <v>45</v>
      </c>
      <c r="E362" s="16" t="s">
        <v>26</v>
      </c>
      <c r="F362" s="16" t="s">
        <v>740</v>
      </c>
      <c r="G362" s="17">
        <v>1984</v>
      </c>
      <c r="H362" s="17"/>
      <c r="I362" s="17"/>
      <c r="J362" s="17">
        <v>1979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1984</v>
      </c>
      <c r="M362" s="17">
        <f aca="false">IF($H362="","",$H362+$K362)</f>
        <v/>
      </c>
      <c r="N362" s="17">
        <f aca="false">IF($J362="","",$J362+$K362)</f>
        <v>1979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79,360원</v>
      </c>
      <c r="P362" s="17">
        <f aca="false">IF($B$10=0,"",IFERROR(IF($B$4&gt;0,IF($L362="",1/0,$L362*$B$4),0)+IF($B$5&gt;0,IF($M362="",1/0,$M362*$B$5),0)+IF($B$6&gt;0,IF($N362="",1/0,$N362*$B$6),0),""))</f>
        <v>79360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79360</v>
      </c>
      <c r="U362" s="17">
        <f aca="false">IF($T362="","",IF($B$10=0,"",$T362/$B$10))</f>
        <v>1984</v>
      </c>
      <c r="V362" s="17">
        <f aca="false">IF($P362="","",IF($B$10=0,"",$P362/$B$10))</f>
        <v>1984</v>
      </c>
      <c r="W362" s="19">
        <f aca="false">IF($T362="",1000000000000000,$T362)</f>
        <v>79360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IF($T363="","",1+COUNTIF($W$15:$W$884,"&lt;"&amp;W363))</f>
        <v>333</v>
      </c>
      <c r="B363" s="16" t="s">
        <v>6</v>
      </c>
      <c r="C363" s="16" t="s">
        <v>741</v>
      </c>
      <c r="D363" s="16" t="s">
        <v>122</v>
      </c>
      <c r="E363" s="16" t="s">
        <v>26</v>
      </c>
      <c r="F363" s="16" t="s">
        <v>742</v>
      </c>
      <c r="G363" s="17">
        <v>1984</v>
      </c>
      <c r="H363" s="17"/>
      <c r="I363" s="17"/>
      <c r="J363" s="17">
        <v>1982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1984</v>
      </c>
      <c r="M363" s="17">
        <f aca="false">IF($H363="","",$H363+$K363)</f>
        <v/>
      </c>
      <c r="N363" s="17">
        <f aca="false">IF($J363="","",$J363+$K363)</f>
        <v>1982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79,360원</v>
      </c>
      <c r="P363" s="17">
        <f aca="false">IF($B$10=0,"",IFERROR(IF($B$4&gt;0,IF($L363="",1/0,$L363*$B$4),0)+IF($B$5&gt;0,IF($M363="",1/0,$M363*$B$5),0)+IF($B$6&gt;0,IF($N363="",1/0,$N363*$B$6),0),""))</f>
        <v>79360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79360</v>
      </c>
      <c r="U363" s="17">
        <f aca="false">IF($T363="","",IF($B$10=0,"",$T363/$B$10))</f>
        <v>1984</v>
      </c>
      <c r="V363" s="17">
        <f aca="false">IF($P363="","",IF($B$10=0,"",$P363/$B$10))</f>
        <v>1984</v>
      </c>
      <c r="W363" s="19">
        <f aca="false">IF($T363="",1000000000000000,$T363)</f>
        <v>79360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IF($T364="","",1+COUNTIF($W$15:$W$884,"&lt;"&amp;W364))</f>
        <v>333</v>
      </c>
      <c r="B364" s="16" t="s">
        <v>12</v>
      </c>
      <c r="C364" s="16" t="s">
        <v>743</v>
      </c>
      <c r="D364" s="21" t="s">
        <v>45</v>
      </c>
      <c r="E364" s="16" t="s">
        <v>26</v>
      </c>
      <c r="F364" s="16" t="s">
        <v>744</v>
      </c>
      <c r="G364" s="17">
        <v>1984</v>
      </c>
      <c r="H364" s="17"/>
      <c r="I364" s="17"/>
      <c r="J364" s="17">
        <v>1982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1984</v>
      </c>
      <c r="M364" s="17">
        <f aca="false">IF($H364="","",$H364+$K364)</f>
        <v/>
      </c>
      <c r="N364" s="17">
        <f aca="false">IF($J364="","",$J364+$K364)</f>
        <v>1982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79,360원</v>
      </c>
      <c r="P364" s="17">
        <f aca="false">IF($B$10=0,"",IFERROR(IF($B$4&gt;0,IF($L364="",1/0,$L364*$B$4),0)+IF($B$5&gt;0,IF($M364="",1/0,$M364*$B$5),0)+IF($B$6&gt;0,IF($N364="",1/0,$N364*$B$6),0),""))</f>
        <v>79360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79360</v>
      </c>
      <c r="U364" s="17">
        <f aca="false">IF($T364="","",IF($B$10=0,"",$T364/$B$10))</f>
        <v>1984</v>
      </c>
      <c r="V364" s="17">
        <f aca="false">IF($P364="","",IF($B$10=0,"",$P364/$B$10))</f>
        <v>1984</v>
      </c>
      <c r="W364" s="19">
        <f aca="false">IF($T364="",1000000000000000,$T364)</f>
        <v>79360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IF($T365="","",1+COUNTIF($W$15:$W$884,"&lt;"&amp;W365))</f>
        <v>333</v>
      </c>
      <c r="B365" s="16" t="s">
        <v>6</v>
      </c>
      <c r="C365" s="16" t="s">
        <v>1167</v>
      </c>
      <c r="D365" s="16" t="s">
        <v>64</v>
      </c>
      <c r="E365" s="16" t="s">
        <v>26</v>
      </c>
      <c r="F365" s="16" t="s">
        <v>1168</v>
      </c>
      <c r="G365" s="17">
        <v>1984</v>
      </c>
      <c r="H365" s="17"/>
      <c r="I365" s="17"/>
      <c r="J365" s="17">
        <v>1983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1984</v>
      </c>
      <c r="M365" s="17">
        <f aca="false">IF($H365="","",$H365+$K365)</f>
        <v/>
      </c>
      <c r="N365" s="17">
        <f aca="false">IF($J365="","",$J365+$K365)</f>
        <v>1983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79,360원</v>
      </c>
      <c r="P365" s="17">
        <f aca="false">IF($B$10=0,"",IFERROR(IF($B$4&gt;0,IF($L365="",1/0,$L365*$B$4),0)+IF($B$5&gt;0,IF($M365="",1/0,$M365*$B$5),0)+IF($B$6&gt;0,IF($N365="",1/0,$N365*$B$6),0),""))</f>
        <v>79360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79360</v>
      </c>
      <c r="U365" s="17">
        <f aca="false">IF($T365="","",IF($B$10=0,"",$T365/$B$10))</f>
        <v>1984</v>
      </c>
      <c r="V365" s="17">
        <f aca="false">IF($P365="","",IF($B$10=0,"",$P365/$B$10))</f>
        <v>1984</v>
      </c>
      <c r="W365" s="19">
        <f aca="false">IF($T365="",1000000000000000,$T365)</f>
        <v>79360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IF($T366="","",1+COUNTIF($W$15:$W$884,"&lt;"&amp;W366))</f>
        <v>333</v>
      </c>
      <c r="B366" s="16" t="s">
        <v>14</v>
      </c>
      <c r="C366" s="16" t="s">
        <v>745</v>
      </c>
      <c r="D366" s="16" t="s">
        <v>64</v>
      </c>
      <c r="E366" s="16" t="s">
        <v>51</v>
      </c>
      <c r="F366" s="16" t="s">
        <v>746</v>
      </c>
      <c r="G366" s="17">
        <v>1984</v>
      </c>
      <c r="H366" s="17"/>
      <c r="I366" s="17"/>
      <c r="J366" s="17">
        <v>1983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/>
      </c>
      <c r="N366" s="17">
        <f aca="false">IF($J366="","",$J366+$K366)</f>
        <v>1983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79,360원</v>
      </c>
      <c r="P366" s="17">
        <f aca="false">IF($B$10=0,"",IFERROR(IF($B$4&gt;0,IF($L366="",1/0,$L366*$B$4),0)+IF($B$5&gt;0,IF($M366="",1/0,$M366*$B$5),0)+IF($B$6&gt;0,IF($N366="",1/0,$N366*$B$6),0),""))</f>
        <v>79360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79360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79360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IF($T367="","",1+COUNTIF($W$15:$W$884,"&lt;"&amp;W367))</f>
        <v>333</v>
      </c>
      <c r="B367" s="16" t="s">
        <v>14</v>
      </c>
      <c r="C367" s="16" t="s">
        <v>747</v>
      </c>
      <c r="D367" s="20" t="s">
        <v>54</v>
      </c>
      <c r="E367" s="16" t="s">
        <v>26</v>
      </c>
      <c r="F367" s="16" t="s">
        <v>748</v>
      </c>
      <c r="G367" s="17">
        <v>1984</v>
      </c>
      <c r="H367" s="17"/>
      <c r="I367" s="17"/>
      <c r="J367" s="17">
        <v>1983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/>
      </c>
      <c r="N367" s="17">
        <f aca="false">IF($J367="","",$J367+$K367)</f>
        <v>1983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79,360원</v>
      </c>
      <c r="P367" s="17">
        <f aca="false">IF($B$10=0,"",IFERROR(IF($B$4&gt;0,IF($L367="",1/0,$L367*$B$4),0)+IF($B$5&gt;0,IF($M367="",1/0,$M367*$B$5),0)+IF($B$6&gt;0,IF($N367="",1/0,$N367*$B$6),0),""))</f>
        <v>79360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79360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79360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IF($T368="","",1+COUNTIF($W$15:$W$884,"&lt;"&amp;W368))</f>
        <v>333</v>
      </c>
      <c r="B368" s="16" t="s">
        <v>6</v>
      </c>
      <c r="C368" s="16" t="s">
        <v>749</v>
      </c>
      <c r="D368" s="20" t="s">
        <v>54</v>
      </c>
      <c r="E368" s="16" t="s">
        <v>26</v>
      </c>
      <c r="F368" s="16" t="s">
        <v>750</v>
      </c>
      <c r="G368" s="17">
        <v>1984</v>
      </c>
      <c r="H368" s="17"/>
      <c r="I368" s="17"/>
      <c r="J368" s="17">
        <v>1984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/>
      </c>
      <c r="N368" s="17">
        <f aca="false">IF($J368="","",$J368+$K368)</f>
        <v>1984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79,360원</v>
      </c>
      <c r="P368" s="17">
        <f aca="false">IF($B$10=0,"",IFERROR(IF($B$4&gt;0,IF($L368="",1/0,$L368*$B$4),0)+IF($B$5&gt;0,IF($M368="",1/0,$M368*$B$5),0)+IF($B$6&gt;0,IF($N368="",1/0,$N368*$B$6),0),""))</f>
        <v>79360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79360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79360</v>
      </c>
      <c r="XFB368" s="6"/>
      <c r="XFC368" s="3"/>
    </row>
    <row r="369" s="22" collapsed="false" customFormat="true" customHeight="true" hidden="false" ht="28.5" outlineLevel="0">
      <c r="A369" s="16">
        <f aca="false">IF($T369="","",1+COUNTIF($W$15:$W$884,"&lt;"&amp;W369))</f>
        <v>333</v>
      </c>
      <c r="B369" s="16" t="s">
        <v>6</v>
      </c>
      <c r="C369" s="16" t="s">
        <v>751</v>
      </c>
      <c r="D369" s="16" t="s">
        <v>122</v>
      </c>
      <c r="E369" s="16" t="s">
        <v>26</v>
      </c>
      <c r="F369" s="16" t="s">
        <v>752</v>
      </c>
      <c r="G369" s="17">
        <v>1984</v>
      </c>
      <c r="H369" s="17"/>
      <c r="I369" s="17"/>
      <c r="J369" s="17">
        <v>1985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/>
      </c>
      <c r="N369" s="17">
        <f aca="false">IF($J369="","",$J369+$K369)</f>
        <v>1985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79,360원</v>
      </c>
      <c r="P369" s="17">
        <f aca="false">IF($B$10=0,"",IFERROR(IF($B$4&gt;0,IF($L369="",1/0,$L369*$B$4),0)+IF($B$5&gt;0,IF($M369="",1/0,$M369*$B$5),0)+IF($B$6&gt;0,IF($N369="",1/0,$N369*$B$6),0),""))</f>
        <v>79360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79360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79360</v>
      </c>
      <c r="XFB369" s="6"/>
      <c r="XFC369" s="3"/>
    </row>
    <row r="370" s="6" collapsed="false" customFormat="true" customHeight="true" hidden="false" ht="28.5" outlineLevel="0">
      <c r="A370" s="16">
        <f aca="false">IF($T370="","",1+COUNTIF($W$15:$W$884,"&lt;"&amp;W370))</f>
        <v>333</v>
      </c>
      <c r="B370" s="16" t="s">
        <v>14</v>
      </c>
      <c r="C370" s="16" t="s">
        <v>753</v>
      </c>
      <c r="D370" s="16" t="s">
        <v>64</v>
      </c>
      <c r="E370" s="16" t="s">
        <v>26</v>
      </c>
      <c r="F370" s="16" t="s">
        <v>754</v>
      </c>
      <c r="G370" s="17">
        <v>1984</v>
      </c>
      <c r="H370" s="17"/>
      <c r="I370" s="17"/>
      <c r="J370" s="17">
        <v>1986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1986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79,360원</v>
      </c>
      <c r="P370" s="17">
        <f aca="false">IF($B$10=0,"",IFERROR(IF($B$4&gt;0,IF($L370="",1/0,$L370*$B$4),0)+IF($B$5&gt;0,IF($M370="",1/0,$M370*$B$5),0)+IF($B$6&gt;0,IF($N370="",1/0,$N370*$B$6),0),""))</f>
        <v>79360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79360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79360</v>
      </c>
      <c r="XFC370" s="3"/>
    </row>
    <row r="371" s="5" collapsed="false" customFormat="true" customHeight="true" hidden="false" ht="28.5" outlineLevel="0">
      <c r="A371" s="16">
        <f aca="false">IF($T371="","",1+COUNTIF($W$15:$W$884,"&lt;"&amp;W371))</f>
        <v>357</v>
      </c>
      <c r="B371" s="16" t="s">
        <v>6</v>
      </c>
      <c r="C371" s="16" t="s">
        <v>755</v>
      </c>
      <c r="D371" s="16" t="s">
        <v>45</v>
      </c>
      <c r="E371" s="16" t="s">
        <v>26</v>
      </c>
      <c r="F371" s="16" t="s">
        <v>756</v>
      </c>
      <c r="G371" s="17">
        <v>1985</v>
      </c>
      <c r="H371" s="17">
        <v>2350</v>
      </c>
      <c r="I371" s="17"/>
      <c r="J371" s="17">
        <v>1984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1985</v>
      </c>
      <c r="M371" s="17">
        <f aca="false">IF($H371="","",$H371+$K371)</f>
        <v>2350</v>
      </c>
      <c r="N371" s="17">
        <f aca="false">IF($J371="","",$J371+$K371)</f>
        <v>1984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79,400원</v>
      </c>
      <c r="P371" s="17">
        <f aca="false">IF($B$10=0,"",IFERROR(IF($B$4&gt;0,IF($L371="",1/0,$L371*$B$4),0)+IF($B$5&gt;0,IF($M371="",1/0,$M371*$B$5),0)+IF($B$6&gt;0,IF($N371="",1/0,$N371*$B$6),0),""))</f>
        <v>79400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79400</v>
      </c>
      <c r="U371" s="17">
        <f aca="false">IF($T371="","",IF($B$10=0,"",$T371/$B$10))</f>
        <v>1985</v>
      </c>
      <c r="V371" s="17">
        <f aca="false">IF($P371="","",IF($B$10=0,"",$P371/$B$10))</f>
        <v>1985</v>
      </c>
      <c r="W371" s="19">
        <f aca="false">IF($T371="",1000000000000000,$T371)</f>
        <v>79400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IF($T372="","",1+COUNTIF($W$15:$W$884,"&lt;"&amp;W372))</f>
        <v>357</v>
      </c>
      <c r="B372" s="16" t="s">
        <v>6</v>
      </c>
      <c r="C372" s="16" t="s">
        <v>757</v>
      </c>
      <c r="D372" s="16" t="s">
        <v>45</v>
      </c>
      <c r="E372" s="16" t="s">
        <v>26</v>
      </c>
      <c r="F372" s="16" t="s">
        <v>758</v>
      </c>
      <c r="G372" s="17">
        <v>1985</v>
      </c>
      <c r="H372" s="17">
        <v>2398</v>
      </c>
      <c r="I372" s="17"/>
      <c r="J372" s="17">
        <v>1975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1985</v>
      </c>
      <c r="M372" s="17">
        <f aca="false">IF($H372="","",$H372+$K372)</f>
        <v>2398</v>
      </c>
      <c r="N372" s="17">
        <f aca="false">IF($J372="","",$J372+$K372)</f>
        <v>1975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79,400원</v>
      </c>
      <c r="P372" s="17">
        <f aca="false">IF($B$10=0,"",IFERROR(IF($B$4&gt;0,IF($L372="",1/0,$L372*$B$4),0)+IF($B$5&gt;0,IF($M372="",1/0,$M372*$B$5),0)+IF($B$6&gt;0,IF($N372="",1/0,$N372*$B$6),0),""))</f>
        <v>79400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79400</v>
      </c>
      <c r="U372" s="17">
        <f aca="false">IF($T372="","",IF($B$10=0,"",$T372/$B$10))</f>
        <v>1985</v>
      </c>
      <c r="V372" s="17">
        <f aca="false">IF($P372="","",IF($B$10=0,"",$P372/$B$10))</f>
        <v>1985</v>
      </c>
      <c r="W372" s="19">
        <f aca="false">IF($T372="",1000000000000000,$T372)</f>
        <v>79400</v>
      </c>
      <c r="XFC372" s="3"/>
    </row>
    <row r="373" s="5" collapsed="false" customFormat="true" customHeight="true" hidden="false" ht="28.5" outlineLevel="0">
      <c r="A373" s="16">
        <f aca="false">IF($T373="","",1+COUNTIF($W$15:$W$884,"&lt;"&amp;W373))</f>
        <v>357</v>
      </c>
      <c r="B373" s="16" t="s">
        <v>10</v>
      </c>
      <c r="C373" s="16" t="s">
        <v>759</v>
      </c>
      <c r="D373" s="20" t="s">
        <v>54</v>
      </c>
      <c r="E373" s="16" t="s">
        <v>26</v>
      </c>
      <c r="F373" s="16" t="s">
        <v>760</v>
      </c>
      <c r="G373" s="17">
        <v>1985</v>
      </c>
      <c r="H373" s="17">
        <v>2428</v>
      </c>
      <c r="I373" s="17"/>
      <c r="J373" s="17">
        <v>1975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1985</v>
      </c>
      <c r="M373" s="17">
        <f aca="false">IF($H373="","",$H373+$K373)</f>
        <v>2428</v>
      </c>
      <c r="N373" s="17">
        <f aca="false">IF($J373="","",$J373+$K373)</f>
        <v>1975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79,400원</v>
      </c>
      <c r="P373" s="17">
        <f aca="false">IF($B$10=0,"",IFERROR(IF($B$4&gt;0,IF($L373="",1/0,$L373*$B$4),0)+IF($B$5&gt;0,IF($M373="",1/0,$M373*$B$5),0)+IF($B$6&gt;0,IF($N373="",1/0,$N373*$B$6),0),""))</f>
        <v>79400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79400</v>
      </c>
      <c r="U373" s="17">
        <f aca="false">IF($T373="","",IF($B$10=0,"",$T373/$B$10))</f>
        <v>1985</v>
      </c>
      <c r="V373" s="17">
        <f aca="false">IF($P373="","",IF($B$10=0,"",$P373/$B$10))</f>
        <v>1985</v>
      </c>
      <c r="W373" s="19">
        <f aca="false">IF($T373="",1000000000000000,$T373)</f>
        <v>79400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IF($T374="","",1+COUNTIF($W$15:$W$884,"&lt;"&amp;W374))</f>
        <v>357</v>
      </c>
      <c r="B374" s="16" t="s">
        <v>10</v>
      </c>
      <c r="C374" s="16" t="s">
        <v>761</v>
      </c>
      <c r="D374" s="20" t="s">
        <v>54</v>
      </c>
      <c r="E374" s="16" t="s">
        <v>26</v>
      </c>
      <c r="F374" s="16" t="s">
        <v>762</v>
      </c>
      <c r="G374" s="17">
        <v>1985</v>
      </c>
      <c r="H374" s="17">
        <v>2440</v>
      </c>
      <c r="I374" s="17"/>
      <c r="J374" s="17">
        <v>1985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1985</v>
      </c>
      <c r="M374" s="17">
        <f aca="false">IF($H374="","",$H374+$K374)</f>
        <v>2440</v>
      </c>
      <c r="N374" s="17">
        <f aca="false">IF($J374="","",$J374+$K374)</f>
        <v>1985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79,400원</v>
      </c>
      <c r="P374" s="17">
        <f aca="false">IF($B$10=0,"",IFERROR(IF($B$4&gt;0,IF($L374="",1/0,$L374*$B$4),0)+IF($B$5&gt;0,IF($M374="",1/0,$M374*$B$5),0)+IF($B$6&gt;0,IF($N374="",1/0,$N374*$B$6),0),""))</f>
        <v>79400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79400</v>
      </c>
      <c r="U374" s="17">
        <f aca="false">IF($T374="","",IF($B$10=0,"",$T374/$B$10))</f>
        <v>1985</v>
      </c>
      <c r="V374" s="17">
        <f aca="false">IF($P374="","",IF($B$10=0,"",$P374/$B$10))</f>
        <v>1985</v>
      </c>
      <c r="W374" s="19">
        <f aca="false">IF($T374="",1000000000000000,$T374)</f>
        <v>79400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IF($T375="","",1+COUNTIF($W$15:$W$884,"&lt;"&amp;W375))</f>
        <v>357</v>
      </c>
      <c r="B375" s="16" t="s">
        <v>16</v>
      </c>
      <c r="C375" s="16" t="s">
        <v>765</v>
      </c>
      <c r="D375" s="16" t="s">
        <v>77</v>
      </c>
      <c r="E375" s="16" t="s">
        <v>26</v>
      </c>
      <c r="F375" s="16" t="s">
        <v>766</v>
      </c>
      <c r="G375" s="17">
        <v>1985</v>
      </c>
      <c r="H375" s="17"/>
      <c r="I375" s="17"/>
      <c r="J375" s="17">
        <v>1965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1985</v>
      </c>
      <c r="M375" s="17">
        <f aca="false">IF($H375="","",$H375+$K375)</f>
        <v/>
      </c>
      <c r="N375" s="17">
        <f aca="false">IF($J375="","",$J375+$K375)</f>
        <v>1965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79,400원</v>
      </c>
      <c r="P375" s="17">
        <f aca="false">IF($B$10=0,"",IFERROR(IF($B$4&gt;0,IF($L375="",1/0,$L375*$B$4),0)+IF($B$5&gt;0,IF($M375="",1/0,$M375*$B$5),0)+IF($B$6&gt;0,IF($N375="",1/0,$N375*$B$6),0),""))</f>
        <v>79400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79400</v>
      </c>
      <c r="U375" s="17">
        <f aca="false">IF($T375="","",IF($B$10=0,"",$T375/$B$10))</f>
        <v>1985</v>
      </c>
      <c r="V375" s="17">
        <f aca="false">IF($P375="","",IF($B$10=0,"",$P375/$B$10))</f>
        <v>1985</v>
      </c>
      <c r="W375" s="19">
        <f aca="false">IF($T375="",1000000000000000,$T375)</f>
        <v>79400</v>
      </c>
      <c r="XFB375" s="6"/>
      <c r="XFC375" s="3"/>
    </row>
    <row r="376" s="6" collapsed="false" customFormat="true" customHeight="true" hidden="false" ht="28.5" outlineLevel="0">
      <c r="A376" s="16">
        <f aca="false">IF($T376="","",1+COUNTIF($W$15:$W$884,"&lt;"&amp;W376))</f>
        <v>357</v>
      </c>
      <c r="B376" s="16" t="s">
        <v>10</v>
      </c>
      <c r="C376" s="16" t="s">
        <v>767</v>
      </c>
      <c r="D376" s="20" t="s">
        <v>54</v>
      </c>
      <c r="E376" s="16" t="s">
        <v>26</v>
      </c>
      <c r="F376" s="16" t="s">
        <v>768</v>
      </c>
      <c r="G376" s="17">
        <v>1985</v>
      </c>
      <c r="H376" s="17"/>
      <c r="I376" s="17"/>
      <c r="J376" s="17">
        <v>1968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1985</v>
      </c>
      <c r="M376" s="17">
        <f aca="false">IF($H376="","",$H376+$K376)</f>
        <v/>
      </c>
      <c r="N376" s="17">
        <f aca="false">IF($J376="","",$J376+$K376)</f>
        <v>1968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79,400원</v>
      </c>
      <c r="P376" s="17">
        <f aca="false">IF($B$10=0,"",IFERROR(IF($B$4&gt;0,IF($L376="",1/0,$L376*$B$4),0)+IF($B$5&gt;0,IF($M376="",1/0,$M376*$B$5),0)+IF($B$6&gt;0,IF($N376="",1/0,$N376*$B$6),0),""))</f>
        <v>79400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79400</v>
      </c>
      <c r="U376" s="17">
        <f aca="false">IF($T376="","",IF($B$10=0,"",$T376/$B$10))</f>
        <v>1985</v>
      </c>
      <c r="V376" s="17">
        <f aca="false">IF($P376="","",IF($B$10=0,"",$P376/$B$10))</f>
        <v>1985</v>
      </c>
      <c r="W376" s="19">
        <f aca="false">IF($T376="",1000000000000000,$T376)</f>
        <v>79400</v>
      </c>
      <c r="XFC376" s="3"/>
    </row>
    <row r="377" s="5" collapsed="false" customFormat="true" customHeight="true" hidden="false" ht="28.5" outlineLevel="0">
      <c r="A377" s="16">
        <f aca="false">IF($T377="","",1+COUNTIF($W$15:$W$884,"&lt;"&amp;W377))</f>
        <v>357</v>
      </c>
      <c r="B377" s="16" t="s">
        <v>12</v>
      </c>
      <c r="C377" s="16" t="s">
        <v>771</v>
      </c>
      <c r="D377" s="20" t="s">
        <v>54</v>
      </c>
      <c r="E377" s="16" t="s">
        <v>26</v>
      </c>
      <c r="F377" s="16" t="s">
        <v>772</v>
      </c>
      <c r="G377" s="17">
        <v>1985</v>
      </c>
      <c r="H377" s="17"/>
      <c r="I377" s="17"/>
      <c r="J377" s="17">
        <v>1972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1985</v>
      </c>
      <c r="M377" s="17">
        <f aca="false">IF($H377="","",$H377+$K377)</f>
        <v/>
      </c>
      <c r="N377" s="17">
        <f aca="false">IF($J377="","",$J377+$K377)</f>
        <v>1972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79,400원</v>
      </c>
      <c r="P377" s="17">
        <f aca="false">IF($B$10=0,"",IFERROR(IF($B$4&gt;0,IF($L377="",1/0,$L377*$B$4),0)+IF($B$5&gt;0,IF($M377="",1/0,$M377*$B$5),0)+IF($B$6&gt;0,IF($N377="",1/0,$N377*$B$6),0),""))</f>
        <v>79400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79400</v>
      </c>
      <c r="U377" s="17">
        <f aca="false">IF($T377="","",IF($B$10=0,"",$T377/$B$10))</f>
        <v>1985</v>
      </c>
      <c r="V377" s="17">
        <f aca="false">IF($P377="","",IF($B$10=0,"",$P377/$B$10))</f>
        <v>1985</v>
      </c>
      <c r="W377" s="19">
        <f aca="false">IF($T377="",1000000000000000,$T377)</f>
        <v>79400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IF($T378="","",1+COUNTIF($W$15:$W$884,"&lt;"&amp;W378))</f>
        <v>357</v>
      </c>
      <c r="B378" s="16" t="s">
        <v>6</v>
      </c>
      <c r="C378" s="16" t="s">
        <v>775</v>
      </c>
      <c r="D378" s="21" t="s">
        <v>57</v>
      </c>
      <c r="E378" s="16" t="s">
        <v>26</v>
      </c>
      <c r="F378" s="16" t="s">
        <v>776</v>
      </c>
      <c r="G378" s="17">
        <v>1985</v>
      </c>
      <c r="H378" s="17"/>
      <c r="I378" s="17"/>
      <c r="J378" s="17">
        <v>1973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1985</v>
      </c>
      <c r="M378" s="17">
        <f aca="false">IF($H378="","",$H378+$K378)</f>
        <v/>
      </c>
      <c r="N378" s="17">
        <f aca="false">IF($J378="","",$J378+$K378)</f>
        <v>1973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79,400원</v>
      </c>
      <c r="P378" s="17">
        <f aca="false">IF($B$10=0,"",IFERROR(IF($B$4&gt;0,IF($L378="",1/0,$L378*$B$4),0)+IF($B$5&gt;0,IF($M378="",1/0,$M378*$B$5),0)+IF($B$6&gt;0,IF($N378="",1/0,$N378*$B$6),0),""))</f>
        <v>79400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79400</v>
      </c>
      <c r="U378" s="17">
        <f aca="false">IF($T378="","",IF($B$10=0,"",$T378/$B$10))</f>
        <v>1985</v>
      </c>
      <c r="V378" s="17">
        <f aca="false">IF($P378="","",IF($B$10=0,"",$P378/$B$10))</f>
        <v>1985</v>
      </c>
      <c r="W378" s="19">
        <f aca="false">IF($T378="",1000000000000000,$T378)</f>
        <v>79400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IF($T379="","",1+COUNTIF($W$15:$W$884,"&lt;"&amp;W379))</f>
        <v>357</v>
      </c>
      <c r="B379" s="16" t="s">
        <v>6</v>
      </c>
      <c r="C379" s="16" t="s">
        <v>777</v>
      </c>
      <c r="D379" s="16" t="s">
        <v>64</v>
      </c>
      <c r="E379" s="16" t="s">
        <v>26</v>
      </c>
      <c r="F379" s="16" t="s">
        <v>778</v>
      </c>
      <c r="G379" s="17">
        <v>1985</v>
      </c>
      <c r="H379" s="17"/>
      <c r="I379" s="17"/>
      <c r="J379" s="17">
        <v>1973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1985</v>
      </c>
      <c r="M379" s="17">
        <f aca="false">IF($H379="","",$H379+$K379)</f>
        <v/>
      </c>
      <c r="N379" s="17">
        <f aca="false">IF($J379="","",$J379+$K379)</f>
        <v>1973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79,400원</v>
      </c>
      <c r="P379" s="17">
        <f aca="false">IF($B$10=0,"",IFERROR(IF($B$4&gt;0,IF($L379="",1/0,$L379*$B$4),0)+IF($B$5&gt;0,IF($M379="",1/0,$M379*$B$5),0)+IF($B$6&gt;0,IF($N379="",1/0,$N379*$B$6),0),""))</f>
        <v>79400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79400</v>
      </c>
      <c r="U379" s="17">
        <f aca="false">IF($T379="","",IF($B$10=0,"",$T379/$B$10))</f>
        <v>1985</v>
      </c>
      <c r="V379" s="17">
        <f aca="false">IF($P379="","",IF($B$10=0,"",$P379/$B$10))</f>
        <v>1985</v>
      </c>
      <c r="W379" s="19">
        <f aca="false">IF($T379="",1000000000000000,$T379)</f>
        <v>79400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IF($T380="","",1+COUNTIF($W$15:$W$884,"&lt;"&amp;W380))</f>
        <v>357</v>
      </c>
      <c r="B380" s="16" t="s">
        <v>6</v>
      </c>
      <c r="C380" s="16" t="s">
        <v>678</v>
      </c>
      <c r="D380" s="16" t="s">
        <v>45</v>
      </c>
      <c r="E380" s="16" t="s">
        <v>26</v>
      </c>
      <c r="F380" s="16" t="s">
        <v>679</v>
      </c>
      <c r="G380" s="17">
        <v>1985</v>
      </c>
      <c r="H380" s="17"/>
      <c r="I380" s="17"/>
      <c r="J380" s="17">
        <v>1975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1985</v>
      </c>
      <c r="M380" s="17">
        <f aca="false">IF($H380="","",$H380+$K380)</f>
        <v/>
      </c>
      <c r="N380" s="17">
        <f aca="false">IF($J380="","",$J380+$K380)</f>
        <v>1975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79,400원</v>
      </c>
      <c r="P380" s="17">
        <f aca="false">IF($B$10=0,"",IFERROR(IF($B$4&gt;0,IF($L380="",1/0,$L380*$B$4),0)+IF($B$5&gt;0,IF($M380="",1/0,$M380*$B$5),0)+IF($B$6&gt;0,IF($N380="",1/0,$N380*$B$6),0),""))</f>
        <v>79400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79400</v>
      </c>
      <c r="U380" s="17">
        <f aca="false">IF($T380="","",IF($B$10=0,"",$T380/$B$10))</f>
        <v>1985</v>
      </c>
      <c r="V380" s="17">
        <f aca="false">IF($P380="","",IF($B$10=0,"",$P380/$B$10))</f>
        <v>1985</v>
      </c>
      <c r="W380" s="19">
        <f aca="false">IF($T380="",1000000000000000,$T380)</f>
        <v>79400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IF($T381="","",1+COUNTIF($W$15:$W$884,"&lt;"&amp;W381))</f>
        <v>357</v>
      </c>
      <c r="B381" s="16" t="s">
        <v>6</v>
      </c>
      <c r="C381" s="16" t="s">
        <v>779</v>
      </c>
      <c r="D381" s="16" t="s">
        <v>64</v>
      </c>
      <c r="E381" s="16" t="s">
        <v>26</v>
      </c>
      <c r="F381" s="16" t="s">
        <v>780</v>
      </c>
      <c r="G381" s="17">
        <v>1985</v>
      </c>
      <c r="H381" s="17"/>
      <c r="I381" s="17"/>
      <c r="J381" s="17">
        <v>1975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1985</v>
      </c>
      <c r="M381" s="17">
        <f aca="false">IF($H381="","",$H381+$K381)</f>
        <v/>
      </c>
      <c r="N381" s="17">
        <f aca="false">IF($J381="","",$J381+$K381)</f>
        <v>1975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79,400원</v>
      </c>
      <c r="P381" s="17">
        <f aca="false">IF($B$10=0,"",IFERROR(IF($B$4&gt;0,IF($L381="",1/0,$L381*$B$4),0)+IF($B$5&gt;0,IF($M381="",1/0,$M381*$B$5),0)+IF($B$6&gt;0,IF($N381="",1/0,$N381*$B$6),0),""))</f>
        <v>79400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79400</v>
      </c>
      <c r="U381" s="17">
        <f aca="false">IF($T381="","",IF($B$10=0,"",$T381/$B$10))</f>
        <v>1985</v>
      </c>
      <c r="V381" s="17">
        <f aca="false">IF($P381="","",IF($B$10=0,"",$P381/$B$10))</f>
        <v>1985</v>
      </c>
      <c r="W381" s="19">
        <f aca="false">IF($T381="",1000000000000000,$T381)</f>
        <v>79400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IF($T382="","",1+COUNTIF($W$15:$W$884,"&lt;"&amp;W382))</f>
        <v>357</v>
      </c>
      <c r="B382" s="16" t="s">
        <v>10</v>
      </c>
      <c r="C382" s="16" t="s">
        <v>781</v>
      </c>
      <c r="D382" s="20" t="s">
        <v>54</v>
      </c>
      <c r="E382" s="16" t="s">
        <v>26</v>
      </c>
      <c r="F382" s="16" t="s">
        <v>782</v>
      </c>
      <c r="G382" s="17">
        <v>1985</v>
      </c>
      <c r="H382" s="17"/>
      <c r="I382" s="17"/>
      <c r="J382" s="17">
        <v>1978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1985</v>
      </c>
      <c r="M382" s="17">
        <f aca="false">IF($H382="","",$H382+$K382)</f>
        <v/>
      </c>
      <c r="N382" s="17">
        <f aca="false">IF($J382="","",$J382+$K382)</f>
        <v>1978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79,400원</v>
      </c>
      <c r="P382" s="17">
        <f aca="false">IF($B$10=0,"",IFERROR(IF($B$4&gt;0,IF($L382="",1/0,$L382*$B$4),0)+IF($B$5&gt;0,IF($M382="",1/0,$M382*$B$5),0)+IF($B$6&gt;0,IF($N382="",1/0,$N382*$B$6),0),""))</f>
        <v>79400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79400</v>
      </c>
      <c r="U382" s="17">
        <f aca="false">IF($T382="","",IF($B$10=0,"",$T382/$B$10))</f>
        <v>1985</v>
      </c>
      <c r="V382" s="17">
        <f aca="false">IF($P382="","",IF($B$10=0,"",$P382/$B$10))</f>
        <v>1985</v>
      </c>
      <c r="W382" s="19">
        <f aca="false">IF($T382="",1000000000000000,$T382)</f>
        <v>79400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IF($T383="","",1+COUNTIF($W$15:$W$884,"&lt;"&amp;W383))</f>
        <v>357</v>
      </c>
      <c r="B383" s="16" t="s">
        <v>16</v>
      </c>
      <c r="C383" s="16" t="s">
        <v>783</v>
      </c>
      <c r="D383" s="16" t="s">
        <v>122</v>
      </c>
      <c r="E383" s="16" t="s">
        <v>26</v>
      </c>
      <c r="F383" s="16" t="s">
        <v>784</v>
      </c>
      <c r="G383" s="17">
        <v>1985</v>
      </c>
      <c r="H383" s="17"/>
      <c r="I383" s="17"/>
      <c r="J383" s="17">
        <v>1980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1985</v>
      </c>
      <c r="M383" s="17">
        <f aca="false">IF($H383="","",$H383+$K383)</f>
        <v/>
      </c>
      <c r="N383" s="17">
        <f aca="false">IF($J383="","",$J383+$K383)</f>
        <v>1980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79,400원</v>
      </c>
      <c r="P383" s="17">
        <f aca="false">IF($B$10=0,"",IFERROR(IF($B$4&gt;0,IF($L383="",1/0,$L383*$B$4),0)+IF($B$5&gt;0,IF($M383="",1/0,$M383*$B$5),0)+IF($B$6&gt;0,IF($N383="",1/0,$N383*$B$6),0),""))</f>
        <v>79400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79400</v>
      </c>
      <c r="U383" s="17">
        <f aca="false">IF($T383="","",IF($B$10=0,"",$T383/$B$10))</f>
        <v>1985</v>
      </c>
      <c r="V383" s="17">
        <f aca="false">IF($P383="","",IF($B$10=0,"",$P383/$B$10))</f>
        <v>1985</v>
      </c>
      <c r="W383" s="19">
        <f aca="false">IF($T383="",1000000000000000,$T383)</f>
        <v>79400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IF($T384="","",1+COUNTIF($W$15:$W$884,"&lt;"&amp;W384))</f>
        <v>357</v>
      </c>
      <c r="B384" s="16" t="s">
        <v>6</v>
      </c>
      <c r="C384" s="16" t="s">
        <v>947</v>
      </c>
      <c r="D384" s="20" t="s">
        <v>54</v>
      </c>
      <c r="E384" s="16" t="s">
        <v>26</v>
      </c>
      <c r="F384" s="16" t="s">
        <v>948</v>
      </c>
      <c r="G384" s="17">
        <v>1985</v>
      </c>
      <c r="H384" s="17"/>
      <c r="I384" s="17"/>
      <c r="J384" s="17">
        <v>1983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1985</v>
      </c>
      <c r="M384" s="17">
        <f aca="false">IF($H384="","",$H384+$K384)</f>
        <v/>
      </c>
      <c r="N384" s="17">
        <f aca="false">IF($J384="","",$J384+$K384)</f>
        <v>1983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79,400원</v>
      </c>
      <c r="P384" s="17">
        <f aca="false">IF($B$10=0,"",IFERROR(IF($B$4&gt;0,IF($L384="",1/0,$L384*$B$4),0)+IF($B$5&gt;0,IF($M384="",1/0,$M384*$B$5),0)+IF($B$6&gt;0,IF($N384="",1/0,$N384*$B$6),0),""))</f>
        <v>79400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79400</v>
      </c>
      <c r="U384" s="17">
        <f aca="false">IF($T384="","",IF($B$10=0,"",$T384/$B$10))</f>
        <v>1985</v>
      </c>
      <c r="V384" s="17">
        <f aca="false">IF($P384="","",IF($B$10=0,"",$P384/$B$10))</f>
        <v>1985</v>
      </c>
      <c r="W384" s="19">
        <f aca="false">IF($T384="",1000000000000000,$T384)</f>
        <v>79400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IF($T385="","",1+COUNTIF($W$15:$W$884,"&lt;"&amp;W385))</f>
        <v>357</v>
      </c>
      <c r="B385" s="16" t="s">
        <v>6</v>
      </c>
      <c r="C385" s="16" t="s">
        <v>1001</v>
      </c>
      <c r="D385" s="16" t="s">
        <v>64</v>
      </c>
      <c r="E385" s="16" t="s">
        <v>26</v>
      </c>
      <c r="F385" s="16" t="s">
        <v>1002</v>
      </c>
      <c r="G385" s="17">
        <v>1985</v>
      </c>
      <c r="H385" s="17"/>
      <c r="I385" s="17"/>
      <c r="J385" s="17">
        <v>1983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1985</v>
      </c>
      <c r="M385" s="17">
        <f aca="false">IF($H385="","",$H385+$K385)</f>
        <v/>
      </c>
      <c r="N385" s="17">
        <f aca="false">IF($J385="","",$J385+$K385)</f>
        <v>1983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79,400원</v>
      </c>
      <c r="P385" s="17">
        <f aca="false">IF($B$10=0,"",IFERROR(IF($B$4&gt;0,IF($L385="",1/0,$L385*$B$4),0)+IF($B$5&gt;0,IF($M385="",1/0,$M385*$B$5),0)+IF($B$6&gt;0,IF($N385="",1/0,$N385*$B$6),0),""))</f>
        <v>79400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79400</v>
      </c>
      <c r="U385" s="17">
        <f aca="false">IF($T385="","",IF($B$10=0,"",$T385/$B$10))</f>
        <v>1985</v>
      </c>
      <c r="V385" s="17">
        <f aca="false">IF($P385="","",IF($B$10=0,"",$P385/$B$10))</f>
        <v>1985</v>
      </c>
      <c r="W385" s="19">
        <f aca="false">IF($T385="",1000000000000000,$T385)</f>
        <v>79400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IF($T386="","",1+COUNTIF($W$15:$W$884,"&lt;"&amp;W386))</f>
        <v>357</v>
      </c>
      <c r="B386" s="16" t="s">
        <v>6</v>
      </c>
      <c r="C386" s="16" t="s">
        <v>785</v>
      </c>
      <c r="D386" s="16" t="s">
        <v>77</v>
      </c>
      <c r="E386" s="16" t="s">
        <v>51</v>
      </c>
      <c r="F386" s="16" t="s">
        <v>786</v>
      </c>
      <c r="G386" s="17">
        <v>1985</v>
      </c>
      <c r="H386" s="17"/>
      <c r="I386" s="17"/>
      <c r="J386" s="17">
        <v>1983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1985</v>
      </c>
      <c r="M386" s="17">
        <f aca="false">IF($H386="","",$H386+$K386)</f>
        <v/>
      </c>
      <c r="N386" s="17">
        <f aca="false">IF($J386="","",$J386+$K386)</f>
        <v>1983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79,400원</v>
      </c>
      <c r="P386" s="17">
        <f aca="false">IF($B$10=0,"",IFERROR(IF($B$4&gt;0,IF($L386="",1/0,$L386*$B$4),0)+IF($B$5&gt;0,IF($M386="",1/0,$M386*$B$5),0)+IF($B$6&gt;0,IF($N386="",1/0,$N386*$B$6),0),""))</f>
        <v>79400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79400</v>
      </c>
      <c r="U386" s="17">
        <f aca="false">IF($T386="","",IF($B$10=0,"",$T386/$B$10))</f>
        <v>1985</v>
      </c>
      <c r="V386" s="17">
        <f aca="false">IF($P386="","",IF($B$10=0,"",$P386/$B$10))</f>
        <v>1985</v>
      </c>
      <c r="W386" s="19">
        <f aca="false">IF($T386="",1000000000000000,$T386)</f>
        <v>79400</v>
      </c>
      <c r="XFB386" s="6"/>
      <c r="XFC386" s="3"/>
    </row>
    <row r="387" s="22" collapsed="false" customFormat="true" customHeight="true" hidden="false" ht="28.5" outlineLevel="0">
      <c r="A387" s="16">
        <f aca="false">IF($T387="","",1+COUNTIF($W$15:$W$884,"&lt;"&amp;W387))</f>
        <v>357</v>
      </c>
      <c r="B387" s="16" t="s">
        <v>6</v>
      </c>
      <c r="C387" s="16" t="s">
        <v>787</v>
      </c>
      <c r="D387" s="21" t="s">
        <v>57</v>
      </c>
      <c r="E387" s="16" t="s">
        <v>26</v>
      </c>
      <c r="F387" s="16" t="s">
        <v>788</v>
      </c>
      <c r="G387" s="17">
        <v>1985</v>
      </c>
      <c r="H387" s="17"/>
      <c r="I387" s="17"/>
      <c r="J387" s="17">
        <v>1984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/>
      </c>
      <c r="N387" s="17">
        <f aca="false">IF($J387="","",$J387+$K387)</f>
        <v>1984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79,400원</v>
      </c>
      <c r="P387" s="17">
        <f aca="false">IF($B$10=0,"",IFERROR(IF($B$4&gt;0,IF($L387="",1/0,$L387*$B$4),0)+IF($B$5&gt;0,IF($M387="",1/0,$M387*$B$5),0)+IF($B$6&gt;0,IF($N387="",1/0,$N387*$B$6),0),""))</f>
        <v>79400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79400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79400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IF($T388="","",1+COUNTIF($W$15:$W$884,"&lt;"&amp;W388))</f>
        <v>357</v>
      </c>
      <c r="B388" s="16" t="s">
        <v>6</v>
      </c>
      <c r="C388" s="16" t="s">
        <v>789</v>
      </c>
      <c r="D388" s="16" t="s">
        <v>45</v>
      </c>
      <c r="E388" s="16" t="s">
        <v>26</v>
      </c>
      <c r="F388" s="16" t="s">
        <v>790</v>
      </c>
      <c r="G388" s="17">
        <v>1985</v>
      </c>
      <c r="H388" s="17"/>
      <c r="I388" s="17"/>
      <c r="J388" s="17">
        <v>1984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/>
      </c>
      <c r="N388" s="17">
        <f aca="false">IF($J388="","",$J388+$K388)</f>
        <v>1984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79,400원</v>
      </c>
      <c r="P388" s="17">
        <f aca="false">IF($B$10=0,"",IFERROR(IF($B$4&gt;0,IF($L388="",1/0,$L388*$B$4),0)+IF($B$5&gt;0,IF($M388="",1/0,$M388*$B$5),0)+IF($B$6&gt;0,IF($N388="",1/0,$N388*$B$6),0),""))</f>
        <v>79400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79400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79400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IF($T389="","",1+COUNTIF($W$15:$W$884,"&lt;"&amp;W389))</f>
        <v>357</v>
      </c>
      <c r="B389" s="16" t="s">
        <v>6</v>
      </c>
      <c r="C389" s="16" t="s">
        <v>791</v>
      </c>
      <c r="D389" s="16" t="s">
        <v>45</v>
      </c>
      <c r="E389" s="16" t="s">
        <v>26</v>
      </c>
      <c r="F389" s="16" t="s">
        <v>792</v>
      </c>
      <c r="G389" s="17">
        <v>1985</v>
      </c>
      <c r="H389" s="17"/>
      <c r="I389" s="17"/>
      <c r="J389" s="17">
        <v>1984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/>
      </c>
      <c r="N389" s="17">
        <f aca="false">IF($J389="","",$J389+$K389)</f>
        <v>1984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79,400원</v>
      </c>
      <c r="P389" s="17">
        <f aca="false">IF($B$10=0,"",IFERROR(IF($B$4&gt;0,IF($L389="",1/0,$L389*$B$4),0)+IF($B$5&gt;0,IF($M389="",1/0,$M389*$B$5),0)+IF($B$6&gt;0,IF($N389="",1/0,$N389*$B$6),0),""))</f>
        <v>79400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79400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79400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IF($T390="","",1+COUNTIF($W$15:$W$884,"&lt;"&amp;W390))</f>
        <v>357</v>
      </c>
      <c r="B390" s="16" t="s">
        <v>6</v>
      </c>
      <c r="C390" s="16" t="s">
        <v>793</v>
      </c>
      <c r="D390" s="20" t="s">
        <v>54</v>
      </c>
      <c r="E390" s="16" t="s">
        <v>26</v>
      </c>
      <c r="F390" s="16" t="s">
        <v>794</v>
      </c>
      <c r="G390" s="17">
        <v>1985</v>
      </c>
      <c r="H390" s="17"/>
      <c r="I390" s="17"/>
      <c r="J390" s="17">
        <v>1984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/>
      </c>
      <c r="N390" s="17">
        <f aca="false">IF($J390="","",$J390+$K390)</f>
        <v>1984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79,400원</v>
      </c>
      <c r="P390" s="17">
        <f aca="false">IF($B$10=0,"",IFERROR(IF($B$4&gt;0,IF($L390="",1/0,$L390*$B$4),0)+IF($B$5&gt;0,IF($M390="",1/0,$M390*$B$5),0)+IF($B$6&gt;0,IF($N390="",1/0,$N390*$B$6),0),""))</f>
        <v>79400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79400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79400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IF($T391="","",1+COUNTIF($W$15:$W$884,"&lt;"&amp;W391))</f>
        <v>357</v>
      </c>
      <c r="B391" s="16" t="s">
        <v>6</v>
      </c>
      <c r="C391" s="16" t="s">
        <v>795</v>
      </c>
      <c r="D391" s="21" t="s">
        <v>57</v>
      </c>
      <c r="E391" s="16" t="s">
        <v>26</v>
      </c>
      <c r="F391" s="16" t="s">
        <v>796</v>
      </c>
      <c r="G391" s="17">
        <v>1985</v>
      </c>
      <c r="H391" s="17"/>
      <c r="I391" s="17"/>
      <c r="J391" s="17">
        <v>1985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/>
      </c>
      <c r="N391" s="17">
        <f aca="false">IF($J391="","",$J391+$K391)</f>
        <v>1985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79,400원</v>
      </c>
      <c r="P391" s="17">
        <f aca="false">IF($B$10=0,"",IFERROR(IF($B$4&gt;0,IF($L391="",1/0,$L391*$B$4),0)+IF($B$5&gt;0,IF($M391="",1/0,$M391*$B$5),0)+IF($B$6&gt;0,IF($N391="",1/0,$N391*$B$6),0),""))</f>
        <v>79400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79400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79400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IF($T392="","",1+COUNTIF($W$15:$W$884,"&lt;"&amp;W392))</f>
        <v>357</v>
      </c>
      <c r="B392" s="16" t="s">
        <v>6</v>
      </c>
      <c r="C392" s="16" t="s">
        <v>797</v>
      </c>
      <c r="D392" s="16" t="s">
        <v>45</v>
      </c>
      <c r="E392" s="16" t="s">
        <v>26</v>
      </c>
      <c r="F392" s="16" t="s">
        <v>798</v>
      </c>
      <c r="G392" s="17">
        <v>1985</v>
      </c>
      <c r="H392" s="17"/>
      <c r="I392" s="17"/>
      <c r="J392" s="17">
        <v>1985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1985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79,400원</v>
      </c>
      <c r="P392" s="17">
        <f aca="false">IF($B$10=0,"",IFERROR(IF($B$4&gt;0,IF($L392="",1/0,$L392*$B$4),0)+IF($B$5&gt;0,IF($M392="",1/0,$M392*$B$5),0)+IF($B$6&gt;0,IF($N392="",1/0,$N392*$B$6),0),""))</f>
        <v>79400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79400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79400</v>
      </c>
      <c r="XFB392" s="6"/>
      <c r="XFC392" s="3"/>
    </row>
    <row r="393" s="6" collapsed="false" customFormat="true" customHeight="true" hidden="false" ht="28.5" outlineLevel="0">
      <c r="A393" s="16">
        <f aca="false">IF($T393="","",1+COUNTIF($W$15:$W$884,"&lt;"&amp;W393))</f>
        <v>357</v>
      </c>
      <c r="B393" s="16" t="s">
        <v>6</v>
      </c>
      <c r="C393" s="16" t="s">
        <v>799</v>
      </c>
      <c r="D393" s="16" t="s">
        <v>64</v>
      </c>
      <c r="E393" s="16" t="s">
        <v>26</v>
      </c>
      <c r="F393" s="16" t="s">
        <v>800</v>
      </c>
      <c r="G393" s="17">
        <v>1985</v>
      </c>
      <c r="H393" s="17"/>
      <c r="I393" s="17"/>
      <c r="J393" s="17">
        <v>1985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1985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79,400원</v>
      </c>
      <c r="P393" s="17">
        <f aca="false">IF($B$10=0,"",IFERROR(IF($B$4&gt;0,IF($L393="",1/0,$L393*$B$4),0)+IF($B$5&gt;0,IF($M393="",1/0,$M393*$B$5),0)+IF($B$6&gt;0,IF($N393="",1/0,$N393*$B$6),0),""))</f>
        <v>79400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79400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79400</v>
      </c>
      <c r="XFC393" s="3"/>
    </row>
    <row r="394" s="6" collapsed="false" customFormat="true" customHeight="true" hidden="false" ht="28.5" outlineLevel="0">
      <c r="A394" s="16">
        <f aca="false">IF($T394="","",1+COUNTIF($W$15:$W$884,"&lt;"&amp;W394))</f>
        <v>357</v>
      </c>
      <c r="B394" s="16" t="s">
        <v>12</v>
      </c>
      <c r="C394" s="16" t="s">
        <v>803</v>
      </c>
      <c r="D394" s="21" t="s">
        <v>64</v>
      </c>
      <c r="E394" s="16" t="s">
        <v>26</v>
      </c>
      <c r="F394" s="16" t="s">
        <v>804</v>
      </c>
      <c r="G394" s="17">
        <v>1985</v>
      </c>
      <c r="H394" s="17"/>
      <c r="I394" s="17"/>
      <c r="J394" s="17">
        <v>1985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1985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79,400원</v>
      </c>
      <c r="P394" s="17">
        <f aca="false">IF($B$10=0,"",IFERROR(IF($B$4&gt;0,IF($L394="",1/0,$L394*$B$4),0)+IF($B$5&gt;0,IF($M394="",1/0,$M394*$B$5),0)+IF($B$6&gt;0,IF($N394="",1/0,$N394*$B$6),0),""))</f>
        <v>79400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79400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79400</v>
      </c>
      <c r="XFC394" s="3"/>
    </row>
    <row r="395" s="5" collapsed="false" customFormat="true" customHeight="true" hidden="false" ht="28.5" outlineLevel="0">
      <c r="A395" s="16">
        <f aca="false">IF($T395="","",1+COUNTIF($W$15:$W$884,"&lt;"&amp;W395))</f>
        <v>357</v>
      </c>
      <c r="B395" s="16" t="s">
        <v>10</v>
      </c>
      <c r="C395" s="16" t="s">
        <v>805</v>
      </c>
      <c r="D395" s="20" t="s">
        <v>54</v>
      </c>
      <c r="E395" s="16" t="s">
        <v>26</v>
      </c>
      <c r="F395" s="16" t="s">
        <v>806</v>
      </c>
      <c r="G395" s="17">
        <v>1985</v>
      </c>
      <c r="H395" s="17"/>
      <c r="I395" s="17"/>
      <c r="J395" s="17">
        <v>1985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1985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79,400원</v>
      </c>
      <c r="P395" s="17">
        <f aca="false">IF($B$10=0,"",IFERROR(IF($B$4&gt;0,IF($L395="",1/0,$L395*$B$4),0)+IF($B$5&gt;0,IF($M395="",1/0,$M395*$B$5),0)+IF($B$6&gt;0,IF($N395="",1/0,$N395*$B$6),0),""))</f>
        <v>79400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79400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79400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IF($T396="","",1+COUNTIF($W$15:$W$884,"&lt;"&amp;W396))</f>
        <v>357</v>
      </c>
      <c r="B396" s="16" t="s">
        <v>6</v>
      </c>
      <c r="C396" s="16" t="s">
        <v>607</v>
      </c>
      <c r="D396" s="16" t="s">
        <v>45</v>
      </c>
      <c r="E396" s="16" t="s">
        <v>26</v>
      </c>
      <c r="F396" s="16" t="s">
        <v>807</v>
      </c>
      <c r="G396" s="17">
        <v>1985</v>
      </c>
      <c r="H396" s="17"/>
      <c r="I396" s="17"/>
      <c r="J396" s="17">
        <v>1995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1995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79,400원</v>
      </c>
      <c r="P396" s="17">
        <f aca="false">IF($B$10=0,"",IFERROR(IF($B$4&gt;0,IF($L396="",1/0,$L396*$B$4),0)+IF($B$5&gt;0,IF($M396="",1/0,$M396*$B$5),0)+IF($B$6&gt;0,IF($N396="",1/0,$N396*$B$6),0),""))</f>
        <v>79400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79400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79400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IF($T397="","",1+COUNTIF($W$15:$W$884,"&lt;"&amp;W397))</f>
        <v>357</v>
      </c>
      <c r="B397" s="16" t="s">
        <v>6</v>
      </c>
      <c r="C397" s="16" t="s">
        <v>808</v>
      </c>
      <c r="D397" s="20" t="s">
        <v>54</v>
      </c>
      <c r="E397" s="16" t="s">
        <v>26</v>
      </c>
      <c r="F397" s="16" t="s">
        <v>809</v>
      </c>
      <c r="G397" s="17">
        <v>1985</v>
      </c>
      <c r="H397" s="17"/>
      <c r="I397" s="17"/>
      <c r="J397" s="17">
        <v>1995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1995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79,400원</v>
      </c>
      <c r="P397" s="17">
        <f aca="false">IF($B$10=0,"",IFERROR(IF($B$4&gt;0,IF($L397="",1/0,$L397*$B$4),0)+IF($B$5&gt;0,IF($M397="",1/0,$M397*$B$5),0)+IF($B$6&gt;0,IF($N397="",1/0,$N397*$B$6),0),""))</f>
        <v>79400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79400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79400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IF($T398="","",1+COUNTIF($W$15:$W$884,"&lt;"&amp;W398))</f>
        <v>357</v>
      </c>
      <c r="B398" s="16" t="s">
        <v>6</v>
      </c>
      <c r="C398" s="16" t="s">
        <v>1172</v>
      </c>
      <c r="D398" s="16" t="s">
        <v>64</v>
      </c>
      <c r="E398" s="16" t="s">
        <v>26</v>
      </c>
      <c r="F398" s="16" t="s">
        <v>1173</v>
      </c>
      <c r="G398" s="17">
        <v>1985</v>
      </c>
      <c r="H398" s="17"/>
      <c r="I398" s="17"/>
      <c r="J398" s="17">
        <v>1995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1995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79,400원</v>
      </c>
      <c r="P398" s="17">
        <f aca="false">IF($B$10=0,"",IFERROR(IF($B$4&gt;0,IF($L398="",1/0,$L398*$B$4),0)+IF($B$5&gt;0,IF($M398="",1/0,$M398*$B$5),0)+IF($B$6&gt;0,IF($N398="",1/0,$N398*$B$6),0),""))</f>
        <v>79400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79400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79400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IF($T399="","",1+COUNTIF($W$15:$W$884,"&lt;"&amp;W399))</f>
        <v>357</v>
      </c>
      <c r="B399" s="16" t="s">
        <v>16</v>
      </c>
      <c r="C399" s="16" t="s">
        <v>769</v>
      </c>
      <c r="D399" s="16" t="s">
        <v>77</v>
      </c>
      <c r="E399" s="16" t="s">
        <v>26</v>
      </c>
      <c r="F399" s="16" t="s">
        <v>770</v>
      </c>
      <c r="G399" s="17">
        <v>1985</v>
      </c>
      <c r="H399" s="17"/>
      <c r="I399" s="17"/>
      <c r="J399" s="17">
        <v>2020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2020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79,400원</v>
      </c>
      <c r="P399" s="17">
        <f aca="false">IF($B$10=0,"",IFERROR(IF($B$4&gt;0,IF($L399="",1/0,$L399*$B$4),0)+IF($B$5&gt;0,IF($M399="",1/0,$M399*$B$5),0)+IF($B$6&gt;0,IF($N399="",1/0,$N399*$B$6),0),""))</f>
        <v>79400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79400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79400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IF($T400="","",1+COUNTIF($W$15:$W$884,"&lt;"&amp;W400))</f>
        <v>386</v>
      </c>
      <c r="B400" s="16" t="s">
        <v>10</v>
      </c>
      <c r="C400" s="16" t="s">
        <v>653</v>
      </c>
      <c r="D400" s="16" t="s">
        <v>45</v>
      </c>
      <c r="E400" s="16" t="s">
        <v>26</v>
      </c>
      <c r="F400" s="16" t="s">
        <v>654</v>
      </c>
      <c r="G400" s="17">
        <v>1986</v>
      </c>
      <c r="H400" s="17"/>
      <c r="I400" s="17"/>
      <c r="J400" s="17">
        <v>1976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1986</v>
      </c>
      <c r="M400" s="17">
        <f aca="false">IF($H400="","",$H400+$K400)</f>
        <v/>
      </c>
      <c r="N400" s="17">
        <f aca="false">IF($J400="","",$J400+$K400)</f>
        <v>1976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79,440원</v>
      </c>
      <c r="P400" s="17">
        <f aca="false">IF($B$10=0,"",IFERROR(IF($B$4&gt;0,IF($L400="",1/0,$L400*$B$4),0)+IF($B$5&gt;0,IF($M400="",1/0,$M400*$B$5),0)+IF($B$6&gt;0,IF($N400="",1/0,$N400*$B$6),0),""))</f>
        <v>79440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79440</v>
      </c>
      <c r="U400" s="17">
        <f aca="false">IF($T400="","",IF($B$10=0,"",$T400/$B$10))</f>
        <v>1986</v>
      </c>
      <c r="V400" s="17">
        <f aca="false">IF($P400="","",IF($B$10=0,"",$P400/$B$10))</f>
        <v>1986</v>
      </c>
      <c r="W400" s="19">
        <f aca="false">IF($T400="",1000000000000000,$T400)</f>
        <v>79440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IF($T401="","",1+COUNTIF($W$15:$W$884,"&lt;"&amp;W401))</f>
        <v>386</v>
      </c>
      <c r="B401" s="16" t="s">
        <v>6</v>
      </c>
      <c r="C401" s="16" t="s">
        <v>1129</v>
      </c>
      <c r="D401" s="21" t="s">
        <v>57</v>
      </c>
      <c r="E401" s="16" t="s">
        <v>26</v>
      </c>
      <c r="F401" s="16" t="s">
        <v>1130</v>
      </c>
      <c r="G401" s="17">
        <v>1986</v>
      </c>
      <c r="H401" s="17"/>
      <c r="I401" s="17"/>
      <c r="J401" s="17">
        <v>1977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1986</v>
      </c>
      <c r="M401" s="17">
        <f aca="false">IF($H401="","",$H401+$K401)</f>
        <v/>
      </c>
      <c r="N401" s="17">
        <f aca="false">IF($J401="","",$J401+$K401)</f>
        <v>1977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79,440원</v>
      </c>
      <c r="P401" s="17">
        <f aca="false">IF($B$10=0,"",IFERROR(IF($B$4&gt;0,IF($L401="",1/0,$L401*$B$4),0)+IF($B$5&gt;0,IF($M401="",1/0,$M401*$B$5),0)+IF($B$6&gt;0,IF($N401="",1/0,$N401*$B$6),0),""))</f>
        <v>79440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79440</v>
      </c>
      <c r="U401" s="17">
        <f aca="false">IF($T401="","",IF($B$10=0,"",$T401/$B$10))</f>
        <v>1986</v>
      </c>
      <c r="V401" s="17">
        <f aca="false">IF($P401="","",IF($B$10=0,"",$P401/$B$10))</f>
        <v>1986</v>
      </c>
      <c r="W401" s="19">
        <f aca="false">IF($T401="",1000000000000000,$T401)</f>
        <v>79440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IF($T402="","",1+COUNTIF($W$15:$W$884,"&lt;"&amp;W402))</f>
        <v>388</v>
      </c>
      <c r="B402" s="16" t="s">
        <v>6</v>
      </c>
      <c r="C402" s="16" t="s">
        <v>810</v>
      </c>
      <c r="D402" s="16" t="s">
        <v>45</v>
      </c>
      <c r="E402" s="16" t="s">
        <v>26</v>
      </c>
      <c r="F402" s="16" t="s">
        <v>811</v>
      </c>
      <c r="G402" s="17">
        <v>1987</v>
      </c>
      <c r="H402" s="17">
        <v>2370</v>
      </c>
      <c r="I402" s="17"/>
      <c r="J402" s="17">
        <v>1986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1987</v>
      </c>
      <c r="M402" s="17">
        <f aca="false">IF($H402="","",$H402+$K402)</f>
        <v>2370</v>
      </c>
      <c r="N402" s="17">
        <f aca="false">IF($J402="","",$J402+$K402)</f>
        <v>1986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79,480원</v>
      </c>
      <c r="P402" s="17">
        <f aca="false">IF($B$10=0,"",IFERROR(IF($B$4&gt;0,IF($L402="",1/0,$L402*$B$4),0)+IF($B$5&gt;0,IF($M402="",1/0,$M402*$B$5),0)+IF($B$6&gt;0,IF($N402="",1/0,$N402*$B$6),0),""))</f>
        <v>79480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79480</v>
      </c>
      <c r="U402" s="17">
        <f aca="false">IF($T402="","",IF($B$10=0,"",$T402/$B$10))</f>
        <v>1987</v>
      </c>
      <c r="V402" s="17">
        <f aca="false">IF($P402="","",IF($B$10=0,"",$P402/$B$10))</f>
        <v>1987</v>
      </c>
      <c r="W402" s="19">
        <f aca="false">IF($T402="",1000000000000000,$T402)</f>
        <v>79480</v>
      </c>
      <c r="XFC402" s="3"/>
    </row>
    <row r="403" s="5" collapsed="false" customFormat="true" customHeight="true" hidden="false" ht="28.5" outlineLevel="0">
      <c r="A403" s="16">
        <f aca="false">IF($T403="","",1+COUNTIF($W$15:$W$884,"&lt;"&amp;W403))</f>
        <v>388</v>
      </c>
      <c r="B403" s="16" t="s">
        <v>6</v>
      </c>
      <c r="C403" s="16" t="s">
        <v>812</v>
      </c>
      <c r="D403" s="16" t="s">
        <v>45</v>
      </c>
      <c r="E403" s="16" t="s">
        <v>26</v>
      </c>
      <c r="F403" s="16" t="s">
        <v>813</v>
      </c>
      <c r="G403" s="17">
        <v>1987</v>
      </c>
      <c r="H403" s="17">
        <v>2370</v>
      </c>
      <c r="I403" s="17"/>
      <c r="J403" s="17">
        <v>1986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1987</v>
      </c>
      <c r="M403" s="17">
        <f aca="false">IF($H403="","",$H403+$K403)</f>
        <v>2370</v>
      </c>
      <c r="N403" s="17">
        <f aca="false">IF($J403="","",$J403+$K403)</f>
        <v>1986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79,480원</v>
      </c>
      <c r="P403" s="17">
        <f aca="false">IF($B$10=0,"",IFERROR(IF($B$4&gt;0,IF($L403="",1/0,$L403*$B$4),0)+IF($B$5&gt;0,IF($M403="",1/0,$M403*$B$5),0)+IF($B$6&gt;0,IF($N403="",1/0,$N403*$B$6),0),""))</f>
        <v>79480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79480</v>
      </c>
      <c r="U403" s="17">
        <f aca="false">IF($T403="","",IF($B$10=0,"",$T403/$B$10))</f>
        <v>1987</v>
      </c>
      <c r="V403" s="17">
        <f aca="false">IF($P403="","",IF($B$10=0,"",$P403/$B$10))</f>
        <v>1987</v>
      </c>
      <c r="W403" s="19">
        <f aca="false">IF($T403="",1000000000000000,$T403)</f>
        <v>79480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IF($T404="","",1+COUNTIF($W$15:$W$884,"&lt;"&amp;W404))</f>
        <v>388</v>
      </c>
      <c r="B404" s="16" t="s">
        <v>6</v>
      </c>
      <c r="C404" s="16" t="s">
        <v>814</v>
      </c>
      <c r="D404" s="16" t="s">
        <v>45</v>
      </c>
      <c r="E404" s="16" t="s">
        <v>26</v>
      </c>
      <c r="F404" s="16" t="s">
        <v>815</v>
      </c>
      <c r="G404" s="17">
        <v>1987</v>
      </c>
      <c r="H404" s="17">
        <v>2370</v>
      </c>
      <c r="I404" s="17"/>
      <c r="J404" s="17">
        <v>1986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1987</v>
      </c>
      <c r="M404" s="17">
        <f aca="false">IF($H404="","",$H404+$K404)</f>
        <v>2370</v>
      </c>
      <c r="N404" s="17">
        <f aca="false">IF($J404="","",$J404+$K404)</f>
        <v>1986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79,480원</v>
      </c>
      <c r="P404" s="17">
        <f aca="false">IF($B$10=0,"",IFERROR(IF($B$4&gt;0,IF($L404="",1/0,$L404*$B$4),0)+IF($B$5&gt;0,IF($M404="",1/0,$M404*$B$5),0)+IF($B$6&gt;0,IF($N404="",1/0,$N404*$B$6),0),""))</f>
        <v>79480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79480</v>
      </c>
      <c r="U404" s="17">
        <f aca="false">IF($T404="","",IF($B$10=0,"",$T404/$B$10))</f>
        <v>1987</v>
      </c>
      <c r="V404" s="17">
        <f aca="false">IF($P404="","",IF($B$10=0,"",$P404/$B$10))</f>
        <v>1987</v>
      </c>
      <c r="W404" s="19">
        <f aca="false">IF($T404="",1000000000000000,$T404)</f>
        <v>79480</v>
      </c>
      <c r="XFB404" s="6"/>
      <c r="XFC404" s="3"/>
    </row>
    <row r="405" s="6" collapsed="false" customFormat="true" customHeight="true" hidden="false" ht="28.5" outlineLevel="0">
      <c r="A405" s="16">
        <f aca="false">IF($T405="","",1+COUNTIF($W$15:$W$884,"&lt;"&amp;W405))</f>
        <v>388</v>
      </c>
      <c r="B405" s="16" t="s">
        <v>14</v>
      </c>
      <c r="C405" s="16" t="s">
        <v>874</v>
      </c>
      <c r="D405" s="16" t="s">
        <v>45</v>
      </c>
      <c r="E405" s="16" t="s">
        <v>26</v>
      </c>
      <c r="F405" s="16" t="s">
        <v>875</v>
      </c>
      <c r="G405" s="17">
        <v>1987</v>
      </c>
      <c r="H405" s="17"/>
      <c r="I405" s="17"/>
      <c r="J405" s="17">
        <v>1974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1987</v>
      </c>
      <c r="M405" s="17">
        <f aca="false">IF($H405="","",$H405+$K405)</f>
        <v/>
      </c>
      <c r="N405" s="17">
        <f aca="false">IF($J405="","",$J405+$K405)</f>
        <v>1974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79,480원</v>
      </c>
      <c r="P405" s="17">
        <f aca="false">IF($B$10=0,"",IFERROR(IF($B$4&gt;0,IF($L405="",1/0,$L405*$B$4),0)+IF($B$5&gt;0,IF($M405="",1/0,$M405*$B$5),0)+IF($B$6&gt;0,IF($N405="",1/0,$N405*$B$6),0),""))</f>
        <v>79480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79480</v>
      </c>
      <c r="U405" s="17">
        <f aca="false">IF($T405="","",IF($B$10=0,"",$T405/$B$10))</f>
        <v>1987</v>
      </c>
      <c r="V405" s="17">
        <f aca="false">IF($P405="","",IF($B$10=0,"",$P405/$B$10))</f>
        <v>1987</v>
      </c>
      <c r="W405" s="19">
        <f aca="false">IF($T405="",1000000000000000,$T405)</f>
        <v>79480</v>
      </c>
      <c r="XFC405" s="3"/>
    </row>
    <row r="406" s="5" collapsed="false" customFormat="true" customHeight="true" hidden="false" ht="28.5" outlineLevel="0">
      <c r="A406" s="16">
        <f aca="false">IF($T406="","",1+COUNTIF($W$15:$W$884,"&lt;"&amp;W406))</f>
        <v>388</v>
      </c>
      <c r="B406" s="16" t="s">
        <v>6</v>
      </c>
      <c r="C406" s="16" t="s">
        <v>816</v>
      </c>
      <c r="D406" s="16" t="s">
        <v>64</v>
      </c>
      <c r="E406" s="16" t="s">
        <v>26</v>
      </c>
      <c r="F406" s="16" t="s">
        <v>817</v>
      </c>
      <c r="G406" s="17">
        <v>1987</v>
      </c>
      <c r="H406" s="17"/>
      <c r="I406" s="17"/>
      <c r="J406" s="17">
        <v>1977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1987</v>
      </c>
      <c r="M406" s="17">
        <f aca="false">IF($H406="","",$H406+$K406)</f>
        <v/>
      </c>
      <c r="N406" s="17">
        <f aca="false">IF($J406="","",$J406+$K406)</f>
        <v>1977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79,480원</v>
      </c>
      <c r="P406" s="17">
        <f aca="false">IF($B$10=0,"",IFERROR(IF($B$4&gt;0,IF($L406="",1/0,$L406*$B$4),0)+IF($B$5&gt;0,IF($M406="",1/0,$M406*$B$5),0)+IF($B$6&gt;0,IF($N406="",1/0,$N406*$B$6),0),""))</f>
        <v>79480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79480</v>
      </c>
      <c r="U406" s="17">
        <f aca="false">IF($T406="","",IF($B$10=0,"",$T406/$B$10))</f>
        <v>1987</v>
      </c>
      <c r="V406" s="17">
        <f aca="false">IF($P406="","",IF($B$10=0,"",$P406/$B$10))</f>
        <v>1987</v>
      </c>
      <c r="W406" s="19">
        <f aca="false">IF($T406="",1000000000000000,$T406)</f>
        <v>79480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IF($T407="","",1+COUNTIF($W$15:$W$884,"&lt;"&amp;W407))</f>
        <v>388</v>
      </c>
      <c r="B407" s="16" t="s">
        <v>6</v>
      </c>
      <c r="C407" s="16" t="s">
        <v>818</v>
      </c>
      <c r="D407" s="16" t="s">
        <v>45</v>
      </c>
      <c r="E407" s="16" t="s">
        <v>26</v>
      </c>
      <c r="F407" s="16" t="s">
        <v>819</v>
      </c>
      <c r="G407" s="17">
        <v>1987</v>
      </c>
      <c r="H407" s="17"/>
      <c r="I407" s="17"/>
      <c r="J407" s="17">
        <v>1985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1987</v>
      </c>
      <c r="M407" s="17">
        <f aca="false">IF($H407="","",$H407+$K407)</f>
        <v/>
      </c>
      <c r="N407" s="17">
        <f aca="false">IF($J407="","",$J407+$K407)</f>
        <v>1985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79,480원</v>
      </c>
      <c r="P407" s="17">
        <f aca="false">IF($B$10=0,"",IFERROR(IF($B$4&gt;0,IF($L407="",1/0,$L407*$B$4),0)+IF($B$5&gt;0,IF($M407="",1/0,$M407*$B$5),0)+IF($B$6&gt;0,IF($N407="",1/0,$N407*$B$6),0),""))</f>
        <v>79480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79480</v>
      </c>
      <c r="U407" s="17">
        <f aca="false">IF($T407="","",IF($B$10=0,"",$T407/$B$10))</f>
        <v>1987</v>
      </c>
      <c r="V407" s="17">
        <f aca="false">IF($P407="","",IF($B$10=0,"",$P407/$B$10))</f>
        <v>1987</v>
      </c>
      <c r="W407" s="19">
        <f aca="false">IF($T407="",1000000000000000,$T407)</f>
        <v>79480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IF($T408="","",1+COUNTIF($W$15:$W$884,"&lt;"&amp;W408))</f>
        <v>388</v>
      </c>
      <c r="B408" s="16" t="s">
        <v>18</v>
      </c>
      <c r="C408" s="16" t="s">
        <v>483</v>
      </c>
      <c r="D408" s="16" t="s">
        <v>64</v>
      </c>
      <c r="E408" s="16" t="s">
        <v>26</v>
      </c>
      <c r="F408" s="16" t="s">
        <v>822</v>
      </c>
      <c r="G408" s="17">
        <v>1987</v>
      </c>
      <c r="H408" s="17"/>
      <c r="I408" s="17"/>
      <c r="J408" s="17">
        <v>1987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1987</v>
      </c>
      <c r="M408" s="17">
        <f aca="false">IF($H408="","",$H408+$K408)</f>
        <v/>
      </c>
      <c r="N408" s="17">
        <f aca="false">IF($J408="","",$J408+$K408)</f>
        <v>1987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79,480원</v>
      </c>
      <c r="P408" s="17">
        <f aca="false">IF($B$10=0,"",IFERROR(IF($B$4&gt;0,IF($L408="",1/0,$L408*$B$4),0)+IF($B$5&gt;0,IF($M408="",1/0,$M408*$B$5),0)+IF($B$6&gt;0,IF($N408="",1/0,$N408*$B$6),0),""))</f>
        <v>79480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79480</v>
      </c>
      <c r="U408" s="17">
        <f aca="false">IF($T408="","",IF($B$10=0,"",$T408/$B$10))</f>
        <v>1987</v>
      </c>
      <c r="V408" s="17">
        <f aca="false">IF($P408="","",IF($B$10=0,"",$P408/$B$10))</f>
        <v>1987</v>
      </c>
      <c r="W408" s="19">
        <f aca="false">IF($T408="",1000000000000000,$T408)</f>
        <v>79480</v>
      </c>
      <c r="XFB408" s="6"/>
      <c r="XFC408" s="3"/>
    </row>
    <row r="409" s="6" collapsed="false" customFormat="true" customHeight="true" hidden="false" ht="28.5" outlineLevel="0">
      <c r="A409" s="16">
        <f aca="false">IF($T409="","",1+COUNTIF($W$15:$W$884,"&lt;"&amp;W409))</f>
        <v>388</v>
      </c>
      <c r="B409" s="16" t="s">
        <v>10</v>
      </c>
      <c r="C409" s="16" t="s">
        <v>823</v>
      </c>
      <c r="D409" s="16" t="s">
        <v>122</v>
      </c>
      <c r="E409" s="16" t="s">
        <v>26</v>
      </c>
      <c r="F409" s="16" t="s">
        <v>824</v>
      </c>
      <c r="G409" s="17">
        <v>1987</v>
      </c>
      <c r="H409" s="17"/>
      <c r="I409" s="17"/>
      <c r="J409" s="17">
        <v>1987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1987</v>
      </c>
      <c r="M409" s="17">
        <f aca="false">IF($H409="","",$H409+$K409)</f>
        <v/>
      </c>
      <c r="N409" s="17">
        <f aca="false">IF($J409="","",$J409+$K409)</f>
        <v>1987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79,480원</v>
      </c>
      <c r="P409" s="17">
        <f aca="false">IF($B$10=0,"",IFERROR(IF($B$4&gt;0,IF($L409="",1/0,$L409*$B$4),0)+IF($B$5&gt;0,IF($M409="",1/0,$M409*$B$5),0)+IF($B$6&gt;0,IF($N409="",1/0,$N409*$B$6),0),""))</f>
        <v>79480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79480</v>
      </c>
      <c r="U409" s="17">
        <f aca="false">IF($T409="","",IF($B$10=0,"",$T409/$B$10))</f>
        <v>1987</v>
      </c>
      <c r="V409" s="17">
        <f aca="false">IF($P409="","",IF($B$10=0,"",$P409/$B$10))</f>
        <v>1987</v>
      </c>
      <c r="W409" s="19">
        <f aca="false">IF($T409="",1000000000000000,$T409)</f>
        <v>79480</v>
      </c>
      <c r="XFC409" s="3"/>
    </row>
    <row r="410" s="5" collapsed="false" customFormat="true" customHeight="true" hidden="false" ht="28.5" outlineLevel="0">
      <c r="A410" s="16">
        <f aca="false">IF($T410="","",1+COUNTIF($W$15:$W$884,"&lt;"&amp;W410))</f>
        <v>396</v>
      </c>
      <c r="B410" s="16" t="s">
        <v>14</v>
      </c>
      <c r="C410" s="16" t="s">
        <v>826</v>
      </c>
      <c r="D410" s="16" t="s">
        <v>64</v>
      </c>
      <c r="E410" s="16" t="s">
        <v>26</v>
      </c>
      <c r="F410" s="16" t="s">
        <v>827</v>
      </c>
      <c r="G410" s="17">
        <v>1988</v>
      </c>
      <c r="H410" s="17"/>
      <c r="I410" s="17"/>
      <c r="J410" s="17">
        <v>1977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1988</v>
      </c>
      <c r="M410" s="17">
        <f aca="false">IF($H410="","",$H410+$K410)</f>
        <v/>
      </c>
      <c r="N410" s="17">
        <f aca="false">IF($J410="","",$J410+$K410)</f>
        <v>1977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79,520원</v>
      </c>
      <c r="P410" s="17">
        <f aca="false">IF($B$10=0,"",IFERROR(IF($B$4&gt;0,IF($L410="",1/0,$L410*$B$4),0)+IF($B$5&gt;0,IF($M410="",1/0,$M410*$B$5),0)+IF($B$6&gt;0,IF($N410="",1/0,$N410*$B$6),0),""))</f>
        <v>79520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79520</v>
      </c>
      <c r="U410" s="17">
        <f aca="false">IF($T410="","",IF($B$10=0,"",$T410/$B$10))</f>
        <v>1988</v>
      </c>
      <c r="V410" s="17">
        <f aca="false">IF($P410="","",IF($B$10=0,"",$P410/$B$10))</f>
        <v>1988</v>
      </c>
      <c r="W410" s="19">
        <f aca="false">IF($T410="",1000000000000000,$T410)</f>
        <v>79520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IF($T411="","",1+COUNTIF($W$15:$W$884,"&lt;"&amp;W411))</f>
        <v>396</v>
      </c>
      <c r="B411" s="16" t="s">
        <v>14</v>
      </c>
      <c r="C411" s="16" t="s">
        <v>132</v>
      </c>
      <c r="D411" s="16" t="s">
        <v>45</v>
      </c>
      <c r="E411" s="16" t="s">
        <v>26</v>
      </c>
      <c r="F411" s="16" t="s">
        <v>1767</v>
      </c>
      <c r="G411" s="17">
        <v>1988</v>
      </c>
      <c r="H411" s="17"/>
      <c r="I411" s="17"/>
      <c r="J411" s="17">
        <v>1977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1988</v>
      </c>
      <c r="M411" s="17">
        <f aca="false">IF($H411="","",$H411+$K411)</f>
        <v/>
      </c>
      <c r="N411" s="17">
        <f aca="false">IF($J411="","",$J411+$K411)</f>
        <v>1977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79,520원</v>
      </c>
      <c r="P411" s="17">
        <f aca="false">IF($B$10=0,"",IFERROR(IF($B$4&gt;0,IF($L411="",1/0,$L411*$B$4),0)+IF($B$5&gt;0,IF($M411="",1/0,$M411*$B$5),0)+IF($B$6&gt;0,IF($N411="",1/0,$N411*$B$6),0),""))</f>
        <v>79520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79520</v>
      </c>
      <c r="U411" s="17">
        <f aca="false">IF($T411="","",IF($B$10=0,"",$T411/$B$10))</f>
        <v>1988</v>
      </c>
      <c r="V411" s="17">
        <f aca="false">IF($P411="","",IF($B$10=0,"",$P411/$B$10))</f>
        <v>1988</v>
      </c>
      <c r="W411" s="19">
        <f aca="false">IF($T411="",1000000000000000,$T411)</f>
        <v>79520</v>
      </c>
      <c r="XFB411" s="6"/>
      <c r="XFC411" s="3"/>
    </row>
    <row r="412" s="6" collapsed="false" customFormat="true" customHeight="true" hidden="false" ht="28.5" outlineLevel="0">
      <c r="A412" s="16">
        <f aca="false">IF($T412="","",1+COUNTIF($W$15:$W$884,"&lt;"&amp;W412))</f>
        <v>396</v>
      </c>
      <c r="B412" s="16" t="s">
        <v>14</v>
      </c>
      <c r="C412" s="16" t="s">
        <v>828</v>
      </c>
      <c r="D412" s="16" t="s">
        <v>45</v>
      </c>
      <c r="E412" s="16" t="s">
        <v>26</v>
      </c>
      <c r="F412" s="16" t="s">
        <v>829</v>
      </c>
      <c r="G412" s="17">
        <v>1988</v>
      </c>
      <c r="H412" s="17"/>
      <c r="I412" s="17"/>
      <c r="J412" s="17">
        <v>1977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1988</v>
      </c>
      <c r="M412" s="17">
        <f aca="false">IF($H412="","",$H412+$K412)</f>
        <v/>
      </c>
      <c r="N412" s="17">
        <f aca="false">IF($J412="","",$J412+$K412)</f>
        <v>1977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79,520원</v>
      </c>
      <c r="P412" s="17">
        <f aca="false">IF($B$10=0,"",IFERROR(IF($B$4&gt;0,IF($L412="",1/0,$L412*$B$4),0)+IF($B$5&gt;0,IF($M412="",1/0,$M412*$B$5),0)+IF($B$6&gt;0,IF($N412="",1/0,$N412*$B$6),0),""))</f>
        <v>79520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79520</v>
      </c>
      <c r="U412" s="17">
        <f aca="false">IF($T412="","",IF($B$10=0,"",$T412/$B$10))</f>
        <v>1988</v>
      </c>
      <c r="V412" s="17">
        <f aca="false">IF($P412="","",IF($B$10=0,"",$P412/$B$10))</f>
        <v>1988</v>
      </c>
      <c r="W412" s="19">
        <f aca="false">IF($T412="",1000000000000000,$T412)</f>
        <v>79520</v>
      </c>
      <c r="XFC412" s="3"/>
    </row>
    <row r="413" s="6" collapsed="false" customFormat="true" customHeight="true" hidden="false" ht="28.5" outlineLevel="0">
      <c r="A413" s="16">
        <f aca="false">IF($T413="","",1+COUNTIF($W$15:$W$884,"&lt;"&amp;W413))</f>
        <v>396</v>
      </c>
      <c r="B413" s="16" t="s">
        <v>10</v>
      </c>
      <c r="C413" s="16" t="s">
        <v>830</v>
      </c>
      <c r="D413" s="16" t="s">
        <v>122</v>
      </c>
      <c r="E413" s="16" t="s">
        <v>26</v>
      </c>
      <c r="F413" s="16" t="s">
        <v>831</v>
      </c>
      <c r="G413" s="17">
        <v>1988</v>
      </c>
      <c r="H413" s="17"/>
      <c r="I413" s="17"/>
      <c r="J413" s="17">
        <v>1977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1988</v>
      </c>
      <c r="M413" s="17">
        <f aca="false">IF($H413="","",$H413+$K413)</f>
        <v/>
      </c>
      <c r="N413" s="17">
        <f aca="false">IF($J413="","",$J413+$K413)</f>
        <v>1977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79,520원</v>
      </c>
      <c r="P413" s="17">
        <f aca="false">IF($B$10=0,"",IFERROR(IF($B$4&gt;0,IF($L413="",1/0,$L413*$B$4),0)+IF($B$5&gt;0,IF($M413="",1/0,$M413*$B$5),0)+IF($B$6&gt;0,IF($N413="",1/0,$N413*$B$6),0),""))</f>
        <v>79520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79520</v>
      </c>
      <c r="U413" s="17">
        <f aca="false">IF($T413="","",IF($B$10=0,"",$T413/$B$10))</f>
        <v>1988</v>
      </c>
      <c r="V413" s="17">
        <f aca="false">IF($P413="","",IF($B$10=0,"",$P413/$B$10))</f>
        <v>1988</v>
      </c>
      <c r="W413" s="19">
        <f aca="false">IF($T413="",1000000000000000,$T413)</f>
        <v>79520</v>
      </c>
      <c r="XFC413" s="3"/>
    </row>
    <row r="414" s="6" collapsed="false" customFormat="true" customHeight="true" hidden="false" ht="28.5" outlineLevel="0">
      <c r="A414" s="16">
        <f aca="false">IF($T414="","",1+COUNTIF($W$15:$W$884,"&lt;"&amp;W414))</f>
        <v>396</v>
      </c>
      <c r="B414" s="16" t="s">
        <v>18</v>
      </c>
      <c r="C414" s="16" t="s">
        <v>832</v>
      </c>
      <c r="D414" s="21" t="s">
        <v>45</v>
      </c>
      <c r="E414" s="16" t="s">
        <v>26</v>
      </c>
      <c r="F414" s="16" t="s">
        <v>833</v>
      </c>
      <c r="G414" s="17">
        <v>1988</v>
      </c>
      <c r="H414" s="17"/>
      <c r="I414" s="17"/>
      <c r="J414" s="17">
        <v>1978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1988</v>
      </c>
      <c r="M414" s="17">
        <f aca="false">IF($H414="","",$H414+$K414)</f>
        <v/>
      </c>
      <c r="N414" s="17">
        <f aca="false">IF($J414="","",$J414+$K414)</f>
        <v>1978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79,520원</v>
      </c>
      <c r="P414" s="17">
        <f aca="false">IF($B$10=0,"",IFERROR(IF($B$4&gt;0,IF($L414="",1/0,$L414*$B$4),0)+IF($B$5&gt;0,IF($M414="",1/0,$M414*$B$5),0)+IF($B$6&gt;0,IF($N414="",1/0,$N414*$B$6),0),""))</f>
        <v>79520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79520</v>
      </c>
      <c r="U414" s="17">
        <f aca="false">IF($T414="","",IF($B$10=0,"",$T414/$B$10))</f>
        <v>1988</v>
      </c>
      <c r="V414" s="17">
        <f aca="false">IF($P414="","",IF($B$10=0,"",$P414/$B$10))</f>
        <v>1988</v>
      </c>
      <c r="W414" s="19">
        <f aca="false">IF($T414="",1000000000000000,$T414)</f>
        <v>79520</v>
      </c>
      <c r="XFC414" s="3"/>
    </row>
    <row r="415" s="6" collapsed="false" customFormat="true" customHeight="true" hidden="false" ht="28.5" outlineLevel="0">
      <c r="A415" s="16">
        <f aca="false">IF($T415="","",1+COUNTIF($W$15:$W$884,"&lt;"&amp;W415))</f>
        <v>396</v>
      </c>
      <c r="B415" s="16" t="s">
        <v>6</v>
      </c>
      <c r="C415" s="16" t="s">
        <v>834</v>
      </c>
      <c r="D415" s="20" t="s">
        <v>54</v>
      </c>
      <c r="E415" s="16" t="s">
        <v>26</v>
      </c>
      <c r="F415" s="16" t="s">
        <v>835</v>
      </c>
      <c r="G415" s="17">
        <v>1988</v>
      </c>
      <c r="H415" s="17"/>
      <c r="I415" s="17"/>
      <c r="J415" s="17">
        <v>1978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1988</v>
      </c>
      <c r="M415" s="17">
        <f aca="false">IF($H415="","",$H415+$K415)</f>
        <v/>
      </c>
      <c r="N415" s="17">
        <f aca="false">IF($J415="","",$J415+$K415)</f>
        <v>1978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79,520원</v>
      </c>
      <c r="P415" s="17">
        <f aca="false">IF($B$10=0,"",IFERROR(IF($B$4&gt;0,IF($L415="",1/0,$L415*$B$4),0)+IF($B$5&gt;0,IF($M415="",1/0,$M415*$B$5),0)+IF($B$6&gt;0,IF($N415="",1/0,$N415*$B$6),0),""))</f>
        <v>79520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79520</v>
      </c>
      <c r="U415" s="17">
        <f aca="false">IF($T415="","",IF($B$10=0,"",$T415/$B$10))</f>
        <v>1988</v>
      </c>
      <c r="V415" s="17">
        <f aca="false">IF($P415="","",IF($B$10=0,"",$P415/$B$10))</f>
        <v>1988</v>
      </c>
      <c r="W415" s="19">
        <f aca="false">IF($T415="",1000000000000000,$T415)</f>
        <v>79520</v>
      </c>
      <c r="XFC415" s="3"/>
    </row>
    <row r="416" s="6" collapsed="false" customFormat="true" customHeight="true" hidden="false" ht="28.5" outlineLevel="0">
      <c r="A416" s="16">
        <f aca="false">IF($T416="","",1+COUNTIF($W$15:$W$884,"&lt;"&amp;W416))</f>
        <v>396</v>
      </c>
      <c r="B416" s="16" t="s">
        <v>6</v>
      </c>
      <c r="C416" s="16" t="s">
        <v>836</v>
      </c>
      <c r="D416" s="21" t="s">
        <v>57</v>
      </c>
      <c r="E416" s="16" t="s">
        <v>26</v>
      </c>
      <c r="F416" s="16" t="s">
        <v>837</v>
      </c>
      <c r="G416" s="17">
        <v>1988</v>
      </c>
      <c r="H416" s="17"/>
      <c r="I416" s="17"/>
      <c r="J416" s="17">
        <v>1978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1988</v>
      </c>
      <c r="M416" s="17">
        <f aca="false">IF($H416="","",$H416+$K416)</f>
        <v/>
      </c>
      <c r="N416" s="17">
        <f aca="false">IF($J416="","",$J416+$K416)</f>
        <v>1978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79,520원</v>
      </c>
      <c r="P416" s="17">
        <f aca="false">IF($B$10=0,"",IFERROR(IF($B$4&gt;0,IF($L416="",1/0,$L416*$B$4),0)+IF($B$5&gt;0,IF($M416="",1/0,$M416*$B$5),0)+IF($B$6&gt;0,IF($N416="",1/0,$N416*$B$6),0),""))</f>
        <v>79520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79520</v>
      </c>
      <c r="U416" s="17">
        <f aca="false">IF($T416="","",IF($B$10=0,"",$T416/$B$10))</f>
        <v>1988</v>
      </c>
      <c r="V416" s="17">
        <f aca="false">IF($P416="","",IF($B$10=0,"",$P416/$B$10))</f>
        <v>1988</v>
      </c>
      <c r="W416" s="19">
        <f aca="false">IF($T416="",1000000000000000,$T416)</f>
        <v>79520</v>
      </c>
      <c r="XFC416" s="3"/>
    </row>
    <row r="417" s="5" collapsed="false" customFormat="true" customHeight="true" hidden="false" ht="28.5" outlineLevel="0">
      <c r="A417" s="16">
        <f aca="false">IF($T417="","",1+COUNTIF($W$15:$W$884,"&lt;"&amp;W417))</f>
        <v>396</v>
      </c>
      <c r="B417" s="16" t="s">
        <v>14</v>
      </c>
      <c r="C417" s="16" t="s">
        <v>838</v>
      </c>
      <c r="D417" s="21" t="s">
        <v>57</v>
      </c>
      <c r="E417" s="16" t="s">
        <v>26</v>
      </c>
      <c r="F417" s="16" t="s">
        <v>839</v>
      </c>
      <c r="G417" s="17">
        <v>1988</v>
      </c>
      <c r="H417" s="17"/>
      <c r="I417" s="17"/>
      <c r="J417" s="17">
        <v>1978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1988</v>
      </c>
      <c r="M417" s="17">
        <f aca="false">IF($H417="","",$H417+$K417)</f>
        <v/>
      </c>
      <c r="N417" s="17">
        <f aca="false">IF($J417="","",$J417+$K417)</f>
        <v>1978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79,520원</v>
      </c>
      <c r="P417" s="17">
        <f aca="false">IF($B$10=0,"",IFERROR(IF($B$4&gt;0,IF($L417="",1/0,$L417*$B$4),0)+IF($B$5&gt;0,IF($M417="",1/0,$M417*$B$5),0)+IF($B$6&gt;0,IF($N417="",1/0,$N417*$B$6),0),""))</f>
        <v>79520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79520</v>
      </c>
      <c r="U417" s="17">
        <f aca="false">IF($T417="","",IF($B$10=0,"",$T417/$B$10))</f>
        <v>1988</v>
      </c>
      <c r="V417" s="17">
        <f aca="false">IF($P417="","",IF($B$10=0,"",$P417/$B$10))</f>
        <v>1988</v>
      </c>
      <c r="W417" s="19">
        <f aca="false">IF($T417="",1000000000000000,$T417)</f>
        <v>79520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IF($T418="","",1+COUNTIF($W$15:$W$884,"&lt;"&amp;W418))</f>
        <v>396</v>
      </c>
      <c r="B418" s="16" t="s">
        <v>10</v>
      </c>
      <c r="C418" s="16" t="s">
        <v>840</v>
      </c>
      <c r="D418" s="20" t="s">
        <v>54</v>
      </c>
      <c r="E418" s="16" t="s">
        <v>26</v>
      </c>
      <c r="F418" s="16" t="s">
        <v>841</v>
      </c>
      <c r="G418" s="17">
        <v>1988</v>
      </c>
      <c r="H418" s="17"/>
      <c r="I418" s="17"/>
      <c r="J418" s="17">
        <v>1978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1988</v>
      </c>
      <c r="M418" s="17">
        <f aca="false">IF($H418="","",$H418+$K418)</f>
        <v/>
      </c>
      <c r="N418" s="17">
        <f aca="false">IF($J418="","",$J418+$K418)</f>
        <v>1978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79,520원</v>
      </c>
      <c r="P418" s="17">
        <f aca="false">IF($B$10=0,"",IFERROR(IF($B$4&gt;0,IF($L418="",1/0,$L418*$B$4),0)+IF($B$5&gt;0,IF($M418="",1/0,$M418*$B$5),0)+IF($B$6&gt;0,IF($N418="",1/0,$N418*$B$6),0),""))</f>
        <v>79520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79520</v>
      </c>
      <c r="U418" s="17">
        <f aca="false">IF($T418="","",IF($B$10=0,"",$T418/$B$10))</f>
        <v>1988</v>
      </c>
      <c r="V418" s="17">
        <f aca="false">IF($P418="","",IF($B$10=0,"",$P418/$B$10))</f>
        <v>1988</v>
      </c>
      <c r="W418" s="19">
        <f aca="false">IF($T418="",1000000000000000,$T418)</f>
        <v>79520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IF($T419="","",1+COUNTIF($W$15:$W$884,"&lt;"&amp;W419))</f>
        <v>396</v>
      </c>
      <c r="B419" s="16" t="s">
        <v>12</v>
      </c>
      <c r="C419" s="16" t="s">
        <v>842</v>
      </c>
      <c r="D419" s="21" t="s">
        <v>176</v>
      </c>
      <c r="E419" s="16" t="s">
        <v>26</v>
      </c>
      <c r="F419" s="16" t="s">
        <v>843</v>
      </c>
      <c r="G419" s="17">
        <v>1988</v>
      </c>
      <c r="H419" s="17"/>
      <c r="I419" s="17"/>
      <c r="J419" s="17">
        <v>1983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1988</v>
      </c>
      <c r="M419" s="17">
        <f aca="false">IF($H419="","",$H419+$K419)</f>
        <v/>
      </c>
      <c r="N419" s="17">
        <f aca="false">IF($J419="","",$J419+$K419)</f>
        <v>1983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79,520원</v>
      </c>
      <c r="P419" s="17">
        <f aca="false">IF($B$10=0,"",IFERROR(IF($B$4&gt;0,IF($L419="",1/0,$L419*$B$4),0)+IF($B$5&gt;0,IF($M419="",1/0,$M419*$B$5),0)+IF($B$6&gt;0,IF($N419="",1/0,$N419*$B$6),0),""))</f>
        <v>79520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79520</v>
      </c>
      <c r="U419" s="17">
        <f aca="false">IF($T419="","",IF($B$10=0,"",$T419/$B$10))</f>
        <v>1988</v>
      </c>
      <c r="V419" s="17">
        <f aca="false">IF($P419="","",IF($B$10=0,"",$P419/$B$10))</f>
        <v>1988</v>
      </c>
      <c r="W419" s="19">
        <f aca="false">IF($T419="",1000000000000000,$T419)</f>
        <v>79520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IF($T420="","",1+COUNTIF($W$15:$W$884,"&lt;"&amp;W420))</f>
        <v>396</v>
      </c>
      <c r="B420" s="16" t="s">
        <v>8</v>
      </c>
      <c r="C420" s="16" t="s">
        <v>846</v>
      </c>
      <c r="D420" s="16" t="s">
        <v>122</v>
      </c>
      <c r="E420" s="16" t="s">
        <v>26</v>
      </c>
      <c r="F420" s="16" t="s">
        <v>847</v>
      </c>
      <c r="G420" s="17">
        <v>1988</v>
      </c>
      <c r="H420" s="17"/>
      <c r="I420" s="17"/>
      <c r="J420" s="17">
        <v>1984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1988</v>
      </c>
      <c r="M420" s="17">
        <f aca="false">IF($H420="","",$H420+$K420)</f>
        <v/>
      </c>
      <c r="N420" s="17">
        <f aca="false">IF($J420="","",$J420+$K420)</f>
        <v>1984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79,520원</v>
      </c>
      <c r="P420" s="17">
        <f aca="false">IF($B$10=0,"",IFERROR(IF($B$4&gt;0,IF($L420="",1/0,$L420*$B$4),0)+IF($B$5&gt;0,IF($M420="",1/0,$M420*$B$5),0)+IF($B$6&gt;0,IF($N420="",1/0,$N420*$B$6),0),""))</f>
        <v>79520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79520</v>
      </c>
      <c r="U420" s="17">
        <f aca="false">IF($T420="","",IF($B$10=0,"",$T420/$B$10))</f>
        <v>1988</v>
      </c>
      <c r="V420" s="17">
        <f aca="false">IF($P420="","",IF($B$10=0,"",$P420/$B$10))</f>
        <v>1988</v>
      </c>
      <c r="W420" s="19">
        <f aca="false">IF($T420="",1000000000000000,$T420)</f>
        <v>79520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IF($T421="","",1+COUNTIF($W$15:$W$884,"&lt;"&amp;W421))</f>
        <v>396</v>
      </c>
      <c r="B421" s="16" t="s">
        <v>6</v>
      </c>
      <c r="C421" s="16" t="s">
        <v>848</v>
      </c>
      <c r="D421" s="21" t="s">
        <v>57</v>
      </c>
      <c r="E421" s="16" t="s">
        <v>26</v>
      </c>
      <c r="F421" s="16" t="s">
        <v>849</v>
      </c>
      <c r="G421" s="17">
        <v>1988</v>
      </c>
      <c r="H421" s="17"/>
      <c r="I421" s="17"/>
      <c r="J421" s="17">
        <v>1988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/>
      </c>
      <c r="N421" s="17">
        <f aca="false">IF($J421="","",$J421+$K421)</f>
        <v>1988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79,520원</v>
      </c>
      <c r="P421" s="17">
        <f aca="false">IF($B$10=0,"",IFERROR(IF($B$4&gt;0,IF($L421="",1/0,$L421*$B$4),0)+IF($B$5&gt;0,IF($M421="",1/0,$M421*$B$5),0)+IF($B$6&gt;0,IF($N421="",1/0,$N421*$B$6),0),""))</f>
        <v>79520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79520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79520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IF($T422="","",1+COUNTIF($W$15:$W$884,"&lt;"&amp;W422))</f>
        <v>396</v>
      </c>
      <c r="B422" s="16" t="s">
        <v>6</v>
      </c>
      <c r="C422" s="16" t="s">
        <v>850</v>
      </c>
      <c r="D422" s="16" t="s">
        <v>64</v>
      </c>
      <c r="E422" s="16" t="s">
        <v>26</v>
      </c>
      <c r="F422" s="16" t="s">
        <v>851</v>
      </c>
      <c r="G422" s="17">
        <v>1988</v>
      </c>
      <c r="H422" s="17"/>
      <c r="I422" s="17"/>
      <c r="J422" s="17">
        <v>1998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1988</v>
      </c>
      <c r="M422" s="17">
        <f aca="false">IF($H422="","",$H422+$K422)</f>
        <v/>
      </c>
      <c r="N422" s="17">
        <f aca="false">IF($J422="","",$J422+$K422)</f>
        <v>1998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79,520원</v>
      </c>
      <c r="P422" s="17">
        <f aca="false">IF($B$10=0,"",IFERROR(IF($B$4&gt;0,IF($L422="",1/0,$L422*$B$4),0)+IF($B$5&gt;0,IF($M422="",1/0,$M422*$B$5),0)+IF($B$6&gt;0,IF($N422="",1/0,$N422*$B$6),0),""))</f>
        <v>79520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79520</v>
      </c>
      <c r="U422" s="17">
        <f aca="false">IF($T422="","",IF($B$10=0,"",$T422/$B$10))</f>
        <v>1988</v>
      </c>
      <c r="V422" s="17">
        <f aca="false">IF($P422="","",IF($B$10=0,"",$P422/$B$10))</f>
        <v>1988</v>
      </c>
      <c r="W422" s="19">
        <f aca="false">IF($T422="",1000000000000000,$T422)</f>
        <v>79520</v>
      </c>
      <c r="XFB422" s="6"/>
      <c r="XFC422" s="3"/>
    </row>
    <row r="423" s="22" collapsed="false" customFormat="true" customHeight="true" hidden="false" ht="28.5" outlineLevel="0">
      <c r="A423" s="16">
        <f aca="false">IF($T423="","",1+COUNTIF($W$15:$W$884,"&lt;"&amp;W423))</f>
        <v>409</v>
      </c>
      <c r="B423" s="16" t="s">
        <v>8</v>
      </c>
      <c r="C423" s="16" t="s">
        <v>852</v>
      </c>
      <c r="D423" s="20" t="s">
        <v>54</v>
      </c>
      <c r="E423" s="16" t="s">
        <v>26</v>
      </c>
      <c r="F423" s="16" t="s">
        <v>853</v>
      </c>
      <c r="G423" s="17">
        <v>1989</v>
      </c>
      <c r="H423" s="17">
        <v>2379</v>
      </c>
      <c r="I423" s="17"/>
      <c r="J423" s="17">
        <v>1987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1989</v>
      </c>
      <c r="M423" s="17">
        <f aca="false">IF($H423="","",$H423+$K423)</f>
        <v>2379</v>
      </c>
      <c r="N423" s="17">
        <f aca="false">IF($J423="","",$J423+$K423)</f>
        <v>1987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79,560원</v>
      </c>
      <c r="P423" s="17">
        <f aca="false">IF($B$10=0,"",IFERROR(IF($B$4&gt;0,IF($L423="",1/0,$L423*$B$4),0)+IF($B$5&gt;0,IF($M423="",1/0,$M423*$B$5),0)+IF($B$6&gt;0,IF($N423="",1/0,$N423*$B$6),0),""))</f>
        <v>79560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79560</v>
      </c>
      <c r="U423" s="17">
        <f aca="false">IF($T423="","",IF($B$10=0,"",$T423/$B$10))</f>
        <v>1989</v>
      </c>
      <c r="V423" s="17">
        <f aca="false">IF($P423="","",IF($B$10=0,"",$P423/$B$10))</f>
        <v>1989</v>
      </c>
      <c r="W423" s="19">
        <f aca="false">IF($T423="",1000000000000000,$T423)</f>
        <v>79560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IF($T424="","",1+COUNTIF($W$15:$W$884,"&lt;"&amp;W424))</f>
        <v>409</v>
      </c>
      <c r="B424" s="16" t="s">
        <v>6</v>
      </c>
      <c r="C424" s="16" t="s">
        <v>854</v>
      </c>
      <c r="D424" s="20" t="s">
        <v>54</v>
      </c>
      <c r="E424" s="16" t="s">
        <v>51</v>
      </c>
      <c r="F424" s="16" t="s">
        <v>855</v>
      </c>
      <c r="G424" s="17">
        <v>1989</v>
      </c>
      <c r="H424" s="17">
        <v>2379</v>
      </c>
      <c r="I424" s="17"/>
      <c r="J424" s="17">
        <v>1993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1989</v>
      </c>
      <c r="M424" s="17">
        <f aca="false">IF($H424="","",$H424+$K424)</f>
        <v>2379</v>
      </c>
      <c r="N424" s="17">
        <f aca="false">IF($J424="","",$J424+$K424)</f>
        <v>1993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79,560원</v>
      </c>
      <c r="P424" s="17">
        <f aca="false">IF($B$10=0,"",IFERROR(IF($B$4&gt;0,IF($L424="",1/0,$L424*$B$4),0)+IF($B$5&gt;0,IF($M424="",1/0,$M424*$B$5),0)+IF($B$6&gt;0,IF($N424="",1/0,$N424*$B$6),0),""))</f>
        <v>79560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79560</v>
      </c>
      <c r="U424" s="17">
        <f aca="false">IF($T424="","",IF($B$10=0,"",$T424/$B$10))</f>
        <v>1989</v>
      </c>
      <c r="V424" s="17">
        <f aca="false">IF($P424="","",IF($B$10=0,"",$P424/$B$10))</f>
        <v>1989</v>
      </c>
      <c r="W424" s="19">
        <f aca="false">IF($T424="",1000000000000000,$T424)</f>
        <v>79560</v>
      </c>
      <c r="XFB424" s="6"/>
      <c r="XFC424" s="3"/>
    </row>
    <row r="425" s="22" collapsed="false" customFormat="true" customHeight="true" hidden="false" ht="28.5" outlineLevel="0">
      <c r="A425" s="16">
        <f aca="false">IF($T425="","",1+COUNTIF($W$15:$W$884,"&lt;"&amp;W425))</f>
        <v>409</v>
      </c>
      <c r="B425" s="16" t="s">
        <v>6</v>
      </c>
      <c r="C425" s="16" t="s">
        <v>856</v>
      </c>
      <c r="D425" s="16" t="s">
        <v>45</v>
      </c>
      <c r="E425" s="16" t="s">
        <v>26</v>
      </c>
      <c r="F425" s="16" t="s">
        <v>857</v>
      </c>
      <c r="G425" s="17">
        <v>1989</v>
      </c>
      <c r="H425" s="17">
        <v>2380</v>
      </c>
      <c r="I425" s="17"/>
      <c r="J425" s="17">
        <v>1980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1989</v>
      </c>
      <c r="M425" s="17">
        <f aca="false">IF($H425="","",$H425+$K425)</f>
        <v>2380</v>
      </c>
      <c r="N425" s="17">
        <f aca="false">IF($J425="","",$J425+$K425)</f>
        <v>1980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79,560원</v>
      </c>
      <c r="P425" s="17">
        <f aca="false">IF($B$10=0,"",IFERROR(IF($B$4&gt;0,IF($L425="",1/0,$L425*$B$4),0)+IF($B$5&gt;0,IF($M425="",1/0,$M425*$B$5),0)+IF($B$6&gt;0,IF($N425="",1/0,$N425*$B$6),0),""))</f>
        <v>79560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79560</v>
      </c>
      <c r="U425" s="17">
        <f aca="false">IF($T425="","",IF($B$10=0,"",$T425/$B$10))</f>
        <v>1989</v>
      </c>
      <c r="V425" s="17">
        <f aca="false">IF($P425="","",IF($B$10=0,"",$P425/$B$10))</f>
        <v>1989</v>
      </c>
      <c r="W425" s="19">
        <f aca="false">IF($T425="",1000000000000000,$T425)</f>
        <v>79560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IF($T426="","",1+COUNTIF($W$15:$W$884,"&lt;"&amp;W426))</f>
        <v>409</v>
      </c>
      <c r="B426" s="16" t="s">
        <v>14</v>
      </c>
      <c r="C426" s="16" t="s">
        <v>860</v>
      </c>
      <c r="D426" s="16" t="s">
        <v>45</v>
      </c>
      <c r="E426" s="16" t="s">
        <v>26</v>
      </c>
      <c r="F426" s="16" t="s">
        <v>861</v>
      </c>
      <c r="G426" s="17">
        <v>1989</v>
      </c>
      <c r="H426" s="17">
        <v>2397</v>
      </c>
      <c r="I426" s="17"/>
      <c r="J426" s="17">
        <v>1978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>2397</v>
      </c>
      <c r="N426" s="17">
        <f aca="false">IF($J426="","",$J426+$K426)</f>
        <v>1978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79,560원</v>
      </c>
      <c r="P426" s="17">
        <f aca="false">IF($B$10=0,"",IFERROR(IF($B$4&gt;0,IF($L426="",1/0,$L426*$B$4),0)+IF($B$5&gt;0,IF($M426="",1/0,$M426*$B$5),0)+IF($B$6&gt;0,IF($N426="",1/0,$N426*$B$6),0),""))</f>
        <v>79560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79560</v>
      </c>
      <c r="U426" s="17">
        <f aca="false">IF($T426="","",IF($B$10=0,"",$T426/$B$10))</f>
        <v>1989</v>
      </c>
      <c r="V426" s="17">
        <f aca="false">IF($P426="","",IF($B$10=0,"",$P426/$B$10))</f>
        <v>1989</v>
      </c>
      <c r="W426" s="19">
        <f aca="false">IF($T426="",1000000000000000,$T426)</f>
        <v>79560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IF($T427="","",1+COUNTIF($W$15:$W$884,"&lt;"&amp;W427))</f>
        <v>409</v>
      </c>
      <c r="B427" s="16" t="s">
        <v>6</v>
      </c>
      <c r="C427" s="16" t="s">
        <v>862</v>
      </c>
      <c r="D427" s="20" t="s">
        <v>54</v>
      </c>
      <c r="E427" s="16" t="s">
        <v>26</v>
      </c>
      <c r="F427" s="16" t="s">
        <v>863</v>
      </c>
      <c r="G427" s="17">
        <v>1989</v>
      </c>
      <c r="H427" s="17">
        <v>2398</v>
      </c>
      <c r="I427" s="17"/>
      <c r="J427" s="17">
        <v>1979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1989</v>
      </c>
      <c r="M427" s="17">
        <f aca="false">IF($H427="","",$H427+$K427)</f>
        <v>2398</v>
      </c>
      <c r="N427" s="17">
        <f aca="false">IF($J427="","",$J427+$K427)</f>
        <v>1979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79,560원</v>
      </c>
      <c r="P427" s="17">
        <f aca="false">IF($B$10=0,"",IFERROR(IF($B$4&gt;0,IF($L427="",1/0,$L427*$B$4),0)+IF($B$5&gt;0,IF($M427="",1/0,$M427*$B$5),0)+IF($B$6&gt;0,IF($N427="",1/0,$N427*$B$6),0),""))</f>
        <v>79560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79560</v>
      </c>
      <c r="U427" s="17">
        <f aca="false">IF($T427="","",IF($B$10=0,"",$T427/$B$10))</f>
        <v>1989</v>
      </c>
      <c r="V427" s="17">
        <f aca="false">IF($P427="","",IF($B$10=0,"",$P427/$B$10))</f>
        <v>1989</v>
      </c>
      <c r="W427" s="19">
        <f aca="false">IF($T427="",1000000000000000,$T427)</f>
        <v>79560</v>
      </c>
      <c r="XFB427" s="6"/>
      <c r="XFC427" s="3"/>
    </row>
    <row r="428" s="22" collapsed="false" customFormat="true" customHeight="true" hidden="false" ht="28.5" outlineLevel="0">
      <c r="A428" s="16">
        <f aca="false">IF($T428="","",1+COUNTIF($W$15:$W$884,"&lt;"&amp;W428))</f>
        <v>409</v>
      </c>
      <c r="B428" s="16" t="s">
        <v>10</v>
      </c>
      <c r="C428" s="16" t="s">
        <v>864</v>
      </c>
      <c r="D428" s="16" t="s">
        <v>64</v>
      </c>
      <c r="E428" s="16" t="s">
        <v>26</v>
      </c>
      <c r="F428" s="16" t="s">
        <v>865</v>
      </c>
      <c r="G428" s="17">
        <v>1989</v>
      </c>
      <c r="H428" s="17">
        <v>2400</v>
      </c>
      <c r="I428" s="17"/>
      <c r="J428" s="17">
        <v>1989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1989</v>
      </c>
      <c r="M428" s="17">
        <f aca="false">IF($H428="","",$H428+$K428)</f>
        <v>2400</v>
      </c>
      <c r="N428" s="17">
        <f aca="false">IF($J428="","",$J428+$K428)</f>
        <v>1989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79,560원</v>
      </c>
      <c r="P428" s="17">
        <f aca="false">IF($B$10=0,"",IFERROR(IF($B$4&gt;0,IF($L428="",1/0,$L428*$B$4),0)+IF($B$5&gt;0,IF($M428="",1/0,$M428*$B$5),0)+IF($B$6&gt;0,IF($N428="",1/0,$N428*$B$6),0),""))</f>
        <v>79560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79560</v>
      </c>
      <c r="U428" s="17">
        <f aca="false">IF($T428="","",IF($B$10=0,"",$T428/$B$10))</f>
        <v>1989</v>
      </c>
      <c r="V428" s="17">
        <f aca="false">IF($P428="","",IF($B$10=0,"",$P428/$B$10))</f>
        <v>1989</v>
      </c>
      <c r="W428" s="19">
        <f aca="false">IF($T428="",1000000000000000,$T428)</f>
        <v>79560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IF($T429="","",1+COUNTIF($W$15:$W$884,"&lt;"&amp;W429))</f>
        <v>409</v>
      </c>
      <c r="B429" s="16" t="s">
        <v>12</v>
      </c>
      <c r="C429" s="16" t="s">
        <v>858</v>
      </c>
      <c r="D429" s="21" t="s">
        <v>57</v>
      </c>
      <c r="E429" s="16" t="s">
        <v>26</v>
      </c>
      <c r="F429" s="16" t="s">
        <v>859</v>
      </c>
      <c r="G429" s="17">
        <v>1989</v>
      </c>
      <c r="H429" s="17">
        <v>2429</v>
      </c>
      <c r="I429" s="17"/>
      <c r="J429" s="17">
        <v>1979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>2429</v>
      </c>
      <c r="N429" s="17">
        <f aca="false">IF($J429="","",$J429+$K429)</f>
        <v>1979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79,560원</v>
      </c>
      <c r="P429" s="17">
        <f aca="false">IF($B$10=0,"",IFERROR(IF($B$4&gt;0,IF($L429="",1/0,$L429*$B$4),0)+IF($B$5&gt;0,IF($M429="",1/0,$M429*$B$5),0)+IF($B$6&gt;0,IF($N429="",1/0,$N429*$B$6),0),""))</f>
        <v>79560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79560</v>
      </c>
      <c r="U429" s="17">
        <f aca="false">IF($T429="","",IF($B$10=0,"",$T429/$B$10))</f>
        <v>1989</v>
      </c>
      <c r="V429" s="17">
        <f aca="false">IF($P429="","",IF($B$10=0,"",$P429/$B$10))</f>
        <v>1989</v>
      </c>
      <c r="W429" s="19">
        <f aca="false">IF($T429="",1000000000000000,$T429)</f>
        <v>79560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IF($T430="","",1+COUNTIF($W$15:$W$884,"&lt;"&amp;W430))</f>
        <v>409</v>
      </c>
      <c r="B430" s="16" t="s">
        <v>18</v>
      </c>
      <c r="C430" s="16" t="s">
        <v>866</v>
      </c>
      <c r="D430" s="20" t="s">
        <v>54</v>
      </c>
      <c r="E430" s="16" t="s">
        <v>26</v>
      </c>
      <c r="F430" s="16" t="s">
        <v>867</v>
      </c>
      <c r="G430" s="17">
        <v>1989</v>
      </c>
      <c r="H430" s="17">
        <v>2499</v>
      </c>
      <c r="I430" s="17"/>
      <c r="J430" s="17">
        <v>1979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1989</v>
      </c>
      <c r="M430" s="17">
        <f aca="false">IF($H430="","",$H430+$K430)</f>
        <v>2499</v>
      </c>
      <c r="N430" s="17">
        <f aca="false">IF($J430="","",$J430+$K430)</f>
        <v>1979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79,560원</v>
      </c>
      <c r="P430" s="17">
        <f aca="false">IF($B$10=0,"",IFERROR(IF($B$4&gt;0,IF($L430="",1/0,$L430*$B$4),0)+IF($B$5&gt;0,IF($M430="",1/0,$M430*$B$5),0)+IF($B$6&gt;0,IF($N430="",1/0,$N430*$B$6),0),""))</f>
        <v>79560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79560</v>
      </c>
      <c r="U430" s="17">
        <f aca="false">IF($T430="","",IF($B$10=0,"",$T430/$B$10))</f>
        <v>1989</v>
      </c>
      <c r="V430" s="17">
        <f aca="false">IF($P430="","",IF($B$10=0,"",$P430/$B$10))</f>
        <v>1989</v>
      </c>
      <c r="W430" s="19">
        <f aca="false">IF($T430="",1000000000000000,$T430)</f>
        <v>79560</v>
      </c>
      <c r="XFB430" s="6"/>
      <c r="XFC430" s="3"/>
    </row>
    <row r="431" s="22" collapsed="false" customFormat="true" customHeight="true" hidden="false" ht="28.5" outlineLevel="0">
      <c r="A431" s="16">
        <f aca="false">IF($T431="","",1+COUNTIF($W$15:$W$884,"&lt;"&amp;W431))</f>
        <v>409</v>
      </c>
      <c r="B431" s="16" t="s">
        <v>12</v>
      </c>
      <c r="C431" s="16" t="s">
        <v>868</v>
      </c>
      <c r="D431" s="21" t="s">
        <v>57</v>
      </c>
      <c r="E431" s="16" t="s">
        <v>26</v>
      </c>
      <c r="F431" s="16" t="s">
        <v>869</v>
      </c>
      <c r="G431" s="17">
        <v>1989</v>
      </c>
      <c r="H431" s="17"/>
      <c r="I431" s="17"/>
      <c r="J431" s="17">
        <v>1969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1989</v>
      </c>
      <c r="M431" s="17">
        <f aca="false">IF($H431="","",$H431+$K431)</f>
        <v/>
      </c>
      <c r="N431" s="17">
        <f aca="false">IF($J431="","",$J431+$K431)</f>
        <v>1969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79,560원</v>
      </c>
      <c r="P431" s="17">
        <f aca="false">IF($B$10=0,"",IFERROR(IF($B$4&gt;0,IF($L431="",1/0,$L431*$B$4),0)+IF($B$5&gt;0,IF($M431="",1/0,$M431*$B$5),0)+IF($B$6&gt;0,IF($N431="",1/0,$N431*$B$6),0),""))</f>
        <v>79560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79560</v>
      </c>
      <c r="U431" s="17">
        <f aca="false">IF($T431="","",IF($B$10=0,"",$T431/$B$10))</f>
        <v>1989</v>
      </c>
      <c r="V431" s="17">
        <f aca="false">IF($P431="","",IF($B$10=0,"",$P431/$B$10))</f>
        <v>1989</v>
      </c>
      <c r="W431" s="19">
        <f aca="false">IF($T431="",1000000000000000,$T431)</f>
        <v>79560</v>
      </c>
      <c r="XFB431" s="6"/>
      <c r="XFC431" s="3"/>
    </row>
    <row r="432" s="6" collapsed="false" customFormat="true" customHeight="true" hidden="false" ht="28.5" outlineLevel="0">
      <c r="A432" s="16">
        <f aca="false">IF($T432="","",1+COUNTIF($W$15:$W$884,"&lt;"&amp;W432))</f>
        <v>409</v>
      </c>
      <c r="B432" s="16" t="s">
        <v>6</v>
      </c>
      <c r="C432" s="16" t="s">
        <v>870</v>
      </c>
      <c r="D432" s="20" t="s">
        <v>54</v>
      </c>
      <c r="E432" s="16" t="s">
        <v>26</v>
      </c>
      <c r="F432" s="16" t="s">
        <v>871</v>
      </c>
      <c r="G432" s="17">
        <v>1989</v>
      </c>
      <c r="H432" s="17"/>
      <c r="I432" s="17"/>
      <c r="J432" s="17">
        <v>1975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1975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79,560원</v>
      </c>
      <c r="P432" s="17">
        <f aca="false">IF($B$10=0,"",IFERROR(IF($B$4&gt;0,IF($L432="",1/0,$L432*$B$4),0)+IF($B$5&gt;0,IF($M432="",1/0,$M432*$B$5),0)+IF($B$6&gt;0,IF($N432="",1/0,$N432*$B$6),0),""))</f>
        <v>79560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79560</v>
      </c>
      <c r="U432" s="17">
        <f aca="false">IF($T432="","",IF($B$10=0,"",$T432/$B$10))</f>
        <v>1989</v>
      </c>
      <c r="V432" s="17">
        <f aca="false">IF($P432="","",IF($B$10=0,"",$P432/$B$10))</f>
        <v>1989</v>
      </c>
      <c r="W432" s="19">
        <f aca="false">IF($T432="",1000000000000000,$T432)</f>
        <v>79560</v>
      </c>
      <c r="XFC432" s="3"/>
    </row>
    <row r="433" s="5" collapsed="false" customFormat="true" customHeight="true" hidden="false" ht="28.5" outlineLevel="0">
      <c r="A433" s="16">
        <f aca="false">IF($T433="","",1+COUNTIF($W$15:$W$884,"&lt;"&amp;W433))</f>
        <v>409</v>
      </c>
      <c r="B433" s="16" t="s">
        <v>12</v>
      </c>
      <c r="C433" s="16" t="s">
        <v>872</v>
      </c>
      <c r="D433" s="21" t="s">
        <v>57</v>
      </c>
      <c r="E433" s="16" t="s">
        <v>26</v>
      </c>
      <c r="F433" s="16" t="s">
        <v>873</v>
      </c>
      <c r="G433" s="17">
        <v>1989</v>
      </c>
      <c r="H433" s="17"/>
      <c r="I433" s="17"/>
      <c r="J433" s="17">
        <v>1977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/>
      </c>
      <c r="N433" s="17">
        <f aca="false">IF($J433="","",$J433+$K433)</f>
        <v>1977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79,560원</v>
      </c>
      <c r="P433" s="17">
        <f aca="false">IF($B$10=0,"",IFERROR(IF($B$4&gt;0,IF($L433="",1/0,$L433*$B$4),0)+IF($B$5&gt;0,IF($M433="",1/0,$M433*$B$5),0)+IF($B$6&gt;0,IF($N433="",1/0,$N433*$B$6),0),""))</f>
        <v>79560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79560</v>
      </c>
      <c r="U433" s="17">
        <f aca="false">IF($T433="","",IF($B$10=0,"",$T433/$B$10))</f>
        <v>1989</v>
      </c>
      <c r="V433" s="17">
        <f aca="false">IF($P433="","",IF($B$10=0,"",$P433/$B$10))</f>
        <v>1989</v>
      </c>
      <c r="W433" s="19">
        <f aca="false">IF($T433="",1000000000000000,$T433)</f>
        <v>79560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IF($T434="","",1+COUNTIF($W$15:$W$884,"&lt;"&amp;W434))</f>
        <v>409</v>
      </c>
      <c r="B434" s="16" t="s">
        <v>18</v>
      </c>
      <c r="C434" s="16" t="s">
        <v>876</v>
      </c>
      <c r="D434" s="16" t="s">
        <v>45</v>
      </c>
      <c r="E434" s="16" t="s">
        <v>26</v>
      </c>
      <c r="F434" s="16" t="s">
        <v>877</v>
      </c>
      <c r="G434" s="17">
        <v>1989</v>
      </c>
      <c r="H434" s="17"/>
      <c r="I434" s="17"/>
      <c r="J434" s="17">
        <v>1979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1979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79,560원</v>
      </c>
      <c r="P434" s="17">
        <f aca="false">IF($B$10=0,"",IFERROR(IF($B$4&gt;0,IF($L434="",1/0,$L434*$B$4),0)+IF($B$5&gt;0,IF($M434="",1/0,$M434*$B$5),0)+IF($B$6&gt;0,IF($N434="",1/0,$N434*$B$6),0),""))</f>
        <v>79560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79560</v>
      </c>
      <c r="U434" s="17">
        <f aca="false">IF($T434="","",IF($B$10=0,"",$T434/$B$10))</f>
        <v>1989</v>
      </c>
      <c r="V434" s="17">
        <f aca="false">IF($P434="","",IF($B$10=0,"",$P434/$B$10))</f>
        <v>1989</v>
      </c>
      <c r="W434" s="19">
        <f aca="false">IF($T434="",1000000000000000,$T434)</f>
        <v>79560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IF($T435="","",1+COUNTIF($W$15:$W$884,"&lt;"&amp;W435))</f>
        <v>409</v>
      </c>
      <c r="B435" s="16" t="s">
        <v>6</v>
      </c>
      <c r="C435" s="16" t="s">
        <v>880</v>
      </c>
      <c r="D435" s="20" t="s">
        <v>54</v>
      </c>
      <c r="E435" s="16" t="s">
        <v>26</v>
      </c>
      <c r="F435" s="16" t="s">
        <v>881</v>
      </c>
      <c r="G435" s="17">
        <v>1989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79,560원</v>
      </c>
      <c r="P435" s="17">
        <f aca="false">IF($B$10=0,"",IFERROR(IF($B$4&gt;0,IF($L435="",1/0,$L435*$B$4),0)+IF($B$5&gt;0,IF($M435="",1/0,$M435*$B$5),0)+IF($B$6&gt;0,IF($N435="",1/0,$N435*$B$6),0),""))</f>
        <v>79560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79560</v>
      </c>
      <c r="U435" s="17">
        <f aca="false">IF($T435="","",IF($B$10=0,"",$T435/$B$10))</f>
        <v>1989</v>
      </c>
      <c r="V435" s="17">
        <f aca="false">IF($P435="","",IF($B$10=0,"",$P435/$B$10))</f>
        <v>1989</v>
      </c>
      <c r="W435" s="19">
        <f aca="false">IF($T435="",1000000000000000,$T435)</f>
        <v>79560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IF($T436="","",1+COUNTIF($W$15:$W$884,"&lt;"&amp;W436))</f>
        <v>409</v>
      </c>
      <c r="B436" s="16" t="s">
        <v>6</v>
      </c>
      <c r="C436" s="16" t="s">
        <v>882</v>
      </c>
      <c r="D436" s="21" t="s">
        <v>57</v>
      </c>
      <c r="E436" s="16" t="s">
        <v>26</v>
      </c>
      <c r="F436" s="16" t="s">
        <v>883</v>
      </c>
      <c r="G436" s="17">
        <v>1989</v>
      </c>
      <c r="H436" s="17"/>
      <c r="I436" s="17"/>
      <c r="J436" s="17">
        <v>1979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1979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79,560원</v>
      </c>
      <c r="P436" s="17">
        <f aca="false">IF($B$10=0,"",IFERROR(IF($B$4&gt;0,IF($L436="",1/0,$L436*$B$4),0)+IF($B$5&gt;0,IF($M436="",1/0,$M436*$B$5),0)+IF($B$6&gt;0,IF($N436="",1/0,$N436*$B$6),0),""))</f>
        <v>79560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79560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79560</v>
      </c>
      <c r="XFC436" s="3"/>
    </row>
    <row r="437" s="5" collapsed="false" customFormat="true" customHeight="true" hidden="false" ht="28.5" outlineLevel="0">
      <c r="A437" s="16">
        <f aca="false">IF($T437="","",1+COUNTIF($W$15:$W$884,"&lt;"&amp;W437))</f>
        <v>409</v>
      </c>
      <c r="B437" s="16" t="s">
        <v>6</v>
      </c>
      <c r="C437" s="16" t="s">
        <v>884</v>
      </c>
      <c r="D437" s="16" t="s">
        <v>176</v>
      </c>
      <c r="E437" s="16" t="s">
        <v>26</v>
      </c>
      <c r="F437" s="16" t="s">
        <v>885</v>
      </c>
      <c r="G437" s="17">
        <v>1989</v>
      </c>
      <c r="H437" s="17"/>
      <c r="I437" s="17"/>
      <c r="J437" s="17">
        <v>1979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/>
      </c>
      <c r="N437" s="17">
        <f aca="false">IF($J437="","",$J437+$K437)</f>
        <v>1979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79,560원</v>
      </c>
      <c r="P437" s="17">
        <f aca="false">IF($B$10=0,"",IFERROR(IF($B$4&gt;0,IF($L437="",1/0,$L437*$B$4),0)+IF($B$5&gt;0,IF($M437="",1/0,$M437*$B$5),0)+IF($B$6&gt;0,IF($N437="",1/0,$N437*$B$6),0),""))</f>
        <v>79560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79560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79560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IF($T438="","",1+COUNTIF($W$15:$W$884,"&lt;"&amp;W438))</f>
        <v>409</v>
      </c>
      <c r="B438" s="16" t="s">
        <v>6</v>
      </c>
      <c r="C438" s="16" t="s">
        <v>886</v>
      </c>
      <c r="D438" s="20" t="s">
        <v>54</v>
      </c>
      <c r="E438" s="16" t="s">
        <v>26</v>
      </c>
      <c r="F438" s="16" t="s">
        <v>887</v>
      </c>
      <c r="G438" s="17">
        <v>1989</v>
      </c>
      <c r="H438" s="17"/>
      <c r="I438" s="17"/>
      <c r="J438" s="17">
        <v>1979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/>
      </c>
      <c r="N438" s="17">
        <f aca="false">IF($J438="","",$J438+$K438)</f>
        <v>1979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IF($T439="","",1+COUNTIF($W$15:$W$884,"&lt;"&amp;W439))</f>
        <v>409</v>
      </c>
      <c r="B439" s="16" t="s">
        <v>12</v>
      </c>
      <c r="C439" s="16" t="s">
        <v>888</v>
      </c>
      <c r="D439" s="21" t="s">
        <v>64</v>
      </c>
      <c r="E439" s="16" t="s">
        <v>26</v>
      </c>
      <c r="F439" s="16" t="s">
        <v>889</v>
      </c>
      <c r="G439" s="17">
        <v>1989</v>
      </c>
      <c r="H439" s="17"/>
      <c r="I439" s="17"/>
      <c r="J439" s="17">
        <v>1979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/>
      </c>
      <c r="N439" s="17">
        <f aca="false">IF($J439="","",$J439+$K439)</f>
        <v>1979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IF($T440="","",1+COUNTIF($W$15:$W$884,"&lt;"&amp;W440))</f>
        <v>409</v>
      </c>
      <c r="B440" s="16" t="s">
        <v>12</v>
      </c>
      <c r="C440" s="16" t="s">
        <v>890</v>
      </c>
      <c r="D440" s="21" t="s">
        <v>45</v>
      </c>
      <c r="E440" s="16" t="s">
        <v>26</v>
      </c>
      <c r="F440" s="16" t="s">
        <v>891</v>
      </c>
      <c r="G440" s="17">
        <v>1989</v>
      </c>
      <c r="H440" s="17"/>
      <c r="I440" s="17"/>
      <c r="J440" s="17">
        <v>1979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/>
      </c>
      <c r="N440" s="17">
        <f aca="false">IF($J440="","",$J440+$K440)</f>
        <v>1979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6" collapsed="false" customFormat="true" customHeight="true" hidden="false" ht="28.5" outlineLevel="0">
      <c r="A441" s="16">
        <f aca="false">IF($T441="","",1+COUNTIF($W$15:$W$884,"&lt;"&amp;W441))</f>
        <v>409</v>
      </c>
      <c r="B441" s="16" t="s">
        <v>10</v>
      </c>
      <c r="C441" s="16" t="s">
        <v>892</v>
      </c>
      <c r="D441" s="16" t="s">
        <v>122</v>
      </c>
      <c r="E441" s="16" t="s">
        <v>51</v>
      </c>
      <c r="F441" s="16" t="s">
        <v>893</v>
      </c>
      <c r="G441" s="17">
        <v>1989</v>
      </c>
      <c r="H441" s="17"/>
      <c r="I441" s="17"/>
      <c r="J441" s="17">
        <v>1979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/>
      </c>
      <c r="N441" s="17">
        <f aca="false">IF($J441="","",$J441+$K441)</f>
        <v>1979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C441" s="3"/>
    </row>
    <row r="442" s="22" collapsed="false" customFormat="true" customHeight="true" hidden="false" ht="28.5" outlineLevel="0">
      <c r="A442" s="16">
        <f aca="false">IF($T442="","",1+COUNTIF($W$15:$W$884,"&lt;"&amp;W442))</f>
        <v>409</v>
      </c>
      <c r="B442" s="16" t="s">
        <v>10</v>
      </c>
      <c r="C442" s="16" t="s">
        <v>894</v>
      </c>
      <c r="D442" s="16" t="s">
        <v>45</v>
      </c>
      <c r="E442" s="16" t="s">
        <v>26</v>
      </c>
      <c r="F442" s="16" t="s">
        <v>895</v>
      </c>
      <c r="G442" s="17">
        <v>1989</v>
      </c>
      <c r="H442" s="17"/>
      <c r="I442" s="17"/>
      <c r="J442" s="17">
        <v>1979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/>
      </c>
      <c r="N442" s="17">
        <f aca="false">IF($J442="","",$J442+$K442)</f>
        <v>1979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IF($T443="","",1+COUNTIF($W$15:$W$884,"&lt;"&amp;W443))</f>
        <v>409</v>
      </c>
      <c r="B443" s="16" t="s">
        <v>10</v>
      </c>
      <c r="C443" s="16" t="s">
        <v>101</v>
      </c>
      <c r="D443" s="16" t="s">
        <v>122</v>
      </c>
      <c r="E443" s="16" t="s">
        <v>26</v>
      </c>
      <c r="F443" s="16" t="s">
        <v>896</v>
      </c>
      <c r="G443" s="17">
        <v>1989</v>
      </c>
      <c r="H443" s="17"/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/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IF($T444="","",1+COUNTIF($W$15:$W$884,"&lt;"&amp;W444))</f>
        <v>409</v>
      </c>
      <c r="B444" s="16" t="s">
        <v>10</v>
      </c>
      <c r="C444" s="16" t="s">
        <v>897</v>
      </c>
      <c r="D444" s="16" t="s">
        <v>122</v>
      </c>
      <c r="E444" s="16" t="s">
        <v>26</v>
      </c>
      <c r="F444" s="16" t="s">
        <v>898</v>
      </c>
      <c r="G444" s="17">
        <v>1989</v>
      </c>
      <c r="H444" s="17"/>
      <c r="I444" s="17"/>
      <c r="J444" s="17">
        <v>1979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/>
      </c>
      <c r="N444" s="17">
        <f aca="false">IF($J444="","",$J444+$K444)</f>
        <v>1979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IF($T445="","",1+COUNTIF($W$15:$W$884,"&lt;"&amp;W445))</f>
        <v>409</v>
      </c>
      <c r="B445" s="16" t="s">
        <v>6</v>
      </c>
      <c r="C445" s="16" t="s">
        <v>899</v>
      </c>
      <c r="D445" s="20" t="s">
        <v>54</v>
      </c>
      <c r="E445" s="16" t="s">
        <v>26</v>
      </c>
      <c r="F445" s="16" t="s">
        <v>900</v>
      </c>
      <c r="G445" s="17">
        <v>1989</v>
      </c>
      <c r="H445" s="17"/>
      <c r="I445" s="17"/>
      <c r="J445" s="17">
        <v>1980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/>
      </c>
      <c r="N445" s="17">
        <f aca="false">IF($J445="","",$J445+$K445)</f>
        <v>1980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IF($T446="","",1+COUNTIF($W$15:$W$884,"&lt;"&amp;W446))</f>
        <v>409</v>
      </c>
      <c r="B446" s="16" t="s">
        <v>6</v>
      </c>
      <c r="C446" s="16" t="s">
        <v>901</v>
      </c>
      <c r="D446" s="20" t="s">
        <v>54</v>
      </c>
      <c r="E446" s="16" t="s">
        <v>26</v>
      </c>
      <c r="F446" s="16" t="s">
        <v>902</v>
      </c>
      <c r="G446" s="17">
        <v>1989</v>
      </c>
      <c r="H446" s="17"/>
      <c r="I446" s="17"/>
      <c r="J446" s="17">
        <v>1980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1980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B446" s="6"/>
      <c r="XFC446" s="3"/>
    </row>
    <row r="447" s="22" collapsed="false" customFormat="true" customHeight="true" hidden="false" ht="28.5" outlineLevel="0">
      <c r="A447" s="16">
        <f aca="false">IF($T447="","",1+COUNTIF($W$15:$W$884,"&lt;"&amp;W447))</f>
        <v>409</v>
      </c>
      <c r="B447" s="16" t="s">
        <v>12</v>
      </c>
      <c r="C447" s="16" t="s">
        <v>903</v>
      </c>
      <c r="D447" s="20" t="s">
        <v>54</v>
      </c>
      <c r="E447" s="16" t="s">
        <v>26</v>
      </c>
      <c r="F447" s="16" t="s">
        <v>904</v>
      </c>
      <c r="G447" s="17">
        <v>1989</v>
      </c>
      <c r="H447" s="17"/>
      <c r="I447" s="17"/>
      <c r="J447" s="17">
        <v>1980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1980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IF($T448="","",1+COUNTIF($W$15:$W$884,"&lt;"&amp;W448))</f>
        <v>409</v>
      </c>
      <c r="B448" s="16" t="s">
        <v>12</v>
      </c>
      <c r="C448" s="16" t="s">
        <v>905</v>
      </c>
      <c r="D448" s="16" t="s">
        <v>64</v>
      </c>
      <c r="E448" s="16" t="s">
        <v>26</v>
      </c>
      <c r="F448" s="16" t="s">
        <v>906</v>
      </c>
      <c r="G448" s="17">
        <v>1989</v>
      </c>
      <c r="H448" s="17"/>
      <c r="I448" s="17"/>
      <c r="J448" s="17">
        <v>1980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1980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IF($T449="","",1+COUNTIF($W$15:$W$884,"&lt;"&amp;W449))</f>
        <v>409</v>
      </c>
      <c r="B449" s="16" t="s">
        <v>12</v>
      </c>
      <c r="C449" s="16" t="s">
        <v>907</v>
      </c>
      <c r="D449" s="21" t="s">
        <v>64</v>
      </c>
      <c r="E449" s="16" t="s">
        <v>26</v>
      </c>
      <c r="F449" s="16" t="s">
        <v>908</v>
      </c>
      <c r="G449" s="17">
        <v>1989</v>
      </c>
      <c r="H449" s="17"/>
      <c r="I449" s="17"/>
      <c r="J449" s="17">
        <v>1980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1980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IF($T450="","",1+COUNTIF($W$15:$W$884,"&lt;"&amp;W450))</f>
        <v>409</v>
      </c>
      <c r="B450" s="16" t="s">
        <v>10</v>
      </c>
      <c r="C450" s="16" t="s">
        <v>909</v>
      </c>
      <c r="D450" s="16" t="s">
        <v>719</v>
      </c>
      <c r="E450" s="16" t="s">
        <v>26</v>
      </c>
      <c r="F450" s="16" t="s">
        <v>910</v>
      </c>
      <c r="G450" s="17">
        <v>1989</v>
      </c>
      <c r="H450" s="17"/>
      <c r="I450" s="17"/>
      <c r="J450" s="17">
        <v>1985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1985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C450" s="3"/>
    </row>
    <row r="451" s="6" collapsed="false" customFormat="true" customHeight="true" hidden="false" ht="28.5" outlineLevel="0">
      <c r="A451" s="16">
        <f aca="false">IF($T451="","",1+COUNTIF($W$15:$W$884,"&lt;"&amp;W451))</f>
        <v>409</v>
      </c>
      <c r="B451" s="16" t="s">
        <v>10</v>
      </c>
      <c r="C451" s="16" t="s">
        <v>911</v>
      </c>
      <c r="D451" s="16" t="s">
        <v>719</v>
      </c>
      <c r="E451" s="16" t="s">
        <v>26</v>
      </c>
      <c r="F451" s="16" t="s">
        <v>912</v>
      </c>
      <c r="G451" s="17">
        <v>1989</v>
      </c>
      <c r="H451" s="17"/>
      <c r="I451" s="17"/>
      <c r="J451" s="17">
        <v>1985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1985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C451" s="3"/>
    </row>
    <row r="452" s="22" collapsed="false" customFormat="true" customHeight="true" hidden="false" ht="28.5" outlineLevel="0">
      <c r="A452" s="16">
        <f aca="false">IF($T452="","",1+COUNTIF($W$15:$W$884,"&lt;"&amp;W452))</f>
        <v>409</v>
      </c>
      <c r="B452" s="16" t="s">
        <v>10</v>
      </c>
      <c r="C452" s="16" t="s">
        <v>913</v>
      </c>
      <c r="D452" s="16" t="s">
        <v>122</v>
      </c>
      <c r="E452" s="16" t="s">
        <v>26</v>
      </c>
      <c r="F452" s="16" t="s">
        <v>914</v>
      </c>
      <c r="G452" s="17">
        <v>1989</v>
      </c>
      <c r="H452" s="17"/>
      <c r="I452" s="17"/>
      <c r="J452" s="17">
        <v>1987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1987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IF($T453="","",1+COUNTIF($W$15:$W$884,"&lt;"&amp;W453))</f>
        <v>409</v>
      </c>
      <c r="B453" s="16" t="s">
        <v>8</v>
      </c>
      <c r="C453" s="16" t="s">
        <v>801</v>
      </c>
      <c r="D453" s="16" t="s">
        <v>64</v>
      </c>
      <c r="E453" s="16" t="s">
        <v>26</v>
      </c>
      <c r="F453" s="16" t="s">
        <v>802</v>
      </c>
      <c r="G453" s="17">
        <v>1989</v>
      </c>
      <c r="H453" s="17"/>
      <c r="I453" s="17"/>
      <c r="J453" s="17">
        <v>1989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1989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IF($T454="","",1+COUNTIF($W$15:$W$884,"&lt;"&amp;W454))</f>
        <v>409</v>
      </c>
      <c r="B454" s="16" t="s">
        <v>8</v>
      </c>
      <c r="C454" s="16" t="s">
        <v>915</v>
      </c>
      <c r="D454" s="16" t="s">
        <v>176</v>
      </c>
      <c r="E454" s="16" t="s">
        <v>26</v>
      </c>
      <c r="F454" s="16" t="s">
        <v>916</v>
      </c>
      <c r="G454" s="17">
        <v>1989</v>
      </c>
      <c r="H454" s="17"/>
      <c r="I454" s="17"/>
      <c r="J454" s="17">
        <v>1989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1989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IF($T455="","",1+COUNTIF($W$15:$W$884,"&lt;"&amp;W455))</f>
        <v>409</v>
      </c>
      <c r="B455" s="16" t="s">
        <v>12</v>
      </c>
      <c r="C455" s="16" t="s">
        <v>917</v>
      </c>
      <c r="D455" s="21" t="s">
        <v>45</v>
      </c>
      <c r="E455" s="16" t="s">
        <v>26</v>
      </c>
      <c r="F455" s="16" t="s">
        <v>918</v>
      </c>
      <c r="G455" s="17">
        <v>1989</v>
      </c>
      <c r="H455" s="17"/>
      <c r="I455" s="17"/>
      <c r="J455" s="17">
        <v>1989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1989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B455" s="6"/>
      <c r="XFC455" s="3"/>
    </row>
    <row r="456" s="6" collapsed="false" customFormat="true" customHeight="true" hidden="false" ht="28.5" outlineLevel="0">
      <c r="A456" s="16">
        <f aca="false">IF($T456="","",1+COUNTIF($W$15:$W$884,"&lt;"&amp;W456))</f>
        <v>409</v>
      </c>
      <c r="B456" s="16" t="s">
        <v>12</v>
      </c>
      <c r="C456" s="16" t="s">
        <v>919</v>
      </c>
      <c r="D456" s="21" t="s">
        <v>176</v>
      </c>
      <c r="E456" s="16" t="s">
        <v>26</v>
      </c>
      <c r="F456" s="16" t="s">
        <v>920</v>
      </c>
      <c r="G456" s="17">
        <v>1989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C456" s="3"/>
    </row>
    <row r="457" s="5" collapsed="false" customFormat="true" customHeight="true" hidden="false" ht="28.5" outlineLevel="0">
      <c r="A457" s="16">
        <f aca="false">IF($T457="","",1+COUNTIF($W$15:$W$884,"&lt;"&amp;W457))</f>
        <v>409</v>
      </c>
      <c r="B457" s="16" t="s">
        <v>10</v>
      </c>
      <c r="C457" s="16" t="s">
        <v>921</v>
      </c>
      <c r="D457" s="20" t="s">
        <v>54</v>
      </c>
      <c r="E457" s="16" t="s">
        <v>26</v>
      </c>
      <c r="F457" s="16" t="s">
        <v>922</v>
      </c>
      <c r="G457" s="17">
        <v>1989</v>
      </c>
      <c r="H457" s="17"/>
      <c r="I457" s="17"/>
      <c r="J457" s="17">
        <v>1989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1989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B457" s="6"/>
      <c r="XFC457" s="3"/>
    </row>
    <row r="458" s="22" collapsed="false" customFormat="true" customHeight="true" hidden="false" ht="28.5" outlineLevel="0">
      <c r="A458" s="16">
        <f aca="false">IF($T458="","",1+COUNTIF($W$15:$W$884,"&lt;"&amp;W458))</f>
        <v>409</v>
      </c>
      <c r="B458" s="16" t="s">
        <v>10</v>
      </c>
      <c r="C458" s="16" t="s">
        <v>923</v>
      </c>
      <c r="D458" s="16" t="s">
        <v>64</v>
      </c>
      <c r="E458" s="16" t="s">
        <v>26</v>
      </c>
      <c r="F458" s="16" t="s">
        <v>924</v>
      </c>
      <c r="G458" s="17">
        <v>1989</v>
      </c>
      <c r="H458" s="17"/>
      <c r="I458" s="17"/>
      <c r="J458" s="17">
        <v>1989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1989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IF($T459="","",1+COUNTIF($W$15:$W$884,"&lt;"&amp;W459))</f>
        <v>409</v>
      </c>
      <c r="B459" s="16" t="s">
        <v>10</v>
      </c>
      <c r="C459" s="16" t="s">
        <v>925</v>
      </c>
      <c r="D459" s="16" t="s">
        <v>122</v>
      </c>
      <c r="E459" s="16" t="s">
        <v>26</v>
      </c>
      <c r="F459" s="16" t="s">
        <v>926</v>
      </c>
      <c r="G459" s="17">
        <v>1989</v>
      </c>
      <c r="H459" s="17"/>
      <c r="I459" s="17"/>
      <c r="J459" s="17">
        <v>1989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1989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IF($T460="","",1+COUNTIF($W$15:$W$884,"&lt;"&amp;W460))</f>
        <v>409</v>
      </c>
      <c r="B460" s="16" t="s">
        <v>10</v>
      </c>
      <c r="C460" s="16" t="s">
        <v>927</v>
      </c>
      <c r="D460" s="16" t="s">
        <v>122</v>
      </c>
      <c r="E460" s="16" t="s">
        <v>26</v>
      </c>
      <c r="F460" s="16" t="s">
        <v>928</v>
      </c>
      <c r="G460" s="17">
        <v>1989</v>
      </c>
      <c r="H460" s="17"/>
      <c r="I460" s="17"/>
      <c r="J460" s="17">
        <v>1989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1989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79,560원</v>
      </c>
      <c r="P460" s="17">
        <f aca="false">IF($B$10=0,"",IFERROR(IF($B$4&gt;0,IF($L460="",1/0,$L460*$B$4),0)+IF($B$5&gt;0,IF($M460="",1/0,$M460*$B$5),0)+IF($B$6&gt;0,IF($N460="",1/0,$N460*$B$6),0),""))</f>
        <v>79560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79560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79560</v>
      </c>
      <c r="XFC460" s="3"/>
    </row>
    <row r="461" s="5" collapsed="false" customFormat="true" customHeight="true" hidden="false" ht="28.5" outlineLevel="0">
      <c r="A461" s="16">
        <f aca="false">IF($T461="","",1+COUNTIF($W$15:$W$884,"&lt;"&amp;W461))</f>
        <v>409</v>
      </c>
      <c r="B461" s="16" t="s">
        <v>10</v>
      </c>
      <c r="C461" s="16" t="s">
        <v>929</v>
      </c>
      <c r="D461" s="16" t="s">
        <v>122</v>
      </c>
      <c r="E461" s="16" t="s">
        <v>26</v>
      </c>
      <c r="F461" s="16" t="s">
        <v>930</v>
      </c>
      <c r="G461" s="17">
        <v>1989</v>
      </c>
      <c r="H461" s="17"/>
      <c r="I461" s="17"/>
      <c r="J461" s="17">
        <v>1989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1989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79,560원</v>
      </c>
      <c r="P461" s="17">
        <f aca="false">IF($B$10=0,"",IFERROR(IF($B$4&gt;0,IF($L461="",1/0,$L461*$B$4),0)+IF($B$5&gt;0,IF($M461="",1/0,$M461*$B$5),0)+IF($B$6&gt;0,IF($N461="",1/0,$N461*$B$6),0),""))</f>
        <v>79560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79560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79560</v>
      </c>
      <c r="XFB461" s="6"/>
      <c r="XFC461" s="3"/>
    </row>
    <row r="462" s="6" collapsed="false" customFormat="true" customHeight="true" hidden="false" ht="28.5" outlineLevel="0">
      <c r="A462" s="16">
        <f aca="false">IF($T462="","",1+COUNTIF($W$15:$W$884,"&lt;"&amp;W462))</f>
        <v>409</v>
      </c>
      <c r="B462" s="16" t="s">
        <v>10</v>
      </c>
      <c r="C462" s="16" t="s">
        <v>931</v>
      </c>
      <c r="D462" s="16" t="s">
        <v>122</v>
      </c>
      <c r="E462" s="16" t="s">
        <v>26</v>
      </c>
      <c r="F462" s="16" t="s">
        <v>932</v>
      </c>
      <c r="G462" s="17">
        <v>1989</v>
      </c>
      <c r="H462" s="17"/>
      <c r="I462" s="17"/>
      <c r="J462" s="17">
        <v>1989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1989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79,560원</v>
      </c>
      <c r="P462" s="17">
        <f aca="false">IF($B$10=0,"",IFERROR(IF($B$4&gt;0,IF($L462="",1/0,$L462*$B$4),0)+IF($B$5&gt;0,IF($M462="",1/0,$M462*$B$5),0)+IF($B$6&gt;0,IF($N462="",1/0,$N462*$B$6),0),""))</f>
        <v>79560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79560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79560</v>
      </c>
      <c r="XFC462" s="3"/>
    </row>
    <row r="463" s="5" collapsed="false" customFormat="true" customHeight="true" hidden="false" ht="28.5" outlineLevel="0">
      <c r="A463" s="16">
        <f aca="false">IF($T463="","",1+COUNTIF($W$15:$W$884,"&lt;"&amp;W463))</f>
        <v>409</v>
      </c>
      <c r="B463" s="16" t="s">
        <v>6</v>
      </c>
      <c r="C463" s="16" t="s">
        <v>933</v>
      </c>
      <c r="D463" s="16" t="s">
        <v>45</v>
      </c>
      <c r="E463" s="16" t="s">
        <v>26</v>
      </c>
      <c r="F463" s="16" t="s">
        <v>934</v>
      </c>
      <c r="G463" s="17">
        <v>1989</v>
      </c>
      <c r="H463" s="17"/>
      <c r="I463" s="17"/>
      <c r="J463" s="17">
        <v>1993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1993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79,560원</v>
      </c>
      <c r="P463" s="17">
        <f aca="false">IF($B$10=0,"",IFERROR(IF($B$4&gt;0,IF($L463="",1/0,$L463*$B$4),0)+IF($B$5&gt;0,IF($M463="",1/0,$M463*$B$5),0)+IF($B$6&gt;0,IF($N463="",1/0,$N463*$B$6),0),""))</f>
        <v>79560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79560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79560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IF($T464="","",1+COUNTIF($W$15:$W$884,"&lt;"&amp;W464))</f>
        <v>409</v>
      </c>
      <c r="B464" s="16" t="s">
        <v>6</v>
      </c>
      <c r="C464" s="16" t="s">
        <v>935</v>
      </c>
      <c r="D464" s="20" t="s">
        <v>54</v>
      </c>
      <c r="E464" s="16" t="s">
        <v>26</v>
      </c>
      <c r="F464" s="16" t="s">
        <v>936</v>
      </c>
      <c r="G464" s="17">
        <v>1989</v>
      </c>
      <c r="H464" s="17"/>
      <c r="I464" s="17"/>
      <c r="J464" s="17">
        <v>1994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1994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79,560원</v>
      </c>
      <c r="P464" s="17">
        <f aca="false">IF($B$10=0,"",IFERROR(IF($B$4&gt;0,IF($L464="",1/0,$L464*$B$4),0)+IF($B$5&gt;0,IF($M464="",1/0,$M464*$B$5),0)+IF($B$6&gt;0,IF($N464="",1/0,$N464*$B$6),0),""))</f>
        <v>79560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79560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79560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IF($T465="","",1+COUNTIF($W$15:$W$884,"&lt;"&amp;W465))</f>
        <v>409</v>
      </c>
      <c r="B465" s="16" t="s">
        <v>12</v>
      </c>
      <c r="C465" s="16" t="s">
        <v>937</v>
      </c>
      <c r="D465" s="21" t="s">
        <v>45</v>
      </c>
      <c r="E465" s="16" t="s">
        <v>26</v>
      </c>
      <c r="F465" s="16" t="s">
        <v>938</v>
      </c>
      <c r="G465" s="17">
        <v>1989</v>
      </c>
      <c r="H465" s="17"/>
      <c r="I465" s="17"/>
      <c r="J465" s="17">
        <v>1995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1995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79,560원</v>
      </c>
      <c r="P465" s="17">
        <f aca="false">IF($B$10=0,"",IFERROR(IF($B$4&gt;0,IF($L465="",1/0,$L465*$B$4),0)+IF($B$5&gt;0,IF($M465="",1/0,$M465*$B$5),0)+IF($B$6&gt;0,IF($N465="",1/0,$N465*$B$6),0),""))</f>
        <v>79560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79560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79560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IF($T466="","",1+COUNTIF($W$15:$W$884,"&lt;"&amp;W466))</f>
        <v>409</v>
      </c>
      <c r="B466" s="16" t="s">
        <v>10</v>
      </c>
      <c r="C466" s="16" t="s">
        <v>939</v>
      </c>
      <c r="D466" s="16" t="s">
        <v>64</v>
      </c>
      <c r="E466" s="16" t="s">
        <v>26</v>
      </c>
      <c r="F466" s="16" t="s">
        <v>940</v>
      </c>
      <c r="G466" s="17">
        <v>1989</v>
      </c>
      <c r="H466" s="17"/>
      <c r="I466" s="17"/>
      <c r="J466" s="17">
        <v>1999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1999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79,560원</v>
      </c>
      <c r="P466" s="17">
        <f aca="false">IF($B$10=0,"",IFERROR(IF($B$4&gt;0,IF($L466="",1/0,$L466*$B$4),0)+IF($B$5&gt;0,IF($M466="",1/0,$M466*$B$5),0)+IF($B$6&gt;0,IF($N466="",1/0,$N466*$B$6),0),""))</f>
        <v>79560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79560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79560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IF($T467="","",1+COUNTIF($W$15:$W$884,"&lt;"&amp;W467))</f>
        <v>453</v>
      </c>
      <c r="B467" s="16" t="s">
        <v>6</v>
      </c>
      <c r="C467" s="16" t="s">
        <v>941</v>
      </c>
      <c r="D467" s="21" t="s">
        <v>57</v>
      </c>
      <c r="E467" s="16" t="s">
        <v>26</v>
      </c>
      <c r="F467" s="16" t="s">
        <v>942</v>
      </c>
      <c r="G467" s="17">
        <v>1990</v>
      </c>
      <c r="H467" s="17">
        <v>2426</v>
      </c>
      <c r="I467" s="17"/>
      <c r="J467" s="17">
        <v>1999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1990</v>
      </c>
      <c r="M467" s="17">
        <f aca="false">IF($H467="","",$H467+$K467)</f>
        <v>2426</v>
      </c>
      <c r="N467" s="17">
        <f aca="false">IF($J467="","",$J467+$K467)</f>
        <v>1999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79,600원</v>
      </c>
      <c r="P467" s="17">
        <f aca="false">IF($B$10=0,"",IFERROR(IF($B$4&gt;0,IF($L467="",1/0,$L467*$B$4),0)+IF($B$5&gt;0,IF($M467="",1/0,$M467*$B$5),0)+IF($B$6&gt;0,IF($N467="",1/0,$N467*$B$6),0),""))</f>
        <v>79600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79600</v>
      </c>
      <c r="U467" s="17">
        <f aca="false">IF($T467="","",IF($B$10=0,"",$T467/$B$10))</f>
        <v>1990</v>
      </c>
      <c r="V467" s="17">
        <f aca="false">IF($P467="","",IF($B$10=0,"",$P467/$B$10))</f>
        <v>1990</v>
      </c>
      <c r="W467" s="19">
        <f aca="false">IF($T467="",1000000000000000,$T467)</f>
        <v>79600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IF($T468="","",1+COUNTIF($W$15:$W$884,"&lt;"&amp;W468))</f>
        <v>453</v>
      </c>
      <c r="B468" s="16" t="s">
        <v>6</v>
      </c>
      <c r="C468" s="16" t="s">
        <v>943</v>
      </c>
      <c r="D468" s="16" t="s">
        <v>45</v>
      </c>
      <c r="E468" s="16" t="s">
        <v>26</v>
      </c>
      <c r="F468" s="16" t="s">
        <v>944</v>
      </c>
      <c r="G468" s="17">
        <v>1990</v>
      </c>
      <c r="H468" s="17"/>
      <c r="I468" s="17"/>
      <c r="J468" s="17">
        <v>1984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1990</v>
      </c>
      <c r="M468" s="17">
        <f aca="false">IF($H468="","",$H468+$K468)</f>
        <v/>
      </c>
      <c r="N468" s="17">
        <f aca="false">IF($J468="","",$J468+$K468)</f>
        <v>1984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79,600원</v>
      </c>
      <c r="P468" s="17">
        <f aca="false">IF($B$10=0,"",IFERROR(IF($B$4&gt;0,IF($L468="",1/0,$L468*$B$4),0)+IF($B$5&gt;0,IF($M468="",1/0,$M468*$B$5),0)+IF($B$6&gt;0,IF($N468="",1/0,$N468*$B$6),0),""))</f>
        <v>79600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79600</v>
      </c>
      <c r="U468" s="17">
        <f aca="false">IF($T468="","",IF($B$10=0,"",$T468/$B$10))</f>
        <v>1990</v>
      </c>
      <c r="V468" s="17">
        <f aca="false">IF($P468="","",IF($B$10=0,"",$P468/$B$10))</f>
        <v>1990</v>
      </c>
      <c r="W468" s="19">
        <f aca="false">IF($T468="",1000000000000000,$T468)</f>
        <v>79600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IF($T469="","",1+COUNTIF($W$15:$W$884,"&lt;"&amp;W469))</f>
        <v>453</v>
      </c>
      <c r="B469" s="16" t="s">
        <v>10</v>
      </c>
      <c r="C469" s="16" t="s">
        <v>945</v>
      </c>
      <c r="D469" s="16" t="s">
        <v>719</v>
      </c>
      <c r="E469" s="16" t="s">
        <v>26</v>
      </c>
      <c r="F469" s="16" t="s">
        <v>946</v>
      </c>
      <c r="G469" s="17">
        <v>1990</v>
      </c>
      <c r="H469" s="17"/>
      <c r="I469" s="17"/>
      <c r="J469" s="17">
        <v>1988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1990</v>
      </c>
      <c r="M469" s="17">
        <f aca="false">IF($H469="","",$H469+$K469)</f>
        <v/>
      </c>
      <c r="N469" s="17">
        <f aca="false">IF($J469="","",$J469+$K469)</f>
        <v>1988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79,600원</v>
      </c>
      <c r="P469" s="17">
        <f aca="false">IF($B$10=0,"",IFERROR(IF($B$4&gt;0,IF($L469="",1/0,$L469*$B$4),0)+IF($B$5&gt;0,IF($M469="",1/0,$M469*$B$5),0)+IF($B$6&gt;0,IF($N469="",1/0,$N469*$B$6),0),""))</f>
        <v>79600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79600</v>
      </c>
      <c r="U469" s="17">
        <f aca="false">IF($T469="","",IF($B$10=0,"",$T469/$B$10))</f>
        <v>1990</v>
      </c>
      <c r="V469" s="17">
        <f aca="false">IF($P469="","",IF($B$10=0,"",$P469/$B$10))</f>
        <v>1990</v>
      </c>
      <c r="W469" s="19">
        <f aca="false">IF($T469="",1000000000000000,$T469)</f>
        <v>79600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IF($T470="","",1+COUNTIF($W$15:$W$884,"&lt;"&amp;W470))</f>
        <v>453</v>
      </c>
      <c r="B470" s="16" t="s">
        <v>6</v>
      </c>
      <c r="C470" s="16" t="s">
        <v>949</v>
      </c>
      <c r="D470" s="21" t="s">
        <v>57</v>
      </c>
      <c r="E470" s="16" t="s">
        <v>26</v>
      </c>
      <c r="F470" s="16" t="s">
        <v>950</v>
      </c>
      <c r="G470" s="17">
        <v>1990</v>
      </c>
      <c r="H470" s="17"/>
      <c r="I470" s="17"/>
      <c r="J470" s="17">
        <v>1999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1990</v>
      </c>
      <c r="M470" s="17">
        <f aca="false">IF($H470="","",$H470+$K470)</f>
        <v/>
      </c>
      <c r="N470" s="17">
        <f aca="false">IF($J470="","",$J470+$K470)</f>
        <v>1999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79,600원</v>
      </c>
      <c r="P470" s="17">
        <f aca="false">IF($B$10=0,"",IFERROR(IF($B$4&gt;0,IF($L470="",1/0,$L470*$B$4),0)+IF($B$5&gt;0,IF($M470="",1/0,$M470*$B$5),0)+IF($B$6&gt;0,IF($N470="",1/0,$N470*$B$6),0),""))</f>
        <v>79600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79600</v>
      </c>
      <c r="U470" s="17">
        <f aca="false">IF($T470="","",IF($B$10=0,"",$T470/$B$10))</f>
        <v>1990</v>
      </c>
      <c r="V470" s="17">
        <f aca="false">IF($P470="","",IF($B$10=0,"",$P470/$B$10))</f>
        <v>1990</v>
      </c>
      <c r="W470" s="19">
        <f aca="false">IF($T470="",1000000000000000,$T470)</f>
        <v>79600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IF($T471="","",1+COUNTIF($W$15:$W$884,"&lt;"&amp;W471))</f>
        <v>457</v>
      </c>
      <c r="B471" s="16" t="s">
        <v>8</v>
      </c>
      <c r="C471" s="16" t="s">
        <v>951</v>
      </c>
      <c r="D471" s="21" t="s">
        <v>57</v>
      </c>
      <c r="E471" s="16" t="s">
        <v>26</v>
      </c>
      <c r="F471" s="16" t="s">
        <v>952</v>
      </c>
      <c r="G471" s="17">
        <v>1991</v>
      </c>
      <c r="H471" s="17"/>
      <c r="I471" s="17"/>
      <c r="J471" s="17">
        <v>1999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1991</v>
      </c>
      <c r="M471" s="17">
        <f aca="false">IF($H471="","",$H471+$K471)</f>
        <v/>
      </c>
      <c r="N471" s="17">
        <f aca="false">IF($J471="","",$J471+$K471)</f>
        <v>1999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79,640원</v>
      </c>
      <c r="P471" s="17">
        <f aca="false">IF($B$10=0,"",IFERROR(IF($B$4&gt;0,IF($L471="",1/0,$L471*$B$4),0)+IF($B$5&gt;0,IF($M471="",1/0,$M471*$B$5),0)+IF($B$6&gt;0,IF($N471="",1/0,$N471*$B$6),0),""))</f>
        <v>79640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79640</v>
      </c>
      <c r="U471" s="17">
        <f aca="false">IF($T471="","",IF($B$10=0,"",$T471/$B$10))</f>
        <v>1991</v>
      </c>
      <c r="V471" s="17">
        <f aca="false">IF($P471="","",IF($B$10=0,"",$P471/$B$10))</f>
        <v>1991</v>
      </c>
      <c r="W471" s="19">
        <f aca="false">IF($T471="",1000000000000000,$T471)</f>
        <v>79640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IF($T472="","",1+COUNTIF($W$15:$W$884,"&lt;"&amp;W472))</f>
        <v>458</v>
      </c>
      <c r="B472" s="16" t="s">
        <v>14</v>
      </c>
      <c r="C472" s="16" t="s">
        <v>953</v>
      </c>
      <c r="D472" s="16" t="s">
        <v>64</v>
      </c>
      <c r="E472" s="16" t="s">
        <v>26</v>
      </c>
      <c r="F472" s="16" t="s">
        <v>954</v>
      </c>
      <c r="G472" s="17">
        <v>1992</v>
      </c>
      <c r="H472" s="17">
        <v>2370</v>
      </c>
      <c r="I472" s="17"/>
      <c r="J472" s="17">
        <v>1989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1992</v>
      </c>
      <c r="M472" s="17">
        <f aca="false">IF($H472="","",$H472+$K472)</f>
        <v>2370</v>
      </c>
      <c r="N472" s="17">
        <f aca="false">IF($J472="","",$J472+$K472)</f>
        <v>1989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79,680원</v>
      </c>
      <c r="P472" s="17">
        <f aca="false">IF($B$10=0,"",IFERROR(IF($B$4&gt;0,IF($L472="",1/0,$L472*$B$4),0)+IF($B$5&gt;0,IF($M472="",1/0,$M472*$B$5),0)+IF($B$6&gt;0,IF($N472="",1/0,$N472*$B$6),0),""))</f>
        <v>79680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79680</v>
      </c>
      <c r="U472" s="17">
        <f aca="false">IF($T472="","",IF($B$10=0,"",$T472/$B$10))</f>
        <v>1992</v>
      </c>
      <c r="V472" s="17">
        <f aca="false">IF($P472="","",IF($B$10=0,"",$P472/$B$10))</f>
        <v>1992</v>
      </c>
      <c r="W472" s="19">
        <f aca="false">IF($T472="",1000000000000000,$T472)</f>
        <v>79680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IF($T473="","",1+COUNTIF($W$15:$W$884,"&lt;"&amp;W473))</f>
        <v>458</v>
      </c>
      <c r="B473" s="16" t="s">
        <v>6</v>
      </c>
      <c r="C473" s="16" t="s">
        <v>955</v>
      </c>
      <c r="D473" s="16" t="s">
        <v>45</v>
      </c>
      <c r="E473" s="16" t="s">
        <v>26</v>
      </c>
      <c r="F473" s="16" t="s">
        <v>956</v>
      </c>
      <c r="G473" s="17">
        <v>1992</v>
      </c>
      <c r="H473" s="17">
        <v>2378</v>
      </c>
      <c r="I473" s="17"/>
      <c r="J473" s="17">
        <v>1992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1992</v>
      </c>
      <c r="M473" s="17">
        <f aca="false">IF($H473="","",$H473+$K473)</f>
        <v>2378</v>
      </c>
      <c r="N473" s="17">
        <f aca="false">IF($J473="","",$J473+$K473)</f>
        <v>1992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79,680원</v>
      </c>
      <c r="P473" s="17">
        <f aca="false">IF($B$10=0,"",IFERROR(IF($B$4&gt;0,IF($L473="",1/0,$L473*$B$4),0)+IF($B$5&gt;0,IF($M473="",1/0,$M473*$B$5),0)+IF($B$6&gt;0,IF($N473="",1/0,$N473*$B$6),0),""))</f>
        <v>79680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79680</v>
      </c>
      <c r="U473" s="17">
        <f aca="false">IF($T473="","",IF($B$10=0,"",$T473/$B$10))</f>
        <v>1992</v>
      </c>
      <c r="V473" s="17">
        <f aca="false">IF($P473="","",IF($B$10=0,"",$P473/$B$10))</f>
        <v>1992</v>
      </c>
      <c r="W473" s="19">
        <f aca="false">IF($T473="",1000000000000000,$T473)</f>
        <v>79680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IF($T474="","",1+COUNTIF($W$15:$W$884,"&lt;"&amp;W474))</f>
        <v>458</v>
      </c>
      <c r="B474" s="16" t="s">
        <v>6</v>
      </c>
      <c r="C474" s="16" t="s">
        <v>1061</v>
      </c>
      <c r="D474" s="21" t="s">
        <v>57</v>
      </c>
      <c r="E474" s="16" t="s">
        <v>26</v>
      </c>
      <c r="F474" s="16" t="s">
        <v>1062</v>
      </c>
      <c r="G474" s="17">
        <v>1992</v>
      </c>
      <c r="H474" s="17">
        <v>2398</v>
      </c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1992</v>
      </c>
      <c r="M474" s="17">
        <f aca="false">IF($H474="","",$H474+$K474)</f>
        <v>2398</v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79,680원</v>
      </c>
      <c r="P474" s="17">
        <f aca="false">IF($B$10=0,"",IFERROR(IF($B$4&gt;0,IF($L474="",1/0,$L474*$B$4),0)+IF($B$5&gt;0,IF($M474="",1/0,$M474*$B$5),0)+IF($B$6&gt;0,IF($N474="",1/0,$N474*$B$6),0),""))</f>
        <v>79680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79680</v>
      </c>
      <c r="U474" s="17">
        <f aca="false">IF($T474="","",IF($B$10=0,"",$T474/$B$10))</f>
        <v>1992</v>
      </c>
      <c r="V474" s="17">
        <f aca="false">IF($P474="","",IF($B$10=0,"",$P474/$B$10))</f>
        <v>1992</v>
      </c>
      <c r="W474" s="19">
        <f aca="false">IF($T474="",1000000000000000,$T474)</f>
        <v>79680</v>
      </c>
      <c r="XFB474" s="6"/>
      <c r="XFC474" s="3"/>
    </row>
    <row r="475" s="6" collapsed="false" customFormat="true" customHeight="true" hidden="false" ht="28.5" outlineLevel="0">
      <c r="A475" s="16">
        <f aca="false">IF($T475="","",1+COUNTIF($W$15:$W$884,"&lt;"&amp;W475))</f>
        <v>458</v>
      </c>
      <c r="B475" s="16" t="s">
        <v>12</v>
      </c>
      <c r="C475" s="16" t="s">
        <v>959</v>
      </c>
      <c r="D475" s="16" t="s">
        <v>719</v>
      </c>
      <c r="E475" s="16" t="s">
        <v>26</v>
      </c>
      <c r="F475" s="16" t="s">
        <v>960</v>
      </c>
      <c r="G475" s="17">
        <v>1992</v>
      </c>
      <c r="H475" s="17">
        <v>2538</v>
      </c>
      <c r="I475" s="17"/>
      <c r="J475" s="17">
        <v>1987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1992</v>
      </c>
      <c r="M475" s="17">
        <f aca="false">IF($H475="","",$H475+$K475)</f>
        <v>2538</v>
      </c>
      <c r="N475" s="17">
        <f aca="false">IF($J475="","",$J475+$K475)</f>
        <v>1987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79,680원</v>
      </c>
      <c r="P475" s="17">
        <f aca="false">IF($B$10=0,"",IFERROR(IF($B$4&gt;0,IF($L475="",1/0,$L475*$B$4),0)+IF($B$5&gt;0,IF($M475="",1/0,$M475*$B$5),0)+IF($B$6&gt;0,IF($N475="",1/0,$N475*$B$6),0),""))</f>
        <v>79680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79680</v>
      </c>
      <c r="U475" s="17">
        <f aca="false">IF($T475="","",IF($B$10=0,"",$T475/$B$10))</f>
        <v>1992</v>
      </c>
      <c r="V475" s="17">
        <f aca="false">IF($P475="","",IF($B$10=0,"",$P475/$B$10))</f>
        <v>1992</v>
      </c>
      <c r="W475" s="19">
        <f aca="false">IF($T475="",1000000000000000,$T475)</f>
        <v>79680</v>
      </c>
      <c r="XFC475" s="3"/>
    </row>
    <row r="476" s="22" collapsed="false" customFormat="true" customHeight="true" hidden="false" ht="28.5" outlineLevel="0">
      <c r="A476" s="16">
        <f aca="false">IF($T476="","",1+COUNTIF($W$15:$W$884,"&lt;"&amp;W476))</f>
        <v>458</v>
      </c>
      <c r="B476" s="16" t="s">
        <v>18</v>
      </c>
      <c r="C476" s="16" t="s">
        <v>961</v>
      </c>
      <c r="D476" s="16" t="s">
        <v>64</v>
      </c>
      <c r="E476" s="16" t="s">
        <v>26</v>
      </c>
      <c r="F476" s="16" t="s">
        <v>962</v>
      </c>
      <c r="G476" s="17">
        <v>1992</v>
      </c>
      <c r="H476" s="17"/>
      <c r="I476" s="17"/>
      <c r="J476" s="17">
        <v>1982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1992</v>
      </c>
      <c r="M476" s="17">
        <f aca="false">IF($H476="","",$H476+$K476)</f>
        <v/>
      </c>
      <c r="N476" s="17">
        <f aca="false">IF($J476="","",$J476+$K476)</f>
        <v>1982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79,680원</v>
      </c>
      <c r="P476" s="17">
        <f aca="false">IF($B$10=0,"",IFERROR(IF($B$4&gt;0,IF($L476="",1/0,$L476*$B$4),0)+IF($B$5&gt;0,IF($M476="",1/0,$M476*$B$5),0)+IF($B$6&gt;0,IF($N476="",1/0,$N476*$B$6),0),""))</f>
        <v>79680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79680</v>
      </c>
      <c r="U476" s="17">
        <f aca="false">IF($T476="","",IF($B$10=0,"",$T476/$B$10))</f>
        <v>1992</v>
      </c>
      <c r="V476" s="17">
        <f aca="false">IF($P476="","",IF($B$10=0,"",$P476/$B$10))</f>
        <v>1992</v>
      </c>
      <c r="W476" s="19">
        <f aca="false">IF($T476="",1000000000000000,$T476)</f>
        <v>79680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IF($T477="","",1+COUNTIF($W$15:$W$884,"&lt;"&amp;W477))</f>
        <v>458</v>
      </c>
      <c r="B477" s="16" t="s">
        <v>12</v>
      </c>
      <c r="C477" s="16" t="s">
        <v>963</v>
      </c>
      <c r="D477" s="21" t="s">
        <v>45</v>
      </c>
      <c r="E477" s="16" t="s">
        <v>26</v>
      </c>
      <c r="F477" s="16" t="s">
        <v>964</v>
      </c>
      <c r="G477" s="17">
        <v>1992</v>
      </c>
      <c r="H477" s="17"/>
      <c r="I477" s="17"/>
      <c r="J477" s="17">
        <v>1982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1992</v>
      </c>
      <c r="M477" s="17">
        <f aca="false">IF($H477="","",$H477+$K477)</f>
        <v/>
      </c>
      <c r="N477" s="17">
        <f aca="false">IF($J477="","",$J477+$K477)</f>
        <v>1982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79,680원</v>
      </c>
      <c r="P477" s="17">
        <f aca="false">IF($B$10=0,"",IFERROR(IF($B$4&gt;0,IF($L477="",1/0,$L477*$B$4),0)+IF($B$5&gt;0,IF($M477="",1/0,$M477*$B$5),0)+IF($B$6&gt;0,IF($N477="",1/0,$N477*$B$6),0),""))</f>
        <v>79680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79680</v>
      </c>
      <c r="U477" s="17">
        <f aca="false">IF($T477="","",IF($B$10=0,"",$T477/$B$10))</f>
        <v>1992</v>
      </c>
      <c r="V477" s="17">
        <f aca="false">IF($P477="","",IF($B$10=0,"",$P477/$B$10))</f>
        <v>1992</v>
      </c>
      <c r="W477" s="19">
        <f aca="false">IF($T477="",1000000000000000,$T477)</f>
        <v>79680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IF($T478="","",1+COUNTIF($W$15:$W$884,"&lt;"&amp;W478))</f>
        <v>458</v>
      </c>
      <c r="B478" s="16" t="s">
        <v>10</v>
      </c>
      <c r="C478" s="16" t="s">
        <v>967</v>
      </c>
      <c r="D478" s="16" t="s">
        <v>719</v>
      </c>
      <c r="E478" s="16" t="s">
        <v>26</v>
      </c>
      <c r="F478" s="16" t="s">
        <v>968</v>
      </c>
      <c r="G478" s="17">
        <v>1992</v>
      </c>
      <c r="H478" s="17"/>
      <c r="I478" s="17"/>
      <c r="J478" s="17">
        <v>1988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1992</v>
      </c>
      <c r="M478" s="17">
        <f aca="false">IF($H478="","",$H478+$K478)</f>
        <v/>
      </c>
      <c r="N478" s="17">
        <f aca="false">IF($J478="","",$J478+$K478)</f>
        <v>1988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79,680원</v>
      </c>
      <c r="P478" s="17">
        <f aca="false">IF($B$10=0,"",IFERROR(IF($B$4&gt;0,IF($L478="",1/0,$L478*$B$4),0)+IF($B$5&gt;0,IF($M478="",1/0,$M478*$B$5),0)+IF($B$6&gt;0,IF($N478="",1/0,$N478*$B$6),0),""))</f>
        <v>79680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79680</v>
      </c>
      <c r="U478" s="17">
        <f aca="false">IF($T478="","",IF($B$10=0,"",$T478/$B$10))</f>
        <v>1992</v>
      </c>
      <c r="V478" s="17">
        <f aca="false">IF($P478="","",IF($B$10=0,"",$P478/$B$10))</f>
        <v>1992</v>
      </c>
      <c r="W478" s="19">
        <f aca="false">IF($T478="",1000000000000000,$T478)</f>
        <v>79680</v>
      </c>
      <c r="XFB478" s="6"/>
      <c r="XFC478" s="3"/>
    </row>
    <row r="479" s="6" collapsed="false" customFormat="true" customHeight="true" hidden="false" ht="28.5" outlineLevel="0">
      <c r="A479" s="16">
        <f aca="false">IF($T479="","",1+COUNTIF($W$15:$W$884,"&lt;"&amp;W479))</f>
        <v>458</v>
      </c>
      <c r="B479" s="16" t="s">
        <v>10</v>
      </c>
      <c r="C479" s="16" t="s">
        <v>1131</v>
      </c>
      <c r="D479" s="16" t="s">
        <v>719</v>
      </c>
      <c r="E479" s="16" t="s">
        <v>26</v>
      </c>
      <c r="F479" s="16" t="s">
        <v>1132</v>
      </c>
      <c r="G479" s="17">
        <v>1992</v>
      </c>
      <c r="H479" s="17"/>
      <c r="I479" s="17"/>
      <c r="J479" s="17">
        <v>1988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1992</v>
      </c>
      <c r="M479" s="17">
        <f aca="false">IF($H479="","",$H479+$K479)</f>
        <v/>
      </c>
      <c r="N479" s="17">
        <f aca="false">IF($J479="","",$J479+$K479)</f>
        <v>1988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79,680원</v>
      </c>
      <c r="P479" s="17">
        <f aca="false">IF($B$10=0,"",IFERROR(IF($B$4&gt;0,IF($L479="",1/0,$L479*$B$4),0)+IF($B$5&gt;0,IF($M479="",1/0,$M479*$B$5),0)+IF($B$6&gt;0,IF($N479="",1/0,$N479*$B$6),0),""))</f>
        <v>79680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79680</v>
      </c>
      <c r="U479" s="17">
        <f aca="false">IF($T479="","",IF($B$10=0,"",$T479/$B$10))</f>
        <v>1992</v>
      </c>
      <c r="V479" s="17">
        <f aca="false">IF($P479="","",IF($B$10=0,"",$P479/$B$10))</f>
        <v>1992</v>
      </c>
      <c r="W479" s="19">
        <f aca="false">IF($T479="",1000000000000000,$T479)</f>
        <v>79680</v>
      </c>
      <c r="XFC479" s="3"/>
    </row>
    <row r="480" s="6" collapsed="false" customFormat="true" customHeight="true" hidden="false" ht="28.5" outlineLevel="0">
      <c r="A480" s="16">
        <f aca="false">IF($T480="","",1+COUNTIF($W$15:$W$884,"&lt;"&amp;W480))</f>
        <v>458</v>
      </c>
      <c r="B480" s="16" t="s">
        <v>18</v>
      </c>
      <c r="C480" s="16" t="s">
        <v>969</v>
      </c>
      <c r="D480" s="16" t="s">
        <v>45</v>
      </c>
      <c r="E480" s="16" t="s">
        <v>26</v>
      </c>
      <c r="F480" s="16" t="s">
        <v>970</v>
      </c>
      <c r="G480" s="17">
        <v>1992</v>
      </c>
      <c r="H480" s="17"/>
      <c r="I480" s="17"/>
      <c r="J480" s="17">
        <v>1989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1992</v>
      </c>
      <c r="M480" s="17">
        <f aca="false">IF($H480="","",$H480+$K480)</f>
        <v/>
      </c>
      <c r="N480" s="17">
        <f aca="false">IF($J480="","",$J480+$K480)</f>
        <v>1989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79,680원</v>
      </c>
      <c r="P480" s="17">
        <f aca="false">IF($B$10=0,"",IFERROR(IF($B$4&gt;0,IF($L480="",1/0,$L480*$B$4),0)+IF($B$5&gt;0,IF($M480="",1/0,$M480*$B$5),0)+IF($B$6&gt;0,IF($N480="",1/0,$N480*$B$6),0),""))</f>
        <v>79680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79680</v>
      </c>
      <c r="U480" s="17">
        <f aca="false">IF($T480="","",IF($B$10=0,"",$T480/$B$10))</f>
        <v>1992</v>
      </c>
      <c r="V480" s="17">
        <f aca="false">IF($P480="","",IF($B$10=0,"",$P480/$B$10))</f>
        <v>1992</v>
      </c>
      <c r="W480" s="19">
        <f aca="false">IF($T480="",1000000000000000,$T480)</f>
        <v>79680</v>
      </c>
      <c r="XFC480" s="3"/>
    </row>
    <row r="481" s="5" collapsed="false" customFormat="true" customHeight="true" hidden="false" ht="28.5" outlineLevel="0">
      <c r="A481" s="16">
        <f aca="false">IF($T481="","",1+COUNTIF($W$15:$W$884,"&lt;"&amp;W481))</f>
        <v>458</v>
      </c>
      <c r="B481" s="16" t="s">
        <v>6</v>
      </c>
      <c r="C481" s="16" t="s">
        <v>971</v>
      </c>
      <c r="D481" s="16" t="s">
        <v>45</v>
      </c>
      <c r="E481" s="16" t="s">
        <v>26</v>
      </c>
      <c r="F481" s="16" t="s">
        <v>972</v>
      </c>
      <c r="G481" s="17">
        <v>1992</v>
      </c>
      <c r="H481" s="17"/>
      <c r="I481" s="17"/>
      <c r="J481" s="17">
        <v>1989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1992</v>
      </c>
      <c r="M481" s="17">
        <f aca="false">IF($H481="","",$H481+$K481)</f>
        <v/>
      </c>
      <c r="N481" s="17">
        <f aca="false">IF($J481="","",$J481+$K481)</f>
        <v>1989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79,680원</v>
      </c>
      <c r="P481" s="17">
        <f aca="false">IF($B$10=0,"",IFERROR(IF($B$4&gt;0,IF($L481="",1/0,$L481*$B$4),0)+IF($B$5&gt;0,IF($M481="",1/0,$M481*$B$5),0)+IF($B$6&gt;0,IF($N481="",1/0,$N481*$B$6),0),""))</f>
        <v>79680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79680</v>
      </c>
      <c r="U481" s="17">
        <f aca="false">IF($T481="","",IF($B$10=0,"",$T481/$B$10))</f>
        <v>1992</v>
      </c>
      <c r="V481" s="17">
        <f aca="false">IF($P481="","",IF($B$10=0,"",$P481/$B$10))</f>
        <v>1992</v>
      </c>
      <c r="W481" s="19">
        <f aca="false">IF($T481="",1000000000000000,$T481)</f>
        <v>79680</v>
      </c>
      <c r="XFB481" s="6"/>
      <c r="XFC481" s="3"/>
    </row>
    <row r="482" s="22" collapsed="false" customFormat="true" customHeight="true" hidden="false" ht="28.5" outlineLevel="0">
      <c r="A482" s="16">
        <f aca="false">IF($T482="","",1+COUNTIF($W$15:$W$884,"&lt;"&amp;W482))</f>
        <v>458</v>
      </c>
      <c r="B482" s="16" t="s">
        <v>10</v>
      </c>
      <c r="C482" s="16" t="s">
        <v>973</v>
      </c>
      <c r="D482" s="16" t="s">
        <v>176</v>
      </c>
      <c r="E482" s="16" t="s">
        <v>26</v>
      </c>
      <c r="F482" s="16" t="s">
        <v>974</v>
      </c>
      <c r="G482" s="17">
        <v>1992</v>
      </c>
      <c r="H482" s="17"/>
      <c r="I482" s="17"/>
      <c r="J482" s="17">
        <v>1989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1992</v>
      </c>
      <c r="M482" s="17">
        <f aca="false">IF($H482="","",$H482+$K482)</f>
        <v/>
      </c>
      <c r="N482" s="17">
        <f aca="false">IF($J482="","",$J482+$K482)</f>
        <v>1989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79,680원</v>
      </c>
      <c r="P482" s="17">
        <f aca="false">IF($B$10=0,"",IFERROR(IF($B$4&gt;0,IF($L482="",1/0,$L482*$B$4),0)+IF($B$5&gt;0,IF($M482="",1/0,$M482*$B$5),0)+IF($B$6&gt;0,IF($N482="",1/0,$N482*$B$6),0),""))</f>
        <v>79680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79680</v>
      </c>
      <c r="U482" s="17">
        <f aca="false">IF($T482="","",IF($B$10=0,"",$T482/$B$10))</f>
        <v>1992</v>
      </c>
      <c r="V482" s="17">
        <f aca="false">IF($P482="","",IF($B$10=0,"",$P482/$B$10))</f>
        <v>1992</v>
      </c>
      <c r="W482" s="19">
        <f aca="false">IF($T482="",1000000000000000,$T482)</f>
        <v>79680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IF($T483="","",1+COUNTIF($W$15:$W$884,"&lt;"&amp;W483))</f>
        <v>458</v>
      </c>
      <c r="B483" s="16" t="s">
        <v>10</v>
      </c>
      <c r="C483" s="16" t="s">
        <v>975</v>
      </c>
      <c r="D483" s="16" t="s">
        <v>719</v>
      </c>
      <c r="E483" s="16" t="s">
        <v>26</v>
      </c>
      <c r="F483" s="16" t="s">
        <v>976</v>
      </c>
      <c r="G483" s="17">
        <v>1992</v>
      </c>
      <c r="H483" s="17"/>
      <c r="I483" s="17"/>
      <c r="J483" s="17">
        <v>1990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1992</v>
      </c>
      <c r="M483" s="17">
        <f aca="false">IF($H483="","",$H483+$K483)</f>
        <v/>
      </c>
      <c r="N483" s="17">
        <f aca="false">IF($J483="","",$J483+$K483)</f>
        <v>1990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79,680원</v>
      </c>
      <c r="P483" s="17">
        <f aca="false">IF($B$10=0,"",IFERROR(IF($B$4&gt;0,IF($L483="",1/0,$L483*$B$4),0)+IF($B$5&gt;0,IF($M483="",1/0,$M483*$B$5),0)+IF($B$6&gt;0,IF($N483="",1/0,$N483*$B$6),0),""))</f>
        <v>79680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79680</v>
      </c>
      <c r="U483" s="17">
        <f aca="false">IF($T483="","",IF($B$10=0,"",$T483/$B$10))</f>
        <v>1992</v>
      </c>
      <c r="V483" s="17">
        <f aca="false">IF($P483="","",IF($B$10=0,"",$P483/$B$10))</f>
        <v>1992</v>
      </c>
      <c r="W483" s="19">
        <f aca="false">IF($T483="",1000000000000000,$T483)</f>
        <v>79680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IF($T484="","",1+COUNTIF($W$15:$W$884,"&lt;"&amp;W484))</f>
        <v>458</v>
      </c>
      <c r="B484" s="16" t="s">
        <v>10</v>
      </c>
      <c r="C484" s="16" t="s">
        <v>977</v>
      </c>
      <c r="D484" s="16" t="s">
        <v>719</v>
      </c>
      <c r="E484" s="16" t="s">
        <v>26</v>
      </c>
      <c r="F484" s="16" t="s">
        <v>978</v>
      </c>
      <c r="G484" s="17">
        <v>1992</v>
      </c>
      <c r="H484" s="17"/>
      <c r="I484" s="17"/>
      <c r="J484" s="17">
        <v>1990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1992</v>
      </c>
      <c r="M484" s="17">
        <f aca="false">IF($H484="","",$H484+$K484)</f>
        <v/>
      </c>
      <c r="N484" s="17">
        <f aca="false">IF($J484="","",$J484+$K484)</f>
        <v>1990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79,680원</v>
      </c>
      <c r="P484" s="17">
        <f aca="false">IF($B$10=0,"",IFERROR(IF($B$4&gt;0,IF($L484="",1/0,$L484*$B$4),0)+IF($B$5&gt;0,IF($M484="",1/0,$M484*$B$5),0)+IF($B$6&gt;0,IF($N484="",1/0,$N484*$B$6),0),""))</f>
        <v>79680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79680</v>
      </c>
      <c r="U484" s="17">
        <f aca="false">IF($T484="","",IF($B$10=0,"",$T484/$B$10))</f>
        <v>1992</v>
      </c>
      <c r="V484" s="17">
        <f aca="false">IF($P484="","",IF($B$10=0,"",$P484/$B$10))</f>
        <v>1992</v>
      </c>
      <c r="W484" s="19">
        <f aca="false">IF($T484="",1000000000000000,$T484)</f>
        <v>79680</v>
      </c>
      <c r="XFB484" s="6"/>
      <c r="XFC484" s="3"/>
    </row>
    <row r="485" s="6" collapsed="false" customFormat="true" customHeight="true" hidden="false" ht="28.5" outlineLevel="0">
      <c r="A485" s="16">
        <f aca="false">IF($T485="","",1+COUNTIF($W$15:$W$884,"&lt;"&amp;W485))</f>
        <v>458</v>
      </c>
      <c r="B485" s="16" t="s">
        <v>18</v>
      </c>
      <c r="C485" s="16" t="s">
        <v>979</v>
      </c>
      <c r="D485" s="16" t="s">
        <v>64</v>
      </c>
      <c r="E485" s="16" t="s">
        <v>26</v>
      </c>
      <c r="F485" s="16" t="s">
        <v>980</v>
      </c>
      <c r="G485" s="17">
        <v>1992</v>
      </c>
      <c r="H485" s="17"/>
      <c r="I485" s="17"/>
      <c r="J485" s="17">
        <v>2000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1992</v>
      </c>
      <c r="M485" s="17">
        <f aca="false">IF($H485="","",$H485+$K485)</f>
        <v/>
      </c>
      <c r="N485" s="17">
        <f aca="false">IF($J485="","",$J485+$K485)</f>
        <v>2000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79,680원</v>
      </c>
      <c r="P485" s="17">
        <f aca="false">IF($B$10=0,"",IFERROR(IF($B$4&gt;0,IF($L485="",1/0,$L485*$B$4),0)+IF($B$5&gt;0,IF($M485="",1/0,$M485*$B$5),0)+IF($B$6&gt;0,IF($N485="",1/0,$N485*$B$6),0),""))</f>
        <v>79680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79680</v>
      </c>
      <c r="U485" s="17">
        <f aca="false">IF($T485="","",IF($B$10=0,"",$T485/$B$10))</f>
        <v>1992</v>
      </c>
      <c r="V485" s="17">
        <f aca="false">IF($P485="","",IF($B$10=0,"",$P485/$B$10))</f>
        <v>1992</v>
      </c>
      <c r="W485" s="19">
        <f aca="false">IF($T485="",1000000000000000,$T485)</f>
        <v>79680</v>
      </c>
      <c r="XFC485" s="3"/>
    </row>
    <row r="486" s="22" collapsed="false" customFormat="true" customHeight="true" hidden="false" ht="28.5" outlineLevel="0">
      <c r="A486" s="16">
        <f aca="false">IF($T486="","",1+COUNTIF($W$15:$W$884,"&lt;"&amp;W486))</f>
        <v>472</v>
      </c>
      <c r="B486" s="16" t="s">
        <v>10</v>
      </c>
      <c r="C486" s="16" t="s">
        <v>981</v>
      </c>
      <c r="D486" s="21" t="s">
        <v>57</v>
      </c>
      <c r="E486" s="16" t="s">
        <v>26</v>
      </c>
      <c r="F486" s="16" t="s">
        <v>982</v>
      </c>
      <c r="G486" s="17">
        <v>1993</v>
      </c>
      <c r="H486" s="17">
        <v>2358</v>
      </c>
      <c r="I486" s="17"/>
      <c r="J486" s="17">
        <v>1988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1993</v>
      </c>
      <c r="M486" s="17">
        <f aca="false">IF($H486="","",$H486+$K486)</f>
        <v>2358</v>
      </c>
      <c r="N486" s="17">
        <f aca="false">IF($J486="","",$J486+$K486)</f>
        <v>1988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79,720원</v>
      </c>
      <c r="P486" s="17">
        <f aca="false">IF($B$10=0,"",IFERROR(IF($B$4&gt;0,IF($L486="",1/0,$L486*$B$4),0)+IF($B$5&gt;0,IF($M486="",1/0,$M486*$B$5),0)+IF($B$6&gt;0,IF($N486="",1/0,$N486*$B$6),0),""))</f>
        <v>79720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79720</v>
      </c>
      <c r="U486" s="17">
        <f aca="false">IF($T486="","",IF($B$10=0,"",$T486/$B$10))</f>
        <v>1993</v>
      </c>
      <c r="V486" s="17">
        <f aca="false">IF($P486="","",IF($B$10=0,"",$P486/$B$10))</f>
        <v>1993</v>
      </c>
      <c r="W486" s="19">
        <f aca="false">IF($T486="",1000000000000000,$T486)</f>
        <v>79720</v>
      </c>
      <c r="XFB486" s="6"/>
      <c r="XFC486" s="3"/>
    </row>
    <row r="487" s="22" collapsed="false" customFormat="true" customHeight="true" hidden="false" ht="28.5" outlineLevel="0">
      <c r="A487" s="16">
        <f aca="false">IF($T487="","",1+COUNTIF($W$15:$W$884,"&lt;"&amp;W487))</f>
        <v>472</v>
      </c>
      <c r="B487" s="16" t="s">
        <v>8</v>
      </c>
      <c r="C487" s="16" t="s">
        <v>983</v>
      </c>
      <c r="D487" s="16" t="s">
        <v>122</v>
      </c>
      <c r="E487" s="16" t="s">
        <v>26</v>
      </c>
      <c r="F487" s="16" t="s">
        <v>984</v>
      </c>
      <c r="G487" s="17">
        <v>1993</v>
      </c>
      <c r="H487" s="17"/>
      <c r="I487" s="17"/>
      <c r="J487" s="17">
        <v>1983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1993</v>
      </c>
      <c r="M487" s="17">
        <f aca="false">IF($H487="","",$H487+$K487)</f>
        <v/>
      </c>
      <c r="N487" s="17">
        <f aca="false">IF($J487="","",$J487+$K487)</f>
        <v>1983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79,720원</v>
      </c>
      <c r="P487" s="17">
        <f aca="false">IF($B$10=0,"",IFERROR(IF($B$4&gt;0,IF($L487="",1/0,$L487*$B$4),0)+IF($B$5&gt;0,IF($M487="",1/0,$M487*$B$5),0)+IF($B$6&gt;0,IF($N487="",1/0,$N487*$B$6),0),""))</f>
        <v>79720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79720</v>
      </c>
      <c r="U487" s="17">
        <f aca="false">IF($T487="","",IF($B$10=0,"",$T487/$B$10))</f>
        <v>1993</v>
      </c>
      <c r="V487" s="17">
        <f aca="false">IF($P487="","",IF($B$10=0,"",$P487/$B$10))</f>
        <v>1993</v>
      </c>
      <c r="W487" s="19">
        <f aca="false">IF($T487="",1000000000000000,$T487)</f>
        <v>79720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IF($T488="","",1+COUNTIF($W$15:$W$884,"&lt;"&amp;W488))</f>
        <v>472</v>
      </c>
      <c r="B488" s="16" t="s">
        <v>14</v>
      </c>
      <c r="C488" s="16" t="s">
        <v>985</v>
      </c>
      <c r="D488" s="21" t="s">
        <v>57</v>
      </c>
      <c r="E488" s="16" t="s">
        <v>26</v>
      </c>
      <c r="F488" s="16" t="s">
        <v>986</v>
      </c>
      <c r="G488" s="17">
        <v>1993</v>
      </c>
      <c r="H488" s="17"/>
      <c r="I488" s="17"/>
      <c r="J488" s="17">
        <v>1983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1993</v>
      </c>
      <c r="M488" s="17">
        <f aca="false">IF($H488="","",$H488+$K488)</f>
        <v/>
      </c>
      <c r="N488" s="17">
        <f aca="false">IF($J488="","",$J488+$K488)</f>
        <v>1983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79,720원</v>
      </c>
      <c r="P488" s="17">
        <f aca="false">IF($B$10=0,"",IFERROR(IF($B$4&gt;0,IF($L488="",1/0,$L488*$B$4),0)+IF($B$5&gt;0,IF($M488="",1/0,$M488*$B$5),0)+IF($B$6&gt;0,IF($N488="",1/0,$N488*$B$6),0),""))</f>
        <v>79720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79720</v>
      </c>
      <c r="U488" s="17">
        <f aca="false">IF($T488="","",IF($B$10=0,"",$T488/$B$10))</f>
        <v>1993</v>
      </c>
      <c r="V488" s="17">
        <f aca="false">IF($P488="","",IF($B$10=0,"",$P488/$B$10))</f>
        <v>1993</v>
      </c>
      <c r="W488" s="19">
        <f aca="false">IF($T488="",1000000000000000,$T488)</f>
        <v>79720</v>
      </c>
      <c r="XFB488" s="6"/>
      <c r="XFC488" s="3"/>
    </row>
    <row r="489" s="6" collapsed="false" customFormat="true" customHeight="true" hidden="false" ht="28.5" outlineLevel="0">
      <c r="A489" s="16">
        <f aca="false">IF($T489="","",1+COUNTIF($W$15:$W$884,"&lt;"&amp;W489))</f>
        <v>472</v>
      </c>
      <c r="B489" s="16" t="s">
        <v>18</v>
      </c>
      <c r="C489" s="16" t="s">
        <v>987</v>
      </c>
      <c r="D489" s="16" t="s">
        <v>64</v>
      </c>
      <c r="E489" s="16" t="s">
        <v>26</v>
      </c>
      <c r="F489" s="16" t="s">
        <v>988</v>
      </c>
      <c r="G489" s="17">
        <v>1993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1993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79,720원</v>
      </c>
      <c r="P489" s="17">
        <f aca="false">IF($B$10=0,"",IFERROR(IF($B$4&gt;0,IF($L489="",1/0,$L489*$B$4),0)+IF($B$5&gt;0,IF($M489="",1/0,$M489*$B$5),0)+IF($B$6&gt;0,IF($N489="",1/0,$N489*$B$6),0),""))</f>
        <v>79720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79720</v>
      </c>
      <c r="U489" s="17">
        <f aca="false">IF($T489="","",IF($B$10=0,"",$T489/$B$10))</f>
        <v>1993</v>
      </c>
      <c r="V489" s="17">
        <f aca="false">IF($P489="","",IF($B$10=0,"",$P489/$B$10))</f>
        <v>1993</v>
      </c>
      <c r="W489" s="19">
        <f aca="false">IF($T489="",1000000000000000,$T489)</f>
        <v>79720</v>
      </c>
      <c r="XFC489" s="3"/>
    </row>
    <row r="490" s="6" collapsed="false" customFormat="true" customHeight="true" hidden="false" ht="28.5" outlineLevel="0">
      <c r="A490" s="16">
        <f aca="false">IF($T490="","",1+COUNTIF($W$15:$W$884,"&lt;"&amp;W490))</f>
        <v>472</v>
      </c>
      <c r="B490" s="16" t="s">
        <v>12</v>
      </c>
      <c r="C490" s="16" t="s">
        <v>989</v>
      </c>
      <c r="D490" s="16" t="s">
        <v>719</v>
      </c>
      <c r="E490" s="16" t="s">
        <v>26</v>
      </c>
      <c r="F490" s="16" t="s">
        <v>990</v>
      </c>
      <c r="G490" s="17">
        <v>1993</v>
      </c>
      <c r="H490" s="17"/>
      <c r="I490" s="17"/>
      <c r="J490" s="17">
        <v>1986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1993</v>
      </c>
      <c r="M490" s="17">
        <f aca="false">IF($H490="","",$H490+$K490)</f>
        <v/>
      </c>
      <c r="N490" s="17">
        <f aca="false">IF($J490="","",$J490+$K490)</f>
        <v>1986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79,720원</v>
      </c>
      <c r="P490" s="17">
        <f aca="false">IF($B$10=0,"",IFERROR(IF($B$4&gt;0,IF($L490="",1/0,$L490*$B$4),0)+IF($B$5&gt;0,IF($M490="",1/0,$M490*$B$5),0)+IF($B$6&gt;0,IF($N490="",1/0,$N490*$B$6),0),""))</f>
        <v>79720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79720</v>
      </c>
      <c r="U490" s="17">
        <f aca="false">IF($T490="","",IF($B$10=0,"",$T490/$B$10))</f>
        <v>1993</v>
      </c>
      <c r="V490" s="17">
        <f aca="false">IF($P490="","",IF($B$10=0,"",$P490/$B$10))</f>
        <v>1993</v>
      </c>
      <c r="W490" s="19">
        <f aca="false">IF($T490="",1000000000000000,$T490)</f>
        <v>79720</v>
      </c>
      <c r="XFC490" s="3"/>
    </row>
    <row r="491" s="22" collapsed="false" customFormat="true" customHeight="true" hidden="false" ht="28.5" outlineLevel="0">
      <c r="A491" s="16">
        <f aca="false">IF($T491="","",1+COUNTIF($W$15:$W$884,"&lt;"&amp;W491))</f>
        <v>472</v>
      </c>
      <c r="B491" s="16" t="s">
        <v>8</v>
      </c>
      <c r="C491" s="16" t="s">
        <v>991</v>
      </c>
      <c r="D491" s="21" t="s">
        <v>57</v>
      </c>
      <c r="E491" s="16" t="s">
        <v>26</v>
      </c>
      <c r="F491" s="16" t="s">
        <v>992</v>
      </c>
      <c r="G491" s="17">
        <v>1993</v>
      </c>
      <c r="H491" s="17"/>
      <c r="I491" s="17"/>
      <c r="J491" s="17">
        <v>1988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1993</v>
      </c>
      <c r="M491" s="17">
        <f aca="false">IF($H491="","",$H491+$K491)</f>
        <v/>
      </c>
      <c r="N491" s="17">
        <f aca="false">IF($J491="","",$J491+$K491)</f>
        <v>1988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79,720원</v>
      </c>
      <c r="P491" s="17">
        <f aca="false">IF($B$10=0,"",IFERROR(IF($B$4&gt;0,IF($L491="",1/0,$L491*$B$4),0)+IF($B$5&gt;0,IF($M491="",1/0,$M491*$B$5),0)+IF($B$6&gt;0,IF($N491="",1/0,$N491*$B$6),0),""))</f>
        <v>79720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79720</v>
      </c>
      <c r="U491" s="17">
        <f aca="false">IF($T491="","",IF($B$10=0,"",$T491/$B$10))</f>
        <v>1993</v>
      </c>
      <c r="V491" s="17">
        <f aca="false">IF($P491="","",IF($B$10=0,"",$P491/$B$10))</f>
        <v>1993</v>
      </c>
      <c r="W491" s="19">
        <f aca="false">IF($T491="",1000000000000000,$T491)</f>
        <v>79720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IF($T492="","",1+COUNTIF($W$15:$W$884,"&lt;"&amp;W492))</f>
        <v>472</v>
      </c>
      <c r="B492" s="16" t="s">
        <v>12</v>
      </c>
      <c r="C492" s="16" t="s">
        <v>993</v>
      </c>
      <c r="D492" s="21" t="s">
        <v>176</v>
      </c>
      <c r="E492" s="16" t="s">
        <v>26</v>
      </c>
      <c r="F492" s="16" t="s">
        <v>994</v>
      </c>
      <c r="G492" s="17">
        <v>1993</v>
      </c>
      <c r="H492" s="17"/>
      <c r="I492" s="17"/>
      <c r="J492" s="17">
        <v>1988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1993</v>
      </c>
      <c r="M492" s="17">
        <f aca="false">IF($H492="","",$H492+$K492)</f>
        <v/>
      </c>
      <c r="N492" s="17">
        <f aca="false">IF($J492="","",$J492+$K492)</f>
        <v>1988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79,720원</v>
      </c>
      <c r="P492" s="17">
        <f aca="false">IF($B$10=0,"",IFERROR(IF($B$4&gt;0,IF($L492="",1/0,$L492*$B$4),0)+IF($B$5&gt;0,IF($M492="",1/0,$M492*$B$5),0)+IF($B$6&gt;0,IF($N492="",1/0,$N492*$B$6),0),""))</f>
        <v>79720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79720</v>
      </c>
      <c r="U492" s="17">
        <f aca="false">IF($T492="","",IF($B$10=0,"",$T492/$B$10))</f>
        <v>1993</v>
      </c>
      <c r="V492" s="17">
        <f aca="false">IF($P492="","",IF($B$10=0,"",$P492/$B$10))</f>
        <v>1993</v>
      </c>
      <c r="W492" s="19">
        <f aca="false">IF($T492="",1000000000000000,$T492)</f>
        <v>79720</v>
      </c>
      <c r="XFC492" s="3"/>
    </row>
    <row r="493" s="5" collapsed="false" customFormat="true" customHeight="true" hidden="false" ht="28.5" outlineLevel="0">
      <c r="A493" s="16">
        <f aca="false">IF($T493="","",1+COUNTIF($W$15:$W$884,"&lt;"&amp;W493))</f>
        <v>472</v>
      </c>
      <c r="B493" s="16" t="s">
        <v>18</v>
      </c>
      <c r="C493" s="16" t="s">
        <v>995</v>
      </c>
      <c r="D493" s="16" t="s">
        <v>64</v>
      </c>
      <c r="E493" s="16" t="s">
        <v>26</v>
      </c>
      <c r="F493" s="16" t="s">
        <v>996</v>
      </c>
      <c r="G493" s="17">
        <v>1993</v>
      </c>
      <c r="H493" s="17"/>
      <c r="I493" s="17"/>
      <c r="J493" s="17">
        <v>1989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1993</v>
      </c>
      <c r="M493" s="17">
        <f aca="false">IF($H493="","",$H493+$K493)</f>
        <v/>
      </c>
      <c r="N493" s="17">
        <f aca="false">IF($J493="","",$J493+$K493)</f>
        <v>1989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79,720원</v>
      </c>
      <c r="P493" s="17">
        <f aca="false">IF($B$10=0,"",IFERROR(IF($B$4&gt;0,IF($L493="",1/0,$L493*$B$4),0)+IF($B$5&gt;0,IF($M493="",1/0,$M493*$B$5),0)+IF($B$6&gt;0,IF($N493="",1/0,$N493*$B$6),0),""))</f>
        <v>79720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79720</v>
      </c>
      <c r="U493" s="17">
        <f aca="false">IF($T493="","",IF($B$10=0,"",$T493/$B$10))</f>
        <v>1993</v>
      </c>
      <c r="V493" s="17">
        <f aca="false">IF($P493="","",IF($B$10=0,"",$P493/$B$10))</f>
        <v>1993</v>
      </c>
      <c r="W493" s="19">
        <f aca="false">IF($T493="",1000000000000000,$T493)</f>
        <v>79720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IF($T494="","",1+COUNTIF($W$15:$W$884,"&lt;"&amp;W494))</f>
        <v>472</v>
      </c>
      <c r="B494" s="16" t="s">
        <v>18</v>
      </c>
      <c r="C494" s="16" t="s">
        <v>997</v>
      </c>
      <c r="D494" s="16" t="s">
        <v>719</v>
      </c>
      <c r="E494" s="16" t="s">
        <v>26</v>
      </c>
      <c r="F494" s="16" t="s">
        <v>998</v>
      </c>
      <c r="G494" s="17">
        <v>1993</v>
      </c>
      <c r="H494" s="17"/>
      <c r="I494" s="17"/>
      <c r="J494" s="17">
        <v>1990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1993</v>
      </c>
      <c r="M494" s="17">
        <f aca="false">IF($H494="","",$H494+$K494)</f>
        <v/>
      </c>
      <c r="N494" s="17">
        <f aca="false">IF($J494="","",$J494+$K494)</f>
        <v>1990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79,720원</v>
      </c>
      <c r="P494" s="17">
        <f aca="false">IF($B$10=0,"",IFERROR(IF($B$4&gt;0,IF($L494="",1/0,$L494*$B$4),0)+IF($B$5&gt;0,IF($M494="",1/0,$M494*$B$5),0)+IF($B$6&gt;0,IF($N494="",1/0,$N494*$B$6),0),""))</f>
        <v>79720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79720</v>
      </c>
      <c r="U494" s="17">
        <f aca="false">IF($T494="","",IF($B$10=0,"",$T494/$B$10))</f>
        <v>1993</v>
      </c>
      <c r="V494" s="17">
        <f aca="false">IF($P494="","",IF($B$10=0,"",$P494/$B$10))</f>
        <v>1993</v>
      </c>
      <c r="W494" s="19">
        <f aca="false">IF($T494="",1000000000000000,$T494)</f>
        <v>79720</v>
      </c>
      <c r="XFB494" s="6"/>
      <c r="XFC494" s="3"/>
    </row>
    <row r="495" s="22" collapsed="false" customFormat="true" customHeight="true" hidden="false" ht="28.5" outlineLevel="0">
      <c r="A495" s="16">
        <f aca="false">IF($T495="","",1+COUNTIF($W$15:$W$884,"&lt;"&amp;W495))</f>
        <v>472</v>
      </c>
      <c r="B495" s="16" t="s">
        <v>18</v>
      </c>
      <c r="C495" s="16" t="s">
        <v>999</v>
      </c>
      <c r="D495" s="16" t="s">
        <v>719</v>
      </c>
      <c r="E495" s="16" t="s">
        <v>26</v>
      </c>
      <c r="F495" s="16" t="s">
        <v>1000</v>
      </c>
      <c r="G495" s="17">
        <v>1993</v>
      </c>
      <c r="H495" s="17"/>
      <c r="I495" s="17"/>
      <c r="J495" s="17">
        <v>1990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1993</v>
      </c>
      <c r="M495" s="17">
        <f aca="false">IF($H495="","",$H495+$K495)</f>
        <v/>
      </c>
      <c r="N495" s="17">
        <f aca="false">IF($J495="","",$J495+$K495)</f>
        <v>1990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79,720원</v>
      </c>
      <c r="P495" s="17">
        <f aca="false">IF($B$10=0,"",IFERROR(IF($B$4&gt;0,IF($L495="",1/0,$L495*$B$4),0)+IF($B$5&gt;0,IF($M495="",1/0,$M495*$B$5),0)+IF($B$6&gt;0,IF($N495="",1/0,$N495*$B$6),0),""))</f>
        <v>79720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79720</v>
      </c>
      <c r="U495" s="17">
        <f aca="false">IF($T495="","",IF($B$10=0,"",$T495/$B$10))</f>
        <v>1993</v>
      </c>
      <c r="V495" s="17">
        <f aca="false">IF($P495="","",IF($B$10=0,"",$P495/$B$10))</f>
        <v>1993</v>
      </c>
      <c r="W495" s="19">
        <f aca="false">IF($T495="",1000000000000000,$T495)</f>
        <v>79720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IF($T496="","",1+COUNTIF($W$15:$W$884,"&lt;"&amp;W496))</f>
        <v>472</v>
      </c>
      <c r="B496" s="16" t="s">
        <v>8</v>
      </c>
      <c r="C496" s="16" t="s">
        <v>678</v>
      </c>
      <c r="D496" s="16" t="s">
        <v>77</v>
      </c>
      <c r="E496" s="16" t="s">
        <v>51</v>
      </c>
      <c r="F496" s="16" t="s">
        <v>1003</v>
      </c>
      <c r="G496" s="17">
        <v>1993</v>
      </c>
      <c r="H496" s="17"/>
      <c r="I496" s="17"/>
      <c r="J496" s="17">
        <v>1993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1993</v>
      </c>
      <c r="M496" s="17">
        <f aca="false">IF($H496="","",$H496+$K496)</f>
        <v/>
      </c>
      <c r="N496" s="17">
        <f aca="false">IF($J496="","",$J496+$K496)</f>
        <v>1993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79,720원</v>
      </c>
      <c r="P496" s="17">
        <f aca="false">IF($B$10=0,"",IFERROR(IF($B$4&gt;0,IF($L496="",1/0,$L496*$B$4),0)+IF($B$5&gt;0,IF($M496="",1/0,$M496*$B$5),0)+IF($B$6&gt;0,IF($N496="",1/0,$N496*$B$6),0),""))</f>
        <v>79720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79720</v>
      </c>
      <c r="U496" s="17">
        <f aca="false">IF($T496="","",IF($B$10=0,"",$T496/$B$10))</f>
        <v>1993</v>
      </c>
      <c r="V496" s="17">
        <f aca="false">IF($P496="","",IF($B$10=0,"",$P496/$B$10))</f>
        <v>1993</v>
      </c>
      <c r="W496" s="19">
        <f aca="false">IF($T496="",1000000000000000,$T496)</f>
        <v>79720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IF($T497="","",1+COUNTIF($W$15:$W$884,"&lt;"&amp;W497))</f>
        <v>472</v>
      </c>
      <c r="B497" s="16" t="s">
        <v>12</v>
      </c>
      <c r="C497" s="16" t="s">
        <v>1004</v>
      </c>
      <c r="D497" s="20" t="s">
        <v>54</v>
      </c>
      <c r="E497" s="16" t="s">
        <v>51</v>
      </c>
      <c r="F497" s="16" t="s">
        <v>1005</v>
      </c>
      <c r="G497" s="17">
        <v>1993</v>
      </c>
      <c r="H497" s="17"/>
      <c r="I497" s="17"/>
      <c r="J497" s="17">
        <v>1993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1993</v>
      </c>
      <c r="M497" s="17">
        <f aca="false">IF($H497="","",$H497+$K497)</f>
        <v/>
      </c>
      <c r="N497" s="17">
        <f aca="false">IF($J497="","",$J497+$K497)</f>
        <v>1993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79,720원</v>
      </c>
      <c r="P497" s="17">
        <f aca="false">IF($B$10=0,"",IFERROR(IF($B$4&gt;0,IF($L497="",1/0,$L497*$B$4),0)+IF($B$5&gt;0,IF($M497="",1/0,$M497*$B$5),0)+IF($B$6&gt;0,IF($N497="",1/0,$N497*$B$6),0),""))</f>
        <v>79720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79720</v>
      </c>
      <c r="U497" s="17">
        <f aca="false">IF($T497="","",IF($B$10=0,"",$T497/$B$10))</f>
        <v>1993</v>
      </c>
      <c r="V497" s="17">
        <f aca="false">IF($P497="","",IF($B$10=0,"",$P497/$B$10))</f>
        <v>1993</v>
      </c>
      <c r="W497" s="19">
        <f aca="false">IF($T497="",1000000000000000,$T497)</f>
        <v>79720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IF($T498="","",1+COUNTIF($W$15:$W$884,"&lt;"&amp;W498))</f>
        <v>484</v>
      </c>
      <c r="B498" s="16" t="s">
        <v>8</v>
      </c>
      <c r="C498" s="16" t="s">
        <v>1006</v>
      </c>
      <c r="D498" s="16" t="s">
        <v>45</v>
      </c>
      <c r="E498" s="16" t="s">
        <v>26</v>
      </c>
      <c r="F498" s="16" t="s">
        <v>1007</v>
      </c>
      <c r="G498" s="17">
        <v>2004</v>
      </c>
      <c r="H498" s="17">
        <v>2399</v>
      </c>
      <c r="I498" s="17"/>
      <c r="J498" s="17">
        <v>2003</v>
      </c>
      <c r="K498" s="17">
        <f aca="false">IF(AND(IFERROR(SEARCH("현대오일뱅크",$C498),0)&gt;0,IFERROR(SEARCH("직영",$C498),0)&gt;0),$B$13,0)</f>
        <v>-10</v>
      </c>
      <c r="L498" s="17">
        <f aca="false">IF($G498="","",$G498+$K498)</f>
        <v>1994</v>
      </c>
      <c r="M498" s="17">
        <f aca="false">IF($H498="","",$H498+$K498)</f>
        <v>2389</v>
      </c>
      <c r="N498" s="17">
        <f aca="false">IF($J498="","",$J498+$K498)</f>
        <v>1993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79,760원</v>
      </c>
      <c r="P498" s="17">
        <f aca="false">IF($B$10=0,"",IFERROR(IF($B$4&gt;0,IF($L498="",1/0,$L498*$B$4),0)+IF($B$5&gt;0,IF($M498="",1/0,$M498*$B$5),0)+IF($B$6&gt;0,IF($N498="",1/0,$N498*$B$6),0),""))</f>
        <v>79760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79760</v>
      </c>
      <c r="U498" s="17">
        <f aca="false">IF($T498="","",IF($B$10=0,"",$T498/$B$10))</f>
        <v>1994</v>
      </c>
      <c r="V498" s="17">
        <f aca="false">IF($P498="","",IF($B$10=0,"",$P498/$B$10))</f>
        <v>1994</v>
      </c>
      <c r="W498" s="19">
        <f aca="false">IF($T498="",1000000000000000,$T498)</f>
        <v>79760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IF($T499="","",1+COUNTIF($W$15:$W$884,"&lt;"&amp;W499))</f>
        <v>484</v>
      </c>
      <c r="B499" s="16" t="s">
        <v>10</v>
      </c>
      <c r="C499" s="16" t="s">
        <v>1008</v>
      </c>
      <c r="D499" s="16" t="s">
        <v>45</v>
      </c>
      <c r="E499" s="16" t="s">
        <v>51</v>
      </c>
      <c r="F499" s="16" t="s">
        <v>1009</v>
      </c>
      <c r="G499" s="17">
        <v>2004</v>
      </c>
      <c r="H499" s="17">
        <v>2399</v>
      </c>
      <c r="I499" s="17"/>
      <c r="J499" s="17">
        <v>2003</v>
      </c>
      <c r="K499" s="17">
        <f aca="false">IF(AND(IFERROR(SEARCH("현대오일뱅크",$C499),0)&gt;0,IFERROR(SEARCH("직영",$C499),0)&gt;0),$B$13,0)</f>
        <v>-10</v>
      </c>
      <c r="L499" s="17">
        <f aca="false">IF($G499="","",$G499+$K499)</f>
        <v>1994</v>
      </c>
      <c r="M499" s="17">
        <f aca="false">IF($H499="","",$H499+$K499)</f>
        <v>2389</v>
      </c>
      <c r="N499" s="17">
        <f aca="false">IF($J499="","",$J499+$K499)</f>
        <v>1993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79,760원</v>
      </c>
      <c r="P499" s="17">
        <f aca="false">IF($B$10=0,"",IFERROR(IF($B$4&gt;0,IF($L499="",1/0,$L499*$B$4),0)+IF($B$5&gt;0,IF($M499="",1/0,$M499*$B$5),0)+IF($B$6&gt;0,IF($N499="",1/0,$N499*$B$6),0),""))</f>
        <v>79760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79760</v>
      </c>
      <c r="U499" s="17">
        <f aca="false">IF($T499="","",IF($B$10=0,"",$T499/$B$10))</f>
        <v>1994</v>
      </c>
      <c r="V499" s="17">
        <f aca="false">IF($P499="","",IF($B$10=0,"",$P499/$B$10))</f>
        <v>1994</v>
      </c>
      <c r="W499" s="19">
        <f aca="false">IF($T499="",1000000000000000,$T499)</f>
        <v>79760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IF($T500="","",1+COUNTIF($W$15:$W$884,"&lt;"&amp;W500))</f>
        <v>484</v>
      </c>
      <c r="B500" s="16" t="s">
        <v>10</v>
      </c>
      <c r="C500" s="16" t="s">
        <v>1010</v>
      </c>
      <c r="D500" s="16" t="s">
        <v>45</v>
      </c>
      <c r="E500" s="16" t="s">
        <v>26</v>
      </c>
      <c r="F500" s="16" t="s">
        <v>1011</v>
      </c>
      <c r="G500" s="17">
        <v>2004</v>
      </c>
      <c r="H500" s="17">
        <v>2399</v>
      </c>
      <c r="I500" s="17"/>
      <c r="J500" s="17">
        <v>2003</v>
      </c>
      <c r="K500" s="17">
        <f aca="false">IF(AND(IFERROR(SEARCH("현대오일뱅크",$C500),0)&gt;0,IFERROR(SEARCH("직영",$C500),0)&gt;0),$B$13,0)</f>
        <v>-10</v>
      </c>
      <c r="L500" s="17">
        <f aca="false">IF($G500="","",$G500+$K500)</f>
        <v>1994</v>
      </c>
      <c r="M500" s="17">
        <f aca="false">IF($H500="","",$H500+$K500)</f>
        <v>2389</v>
      </c>
      <c r="N500" s="17">
        <f aca="false">IF($J500="","",$J500+$K500)</f>
        <v>1993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79,760원</v>
      </c>
      <c r="P500" s="17">
        <f aca="false">IF($B$10=0,"",IFERROR(IF($B$4&gt;0,IF($L500="",1/0,$L500*$B$4),0)+IF($B$5&gt;0,IF($M500="",1/0,$M500*$B$5),0)+IF($B$6&gt;0,IF($N500="",1/0,$N500*$B$6),0),""))</f>
        <v>79760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79760</v>
      </c>
      <c r="U500" s="17">
        <f aca="false">IF($T500="","",IF($B$10=0,"",$T500/$B$10))</f>
        <v>1994</v>
      </c>
      <c r="V500" s="17">
        <f aca="false">IF($P500="","",IF($B$10=0,"",$P500/$B$10))</f>
        <v>1994</v>
      </c>
      <c r="W500" s="19">
        <f aca="false">IF($T500="",1000000000000000,$T500)</f>
        <v>79760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IF($T501="","",1+COUNTIF($W$15:$W$884,"&lt;"&amp;W501))</f>
        <v>484</v>
      </c>
      <c r="B501" s="16" t="s">
        <v>14</v>
      </c>
      <c r="C501" s="16" t="s">
        <v>1012</v>
      </c>
      <c r="D501" s="21" t="s">
        <v>57</v>
      </c>
      <c r="E501" s="16" t="s">
        <v>26</v>
      </c>
      <c r="F501" s="16" t="s">
        <v>1013</v>
      </c>
      <c r="G501" s="17">
        <v>1994</v>
      </c>
      <c r="H501" s="17">
        <v>2397</v>
      </c>
      <c r="I501" s="17"/>
      <c r="J501" s="17">
        <v>1984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1994</v>
      </c>
      <c r="M501" s="17">
        <f aca="false">IF($H501="","",$H501+$K501)</f>
        <v>2397</v>
      </c>
      <c r="N501" s="17">
        <f aca="false">IF($J501="","",$J501+$K501)</f>
        <v>1984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79,760원</v>
      </c>
      <c r="P501" s="17">
        <f aca="false">IF($B$10=0,"",IFERROR(IF($B$4&gt;0,IF($L501="",1/0,$L501*$B$4),0)+IF($B$5&gt;0,IF($M501="",1/0,$M501*$B$5),0)+IF($B$6&gt;0,IF($N501="",1/0,$N501*$B$6),0),""))</f>
        <v>79760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79760</v>
      </c>
      <c r="U501" s="17">
        <f aca="false">IF($T501="","",IF($B$10=0,"",$T501/$B$10))</f>
        <v>1994</v>
      </c>
      <c r="V501" s="17">
        <f aca="false">IF($P501="","",IF($B$10=0,"",$P501/$B$10))</f>
        <v>1994</v>
      </c>
      <c r="W501" s="19">
        <f aca="false">IF($T501="",1000000000000000,$T501)</f>
        <v>79760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IF($T502="","",1+COUNTIF($W$15:$W$884,"&lt;"&amp;W502))</f>
        <v>484</v>
      </c>
      <c r="B502" s="16" t="s">
        <v>6</v>
      </c>
      <c r="C502" s="16" t="s">
        <v>1014</v>
      </c>
      <c r="D502" s="21" t="s">
        <v>57</v>
      </c>
      <c r="E502" s="16" t="s">
        <v>26</v>
      </c>
      <c r="F502" s="16" t="s">
        <v>1015</v>
      </c>
      <c r="G502" s="17">
        <v>1994</v>
      </c>
      <c r="H502" s="17">
        <v>2398</v>
      </c>
      <c r="I502" s="17"/>
      <c r="J502" s="17">
        <v>1983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1994</v>
      </c>
      <c r="M502" s="17">
        <f aca="false">IF($H502="","",$H502+$K502)</f>
        <v>2398</v>
      </c>
      <c r="N502" s="17">
        <f aca="false">IF($J502="","",$J502+$K502)</f>
        <v>1983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79,760원</v>
      </c>
      <c r="P502" s="17">
        <f aca="false">IF($B$10=0,"",IFERROR(IF($B$4&gt;0,IF($L502="",1/0,$L502*$B$4),0)+IF($B$5&gt;0,IF($M502="",1/0,$M502*$B$5),0)+IF($B$6&gt;0,IF($N502="",1/0,$N502*$B$6),0),""))</f>
        <v>79760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79760</v>
      </c>
      <c r="U502" s="17">
        <f aca="false">IF($T502="","",IF($B$10=0,"",$T502/$B$10))</f>
        <v>1994</v>
      </c>
      <c r="V502" s="17">
        <f aca="false">IF($P502="","",IF($B$10=0,"",$P502/$B$10))</f>
        <v>1994</v>
      </c>
      <c r="W502" s="19">
        <f aca="false">IF($T502="",1000000000000000,$T502)</f>
        <v>79760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IF($T503="","",1+COUNTIF($W$15:$W$884,"&lt;"&amp;W503))</f>
        <v>484</v>
      </c>
      <c r="B503" s="16" t="s">
        <v>18</v>
      </c>
      <c r="C503" s="16" t="s">
        <v>1016</v>
      </c>
      <c r="D503" s="20" t="s">
        <v>54</v>
      </c>
      <c r="E503" s="16" t="s">
        <v>26</v>
      </c>
      <c r="F503" s="16" t="s">
        <v>1017</v>
      </c>
      <c r="G503" s="17">
        <v>1994</v>
      </c>
      <c r="H503" s="17">
        <v>2398</v>
      </c>
      <c r="I503" s="17"/>
      <c r="J503" s="17">
        <v>1984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1994</v>
      </c>
      <c r="M503" s="17">
        <f aca="false">IF($H503="","",$H503+$K503)</f>
        <v>2398</v>
      </c>
      <c r="N503" s="17">
        <f aca="false">IF($J503="","",$J503+$K503)</f>
        <v>1984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79,760원</v>
      </c>
      <c r="P503" s="17">
        <f aca="false">IF($B$10=0,"",IFERROR(IF($B$4&gt;0,IF($L503="",1/0,$L503*$B$4),0)+IF($B$5&gt;0,IF($M503="",1/0,$M503*$B$5),0)+IF($B$6&gt;0,IF($N503="",1/0,$N503*$B$6),0),""))</f>
        <v>79760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79760</v>
      </c>
      <c r="U503" s="17">
        <f aca="false">IF($T503="","",IF($B$10=0,"",$T503/$B$10))</f>
        <v>1994</v>
      </c>
      <c r="V503" s="17">
        <f aca="false">IF($P503="","",IF($B$10=0,"",$P503/$B$10))</f>
        <v>1994</v>
      </c>
      <c r="W503" s="19">
        <f aca="false">IF($T503="",1000000000000000,$T503)</f>
        <v>79760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IF($T504="","",1+COUNTIF($W$15:$W$884,"&lt;"&amp;W504))</f>
        <v>484</v>
      </c>
      <c r="B504" s="16" t="s">
        <v>6</v>
      </c>
      <c r="C504" s="16" t="s">
        <v>1018</v>
      </c>
      <c r="D504" s="16" t="s">
        <v>45</v>
      </c>
      <c r="E504" s="16" t="s">
        <v>51</v>
      </c>
      <c r="F504" s="16" t="s">
        <v>1019</v>
      </c>
      <c r="G504" s="17">
        <v>2004</v>
      </c>
      <c r="H504" s="17">
        <v>2416</v>
      </c>
      <c r="I504" s="17"/>
      <c r="J504" s="17">
        <v>2003</v>
      </c>
      <c r="K504" s="17">
        <f aca="false">IF(AND(IFERROR(SEARCH("현대오일뱅크",$C504),0)&gt;0,IFERROR(SEARCH("직영",$C504),0)&gt;0),$B$13,0)</f>
        <v>-10</v>
      </c>
      <c r="L504" s="17">
        <f aca="false">IF($G504="","",$G504+$K504)</f>
        <v>1994</v>
      </c>
      <c r="M504" s="17">
        <f aca="false">IF($H504="","",$H504+$K504)</f>
        <v>2406</v>
      </c>
      <c r="N504" s="17">
        <f aca="false">IF($J504="","",$J504+$K504)</f>
        <v>1993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79,760원</v>
      </c>
      <c r="P504" s="17">
        <f aca="false">IF($B$10=0,"",IFERROR(IF($B$4&gt;0,IF($L504="",1/0,$L504*$B$4),0)+IF($B$5&gt;0,IF($M504="",1/0,$M504*$B$5),0)+IF($B$6&gt;0,IF($N504="",1/0,$N504*$B$6),0),""))</f>
        <v>79760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79760</v>
      </c>
      <c r="U504" s="17">
        <f aca="false">IF($T504="","",IF($B$10=0,"",$T504/$B$10))</f>
        <v>1994</v>
      </c>
      <c r="V504" s="17">
        <f aca="false">IF($P504="","",IF($B$10=0,"",$P504/$B$10))</f>
        <v>1994</v>
      </c>
      <c r="W504" s="19">
        <f aca="false">IF($T504="",1000000000000000,$T504)</f>
        <v>79760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IF($T505="","",1+COUNTIF($W$15:$W$884,"&lt;"&amp;W505))</f>
        <v>484</v>
      </c>
      <c r="B505" s="16" t="s">
        <v>12</v>
      </c>
      <c r="C505" s="16" t="s">
        <v>1020</v>
      </c>
      <c r="D505" s="21" t="s">
        <v>45</v>
      </c>
      <c r="E505" s="16" t="s">
        <v>26</v>
      </c>
      <c r="F505" s="16" t="s">
        <v>1021</v>
      </c>
      <c r="G505" s="17">
        <v>2004</v>
      </c>
      <c r="H505" s="17">
        <v>2435</v>
      </c>
      <c r="I505" s="17"/>
      <c r="J505" s="17">
        <v>1999</v>
      </c>
      <c r="K505" s="17">
        <f aca="false">IF(AND(IFERROR(SEARCH("현대오일뱅크",$C505),0)&gt;0,IFERROR(SEARCH("직영",$C505),0)&gt;0),$B$13,0)</f>
        <v>-10</v>
      </c>
      <c r="L505" s="17">
        <f aca="false">IF($G505="","",$G505+$K505)</f>
        <v>1994</v>
      </c>
      <c r="M505" s="17">
        <f aca="false">IF($H505="","",$H505+$K505)</f>
        <v>2425</v>
      </c>
      <c r="N505" s="17">
        <f aca="false">IF($J505="","",$J505+$K505)</f>
        <v>1989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79,760원</v>
      </c>
      <c r="P505" s="17">
        <f aca="false">IF($B$10=0,"",IFERROR(IF($B$4&gt;0,IF($L505="",1/0,$L505*$B$4),0)+IF($B$5&gt;0,IF($M505="",1/0,$M505*$B$5),0)+IF($B$6&gt;0,IF($N505="",1/0,$N505*$B$6),0),""))</f>
        <v>79760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79760</v>
      </c>
      <c r="U505" s="17">
        <f aca="false">IF($T505="","",IF($B$10=0,"",$T505/$B$10))</f>
        <v>1994</v>
      </c>
      <c r="V505" s="17">
        <f aca="false">IF($P505="","",IF($B$10=0,"",$P505/$B$10))</f>
        <v>1994</v>
      </c>
      <c r="W505" s="19">
        <f aca="false">IF($T505="",1000000000000000,$T505)</f>
        <v>79760</v>
      </c>
      <c r="XFB505" s="6"/>
      <c r="XFC505" s="3"/>
    </row>
    <row r="506" s="6" collapsed="false" customFormat="true" customHeight="true" hidden="false" ht="28.5" outlineLevel="0">
      <c r="A506" s="16">
        <f aca="false">IF($T506="","",1+COUNTIF($W$15:$W$884,"&lt;"&amp;W506))</f>
        <v>484</v>
      </c>
      <c r="B506" s="16" t="s">
        <v>12</v>
      </c>
      <c r="C506" s="16" t="s">
        <v>1022</v>
      </c>
      <c r="D506" s="21" t="s">
        <v>45</v>
      </c>
      <c r="E506" s="16" t="s">
        <v>26</v>
      </c>
      <c r="F506" s="16" t="s">
        <v>1023</v>
      </c>
      <c r="G506" s="17">
        <v>2004</v>
      </c>
      <c r="H506" s="17">
        <v>2435</v>
      </c>
      <c r="I506" s="17"/>
      <c r="J506" s="17">
        <v>1999</v>
      </c>
      <c r="K506" s="17">
        <f aca="false">IF(AND(IFERROR(SEARCH("현대오일뱅크",$C506),0)&gt;0,IFERROR(SEARCH("직영",$C506),0)&gt;0),$B$13,0)</f>
        <v>-10</v>
      </c>
      <c r="L506" s="17">
        <f aca="false">IF($G506="","",$G506+$K506)</f>
        <v>1994</v>
      </c>
      <c r="M506" s="17">
        <f aca="false">IF($H506="","",$H506+$K506)</f>
        <v>2425</v>
      </c>
      <c r="N506" s="17">
        <f aca="false">IF($J506="","",$J506+$K506)</f>
        <v>1989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79,760원</v>
      </c>
      <c r="P506" s="17">
        <f aca="false">IF($B$10=0,"",IFERROR(IF($B$4&gt;0,IF($L506="",1/0,$L506*$B$4),0)+IF($B$5&gt;0,IF($M506="",1/0,$M506*$B$5),0)+IF($B$6&gt;0,IF($N506="",1/0,$N506*$B$6),0),""))</f>
        <v>79760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79760</v>
      </c>
      <c r="U506" s="17">
        <f aca="false">IF($T506="","",IF($B$10=0,"",$T506/$B$10))</f>
        <v>1994</v>
      </c>
      <c r="V506" s="17">
        <f aca="false">IF($P506="","",IF($B$10=0,"",$P506/$B$10))</f>
        <v>1994</v>
      </c>
      <c r="W506" s="19">
        <f aca="false">IF($T506="",1000000000000000,$T506)</f>
        <v>79760</v>
      </c>
      <c r="XFC506" s="3"/>
    </row>
    <row r="507" s="5" collapsed="false" customFormat="true" customHeight="true" hidden="false" ht="28.5" outlineLevel="0">
      <c r="A507" s="16">
        <f aca="false">IF($T507="","",1+COUNTIF($W$15:$W$884,"&lt;"&amp;W507))</f>
        <v>484</v>
      </c>
      <c r="B507" s="16" t="s">
        <v>10</v>
      </c>
      <c r="C507" s="16" t="s">
        <v>1024</v>
      </c>
      <c r="D507" s="16" t="s">
        <v>45</v>
      </c>
      <c r="E507" s="16" t="s">
        <v>26</v>
      </c>
      <c r="F507" s="16" t="s">
        <v>1025</v>
      </c>
      <c r="G507" s="17">
        <v>2004</v>
      </c>
      <c r="H507" s="17">
        <v>2459</v>
      </c>
      <c r="I507" s="17" t="s">
        <v>47</v>
      </c>
      <c r="J507" s="17">
        <v>2003</v>
      </c>
      <c r="K507" s="17">
        <f aca="false">IF(AND(IFERROR(SEARCH("현대오일뱅크",$C507),0)&gt;0,IFERROR(SEARCH("직영",$C507),0)&gt;0),$B$13,0)</f>
        <v>-10</v>
      </c>
      <c r="L507" s="17">
        <f aca="false">IF($G507="","",$G507+$K507)</f>
        <v>1994</v>
      </c>
      <c r="M507" s="17">
        <f aca="false">IF($H507="","",$H507+$K507)</f>
        <v>2449</v>
      </c>
      <c r="N507" s="17">
        <f aca="false">IF($J507="","",$J507+$K507)</f>
        <v>1993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79,760원</v>
      </c>
      <c r="P507" s="17">
        <f aca="false">IF($B$10=0,"",IFERROR(IF($B$4&gt;0,IF($L507="",1/0,$L507*$B$4),0)+IF($B$5&gt;0,IF($M507="",1/0,$M507*$B$5),0)+IF($B$6&gt;0,IF($N507="",1/0,$N507*$B$6),0),""))</f>
        <v>79760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79760</v>
      </c>
      <c r="U507" s="17">
        <f aca="false">IF($T507="","",IF($B$10=0,"",$T507/$B$10))</f>
        <v>1994</v>
      </c>
      <c r="V507" s="17">
        <f aca="false">IF($P507="","",IF($B$10=0,"",$P507/$B$10))</f>
        <v>1994</v>
      </c>
      <c r="W507" s="19">
        <f aca="false">IF($T507="",1000000000000000,$T507)</f>
        <v>79760</v>
      </c>
      <c r="XFB507" s="6"/>
      <c r="XFC507" s="3"/>
    </row>
    <row r="508" s="22" collapsed="false" customFormat="true" customHeight="true" hidden="false" ht="28.5" outlineLevel="0">
      <c r="A508" s="16">
        <f aca="false">IF($T508="","",1+COUNTIF($W$15:$W$884,"&lt;"&amp;W508))</f>
        <v>484</v>
      </c>
      <c r="B508" s="16" t="s">
        <v>12</v>
      </c>
      <c r="C508" s="16" t="s">
        <v>1026</v>
      </c>
      <c r="D508" s="21" t="s">
        <v>57</v>
      </c>
      <c r="E508" s="16" t="s">
        <v>26</v>
      </c>
      <c r="F508" s="16" t="s">
        <v>1027</v>
      </c>
      <c r="G508" s="17">
        <v>1994</v>
      </c>
      <c r="H508" s="17">
        <v>2449</v>
      </c>
      <c r="I508" s="17"/>
      <c r="J508" s="17">
        <v>1994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1994</v>
      </c>
      <c r="M508" s="17">
        <f aca="false">IF($H508="","",$H508+$K508)</f>
        <v>2449</v>
      </c>
      <c r="N508" s="17">
        <f aca="false">IF($J508="","",$J508+$K508)</f>
        <v>1994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79,760원</v>
      </c>
      <c r="P508" s="17">
        <f aca="false">IF($B$10=0,"",IFERROR(IF($B$4&gt;0,IF($L508="",1/0,$L508*$B$4),0)+IF($B$5&gt;0,IF($M508="",1/0,$M508*$B$5),0)+IF($B$6&gt;0,IF($N508="",1/0,$N508*$B$6),0),""))</f>
        <v>79760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79760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79760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IF($T509="","",1+COUNTIF($W$15:$W$884,"&lt;"&amp;W509))</f>
        <v>484</v>
      </c>
      <c r="B509" s="16" t="s">
        <v>12</v>
      </c>
      <c r="C509" s="16" t="s">
        <v>1028</v>
      </c>
      <c r="D509" s="21" t="s">
        <v>45</v>
      </c>
      <c r="E509" s="16" t="s">
        <v>26</v>
      </c>
      <c r="F509" s="16" t="s">
        <v>1029</v>
      </c>
      <c r="G509" s="17">
        <v>2004</v>
      </c>
      <c r="H509" s="17">
        <v>2539</v>
      </c>
      <c r="I509" s="17" t="s">
        <v>47</v>
      </c>
      <c r="J509" s="17">
        <v>1999</v>
      </c>
      <c r="K509" s="17">
        <f aca="false">IF(AND(IFERROR(SEARCH("현대오일뱅크",$C509),0)&gt;0,IFERROR(SEARCH("직영",$C509),0)&gt;0),$B$13,0)</f>
        <v>-10</v>
      </c>
      <c r="L509" s="17">
        <f aca="false">IF($G509="","",$G509+$K509)</f>
        <v>1994</v>
      </c>
      <c r="M509" s="17">
        <f aca="false">IF($H509="","",$H509+$K509)</f>
        <v>2529</v>
      </c>
      <c r="N509" s="17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79,760원</v>
      </c>
      <c r="P509" s="17">
        <f aca="false">IF($B$10=0,"",IFERROR(IF($B$4&gt;0,IF($L509="",1/0,$L509*$B$4),0)+IF($B$5&gt;0,IF($M509="",1/0,$M509*$B$5),0)+IF($B$6&gt;0,IF($N509="",1/0,$N509*$B$6),0),""))</f>
        <v>79760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79760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79760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IF($T510="","",1+COUNTIF($W$15:$W$884,"&lt;"&amp;W510))</f>
        <v>484</v>
      </c>
      <c r="B510" s="16" t="s">
        <v>12</v>
      </c>
      <c r="C510" s="16" t="s">
        <v>1030</v>
      </c>
      <c r="D510" s="21" t="s">
        <v>64</v>
      </c>
      <c r="E510" s="16" t="s">
        <v>26</v>
      </c>
      <c r="F510" s="16" t="s">
        <v>1031</v>
      </c>
      <c r="G510" s="17">
        <v>1994</v>
      </c>
      <c r="H510" s="17"/>
      <c r="I510" s="17"/>
      <c r="J510" s="17">
        <v>1979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1994</v>
      </c>
      <c r="M510" s="17">
        <f aca="false">IF($H510="","",$H510+$K510)</f>
        <v/>
      </c>
      <c r="N510" s="17">
        <f aca="false">IF($J510="","",$J510+$K510)</f>
        <v>1979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79,760원</v>
      </c>
      <c r="P510" s="17">
        <f aca="false">IF($B$10=0,"",IFERROR(IF($B$4&gt;0,IF($L510="",1/0,$L510*$B$4),0)+IF($B$5&gt;0,IF($M510="",1/0,$M510*$B$5),0)+IF($B$6&gt;0,IF($N510="",1/0,$N510*$B$6),0),""))</f>
        <v>79760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79760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79760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IF($T511="","",1+COUNTIF($W$15:$W$884,"&lt;"&amp;W511))</f>
        <v>484</v>
      </c>
      <c r="B511" s="16" t="s">
        <v>6</v>
      </c>
      <c r="C511" s="16" t="s">
        <v>1032</v>
      </c>
      <c r="D511" s="20" t="s">
        <v>54</v>
      </c>
      <c r="E511" s="16" t="s">
        <v>26</v>
      </c>
      <c r="F511" s="16" t="s">
        <v>1033</v>
      </c>
      <c r="G511" s="17">
        <v>1994</v>
      </c>
      <c r="H511" s="17"/>
      <c r="I511" s="17"/>
      <c r="J511" s="17">
        <v>1983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1994</v>
      </c>
      <c r="M511" s="17">
        <f aca="false">IF($H511="","",$H511+$K511)</f>
        <v/>
      </c>
      <c r="N511" s="17">
        <f aca="false">IF($J511="","",$J511+$K511)</f>
        <v>1983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79,760원</v>
      </c>
      <c r="P511" s="17">
        <f aca="false">IF($B$10=0,"",IFERROR(IF($B$4&gt;0,IF($L511="",1/0,$L511*$B$4),0)+IF($B$5&gt;0,IF($M511="",1/0,$M511*$B$5),0)+IF($B$6&gt;0,IF($N511="",1/0,$N511*$B$6),0),""))</f>
        <v>79760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79760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79760</v>
      </c>
      <c r="XFB511" s="6"/>
      <c r="XFC511" s="3"/>
    </row>
    <row r="512" s="22" collapsed="false" customFormat="true" customHeight="true" hidden="false" ht="28.5" outlineLevel="0">
      <c r="A512" s="16">
        <f aca="false">IF($T512="","",1+COUNTIF($W$15:$W$884,"&lt;"&amp;W512))</f>
        <v>484</v>
      </c>
      <c r="B512" s="16" t="s">
        <v>6</v>
      </c>
      <c r="C512" s="16" t="s">
        <v>1034</v>
      </c>
      <c r="D512" s="16" t="s">
        <v>64</v>
      </c>
      <c r="E512" s="16" t="s">
        <v>26</v>
      </c>
      <c r="F512" s="16" t="s">
        <v>1035</v>
      </c>
      <c r="G512" s="17">
        <v>1994</v>
      </c>
      <c r="H512" s="17"/>
      <c r="I512" s="17"/>
      <c r="J512" s="17">
        <v>1983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/>
      </c>
      <c r="N512" s="17">
        <f aca="false">IF($J512="","",$J512+$K512)</f>
        <v>1983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79,760원</v>
      </c>
      <c r="P512" s="17">
        <f aca="false">IF($B$10=0,"",IFERROR(IF($B$4&gt;0,IF($L512="",1/0,$L512*$B$4),0)+IF($B$5&gt;0,IF($M512="",1/0,$M512*$B$5),0)+IF($B$6&gt;0,IF($N512="",1/0,$N512*$B$6),0),""))</f>
        <v>79760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79760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79760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IF($T513="","",1+COUNTIF($W$15:$W$884,"&lt;"&amp;W513))</f>
        <v>484</v>
      </c>
      <c r="B513" s="16" t="s">
        <v>14</v>
      </c>
      <c r="C513" s="16" t="s">
        <v>1036</v>
      </c>
      <c r="D513" s="20" t="s">
        <v>54</v>
      </c>
      <c r="E513" s="16" t="s">
        <v>26</v>
      </c>
      <c r="F513" s="16" t="s">
        <v>1037</v>
      </c>
      <c r="G513" s="17">
        <v>1994</v>
      </c>
      <c r="H513" s="17"/>
      <c r="I513" s="17"/>
      <c r="J513" s="17">
        <v>1983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1994</v>
      </c>
      <c r="M513" s="17">
        <f aca="false">IF($H513="","",$H513+$K513)</f>
        <v/>
      </c>
      <c r="N513" s="17">
        <f aca="false">IF($J513="","",$J513+$K513)</f>
        <v>1983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79,760원</v>
      </c>
      <c r="P513" s="17">
        <f aca="false">IF($B$10=0,"",IFERROR(IF($B$4&gt;0,IF($L513="",1/0,$L513*$B$4),0)+IF($B$5&gt;0,IF($M513="",1/0,$M513*$B$5),0)+IF($B$6&gt;0,IF($N513="",1/0,$N513*$B$6),0),""))</f>
        <v>79760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79760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79760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IF($T514="","",1+COUNTIF($W$15:$W$884,"&lt;"&amp;W514))</f>
        <v>484</v>
      </c>
      <c r="B514" s="16" t="s">
        <v>6</v>
      </c>
      <c r="C514" s="16" t="s">
        <v>1040</v>
      </c>
      <c r="D514" s="16" t="s">
        <v>45</v>
      </c>
      <c r="E514" s="16" t="s">
        <v>26</v>
      </c>
      <c r="F514" s="16" t="s">
        <v>1041</v>
      </c>
      <c r="G514" s="17">
        <v>1994</v>
      </c>
      <c r="H514" s="17"/>
      <c r="I514" s="17"/>
      <c r="J514" s="17">
        <v>1984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/>
      </c>
      <c r="N514" s="17">
        <f aca="false">IF($J514="","",$J514+$K514)</f>
        <v>1984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IF($T515="","",1+COUNTIF($W$15:$W$884,"&lt;"&amp;W515))</f>
        <v>484</v>
      </c>
      <c r="B515" s="16" t="s">
        <v>12</v>
      </c>
      <c r="C515" s="16" t="s">
        <v>678</v>
      </c>
      <c r="D515" s="21" t="s">
        <v>45</v>
      </c>
      <c r="E515" s="16" t="s">
        <v>51</v>
      </c>
      <c r="F515" s="16" t="s">
        <v>1042</v>
      </c>
      <c r="G515" s="17">
        <v>1994</v>
      </c>
      <c r="H515" s="17"/>
      <c r="I515" s="17"/>
      <c r="J515" s="17">
        <v>1984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1994</v>
      </c>
      <c r="M515" s="17">
        <f aca="false">IF($H515="","",$H515+$K515)</f>
        <v/>
      </c>
      <c r="N515" s="17">
        <f aca="false">IF($J515="","",$J515+$K515)</f>
        <v>1984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79,760원</v>
      </c>
      <c r="P515" s="17">
        <f aca="false">IF($B$10=0,"",IFERROR(IF($B$4&gt;0,IF($L515="",1/0,$L515*$B$4),0)+IF($B$5&gt;0,IF($M515="",1/0,$M515*$B$5),0)+IF($B$6&gt;0,IF($N515="",1/0,$N515*$B$6),0),""))</f>
        <v>79760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79760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79760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IF($T516="","",1+COUNTIF($W$15:$W$884,"&lt;"&amp;W516))</f>
        <v>484</v>
      </c>
      <c r="B516" s="16" t="s">
        <v>6</v>
      </c>
      <c r="C516" s="16" t="s">
        <v>1043</v>
      </c>
      <c r="D516" s="16" t="s">
        <v>176</v>
      </c>
      <c r="E516" s="16" t="s">
        <v>26</v>
      </c>
      <c r="F516" s="16" t="s">
        <v>1044</v>
      </c>
      <c r="G516" s="17">
        <v>1994</v>
      </c>
      <c r="H516" s="17"/>
      <c r="I516" s="17"/>
      <c r="J516" s="17">
        <v>1992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1994</v>
      </c>
      <c r="M516" s="17">
        <f aca="false">IF($H516="","",$H516+$K516)</f>
        <v/>
      </c>
      <c r="N516" s="17">
        <f aca="false">IF($J516="","",$J516+$K516)</f>
        <v>1992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79,760원</v>
      </c>
      <c r="P516" s="17">
        <f aca="false">IF($B$10=0,"",IFERROR(IF($B$4&gt;0,IF($L516="",1/0,$L516*$B$4),0)+IF($B$5&gt;0,IF($M516="",1/0,$M516*$B$5),0)+IF($B$6&gt;0,IF($N516="",1/0,$N516*$B$6),0),""))</f>
        <v>79760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79760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79760</v>
      </c>
      <c r="XFB516" s="6"/>
      <c r="XFC516" s="3"/>
    </row>
    <row r="517" s="22" collapsed="false" customFormat="true" customHeight="true" hidden="false" ht="28.5" outlineLevel="0">
      <c r="A517" s="16">
        <f aca="false">IF($T517="","",1+COUNTIF($W$15:$W$884,"&lt;"&amp;W517))</f>
        <v>484</v>
      </c>
      <c r="B517" s="16" t="s">
        <v>6</v>
      </c>
      <c r="C517" s="16" t="s">
        <v>1045</v>
      </c>
      <c r="D517" s="16" t="s">
        <v>64</v>
      </c>
      <c r="E517" s="16" t="s">
        <v>26</v>
      </c>
      <c r="F517" s="16" t="s">
        <v>1046</v>
      </c>
      <c r="G517" s="17">
        <v>1994</v>
      </c>
      <c r="H517" s="17"/>
      <c r="I517" s="17"/>
      <c r="J517" s="17">
        <v>1994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1994</v>
      </c>
      <c r="M517" s="17">
        <f aca="false">IF($H517="","",$H517+$K517)</f>
        <v/>
      </c>
      <c r="N517" s="17">
        <f aca="false">IF($J517="","",$J517+$K517)</f>
        <v>1994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79,760원</v>
      </c>
      <c r="P517" s="17">
        <f aca="false">IF($B$10=0,"",IFERROR(IF($B$4&gt;0,IF($L517="",1/0,$L517*$B$4),0)+IF($B$5&gt;0,IF($M517="",1/0,$M517*$B$5),0)+IF($B$6&gt;0,IF($N517="",1/0,$N517*$B$6),0),""))</f>
        <v>79760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79760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79760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IF($T518="","",1+COUNTIF($W$15:$W$884,"&lt;"&amp;W518))</f>
        <v>484</v>
      </c>
      <c r="B518" s="16" t="s">
        <v>12</v>
      </c>
      <c r="C518" s="16" t="s">
        <v>1047</v>
      </c>
      <c r="D518" s="21" t="s">
        <v>64</v>
      </c>
      <c r="E518" s="16" t="s">
        <v>26</v>
      </c>
      <c r="F518" s="16" t="s">
        <v>1048</v>
      </c>
      <c r="G518" s="17">
        <v>1994</v>
      </c>
      <c r="H518" s="17"/>
      <c r="I518" s="17"/>
      <c r="J518" s="17">
        <v>1994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/>
      </c>
      <c r="N518" s="17">
        <f aca="false">IF($J518="","",$J518+$K518)</f>
        <v>1994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79,760원</v>
      </c>
      <c r="P518" s="17">
        <f aca="false">IF($B$10=0,"",IFERROR(IF($B$4&gt;0,IF($L518="",1/0,$L518*$B$4),0)+IF($B$5&gt;0,IF($M518="",1/0,$M518*$B$5),0)+IF($B$6&gt;0,IF($N518="",1/0,$N518*$B$6),0),""))</f>
        <v>79760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79760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79760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IF($T519="","",1+COUNTIF($W$15:$W$884,"&lt;"&amp;W519))</f>
        <v>484</v>
      </c>
      <c r="B519" s="16" t="s">
        <v>6</v>
      </c>
      <c r="C519" s="16" t="s">
        <v>1515</v>
      </c>
      <c r="D519" s="16" t="s">
        <v>45</v>
      </c>
      <c r="E519" s="16" t="s">
        <v>26</v>
      </c>
      <c r="F519" s="16" t="s">
        <v>1516</v>
      </c>
      <c r="G519" s="17">
        <v>1994</v>
      </c>
      <c r="H519" s="17"/>
      <c r="I519" s="17"/>
      <c r="J519" s="17">
        <v>1997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/>
      </c>
      <c r="N519" s="17">
        <f aca="false">IF($J519="","",$J519+$K519)</f>
        <v>1997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79,760원</v>
      </c>
      <c r="P519" s="17">
        <f aca="false">IF($B$10=0,"",IFERROR(IF($B$4&gt;0,IF($L519="",1/0,$L519*$B$4),0)+IF($B$5&gt;0,IF($M519="",1/0,$M519*$B$5),0)+IF($B$6&gt;0,IF($N519="",1/0,$N519*$B$6),0),""))</f>
        <v>79760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79760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79760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IF($T520="","",1+COUNTIF($W$15:$W$884,"&lt;"&amp;W520))</f>
        <v>506</v>
      </c>
      <c r="B520" s="16" t="s">
        <v>6</v>
      </c>
      <c r="C520" s="16" t="s">
        <v>1049</v>
      </c>
      <c r="D520" s="16" t="s">
        <v>64</v>
      </c>
      <c r="E520" s="16" t="s">
        <v>26</v>
      </c>
      <c r="F520" s="16" t="s">
        <v>1050</v>
      </c>
      <c r="G520" s="17">
        <v>1995</v>
      </c>
      <c r="H520" s="17">
        <v>2375</v>
      </c>
      <c r="I520" s="17"/>
      <c r="J520" s="17">
        <v>1987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1995</v>
      </c>
      <c r="M520" s="17">
        <f aca="false">IF($H520="","",$H520+$K520)</f>
        <v>2375</v>
      </c>
      <c r="N520" s="17">
        <f aca="false">IF($J520="","",$J520+$K520)</f>
        <v>1987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79,800원</v>
      </c>
      <c r="P520" s="17">
        <f aca="false">IF($B$10=0,"",IFERROR(IF($B$4&gt;0,IF($L520="",1/0,$L520*$B$4),0)+IF($B$5&gt;0,IF($M520="",1/0,$M520*$B$5),0)+IF($B$6&gt;0,IF($N520="",1/0,$N520*$B$6),0),""))</f>
        <v>79800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79800</v>
      </c>
      <c r="U520" s="17">
        <f aca="false">IF($T520="","",IF($B$10=0,"",$T520/$B$10))</f>
        <v>1995</v>
      </c>
      <c r="V520" s="17">
        <f aca="false">IF($P520="","",IF($B$10=0,"",$P520/$B$10))</f>
        <v>1995</v>
      </c>
      <c r="W520" s="19">
        <f aca="false">IF($T520="",1000000000000000,$T520)</f>
        <v>79800</v>
      </c>
      <c r="XFB520" s="6"/>
      <c r="XFC520" s="3"/>
    </row>
    <row r="521" s="6" collapsed="false" customFormat="true" customHeight="true" hidden="false" ht="28.5" outlineLevel="0">
      <c r="A521" s="16">
        <f aca="false">IF($T521="","",1+COUNTIF($W$15:$W$884,"&lt;"&amp;W521))</f>
        <v>506</v>
      </c>
      <c r="B521" s="16" t="s">
        <v>6</v>
      </c>
      <c r="C521" s="16" t="s">
        <v>1051</v>
      </c>
      <c r="D521" s="21" t="s">
        <v>57</v>
      </c>
      <c r="E521" s="16" t="s">
        <v>26</v>
      </c>
      <c r="F521" s="16" t="s">
        <v>1052</v>
      </c>
      <c r="G521" s="17">
        <v>1995</v>
      </c>
      <c r="H521" s="17">
        <v>2380</v>
      </c>
      <c r="I521" s="17"/>
      <c r="J521" s="17">
        <v>1999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1995</v>
      </c>
      <c r="M521" s="17">
        <f aca="false">IF($H521="","",$H521+$K521)</f>
        <v>2380</v>
      </c>
      <c r="N521" s="17">
        <f aca="false">IF($J521="","",$J521+$K521)</f>
        <v>1999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79,800원</v>
      </c>
      <c r="P521" s="17">
        <f aca="false">IF($B$10=0,"",IFERROR(IF($B$4&gt;0,IF($L521="",1/0,$L521*$B$4),0)+IF($B$5&gt;0,IF($M521="",1/0,$M521*$B$5),0)+IF($B$6&gt;0,IF($N521="",1/0,$N521*$B$6),0),""))</f>
        <v>79800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79800</v>
      </c>
      <c r="U521" s="17">
        <f aca="false">IF($T521="","",IF($B$10=0,"",$T521/$B$10))</f>
        <v>1995</v>
      </c>
      <c r="V521" s="17">
        <f aca="false">IF($P521="","",IF($B$10=0,"",$P521/$B$10))</f>
        <v>1995</v>
      </c>
      <c r="W521" s="19">
        <f aca="false">IF($T521="",1000000000000000,$T521)</f>
        <v>79800</v>
      </c>
      <c r="XFC521" s="3"/>
    </row>
    <row r="522" s="5" collapsed="false" customFormat="true" customHeight="true" hidden="false" ht="28.5" outlineLevel="0">
      <c r="A522" s="16">
        <f aca="false">IF($T522="","",1+COUNTIF($W$15:$W$884,"&lt;"&amp;W522))</f>
        <v>506</v>
      </c>
      <c r="B522" s="16" t="s">
        <v>6</v>
      </c>
      <c r="C522" s="16" t="s">
        <v>1053</v>
      </c>
      <c r="D522" s="21" t="s">
        <v>57</v>
      </c>
      <c r="E522" s="16" t="s">
        <v>26</v>
      </c>
      <c r="F522" s="16" t="s">
        <v>1054</v>
      </c>
      <c r="G522" s="17">
        <v>1995</v>
      </c>
      <c r="H522" s="17">
        <v>2380</v>
      </c>
      <c r="I522" s="17"/>
      <c r="J522" s="17">
        <v>1999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1995</v>
      </c>
      <c r="M522" s="17">
        <f aca="false">IF($H522="","",$H522+$K522)</f>
        <v>2380</v>
      </c>
      <c r="N522" s="17">
        <f aca="false">IF($J522="","",$J522+$K522)</f>
        <v>1999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79,800원</v>
      </c>
      <c r="P522" s="17">
        <f aca="false">IF($B$10=0,"",IFERROR(IF($B$4&gt;0,IF($L522="",1/0,$L522*$B$4),0)+IF($B$5&gt;0,IF($M522="",1/0,$M522*$B$5),0)+IF($B$6&gt;0,IF($N522="",1/0,$N522*$B$6),0),""))</f>
        <v>79800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79800</v>
      </c>
      <c r="U522" s="17">
        <f aca="false">IF($T522="","",IF($B$10=0,"",$T522/$B$10))</f>
        <v>1995</v>
      </c>
      <c r="V522" s="17">
        <f aca="false">IF($P522="","",IF($B$10=0,"",$P522/$B$10))</f>
        <v>1995</v>
      </c>
      <c r="W522" s="19">
        <f aca="false">IF($T522="",1000000000000000,$T522)</f>
        <v>79800</v>
      </c>
      <c r="XFB522" s="6"/>
      <c r="XFC522" s="3"/>
    </row>
    <row r="523" s="22" collapsed="false" customFormat="true" customHeight="true" hidden="false" ht="28.5" outlineLevel="0">
      <c r="A523" s="16">
        <f aca="false">IF($T523="","",1+COUNTIF($W$15:$W$884,"&lt;"&amp;W523))</f>
        <v>506</v>
      </c>
      <c r="B523" s="16" t="s">
        <v>6</v>
      </c>
      <c r="C523" s="16" t="s">
        <v>1055</v>
      </c>
      <c r="D523" s="21" t="s">
        <v>57</v>
      </c>
      <c r="E523" s="16" t="s">
        <v>26</v>
      </c>
      <c r="F523" s="16" t="s">
        <v>1056</v>
      </c>
      <c r="G523" s="17">
        <v>1995</v>
      </c>
      <c r="H523" s="17">
        <v>2380</v>
      </c>
      <c r="I523" s="17"/>
      <c r="J523" s="17">
        <v>1999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1995</v>
      </c>
      <c r="M523" s="17">
        <f aca="false">IF($H523="","",$H523+$K523)</f>
        <v>2380</v>
      </c>
      <c r="N523" s="17">
        <f aca="false">IF($J523="","",$J523+$K523)</f>
        <v>1999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79,800원</v>
      </c>
      <c r="P523" s="17">
        <f aca="false">IF($B$10=0,"",IFERROR(IF($B$4&gt;0,IF($L523="",1/0,$L523*$B$4),0)+IF($B$5&gt;0,IF($M523="",1/0,$M523*$B$5),0)+IF($B$6&gt;0,IF($N523="",1/0,$N523*$B$6),0),""))</f>
        <v>79800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79800</v>
      </c>
      <c r="U523" s="17">
        <f aca="false">IF($T523="","",IF($B$10=0,"",$T523/$B$10))</f>
        <v>1995</v>
      </c>
      <c r="V523" s="17">
        <f aca="false">IF($P523="","",IF($B$10=0,"",$P523/$B$10))</f>
        <v>1995</v>
      </c>
      <c r="W523" s="19">
        <f aca="false">IF($T523="",1000000000000000,$T523)</f>
        <v>79800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IF($T524="","",1+COUNTIF($W$15:$W$884,"&lt;"&amp;W524))</f>
        <v>506</v>
      </c>
      <c r="B524" s="16" t="s">
        <v>6</v>
      </c>
      <c r="C524" s="16" t="s">
        <v>1057</v>
      </c>
      <c r="D524" s="21" t="s">
        <v>57</v>
      </c>
      <c r="E524" s="16" t="s">
        <v>51</v>
      </c>
      <c r="F524" s="16" t="s">
        <v>1058</v>
      </c>
      <c r="G524" s="17">
        <v>1995</v>
      </c>
      <c r="H524" s="17">
        <v>2388</v>
      </c>
      <c r="I524" s="17"/>
      <c r="J524" s="17">
        <v>1995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1995</v>
      </c>
      <c r="M524" s="17">
        <f aca="false">IF($H524="","",$H524+$K524)</f>
        <v>2388</v>
      </c>
      <c r="N524" s="17">
        <f aca="false">IF($J524="","",$J524+$K524)</f>
        <v>1995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79,800원</v>
      </c>
      <c r="P524" s="17">
        <f aca="false">IF($B$10=0,"",IFERROR(IF($B$4&gt;0,IF($L524="",1/0,$L524*$B$4),0)+IF($B$5&gt;0,IF($M524="",1/0,$M524*$B$5),0)+IF($B$6&gt;0,IF($N524="",1/0,$N524*$B$6),0),""))</f>
        <v>79800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79800</v>
      </c>
      <c r="U524" s="17">
        <f aca="false">IF($T524="","",IF($B$10=0,"",$T524/$B$10))</f>
        <v>1995</v>
      </c>
      <c r="V524" s="17">
        <f aca="false">IF($P524="","",IF($B$10=0,"",$P524/$B$10))</f>
        <v>1995</v>
      </c>
      <c r="W524" s="19">
        <f aca="false">IF($T524="",1000000000000000,$T524)</f>
        <v>79800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IF($T525="","",1+COUNTIF($W$15:$W$884,"&lt;"&amp;W525))</f>
        <v>506</v>
      </c>
      <c r="B525" s="16" t="s">
        <v>6</v>
      </c>
      <c r="C525" s="16" t="s">
        <v>1059</v>
      </c>
      <c r="D525" s="21" t="s">
        <v>57</v>
      </c>
      <c r="E525" s="16" t="s">
        <v>26</v>
      </c>
      <c r="F525" s="16" t="s">
        <v>1060</v>
      </c>
      <c r="G525" s="17">
        <v>1995</v>
      </c>
      <c r="H525" s="17">
        <v>2393</v>
      </c>
      <c r="I525" s="17"/>
      <c r="J525" s="17">
        <v>1999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1995</v>
      </c>
      <c r="M525" s="17">
        <f aca="false">IF($H525="","",$H525+$K525)</f>
        <v>2393</v>
      </c>
      <c r="N525" s="17">
        <f aca="false">IF($J525="","",$J525+$K525)</f>
        <v>1999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79,800원</v>
      </c>
      <c r="P525" s="17">
        <f aca="false">IF($B$10=0,"",IFERROR(IF($B$4&gt;0,IF($L525="",1/0,$L525*$B$4),0)+IF($B$5&gt;0,IF($M525="",1/0,$M525*$B$5),0)+IF($B$6&gt;0,IF($N525="",1/0,$N525*$B$6),0),""))</f>
        <v>79800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79800</v>
      </c>
      <c r="U525" s="17">
        <f aca="false">IF($T525="","",IF($B$10=0,"",$T525/$B$10))</f>
        <v>1995</v>
      </c>
      <c r="V525" s="17">
        <f aca="false">IF($P525="","",IF($B$10=0,"",$P525/$B$10))</f>
        <v>1995</v>
      </c>
      <c r="W525" s="19">
        <f aca="false">IF($T525="",1000000000000000,$T525)</f>
        <v>79800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IF($T526="","",1+COUNTIF($W$15:$W$884,"&lt;"&amp;W526))</f>
        <v>506</v>
      </c>
      <c r="B526" s="16" t="s">
        <v>6</v>
      </c>
      <c r="C526" s="16" t="s">
        <v>1063</v>
      </c>
      <c r="D526" s="16" t="s">
        <v>45</v>
      </c>
      <c r="E526" s="16" t="s">
        <v>26</v>
      </c>
      <c r="F526" s="16" t="s">
        <v>1064</v>
      </c>
      <c r="G526" s="17">
        <v>1995</v>
      </c>
      <c r="H526" s="17">
        <v>2399</v>
      </c>
      <c r="I526" s="17"/>
      <c r="J526" s="17">
        <v>1985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1995</v>
      </c>
      <c r="M526" s="17">
        <f aca="false">IF($H526="","",$H526+$K526)</f>
        <v>2399</v>
      </c>
      <c r="N526" s="17">
        <f aca="false">IF($J526="","",$J526+$K526)</f>
        <v>1985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79,800원</v>
      </c>
      <c r="P526" s="17">
        <f aca="false">IF($B$10=0,"",IFERROR(IF($B$4&gt;0,IF($L526="",1/0,$L526*$B$4),0)+IF($B$5&gt;0,IF($M526="",1/0,$M526*$B$5),0)+IF($B$6&gt;0,IF($N526="",1/0,$N526*$B$6),0),""))</f>
        <v>79800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79800</v>
      </c>
      <c r="U526" s="17">
        <f aca="false">IF($T526="","",IF($B$10=0,"",$T526/$B$10))</f>
        <v>1995</v>
      </c>
      <c r="V526" s="17">
        <f aca="false">IF($P526="","",IF($B$10=0,"",$P526/$B$10))</f>
        <v>1995</v>
      </c>
      <c r="W526" s="19">
        <f aca="false">IF($T526="",1000000000000000,$T526)</f>
        <v>79800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IF($T527="","",1+COUNTIF($W$15:$W$884,"&lt;"&amp;W527))</f>
        <v>506</v>
      </c>
      <c r="B527" s="16" t="s">
        <v>6</v>
      </c>
      <c r="C527" s="16" t="s">
        <v>1065</v>
      </c>
      <c r="D527" s="16" t="s">
        <v>64</v>
      </c>
      <c r="E527" s="16" t="s">
        <v>26</v>
      </c>
      <c r="F527" s="16" t="s">
        <v>1066</v>
      </c>
      <c r="G527" s="17">
        <v>1995</v>
      </c>
      <c r="H527" s="17">
        <v>2399</v>
      </c>
      <c r="I527" s="17"/>
      <c r="J527" s="17">
        <v>1988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1995</v>
      </c>
      <c r="M527" s="17">
        <f aca="false">IF($H527="","",$H527+$K527)</f>
        <v>2399</v>
      </c>
      <c r="N527" s="17">
        <f aca="false">IF($J527="","",$J527+$K527)</f>
        <v>1988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79,800원</v>
      </c>
      <c r="P527" s="17">
        <f aca="false">IF($B$10=0,"",IFERROR(IF($B$4&gt;0,IF($L527="",1/0,$L527*$B$4),0)+IF($B$5&gt;0,IF($M527="",1/0,$M527*$B$5),0)+IF($B$6&gt;0,IF($N527="",1/0,$N527*$B$6),0),""))</f>
        <v>79800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79800</v>
      </c>
      <c r="U527" s="17">
        <f aca="false">IF($T527="","",IF($B$10=0,"",$T527/$B$10))</f>
        <v>1995</v>
      </c>
      <c r="V527" s="17">
        <f aca="false">IF($P527="","",IF($B$10=0,"",$P527/$B$10))</f>
        <v>1995</v>
      </c>
      <c r="W527" s="19">
        <f aca="false">IF($T527="",1000000000000000,$T527)</f>
        <v>79800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IF($T528="","",1+COUNTIF($W$15:$W$884,"&lt;"&amp;W528))</f>
        <v>506</v>
      </c>
      <c r="B528" s="16" t="s">
        <v>10</v>
      </c>
      <c r="C528" s="16" t="s">
        <v>1067</v>
      </c>
      <c r="D528" s="21" t="s">
        <v>57</v>
      </c>
      <c r="E528" s="16" t="s">
        <v>26</v>
      </c>
      <c r="F528" s="16" t="s">
        <v>1068</v>
      </c>
      <c r="G528" s="17">
        <v>1995</v>
      </c>
      <c r="H528" s="17">
        <v>2399</v>
      </c>
      <c r="I528" s="17"/>
      <c r="J528" s="17">
        <v>1999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2399</v>
      </c>
      <c r="N528" s="17">
        <f aca="false">IF($J528="","",$J528+$K528)</f>
        <v>1999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79,800원</v>
      </c>
      <c r="P528" s="17">
        <f aca="false">IF($B$10=0,"",IFERROR(IF($B$4&gt;0,IF($L528="",1/0,$L528*$B$4),0)+IF($B$5&gt;0,IF($M528="",1/0,$M528*$B$5),0)+IF($B$6&gt;0,IF($N528="",1/0,$N528*$B$6),0),""))</f>
        <v>79800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79800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79800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IF($T529="","",1+COUNTIF($W$15:$W$884,"&lt;"&amp;W529))</f>
        <v>506</v>
      </c>
      <c r="B529" s="16" t="s">
        <v>6</v>
      </c>
      <c r="C529" s="16" t="s">
        <v>1069</v>
      </c>
      <c r="D529" s="21" t="s">
        <v>57</v>
      </c>
      <c r="E529" s="16" t="s">
        <v>26</v>
      </c>
      <c r="F529" s="16" t="s">
        <v>1070</v>
      </c>
      <c r="G529" s="17">
        <v>1995</v>
      </c>
      <c r="H529" s="17">
        <v>2400</v>
      </c>
      <c r="I529" s="17"/>
      <c r="J529" s="17">
        <v>1995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2400</v>
      </c>
      <c r="N529" s="17">
        <f aca="false">IF($J529="","",$J529+$K529)</f>
        <v>1995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79,800원</v>
      </c>
      <c r="P529" s="17">
        <f aca="false">IF($B$10=0,"",IFERROR(IF($B$4&gt;0,IF($L529="",1/0,$L529*$B$4),0)+IF($B$5&gt;0,IF($M529="",1/0,$M529*$B$5),0)+IF($B$6&gt;0,IF($N529="",1/0,$N529*$B$6),0),""))</f>
        <v>79800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79800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79800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IF($T530="","",1+COUNTIF($W$15:$W$884,"&lt;"&amp;W530))</f>
        <v>506</v>
      </c>
      <c r="B530" s="16" t="s">
        <v>6</v>
      </c>
      <c r="C530" s="16" t="s">
        <v>1071</v>
      </c>
      <c r="D530" s="21" t="s">
        <v>57</v>
      </c>
      <c r="E530" s="16" t="s">
        <v>26</v>
      </c>
      <c r="F530" s="16" t="s">
        <v>1072</v>
      </c>
      <c r="G530" s="17">
        <v>1995</v>
      </c>
      <c r="H530" s="17">
        <v>2400</v>
      </c>
      <c r="I530" s="17"/>
      <c r="J530" s="17">
        <v>1995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2400</v>
      </c>
      <c r="N530" s="17">
        <f aca="false">IF($J530="","",$J530+$K530)</f>
        <v>1995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B530" s="6"/>
      <c r="XFC530" s="3"/>
    </row>
    <row r="531" s="6" collapsed="false" customFormat="true" customHeight="true" hidden="false" ht="28.5" outlineLevel="0">
      <c r="A531" s="16">
        <f aca="false">IF($T531="","",1+COUNTIF($W$15:$W$884,"&lt;"&amp;W531))</f>
        <v>506</v>
      </c>
      <c r="B531" s="16" t="s">
        <v>14</v>
      </c>
      <c r="C531" s="16" t="s">
        <v>1073</v>
      </c>
      <c r="D531" s="21" t="s">
        <v>57</v>
      </c>
      <c r="E531" s="16" t="s">
        <v>26</v>
      </c>
      <c r="F531" s="16" t="s">
        <v>1074</v>
      </c>
      <c r="G531" s="17">
        <v>1995</v>
      </c>
      <c r="H531" s="17">
        <v>2400</v>
      </c>
      <c r="I531" s="17"/>
      <c r="J531" s="17">
        <v>1995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2400</v>
      </c>
      <c r="N531" s="17">
        <f aca="false">IF($J531="","",$J531+$K531)</f>
        <v>1995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C531" s="3"/>
    </row>
    <row r="532" s="6" collapsed="false" customFormat="true" customHeight="true" hidden="false" ht="28.5" outlineLevel="0">
      <c r="A532" s="16">
        <f aca="false">IF($T532="","",1+COUNTIF($W$15:$W$884,"&lt;"&amp;W532))</f>
        <v>506</v>
      </c>
      <c r="B532" s="16" t="s">
        <v>6</v>
      </c>
      <c r="C532" s="16" t="s">
        <v>1075</v>
      </c>
      <c r="D532" s="21" t="s">
        <v>57</v>
      </c>
      <c r="E532" s="16" t="s">
        <v>26</v>
      </c>
      <c r="F532" s="16" t="s">
        <v>1076</v>
      </c>
      <c r="G532" s="17">
        <v>1995</v>
      </c>
      <c r="H532" s="17">
        <v>2400</v>
      </c>
      <c r="I532" s="17"/>
      <c r="J532" s="17">
        <v>1999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2400</v>
      </c>
      <c r="N532" s="17">
        <f aca="false">IF($J532="","",$J532+$K532)</f>
        <v>1999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C532" s="3"/>
    </row>
    <row r="533" s="6" collapsed="false" customFormat="true" customHeight="true" hidden="false" ht="28.5" outlineLevel="0">
      <c r="A533" s="16">
        <f aca="false">IF($T533="","",1+COUNTIF($W$15:$W$884,"&lt;"&amp;W533))</f>
        <v>506</v>
      </c>
      <c r="B533" s="16" t="s">
        <v>14</v>
      </c>
      <c r="C533" s="16" t="s">
        <v>1077</v>
      </c>
      <c r="D533" s="21" t="s">
        <v>57</v>
      </c>
      <c r="E533" s="16" t="s">
        <v>26</v>
      </c>
      <c r="F533" s="16" t="s">
        <v>1078</v>
      </c>
      <c r="G533" s="17">
        <v>1995</v>
      </c>
      <c r="H533" s="17">
        <v>2400</v>
      </c>
      <c r="I533" s="17"/>
      <c r="J533" s="17">
        <v>1999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2400</v>
      </c>
      <c r="N533" s="17">
        <f aca="false">IF($J533="","",$J533+$K533)</f>
        <v>1999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C533" s="3"/>
    </row>
    <row r="534" s="22" collapsed="false" customFormat="true" customHeight="true" hidden="false" ht="28.5" outlineLevel="0">
      <c r="A534" s="16">
        <f aca="false">IF($T534="","",1+COUNTIF($W$15:$W$884,"&lt;"&amp;W534))</f>
        <v>506</v>
      </c>
      <c r="B534" s="16" t="s">
        <v>12</v>
      </c>
      <c r="C534" s="16" t="s">
        <v>1079</v>
      </c>
      <c r="D534" s="21" t="s">
        <v>57</v>
      </c>
      <c r="E534" s="16" t="s">
        <v>26</v>
      </c>
      <c r="F534" s="16" t="s">
        <v>1080</v>
      </c>
      <c r="G534" s="17">
        <v>1995</v>
      </c>
      <c r="H534" s="17">
        <v>2403</v>
      </c>
      <c r="I534" s="17"/>
      <c r="J534" s="17">
        <v>1999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2403</v>
      </c>
      <c r="N534" s="17">
        <f aca="false">IF($J534="","",$J534+$K534)</f>
        <v>1999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IF($T535="","",1+COUNTIF($W$15:$W$884,"&lt;"&amp;W535))</f>
        <v>506</v>
      </c>
      <c r="B535" s="16" t="s">
        <v>10</v>
      </c>
      <c r="C535" s="16" t="s">
        <v>1081</v>
      </c>
      <c r="D535" s="21" t="s">
        <v>57</v>
      </c>
      <c r="E535" s="16" t="s">
        <v>26</v>
      </c>
      <c r="F535" s="16" t="s">
        <v>1082</v>
      </c>
      <c r="G535" s="17">
        <v>1995</v>
      </c>
      <c r="H535" s="17">
        <v>2403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2403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B535" s="6"/>
      <c r="XFC535" s="3"/>
    </row>
    <row r="536" s="22" collapsed="false" customFormat="true" customHeight="true" hidden="false" ht="28.5" outlineLevel="0">
      <c r="A536" s="16">
        <f aca="false">IF($T536="","",1+COUNTIF($W$15:$W$884,"&lt;"&amp;W536))</f>
        <v>506</v>
      </c>
      <c r="B536" s="16" t="s">
        <v>6</v>
      </c>
      <c r="C536" s="16" t="s">
        <v>1083</v>
      </c>
      <c r="D536" s="21" t="s">
        <v>57</v>
      </c>
      <c r="E536" s="16" t="s">
        <v>26</v>
      </c>
      <c r="F536" s="16" t="s">
        <v>1084</v>
      </c>
      <c r="G536" s="17">
        <v>1995</v>
      </c>
      <c r="H536" s="17">
        <v>2407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2407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IF($T537="","",1+COUNTIF($W$15:$W$884,"&lt;"&amp;W537))</f>
        <v>506</v>
      </c>
      <c r="B537" s="16" t="s">
        <v>10</v>
      </c>
      <c r="C537" s="16" t="s">
        <v>1085</v>
      </c>
      <c r="D537" s="21" t="s">
        <v>57</v>
      </c>
      <c r="E537" s="16" t="s">
        <v>26</v>
      </c>
      <c r="F537" s="16" t="s">
        <v>1086</v>
      </c>
      <c r="G537" s="17">
        <v>1995</v>
      </c>
      <c r="H537" s="17">
        <v>2408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2408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IF($T538="","",1+COUNTIF($W$15:$W$884,"&lt;"&amp;W538))</f>
        <v>506</v>
      </c>
      <c r="B538" s="16" t="s">
        <v>6</v>
      </c>
      <c r="C538" s="16" t="s">
        <v>1087</v>
      </c>
      <c r="D538" s="16" t="s">
        <v>45</v>
      </c>
      <c r="E538" s="16" t="s">
        <v>26</v>
      </c>
      <c r="F538" s="16" t="s">
        <v>1088</v>
      </c>
      <c r="G538" s="17">
        <v>1995</v>
      </c>
      <c r="H538" s="17">
        <v>2415</v>
      </c>
      <c r="I538" s="17"/>
      <c r="J538" s="17">
        <v>1995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2415</v>
      </c>
      <c r="N538" s="17">
        <f aca="false">IF($J538="","",$J538+$K538)</f>
        <v>1995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B538" s="6"/>
      <c r="XFC538" s="3"/>
    </row>
    <row r="539" s="22" collapsed="false" customFormat="true" customHeight="true" hidden="false" ht="28.5" outlineLevel="0">
      <c r="A539" s="16">
        <f aca="false">IF($T539="","",1+COUNTIF($W$15:$W$884,"&lt;"&amp;W539))</f>
        <v>506</v>
      </c>
      <c r="B539" s="16" t="s">
        <v>14</v>
      </c>
      <c r="C539" s="16" t="s">
        <v>1089</v>
      </c>
      <c r="D539" s="21" t="s">
        <v>57</v>
      </c>
      <c r="E539" s="16" t="s">
        <v>26</v>
      </c>
      <c r="F539" s="16" t="s">
        <v>1090</v>
      </c>
      <c r="G539" s="17">
        <v>1995</v>
      </c>
      <c r="H539" s="17">
        <v>2420</v>
      </c>
      <c r="I539" s="17"/>
      <c r="J539" s="17">
        <v>1999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2420</v>
      </c>
      <c r="N539" s="17">
        <f aca="false">IF($J539="","",$J539+$K539)</f>
        <v>1999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IF($T540="","",1+COUNTIF($W$15:$W$884,"&lt;"&amp;W540))</f>
        <v>506</v>
      </c>
      <c r="B540" s="16" t="s">
        <v>10</v>
      </c>
      <c r="C540" s="16" t="s">
        <v>1091</v>
      </c>
      <c r="D540" s="21" t="s">
        <v>57</v>
      </c>
      <c r="E540" s="16" t="s">
        <v>26</v>
      </c>
      <c r="F540" s="16" t="s">
        <v>1092</v>
      </c>
      <c r="G540" s="17">
        <v>1995</v>
      </c>
      <c r="H540" s="17">
        <v>2440</v>
      </c>
      <c r="I540" s="17"/>
      <c r="J540" s="17">
        <v>1995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2440</v>
      </c>
      <c r="N540" s="17">
        <f aca="false">IF($J540="","",$J540+$K540)</f>
        <v>1995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IF($T541="","",1+COUNTIF($W$15:$W$884,"&lt;"&amp;W541))</f>
        <v>506</v>
      </c>
      <c r="B541" s="16" t="s">
        <v>12</v>
      </c>
      <c r="C541" s="16" t="s">
        <v>1093</v>
      </c>
      <c r="D541" s="21" t="s">
        <v>57</v>
      </c>
      <c r="E541" s="16" t="s">
        <v>26</v>
      </c>
      <c r="F541" s="16" t="s">
        <v>1094</v>
      </c>
      <c r="G541" s="17">
        <v>1995</v>
      </c>
      <c r="H541" s="17">
        <v>2445</v>
      </c>
      <c r="I541" s="17"/>
      <c r="J541" s="17">
        <v>1975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2445</v>
      </c>
      <c r="N541" s="17">
        <f aca="false">IF($J541="","",$J541+$K541)</f>
        <v>1975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IF($T542="","",1+COUNTIF($W$15:$W$884,"&lt;"&amp;W542))</f>
        <v>506</v>
      </c>
      <c r="B542" s="16" t="s">
        <v>12</v>
      </c>
      <c r="C542" s="16" t="s">
        <v>1095</v>
      </c>
      <c r="D542" s="21" t="s">
        <v>64</v>
      </c>
      <c r="E542" s="16" t="s">
        <v>26</v>
      </c>
      <c r="F542" s="16" t="s">
        <v>1096</v>
      </c>
      <c r="G542" s="17">
        <v>1995</v>
      </c>
      <c r="H542" s="17">
        <v>2445</v>
      </c>
      <c r="I542" s="17"/>
      <c r="J542" s="17">
        <v>1985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2445</v>
      </c>
      <c r="N542" s="17">
        <f aca="false">IF($J542="","",$J542+$K542)</f>
        <v>1985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IF($T543="","",1+COUNTIF($W$15:$W$884,"&lt;"&amp;W543))</f>
        <v>506</v>
      </c>
      <c r="B543" s="16" t="s">
        <v>6</v>
      </c>
      <c r="C543" s="16" t="s">
        <v>1097</v>
      </c>
      <c r="D543" s="21" t="s">
        <v>57</v>
      </c>
      <c r="E543" s="16" t="s">
        <v>51</v>
      </c>
      <c r="F543" s="16" t="s">
        <v>1098</v>
      </c>
      <c r="G543" s="17">
        <v>1995</v>
      </c>
      <c r="H543" s="17">
        <v>2450</v>
      </c>
      <c r="I543" s="17"/>
      <c r="J543" s="17">
        <v>1995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2450</v>
      </c>
      <c r="N543" s="17">
        <f aca="false">IF($J543="","",$J543+$K543)</f>
        <v>1995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IF($T544="","",1+COUNTIF($W$15:$W$884,"&lt;"&amp;W544))</f>
        <v>506</v>
      </c>
      <c r="B544" s="16" t="s">
        <v>6</v>
      </c>
      <c r="C544" s="16" t="s">
        <v>1099</v>
      </c>
      <c r="D544" s="21" t="s">
        <v>57</v>
      </c>
      <c r="E544" s="16" t="s">
        <v>26</v>
      </c>
      <c r="F544" s="16" t="s">
        <v>1100</v>
      </c>
      <c r="G544" s="17">
        <v>1995</v>
      </c>
      <c r="H544" s="17">
        <v>2455</v>
      </c>
      <c r="I544" s="17"/>
      <c r="J544" s="17">
        <v>1995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2455</v>
      </c>
      <c r="N544" s="17">
        <f aca="false">IF($J544="","",$J544+$K544)</f>
        <v>1995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IF($T545="","",1+COUNTIF($W$15:$W$884,"&lt;"&amp;W545))</f>
        <v>506</v>
      </c>
      <c r="B545" s="16" t="s">
        <v>12</v>
      </c>
      <c r="C545" s="16" t="s">
        <v>1101</v>
      </c>
      <c r="D545" s="21" t="s">
        <v>45</v>
      </c>
      <c r="E545" s="16" t="s">
        <v>26</v>
      </c>
      <c r="F545" s="16" t="s">
        <v>1102</v>
      </c>
      <c r="G545" s="17">
        <v>1995</v>
      </c>
      <c r="H545" s="17">
        <v>2455</v>
      </c>
      <c r="I545" s="17"/>
      <c r="J545" s="17">
        <v>1995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2455</v>
      </c>
      <c r="N545" s="17">
        <f aca="false">IF($J545="","",$J545+$K545)</f>
        <v>1995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IF($T546="","",1+COUNTIF($W$15:$W$884,"&lt;"&amp;W546))</f>
        <v>506</v>
      </c>
      <c r="B546" s="16" t="s">
        <v>12</v>
      </c>
      <c r="C546" s="16" t="s">
        <v>1103</v>
      </c>
      <c r="D546" s="21" t="s">
        <v>57</v>
      </c>
      <c r="E546" s="16" t="s">
        <v>26</v>
      </c>
      <c r="F546" s="16" t="s">
        <v>1104</v>
      </c>
      <c r="G546" s="17">
        <v>1995</v>
      </c>
      <c r="H546" s="17">
        <v>2495</v>
      </c>
      <c r="I546" s="17"/>
      <c r="J546" s="17">
        <v>1975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2495</v>
      </c>
      <c r="N546" s="17">
        <f aca="false">IF($J546="","",$J546+$K546)</f>
        <v>1975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IF($T547="","",1+COUNTIF($W$15:$W$884,"&lt;"&amp;W547))</f>
        <v>506</v>
      </c>
      <c r="B547" s="16" t="s">
        <v>12</v>
      </c>
      <c r="C547" s="16" t="s">
        <v>1121</v>
      </c>
      <c r="D547" s="21" t="s">
        <v>45</v>
      </c>
      <c r="E547" s="16" t="s">
        <v>26</v>
      </c>
      <c r="F547" s="16" t="s">
        <v>1122</v>
      </c>
      <c r="G547" s="17">
        <v>1995</v>
      </c>
      <c r="H547" s="17"/>
      <c r="I547" s="17"/>
      <c r="J547" s="17">
        <v>1975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/>
      </c>
      <c r="N547" s="17">
        <f aca="false">IF($J547="","",$J547+$K547)</f>
        <v>1975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22" collapsed="false" customFormat="true" customHeight="true" hidden="false" ht="28.5" outlineLevel="0">
      <c r="A548" s="16">
        <f aca="false">IF($T548="","",1+COUNTIF($W$15:$W$884,"&lt;"&amp;W548))</f>
        <v>506</v>
      </c>
      <c r="B548" s="16" t="s">
        <v>10</v>
      </c>
      <c r="C548" s="16" t="s">
        <v>1105</v>
      </c>
      <c r="D548" s="16" t="s">
        <v>45</v>
      </c>
      <c r="E548" s="16" t="s">
        <v>26</v>
      </c>
      <c r="F548" s="16" t="s">
        <v>1106</v>
      </c>
      <c r="G548" s="17">
        <v>1995</v>
      </c>
      <c r="H548" s="17"/>
      <c r="I548" s="17"/>
      <c r="J548" s="17">
        <v>1979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/>
      </c>
      <c r="N548" s="17">
        <f aca="false">IF($J548="","",$J548+$K548)</f>
        <v>1979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IF($T549="","",1+COUNTIF($W$15:$W$884,"&lt;"&amp;W549))</f>
        <v>506</v>
      </c>
      <c r="B549" s="16" t="s">
        <v>6</v>
      </c>
      <c r="C549" s="16" t="s">
        <v>1107</v>
      </c>
      <c r="D549" s="20" t="s">
        <v>54</v>
      </c>
      <c r="E549" s="16" t="s">
        <v>26</v>
      </c>
      <c r="F549" s="16" t="s">
        <v>1108</v>
      </c>
      <c r="G549" s="17">
        <v>1995</v>
      </c>
      <c r="H549" s="17"/>
      <c r="I549" s="17"/>
      <c r="J549" s="17">
        <v>1985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/>
      </c>
      <c r="N549" s="17">
        <f aca="false">IF($J549="","",$J549+$K549)</f>
        <v>1985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IF($T550="","",1+COUNTIF($W$15:$W$884,"&lt;"&amp;W550))</f>
        <v>506</v>
      </c>
      <c r="B550" s="16" t="s">
        <v>6</v>
      </c>
      <c r="C550" s="16" t="s">
        <v>1109</v>
      </c>
      <c r="D550" s="20" t="s">
        <v>54</v>
      </c>
      <c r="E550" s="16" t="s">
        <v>26</v>
      </c>
      <c r="F550" s="16" t="s">
        <v>1110</v>
      </c>
      <c r="G550" s="17">
        <v>1995</v>
      </c>
      <c r="H550" s="17"/>
      <c r="I550" s="17"/>
      <c r="J550" s="17">
        <v>1985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/>
      </c>
      <c r="N550" s="17">
        <f aca="false">IF($J550="","",$J550+$K550)</f>
        <v>1985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6" collapsed="false" customFormat="true" customHeight="true" hidden="false" ht="28.5" outlineLevel="0">
      <c r="A551" s="16">
        <f aca="false">IF($T551="","",1+COUNTIF($W$15:$W$884,"&lt;"&amp;W551))</f>
        <v>506</v>
      </c>
      <c r="B551" s="16" t="s">
        <v>6</v>
      </c>
      <c r="C551" s="16" t="s">
        <v>1111</v>
      </c>
      <c r="D551" s="16" t="s">
        <v>45</v>
      </c>
      <c r="E551" s="16" t="s">
        <v>26</v>
      </c>
      <c r="F551" s="16" t="s">
        <v>1112</v>
      </c>
      <c r="G551" s="17">
        <v>1995</v>
      </c>
      <c r="H551" s="17"/>
      <c r="I551" s="17"/>
      <c r="J551" s="17">
        <v>1985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/>
      </c>
      <c r="N551" s="17">
        <f aca="false">IF($J551="","",$J551+$K551)</f>
        <v>1985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C551" s="3"/>
    </row>
    <row r="552" s="5" collapsed="false" customFormat="true" customHeight="true" hidden="false" ht="28.5" outlineLevel="0">
      <c r="A552" s="16">
        <f aca="false">IF($T552="","",1+COUNTIF($W$15:$W$884,"&lt;"&amp;W552))</f>
        <v>506</v>
      </c>
      <c r="B552" s="16" t="s">
        <v>6</v>
      </c>
      <c r="C552" s="16" t="s">
        <v>1113</v>
      </c>
      <c r="D552" s="20" t="s">
        <v>54</v>
      </c>
      <c r="E552" s="16" t="s">
        <v>26</v>
      </c>
      <c r="F552" s="16" t="s">
        <v>1114</v>
      </c>
      <c r="G552" s="17">
        <v>1995</v>
      </c>
      <c r="H552" s="17"/>
      <c r="I552" s="17"/>
      <c r="J552" s="17">
        <v>1985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/>
      </c>
      <c r="N552" s="17">
        <f aca="false">IF($J552="","",$J552+$K552)</f>
        <v>1985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IF($T553="","",1+COUNTIF($W$15:$W$884,"&lt;"&amp;W553))</f>
        <v>506</v>
      </c>
      <c r="B553" s="16" t="s">
        <v>6</v>
      </c>
      <c r="C553" s="16" t="s">
        <v>1115</v>
      </c>
      <c r="D553" s="21" t="s">
        <v>57</v>
      </c>
      <c r="E553" s="16" t="s">
        <v>26</v>
      </c>
      <c r="F553" s="16" t="s">
        <v>1116</v>
      </c>
      <c r="G553" s="17">
        <v>1995</v>
      </c>
      <c r="H553" s="17"/>
      <c r="I553" s="17"/>
      <c r="J553" s="17">
        <v>1985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/>
      </c>
      <c r="N553" s="17">
        <f aca="false">IF($J553="","",$J553+$K553)</f>
        <v>1985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IF($T554="","",1+COUNTIF($W$15:$W$884,"&lt;"&amp;W554))</f>
        <v>506</v>
      </c>
      <c r="B554" s="16" t="s">
        <v>8</v>
      </c>
      <c r="C554" s="16" t="s">
        <v>1117</v>
      </c>
      <c r="D554" s="16" t="s">
        <v>176</v>
      </c>
      <c r="E554" s="16" t="s">
        <v>26</v>
      </c>
      <c r="F554" s="16" t="s">
        <v>1118</v>
      </c>
      <c r="G554" s="17">
        <v>1995</v>
      </c>
      <c r="H554" s="17"/>
      <c r="I554" s="17"/>
      <c r="J554" s="17">
        <v>1985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1985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IF($T555="","",1+COUNTIF($W$15:$W$884,"&lt;"&amp;W555))</f>
        <v>506</v>
      </c>
      <c r="B555" s="16" t="s">
        <v>14</v>
      </c>
      <c r="C555" s="16" t="s">
        <v>1119</v>
      </c>
      <c r="D555" s="16" t="s">
        <v>45</v>
      </c>
      <c r="E555" s="16" t="s">
        <v>26</v>
      </c>
      <c r="F555" s="16" t="s">
        <v>1120</v>
      </c>
      <c r="G555" s="17">
        <v>1995</v>
      </c>
      <c r="H555" s="17"/>
      <c r="I555" s="17"/>
      <c r="J555" s="17">
        <v>1985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1985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IF($T556="","",1+COUNTIF($W$15:$W$884,"&lt;"&amp;W556))</f>
        <v>506</v>
      </c>
      <c r="B556" s="16" t="s">
        <v>12</v>
      </c>
      <c r="C556" s="16" t="s">
        <v>1123</v>
      </c>
      <c r="D556" s="21" t="s">
        <v>57</v>
      </c>
      <c r="E556" s="16" t="s">
        <v>26</v>
      </c>
      <c r="F556" s="16" t="s">
        <v>1124</v>
      </c>
      <c r="G556" s="17">
        <v>1995</v>
      </c>
      <c r="H556" s="17"/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IF($T557="","",1+COUNTIF($W$15:$W$884,"&lt;"&amp;W557))</f>
        <v>506</v>
      </c>
      <c r="B557" s="16" t="s">
        <v>10</v>
      </c>
      <c r="C557" s="16" t="s">
        <v>1125</v>
      </c>
      <c r="D557" s="16" t="s">
        <v>176</v>
      </c>
      <c r="E557" s="16" t="s">
        <v>26</v>
      </c>
      <c r="F557" s="16" t="s">
        <v>1126</v>
      </c>
      <c r="G557" s="17">
        <v>1995</v>
      </c>
      <c r="H557" s="17"/>
      <c r="I557" s="17"/>
      <c r="J557" s="17">
        <v>1985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IF($T558="","",1+COUNTIF($W$15:$W$884,"&lt;"&amp;W558))</f>
        <v>506</v>
      </c>
      <c r="B558" s="16" t="s">
        <v>10</v>
      </c>
      <c r="C558" s="16" t="s">
        <v>1127</v>
      </c>
      <c r="D558" s="21" t="s">
        <v>57</v>
      </c>
      <c r="E558" s="16" t="s">
        <v>26</v>
      </c>
      <c r="F558" s="16" t="s">
        <v>1128</v>
      </c>
      <c r="G558" s="17">
        <v>1995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IF($T559="","",1+COUNTIF($W$15:$W$884,"&lt;"&amp;W559))</f>
        <v>506</v>
      </c>
      <c r="B559" s="16" t="s">
        <v>18</v>
      </c>
      <c r="C559" s="16" t="s">
        <v>965</v>
      </c>
      <c r="D559" s="16" t="s">
        <v>64</v>
      </c>
      <c r="E559" s="16" t="s">
        <v>26</v>
      </c>
      <c r="F559" s="16" t="s">
        <v>966</v>
      </c>
      <c r="G559" s="17">
        <v>1995</v>
      </c>
      <c r="H559" s="17"/>
      <c r="I559" s="17"/>
      <c r="J559" s="17">
        <v>1988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1988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IF($T560="","",1+COUNTIF($W$15:$W$884,"&lt;"&amp;W560))</f>
        <v>506</v>
      </c>
      <c r="B560" s="16" t="s">
        <v>6</v>
      </c>
      <c r="C560" s="16" t="s">
        <v>1133</v>
      </c>
      <c r="D560" s="16" t="s">
        <v>64</v>
      </c>
      <c r="E560" s="16" t="s">
        <v>26</v>
      </c>
      <c r="F560" s="16" t="s">
        <v>1134</v>
      </c>
      <c r="G560" s="17">
        <v>1995</v>
      </c>
      <c r="H560" s="17"/>
      <c r="I560" s="17"/>
      <c r="J560" s="17">
        <v>1989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22" collapsed="false" customFormat="true" customHeight="true" hidden="false" ht="28.5" outlineLevel="0">
      <c r="A561" s="16">
        <f aca="false">IF($T561="","",1+COUNTIF($W$15:$W$884,"&lt;"&amp;W561))</f>
        <v>506</v>
      </c>
      <c r="B561" s="16" t="s">
        <v>6</v>
      </c>
      <c r="C561" s="16" t="s">
        <v>1135</v>
      </c>
      <c r="D561" s="16" t="s">
        <v>45</v>
      </c>
      <c r="E561" s="16" t="s">
        <v>26</v>
      </c>
      <c r="F561" s="16" t="s">
        <v>1136</v>
      </c>
      <c r="G561" s="17">
        <v>1995</v>
      </c>
      <c r="H561" s="17"/>
      <c r="I561" s="17"/>
      <c r="J561" s="17">
        <v>1989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IF($T562="","",1+COUNTIF($W$15:$W$884,"&lt;"&amp;W562))</f>
        <v>506</v>
      </c>
      <c r="B562" s="16" t="s">
        <v>8</v>
      </c>
      <c r="C562" s="16" t="s">
        <v>1137</v>
      </c>
      <c r="D562" s="20" t="s">
        <v>54</v>
      </c>
      <c r="E562" s="16" t="s">
        <v>26</v>
      </c>
      <c r="F562" s="16" t="s">
        <v>1138</v>
      </c>
      <c r="G562" s="17">
        <v>1995</v>
      </c>
      <c r="H562" s="17"/>
      <c r="I562" s="17"/>
      <c r="J562" s="17">
        <v>1989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IF($T563="","",1+COUNTIF($W$15:$W$884,"&lt;"&amp;W563))</f>
        <v>506</v>
      </c>
      <c r="B563" s="16" t="s">
        <v>14</v>
      </c>
      <c r="C563" s="16" t="s">
        <v>1139</v>
      </c>
      <c r="D563" s="16" t="s">
        <v>64</v>
      </c>
      <c r="E563" s="16" t="s">
        <v>51</v>
      </c>
      <c r="F563" s="16" t="s">
        <v>1140</v>
      </c>
      <c r="G563" s="17">
        <v>1995</v>
      </c>
      <c r="H563" s="17"/>
      <c r="I563" s="17"/>
      <c r="J563" s="17">
        <v>1989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IF($T564="","",1+COUNTIF($W$15:$W$884,"&lt;"&amp;W564))</f>
        <v>506</v>
      </c>
      <c r="B564" s="16" t="s">
        <v>10</v>
      </c>
      <c r="C564" s="16" t="s">
        <v>1141</v>
      </c>
      <c r="D564" s="16" t="s">
        <v>45</v>
      </c>
      <c r="E564" s="16" t="s">
        <v>26</v>
      </c>
      <c r="F564" s="16" t="s">
        <v>1142</v>
      </c>
      <c r="G564" s="17">
        <v>1995</v>
      </c>
      <c r="H564" s="17"/>
      <c r="I564" s="17"/>
      <c r="J564" s="17">
        <v>1989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IF($T565="","",1+COUNTIF($W$15:$W$884,"&lt;"&amp;W565))</f>
        <v>506</v>
      </c>
      <c r="B565" s="16" t="s">
        <v>10</v>
      </c>
      <c r="C565" s="16" t="s">
        <v>1143</v>
      </c>
      <c r="D565" s="16" t="s">
        <v>45</v>
      </c>
      <c r="E565" s="16" t="s">
        <v>26</v>
      </c>
      <c r="F565" s="16" t="s">
        <v>1144</v>
      </c>
      <c r="G565" s="17">
        <v>1995</v>
      </c>
      <c r="H565" s="17"/>
      <c r="I565" s="17"/>
      <c r="J565" s="17">
        <v>1989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22" collapsed="false" customFormat="true" customHeight="true" hidden="false" ht="28.5" outlineLevel="0">
      <c r="A566" s="16">
        <f aca="false">IF($T566="","",1+COUNTIF($W$15:$W$884,"&lt;"&amp;W566))</f>
        <v>506</v>
      </c>
      <c r="B566" s="16" t="s">
        <v>10</v>
      </c>
      <c r="C566" s="16" t="s">
        <v>1145</v>
      </c>
      <c r="D566" s="21" t="s">
        <v>57</v>
      </c>
      <c r="E566" s="16" t="s">
        <v>26</v>
      </c>
      <c r="F566" s="16" t="s">
        <v>1146</v>
      </c>
      <c r="G566" s="17">
        <v>1995</v>
      </c>
      <c r="H566" s="17"/>
      <c r="I566" s="17"/>
      <c r="J566" s="17">
        <v>1989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IF($T567="","",1+COUNTIF($W$15:$W$884,"&lt;"&amp;W567))</f>
        <v>506</v>
      </c>
      <c r="B567" s="16" t="s">
        <v>16</v>
      </c>
      <c r="C567" s="16" t="s">
        <v>1209</v>
      </c>
      <c r="D567" s="16" t="s">
        <v>176</v>
      </c>
      <c r="E567" s="16" t="s">
        <v>26</v>
      </c>
      <c r="F567" s="16" t="s">
        <v>1210</v>
      </c>
      <c r="G567" s="17">
        <v>1995</v>
      </c>
      <c r="H567" s="17"/>
      <c r="I567" s="17"/>
      <c r="J567" s="17">
        <v>1990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1990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IF($T568="","",1+COUNTIF($W$15:$W$884,"&lt;"&amp;W568))</f>
        <v>506</v>
      </c>
      <c r="B568" s="16" t="s">
        <v>6</v>
      </c>
      <c r="C568" s="16" t="s">
        <v>212</v>
      </c>
      <c r="D568" s="16" t="s">
        <v>64</v>
      </c>
      <c r="E568" s="16" t="s">
        <v>26</v>
      </c>
      <c r="F568" s="16" t="s">
        <v>1149</v>
      </c>
      <c r="G568" s="17">
        <v>1995</v>
      </c>
      <c r="H568" s="17"/>
      <c r="I568" s="17"/>
      <c r="J568" s="17">
        <v>1992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1992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IF($T569="","",1+COUNTIF($W$15:$W$884,"&lt;"&amp;W569))</f>
        <v>506</v>
      </c>
      <c r="B569" s="16" t="s">
        <v>6</v>
      </c>
      <c r="C569" s="16" t="s">
        <v>1147</v>
      </c>
      <c r="D569" s="16" t="s">
        <v>45</v>
      </c>
      <c r="E569" s="16" t="s">
        <v>26</v>
      </c>
      <c r="F569" s="16" t="s">
        <v>1148</v>
      </c>
      <c r="G569" s="17">
        <v>1995</v>
      </c>
      <c r="H569" s="17"/>
      <c r="I569" s="17"/>
      <c r="J569" s="17">
        <v>1993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1993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IF($T570="","",1+COUNTIF($W$15:$W$884,"&lt;"&amp;W570))</f>
        <v>506</v>
      </c>
      <c r="B570" s="16" t="s">
        <v>18</v>
      </c>
      <c r="C570" s="16" t="s">
        <v>1150</v>
      </c>
      <c r="D570" s="20" t="s">
        <v>54</v>
      </c>
      <c r="E570" s="16" t="s">
        <v>51</v>
      </c>
      <c r="F570" s="16" t="s">
        <v>1151</v>
      </c>
      <c r="G570" s="17">
        <v>1995</v>
      </c>
      <c r="H570" s="17"/>
      <c r="I570" s="17"/>
      <c r="J570" s="17">
        <v>1995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1995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6" collapsed="false" customFormat="true" customHeight="true" hidden="false" ht="28.5" outlineLevel="0">
      <c r="A571" s="16">
        <f aca="false">IF($T571="","",1+COUNTIF($W$15:$W$884,"&lt;"&amp;W571))</f>
        <v>506</v>
      </c>
      <c r="B571" s="16" t="s">
        <v>18</v>
      </c>
      <c r="C571" s="16" t="s">
        <v>1152</v>
      </c>
      <c r="D571" s="16" t="s">
        <v>45</v>
      </c>
      <c r="E571" s="16" t="s">
        <v>51</v>
      </c>
      <c r="F571" s="16" t="s">
        <v>1153</v>
      </c>
      <c r="G571" s="17">
        <v>1995</v>
      </c>
      <c r="H571" s="17"/>
      <c r="I571" s="17"/>
      <c r="J571" s="17">
        <v>1995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C571" s="3"/>
    </row>
    <row r="572" s="5" collapsed="false" customFormat="true" customHeight="true" hidden="false" ht="28.5" outlineLevel="0">
      <c r="A572" s="16">
        <f aca="false">IF($T572="","",1+COUNTIF($W$15:$W$884,"&lt;"&amp;W572))</f>
        <v>506</v>
      </c>
      <c r="B572" s="16" t="s">
        <v>6</v>
      </c>
      <c r="C572" s="16" t="s">
        <v>1154</v>
      </c>
      <c r="D572" s="16" t="s">
        <v>64</v>
      </c>
      <c r="E572" s="16" t="s">
        <v>26</v>
      </c>
      <c r="F572" s="16" t="s">
        <v>1155</v>
      </c>
      <c r="G572" s="17">
        <v>1995</v>
      </c>
      <c r="H572" s="17"/>
      <c r="I572" s="17"/>
      <c r="J572" s="17">
        <v>1995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IF($T573="","",1+COUNTIF($W$15:$W$884,"&lt;"&amp;W573))</f>
        <v>506</v>
      </c>
      <c r="B573" s="16" t="s">
        <v>6</v>
      </c>
      <c r="C573" s="16" t="s">
        <v>1156</v>
      </c>
      <c r="D573" s="16" t="s">
        <v>45</v>
      </c>
      <c r="E573" s="16" t="s">
        <v>26</v>
      </c>
      <c r="F573" s="16" t="s">
        <v>1157</v>
      </c>
      <c r="G573" s="17">
        <v>1995</v>
      </c>
      <c r="H573" s="17"/>
      <c r="I573" s="17"/>
      <c r="J573" s="17">
        <v>1995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IF($T574="","",1+COUNTIF($W$15:$W$884,"&lt;"&amp;W574))</f>
        <v>506</v>
      </c>
      <c r="B574" s="16" t="s">
        <v>6</v>
      </c>
      <c r="C574" s="16" t="s">
        <v>1158</v>
      </c>
      <c r="D574" s="16" t="s">
        <v>45</v>
      </c>
      <c r="E574" s="16" t="s">
        <v>26</v>
      </c>
      <c r="F574" s="16" t="s">
        <v>1159</v>
      </c>
      <c r="G574" s="17">
        <v>1995</v>
      </c>
      <c r="H574" s="17"/>
      <c r="I574" s="17"/>
      <c r="J574" s="17">
        <v>1995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B574" s="6"/>
      <c r="XFC574" s="3"/>
    </row>
    <row r="575" s="6" collapsed="false" customFormat="true" customHeight="true" hidden="false" ht="28.5" outlineLevel="0">
      <c r="A575" s="16">
        <f aca="false">IF($T575="","",1+COUNTIF($W$15:$W$884,"&lt;"&amp;W575))</f>
        <v>506</v>
      </c>
      <c r="B575" s="16" t="s">
        <v>6</v>
      </c>
      <c r="C575" s="16" t="s">
        <v>1160</v>
      </c>
      <c r="D575" s="16" t="s">
        <v>45</v>
      </c>
      <c r="E575" s="16" t="s">
        <v>26</v>
      </c>
      <c r="F575" s="16" t="s">
        <v>1161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C575" s="3"/>
    </row>
    <row r="576" s="22" collapsed="false" customFormat="true" customHeight="true" hidden="false" ht="28.5" outlineLevel="0">
      <c r="A576" s="16">
        <f aca="false">IF($T576="","",1+COUNTIF($W$15:$W$884,"&lt;"&amp;W576))</f>
        <v>506</v>
      </c>
      <c r="B576" s="16" t="s">
        <v>6</v>
      </c>
      <c r="C576" s="16" t="s">
        <v>236</v>
      </c>
      <c r="D576" s="16" t="s">
        <v>122</v>
      </c>
      <c r="E576" s="16" t="s">
        <v>26</v>
      </c>
      <c r="F576" s="16" t="s">
        <v>1164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B576" s="6"/>
      <c r="XFC576" s="3"/>
    </row>
    <row r="577" s="22" collapsed="false" customFormat="true" customHeight="true" hidden="false" ht="28.5" outlineLevel="0">
      <c r="A577" s="16">
        <f aca="false">IF($T577="","",1+COUNTIF($W$15:$W$884,"&lt;"&amp;W577))</f>
        <v>506</v>
      </c>
      <c r="B577" s="16" t="s">
        <v>6</v>
      </c>
      <c r="C577" s="16" t="s">
        <v>1165</v>
      </c>
      <c r="D577" s="16" t="s">
        <v>64</v>
      </c>
      <c r="E577" s="16" t="s">
        <v>26</v>
      </c>
      <c r="F577" s="16" t="s">
        <v>1166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B577" s="6"/>
      <c r="XFC577" s="3"/>
    </row>
    <row r="578" s="22" collapsed="false" customFormat="true" customHeight="true" hidden="false" ht="28.5" outlineLevel="0">
      <c r="A578" s="16">
        <f aca="false">IF($T578="","",1+COUNTIF($W$15:$W$884,"&lt;"&amp;W578))</f>
        <v>506</v>
      </c>
      <c r="B578" s="16" t="s">
        <v>6</v>
      </c>
      <c r="C578" s="16" t="s">
        <v>1169</v>
      </c>
      <c r="D578" s="20" t="s">
        <v>54</v>
      </c>
      <c r="E578" s="16" t="s">
        <v>26</v>
      </c>
      <c r="F578" s="16" t="s">
        <v>1170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B578" s="6"/>
      <c r="XFC578" s="3"/>
    </row>
    <row r="579" s="22" collapsed="false" customFormat="true" customHeight="true" hidden="false" ht="28.5" outlineLevel="0">
      <c r="A579" s="16">
        <f aca="false">IF($T579="","",1+COUNTIF($W$15:$W$884,"&lt;"&amp;W579))</f>
        <v>506</v>
      </c>
      <c r="B579" s="16" t="s">
        <v>6</v>
      </c>
      <c r="C579" s="16" t="s">
        <v>603</v>
      </c>
      <c r="D579" s="16" t="s">
        <v>64</v>
      </c>
      <c r="E579" s="16" t="s">
        <v>26</v>
      </c>
      <c r="F579" s="16" t="s">
        <v>1171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IF($T580="","",1+COUNTIF($W$15:$W$884,"&lt;"&amp;W580))</f>
        <v>506</v>
      </c>
      <c r="B580" s="16" t="s">
        <v>6</v>
      </c>
      <c r="C580" s="16" t="s">
        <v>979</v>
      </c>
      <c r="D580" s="16" t="s">
        <v>64</v>
      </c>
      <c r="E580" s="16" t="s">
        <v>26</v>
      </c>
      <c r="F580" s="16" t="s">
        <v>1174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C580" s="3"/>
    </row>
    <row r="581" s="5" collapsed="false" customFormat="true" customHeight="true" hidden="false" ht="28.5" outlineLevel="0">
      <c r="A581" s="16">
        <f aca="false">IF($T581="","",1+COUNTIF($W$15:$W$884,"&lt;"&amp;W581))</f>
        <v>506</v>
      </c>
      <c r="B581" s="16" t="s">
        <v>8</v>
      </c>
      <c r="C581" s="16" t="s">
        <v>370</v>
      </c>
      <c r="D581" s="16" t="s">
        <v>64</v>
      </c>
      <c r="E581" s="16" t="s">
        <v>26</v>
      </c>
      <c r="F581" s="16" t="s">
        <v>1179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IF($T582="","",1+COUNTIF($W$15:$W$884,"&lt;"&amp;W582))</f>
        <v>506</v>
      </c>
      <c r="B582" s="16" t="s">
        <v>8</v>
      </c>
      <c r="C582" s="16" t="s">
        <v>1180</v>
      </c>
      <c r="D582" s="16" t="s">
        <v>176</v>
      </c>
      <c r="E582" s="16" t="s">
        <v>51</v>
      </c>
      <c r="F582" s="16" t="s">
        <v>1181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6" collapsed="false" customFormat="true" customHeight="true" hidden="false" ht="28.5" outlineLevel="0">
      <c r="A583" s="16">
        <f aca="false">IF($T583="","",1+COUNTIF($W$15:$W$884,"&lt;"&amp;W583))</f>
        <v>506</v>
      </c>
      <c r="B583" s="16" t="s">
        <v>8</v>
      </c>
      <c r="C583" s="16" t="s">
        <v>1182</v>
      </c>
      <c r="D583" s="16" t="s">
        <v>176</v>
      </c>
      <c r="E583" s="16" t="s">
        <v>26</v>
      </c>
      <c r="F583" s="16" t="s">
        <v>1183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C583" s="3"/>
    </row>
    <row r="584" s="5" collapsed="false" customFormat="true" customHeight="true" hidden="false" ht="28.5" outlineLevel="0">
      <c r="A584" s="16">
        <f aca="false">IF($T584="","",1+COUNTIF($W$15:$W$884,"&lt;"&amp;W584))</f>
        <v>506</v>
      </c>
      <c r="B584" s="16" t="s">
        <v>8</v>
      </c>
      <c r="C584" s="16" t="s">
        <v>1184</v>
      </c>
      <c r="D584" s="20" t="s">
        <v>54</v>
      </c>
      <c r="E584" s="16" t="s">
        <v>26</v>
      </c>
      <c r="F584" s="16" t="s">
        <v>1185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IF($T585="","",1+COUNTIF($W$15:$W$884,"&lt;"&amp;W585))</f>
        <v>506</v>
      </c>
      <c r="B585" s="16" t="s">
        <v>12</v>
      </c>
      <c r="C585" s="16" t="s">
        <v>1186</v>
      </c>
      <c r="D585" s="21" t="s">
        <v>64</v>
      </c>
      <c r="E585" s="16" t="s">
        <v>26</v>
      </c>
      <c r="F585" s="16" t="s">
        <v>1187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B585" s="6"/>
      <c r="XFC585" s="3"/>
    </row>
    <row r="586" s="22" collapsed="false" customFormat="true" customHeight="true" hidden="false" ht="28.5" outlineLevel="0">
      <c r="A586" s="16">
        <f aca="false">IF($T586="","",1+COUNTIF($W$15:$W$884,"&lt;"&amp;W586))</f>
        <v>506</v>
      </c>
      <c r="B586" s="16" t="s">
        <v>12</v>
      </c>
      <c r="C586" s="16" t="s">
        <v>1188</v>
      </c>
      <c r="D586" s="21" t="s">
        <v>45</v>
      </c>
      <c r="E586" s="16" t="s">
        <v>26</v>
      </c>
      <c r="F586" s="16" t="s">
        <v>1189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B586" s="6"/>
      <c r="XFC586" s="3"/>
    </row>
    <row r="587" s="6" collapsed="false" customFormat="true" customHeight="true" hidden="false" ht="28.5" outlineLevel="0">
      <c r="A587" s="16">
        <f aca="false">IF($T587="","",1+COUNTIF($W$15:$W$884,"&lt;"&amp;W587))</f>
        <v>506</v>
      </c>
      <c r="B587" s="16" t="s">
        <v>10</v>
      </c>
      <c r="C587" s="16" t="s">
        <v>1190</v>
      </c>
      <c r="D587" s="16" t="s">
        <v>45</v>
      </c>
      <c r="E587" s="16" t="s">
        <v>26</v>
      </c>
      <c r="F587" s="16" t="s">
        <v>1191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C587" s="3"/>
    </row>
    <row r="588" s="6" collapsed="false" customFormat="true" customHeight="true" hidden="false" ht="28.5" outlineLevel="0">
      <c r="A588" s="16">
        <f aca="false">IF($T588="","",1+COUNTIF($W$15:$W$884,"&lt;"&amp;W588))</f>
        <v>506</v>
      </c>
      <c r="B588" s="16" t="s">
        <v>10</v>
      </c>
      <c r="C588" s="16" t="s">
        <v>1192</v>
      </c>
      <c r="D588" s="21" t="s">
        <v>57</v>
      </c>
      <c r="E588" s="16" t="s">
        <v>51</v>
      </c>
      <c r="F588" s="16" t="s">
        <v>1193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C588" s="3"/>
    </row>
    <row r="589" s="22" collapsed="false" customFormat="true" customHeight="true" hidden="false" ht="28.5" outlineLevel="0">
      <c r="A589" s="16">
        <f aca="false">IF($T589="","",1+COUNTIF($W$15:$W$884,"&lt;"&amp;W589))</f>
        <v>506</v>
      </c>
      <c r="B589" s="16" t="s">
        <v>10</v>
      </c>
      <c r="C589" s="16" t="s">
        <v>1194</v>
      </c>
      <c r="D589" s="16" t="s">
        <v>64</v>
      </c>
      <c r="E589" s="16" t="s">
        <v>26</v>
      </c>
      <c r="F589" s="16" t="s">
        <v>1195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B589" s="6"/>
      <c r="XFC589" s="3"/>
    </row>
    <row r="590" s="22" collapsed="false" customFormat="true" customHeight="true" hidden="false" ht="28.5" outlineLevel="0">
      <c r="A590" s="16">
        <f aca="false">IF($T590="","",1+COUNTIF($W$15:$W$884,"&lt;"&amp;W590))</f>
        <v>506</v>
      </c>
      <c r="B590" s="16" t="s">
        <v>10</v>
      </c>
      <c r="C590" s="16" t="s">
        <v>1196</v>
      </c>
      <c r="D590" s="16" t="s">
        <v>64</v>
      </c>
      <c r="E590" s="16" t="s">
        <v>26</v>
      </c>
      <c r="F590" s="16" t="s">
        <v>1197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IF($T591="","",1+COUNTIF($W$15:$W$884,"&lt;"&amp;W591))</f>
        <v>506</v>
      </c>
      <c r="B591" s="16" t="s">
        <v>10</v>
      </c>
      <c r="C591" s="16" t="s">
        <v>1198</v>
      </c>
      <c r="D591" s="20" t="s">
        <v>54</v>
      </c>
      <c r="E591" s="16" t="s">
        <v>26</v>
      </c>
      <c r="F591" s="16" t="s">
        <v>1199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IF($T592="","",1+COUNTIF($W$15:$W$884,"&lt;"&amp;W592))</f>
        <v>506</v>
      </c>
      <c r="B592" s="16" t="s">
        <v>10</v>
      </c>
      <c r="C592" s="16" t="s">
        <v>1200</v>
      </c>
      <c r="D592" s="16" t="s">
        <v>64</v>
      </c>
      <c r="E592" s="16" t="s">
        <v>26</v>
      </c>
      <c r="F592" s="16" t="s">
        <v>1201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C592" s="3"/>
    </row>
    <row r="593" s="5" collapsed="false" customFormat="true" customHeight="true" hidden="false" ht="28.5" outlineLevel="0">
      <c r="A593" s="16">
        <f aca="false">IF($T593="","",1+COUNTIF($W$15:$W$884,"&lt;"&amp;W593))</f>
        <v>506</v>
      </c>
      <c r="B593" s="16" t="s">
        <v>10</v>
      </c>
      <c r="C593" s="16" t="s">
        <v>1202</v>
      </c>
      <c r="D593" s="21" t="s">
        <v>57</v>
      </c>
      <c r="E593" s="16" t="s">
        <v>26</v>
      </c>
      <c r="F593" s="16" t="s">
        <v>1203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6" collapsed="false" customFormat="true" customHeight="true" hidden="false" ht="28.5" outlineLevel="0">
      <c r="A594" s="16">
        <f aca="false">IF($T594="","",1+COUNTIF($W$15:$W$884,"&lt;"&amp;W594))</f>
        <v>506</v>
      </c>
      <c r="B594" s="16" t="s">
        <v>6</v>
      </c>
      <c r="C594" s="16" t="s">
        <v>607</v>
      </c>
      <c r="D594" s="16" t="s">
        <v>64</v>
      </c>
      <c r="E594" s="16" t="s">
        <v>26</v>
      </c>
      <c r="F594" s="16" t="s">
        <v>1204</v>
      </c>
      <c r="G594" s="17">
        <v>1995</v>
      </c>
      <c r="H594" s="17"/>
      <c r="I594" s="17"/>
      <c r="J594" s="17">
        <v>1997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1997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C594" s="3"/>
    </row>
    <row r="595" s="5" collapsed="false" customFormat="true" customHeight="true" hidden="false" ht="28.5" outlineLevel="0">
      <c r="A595" s="16">
        <f aca="false">IF($T595="","",1+COUNTIF($W$15:$W$884,"&lt;"&amp;W595))</f>
        <v>506</v>
      </c>
      <c r="B595" s="16" t="s">
        <v>8</v>
      </c>
      <c r="C595" s="16" t="s">
        <v>1205</v>
      </c>
      <c r="D595" s="21" t="s">
        <v>57</v>
      </c>
      <c r="E595" s="16" t="s">
        <v>26</v>
      </c>
      <c r="F595" s="16" t="s">
        <v>1206</v>
      </c>
      <c r="G595" s="17">
        <v>1995</v>
      </c>
      <c r="H595" s="17"/>
      <c r="I595" s="17"/>
      <c r="J595" s="17">
        <v>1999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1999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B595" s="6"/>
      <c r="XFC595" s="3"/>
    </row>
    <row r="596" s="22" collapsed="false" customFormat="true" customHeight="true" hidden="false" ht="28.5" outlineLevel="0">
      <c r="A596" s="16">
        <f aca="false">IF($T596="","",1+COUNTIF($W$15:$W$884,"&lt;"&amp;W596))</f>
        <v>506</v>
      </c>
      <c r="B596" s="16" t="s">
        <v>10</v>
      </c>
      <c r="C596" s="16" t="s">
        <v>1207</v>
      </c>
      <c r="D596" s="21" t="s">
        <v>57</v>
      </c>
      <c r="E596" s="16" t="s">
        <v>51</v>
      </c>
      <c r="F596" s="16" t="s">
        <v>1208</v>
      </c>
      <c r="G596" s="17">
        <v>1995</v>
      </c>
      <c r="H596" s="17"/>
      <c r="I596" s="17"/>
      <c r="J596" s="17">
        <v>1999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IF($T597="","",1+COUNTIF($W$15:$W$884,"&lt;"&amp;W597))</f>
        <v>506</v>
      </c>
      <c r="B597" s="16" t="s">
        <v>6</v>
      </c>
      <c r="C597" s="16" t="s">
        <v>1162</v>
      </c>
      <c r="D597" s="16" t="s">
        <v>45</v>
      </c>
      <c r="E597" s="16" t="s">
        <v>26</v>
      </c>
      <c r="F597" s="16" t="s">
        <v>1163</v>
      </c>
      <c r="G597" s="17">
        <v>1995</v>
      </c>
      <c r="H597" s="17"/>
      <c r="I597" s="17"/>
      <c r="J597" s="17">
        <v>2045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2045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IF($T598="","",1+COUNTIF($W$15:$W$884,"&lt;"&amp;W598))</f>
        <v>584</v>
      </c>
      <c r="B598" s="16" t="s">
        <v>10</v>
      </c>
      <c r="C598" s="16" t="s">
        <v>1211</v>
      </c>
      <c r="D598" s="16" t="s">
        <v>176</v>
      </c>
      <c r="E598" s="16" t="s">
        <v>26</v>
      </c>
      <c r="F598" s="16" t="s">
        <v>1212</v>
      </c>
      <c r="G598" s="17">
        <v>1996</v>
      </c>
      <c r="H598" s="17"/>
      <c r="I598" s="17"/>
      <c r="J598" s="17">
        <v>1989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1996</v>
      </c>
      <c r="M598" s="17">
        <f aca="false">IF($H598="","",$H598+$K598)</f>
        <v/>
      </c>
      <c r="N598" s="17">
        <f aca="false">IF($J598="","",$J598+$K598)</f>
        <v>1989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79,840원</v>
      </c>
      <c r="P598" s="17">
        <f aca="false">IF($B$10=0,"",IFERROR(IF($B$4&gt;0,IF($L598="",1/0,$L598*$B$4),0)+IF($B$5&gt;0,IF($M598="",1/0,$M598*$B$5),0)+IF($B$6&gt;0,IF($N598="",1/0,$N598*$B$6),0),""))</f>
        <v>79840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79840</v>
      </c>
      <c r="U598" s="17">
        <f aca="false">IF($T598="","",IF($B$10=0,"",$T598/$B$10))</f>
        <v>1996</v>
      </c>
      <c r="V598" s="17">
        <f aca="false">IF($P598="","",IF($B$10=0,"",$P598/$B$10))</f>
        <v>1996</v>
      </c>
      <c r="W598" s="19">
        <f aca="false">IF($T598="",1000000000000000,$T598)</f>
        <v>79840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IF($T599="","",1+COUNTIF($W$15:$W$884,"&lt;"&amp;W599))</f>
        <v>585</v>
      </c>
      <c r="B599" s="16" t="s">
        <v>6</v>
      </c>
      <c r="C599" s="16" t="s">
        <v>1213</v>
      </c>
      <c r="D599" s="16" t="s">
        <v>64</v>
      </c>
      <c r="E599" s="16" t="s">
        <v>26</v>
      </c>
      <c r="F599" s="16" t="s">
        <v>1214</v>
      </c>
      <c r="G599" s="17">
        <v>1997</v>
      </c>
      <c r="H599" s="17">
        <v>2378</v>
      </c>
      <c r="I599" s="17"/>
      <c r="J599" s="17">
        <v>1997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1997</v>
      </c>
      <c r="M599" s="17">
        <f aca="false">IF($H599="","",$H599+$K599)</f>
        <v>2378</v>
      </c>
      <c r="N599" s="17">
        <f aca="false">IF($J599="","",$J599+$K599)</f>
        <v>1997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79,880원</v>
      </c>
      <c r="P599" s="17">
        <f aca="false">IF($B$10=0,"",IFERROR(IF($B$4&gt;0,IF($L599="",1/0,$L599*$B$4),0)+IF($B$5&gt;0,IF($M599="",1/0,$M599*$B$5),0)+IF($B$6&gt;0,IF($N599="",1/0,$N599*$B$6),0),""))</f>
        <v>79880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79880</v>
      </c>
      <c r="U599" s="17">
        <f aca="false">IF($T599="","",IF($B$10=0,"",$T599/$B$10))</f>
        <v>1997</v>
      </c>
      <c r="V599" s="17">
        <f aca="false">IF($P599="","",IF($B$10=0,"",$P599/$B$10))</f>
        <v>1997</v>
      </c>
      <c r="W599" s="19">
        <f aca="false">IF($T599="",1000000000000000,$T599)</f>
        <v>79880</v>
      </c>
      <c r="XFB599" s="6"/>
      <c r="XFC599" s="3"/>
    </row>
    <row r="600" s="22" collapsed="false" customFormat="true" customHeight="true" hidden="false" ht="28.5" outlineLevel="0">
      <c r="A600" s="16">
        <f aca="false">IF($T600="","",1+COUNTIF($W$15:$W$884,"&lt;"&amp;W600))</f>
        <v>585</v>
      </c>
      <c r="B600" s="16" t="s">
        <v>14</v>
      </c>
      <c r="C600" s="16" t="s">
        <v>1223</v>
      </c>
      <c r="D600" s="20" t="s">
        <v>54</v>
      </c>
      <c r="E600" s="16" t="s">
        <v>26</v>
      </c>
      <c r="F600" s="16" t="s">
        <v>1224</v>
      </c>
      <c r="G600" s="17">
        <v>1997</v>
      </c>
      <c r="H600" s="17"/>
      <c r="I600" s="17"/>
      <c r="J600" s="17">
        <v>1975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1997</v>
      </c>
      <c r="M600" s="17">
        <f aca="false">IF($H600="","",$H600+$K600)</f>
        <v/>
      </c>
      <c r="N600" s="17">
        <f aca="false">IF($J600="","",$J600+$K600)</f>
        <v>1975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79,880원</v>
      </c>
      <c r="P600" s="17">
        <f aca="false">IF($B$10=0,"",IFERROR(IF($B$4&gt;0,IF($L600="",1/0,$L600*$B$4),0)+IF($B$5&gt;0,IF($M600="",1/0,$M600*$B$5),0)+IF($B$6&gt;0,IF($N600="",1/0,$N600*$B$6),0),""))</f>
        <v>79880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79880</v>
      </c>
      <c r="U600" s="17">
        <f aca="false">IF($T600="","",IF($B$10=0,"",$T600/$B$10))</f>
        <v>1997</v>
      </c>
      <c r="V600" s="17">
        <f aca="false">IF($P600="","",IF($B$10=0,"",$P600/$B$10))</f>
        <v>1997</v>
      </c>
      <c r="W600" s="19">
        <f aca="false">IF($T600="",1000000000000000,$T600)</f>
        <v>79880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IF($T601="","",1+COUNTIF($W$15:$W$884,"&lt;"&amp;W601))</f>
        <v>585</v>
      </c>
      <c r="B601" s="16" t="s">
        <v>14</v>
      </c>
      <c r="C601" s="16" t="s">
        <v>1215</v>
      </c>
      <c r="D601" s="16" t="s">
        <v>45</v>
      </c>
      <c r="E601" s="16" t="s">
        <v>26</v>
      </c>
      <c r="F601" s="16" t="s">
        <v>1216</v>
      </c>
      <c r="G601" s="17">
        <v>1997</v>
      </c>
      <c r="H601" s="17"/>
      <c r="I601" s="17"/>
      <c r="J601" s="17">
        <v>1979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1997</v>
      </c>
      <c r="M601" s="17">
        <f aca="false">IF($H601="","",$H601+$K601)</f>
        <v/>
      </c>
      <c r="N601" s="17">
        <f aca="false">IF($J601="","",$J601+$K601)</f>
        <v>1979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79,880원</v>
      </c>
      <c r="P601" s="17">
        <f aca="false">IF($B$10=0,"",IFERROR(IF($B$4&gt;0,IF($L601="",1/0,$L601*$B$4),0)+IF($B$5&gt;0,IF($M601="",1/0,$M601*$B$5),0)+IF($B$6&gt;0,IF($N601="",1/0,$N601*$B$6),0),""))</f>
        <v>79880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79880</v>
      </c>
      <c r="U601" s="17">
        <f aca="false">IF($T601="","",IF($B$10=0,"",$T601/$B$10))</f>
        <v>1997</v>
      </c>
      <c r="V601" s="17">
        <f aca="false">IF($P601="","",IF($B$10=0,"",$P601/$B$10))</f>
        <v>1997</v>
      </c>
      <c r="W601" s="19">
        <f aca="false">IF($T601="",1000000000000000,$T601)</f>
        <v>79880</v>
      </c>
      <c r="XFC601" s="3"/>
    </row>
    <row r="602" s="5" collapsed="false" customFormat="true" customHeight="true" hidden="false" ht="28.5" outlineLevel="0">
      <c r="A602" s="16">
        <f aca="false">IF($T602="","",1+COUNTIF($W$15:$W$884,"&lt;"&amp;W602))</f>
        <v>585</v>
      </c>
      <c r="B602" s="16" t="s">
        <v>8</v>
      </c>
      <c r="C602" s="16" t="s">
        <v>1217</v>
      </c>
      <c r="D602" s="16" t="s">
        <v>45</v>
      </c>
      <c r="E602" s="16" t="s">
        <v>26</v>
      </c>
      <c r="F602" s="16" t="s">
        <v>1218</v>
      </c>
      <c r="G602" s="17">
        <v>1997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1997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79,880원</v>
      </c>
      <c r="P602" s="17">
        <f aca="false">IF($B$10=0,"",IFERROR(IF($B$4&gt;0,IF($L602="",1/0,$L602*$B$4),0)+IF($B$5&gt;0,IF($M602="",1/0,$M602*$B$5),0)+IF($B$6&gt;0,IF($N602="",1/0,$N602*$B$6),0),""))</f>
        <v>79880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79880</v>
      </c>
      <c r="U602" s="17">
        <f aca="false">IF($T602="","",IF($B$10=0,"",$T602/$B$10))</f>
        <v>1997</v>
      </c>
      <c r="V602" s="17">
        <f aca="false">IF($P602="","",IF($B$10=0,"",$P602/$B$10))</f>
        <v>1997</v>
      </c>
      <c r="W602" s="19">
        <f aca="false">IF($T602="",1000000000000000,$T602)</f>
        <v>79880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IF($T603="","",1+COUNTIF($W$15:$W$884,"&lt;"&amp;W603))</f>
        <v>585</v>
      </c>
      <c r="B603" s="16" t="s">
        <v>18</v>
      </c>
      <c r="C603" s="16" t="s">
        <v>1219</v>
      </c>
      <c r="D603" s="16" t="s">
        <v>64</v>
      </c>
      <c r="E603" s="16" t="s">
        <v>51</v>
      </c>
      <c r="F603" s="16" t="s">
        <v>1220</v>
      </c>
      <c r="G603" s="17">
        <v>1997</v>
      </c>
      <c r="H603" s="17"/>
      <c r="I603" s="17"/>
      <c r="J603" s="17">
        <v>1987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1997</v>
      </c>
      <c r="M603" s="17">
        <f aca="false">IF($H603="","",$H603+$K603)</f>
        <v/>
      </c>
      <c r="N603" s="17">
        <f aca="false">IF($J603="","",$J603+$K603)</f>
        <v>1987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79,880원</v>
      </c>
      <c r="P603" s="17">
        <f aca="false">IF($B$10=0,"",IFERROR(IF($B$4&gt;0,IF($L603="",1/0,$L603*$B$4),0)+IF($B$5&gt;0,IF($M603="",1/0,$M603*$B$5),0)+IF($B$6&gt;0,IF($N603="",1/0,$N603*$B$6),0),""))</f>
        <v>79880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79880</v>
      </c>
      <c r="U603" s="17">
        <f aca="false">IF($T603="","",IF($B$10=0,"",$T603/$B$10))</f>
        <v>1997</v>
      </c>
      <c r="V603" s="17">
        <f aca="false">IF($P603="","",IF($B$10=0,"",$P603/$B$10))</f>
        <v>1997</v>
      </c>
      <c r="W603" s="19">
        <f aca="false">IF($T603="",1000000000000000,$T603)</f>
        <v>79880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IF($T604="","",1+COUNTIF($W$15:$W$884,"&lt;"&amp;W604))</f>
        <v>585</v>
      </c>
      <c r="B604" s="16" t="s">
        <v>18</v>
      </c>
      <c r="C604" s="16" t="s">
        <v>1221</v>
      </c>
      <c r="D604" s="16" t="s">
        <v>64</v>
      </c>
      <c r="E604" s="16" t="s">
        <v>51</v>
      </c>
      <c r="F604" s="16" t="s">
        <v>1222</v>
      </c>
      <c r="G604" s="17">
        <v>1997</v>
      </c>
      <c r="H604" s="17"/>
      <c r="I604" s="17"/>
      <c r="J604" s="17">
        <v>1987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1997</v>
      </c>
      <c r="M604" s="17">
        <f aca="false">IF($H604="","",$H604+$K604)</f>
        <v/>
      </c>
      <c r="N604" s="17">
        <f aca="false">IF($J604="","",$J604+$K604)</f>
        <v>1987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79,880원</v>
      </c>
      <c r="P604" s="17">
        <f aca="false">IF($B$10=0,"",IFERROR(IF($B$4&gt;0,IF($L604="",1/0,$L604*$B$4),0)+IF($B$5&gt;0,IF($M604="",1/0,$M604*$B$5),0)+IF($B$6&gt;0,IF($N604="",1/0,$N604*$B$6),0),""))</f>
        <v>79880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79880</v>
      </c>
      <c r="U604" s="17">
        <f aca="false">IF($T604="","",IF($B$10=0,"",$T604/$B$10))</f>
        <v>1997</v>
      </c>
      <c r="V604" s="17">
        <f aca="false">IF($P604="","",IF($B$10=0,"",$P604/$B$10))</f>
        <v>1997</v>
      </c>
      <c r="W604" s="19">
        <f aca="false">IF($T604="",1000000000000000,$T604)</f>
        <v>79880</v>
      </c>
      <c r="XFB604" s="6"/>
      <c r="XFC604" s="3"/>
    </row>
    <row r="605" s="22" collapsed="false" customFormat="true" customHeight="true" hidden="false" ht="28.5" outlineLevel="0">
      <c r="A605" s="16">
        <f aca="false">IF($T605="","",1+COUNTIF($W$15:$W$884,"&lt;"&amp;W605))</f>
        <v>585</v>
      </c>
      <c r="B605" s="16" t="s">
        <v>6</v>
      </c>
      <c r="C605" s="16" t="s">
        <v>456</v>
      </c>
      <c r="D605" s="20" t="s">
        <v>54</v>
      </c>
      <c r="E605" s="16" t="s">
        <v>26</v>
      </c>
      <c r="F605" s="16" t="s">
        <v>825</v>
      </c>
      <c r="G605" s="17">
        <v>1997</v>
      </c>
      <c r="H605" s="17"/>
      <c r="I605" s="17"/>
      <c r="J605" s="17">
        <v>1987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1997</v>
      </c>
      <c r="M605" s="17">
        <f aca="false">IF($H605="","",$H605+$K605)</f>
        <v/>
      </c>
      <c r="N605" s="17">
        <f aca="false">IF($J605="","",$J605+$K605)</f>
        <v>1987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79,880원</v>
      </c>
      <c r="P605" s="17">
        <f aca="false">IF($B$10=0,"",IFERROR(IF($B$4&gt;0,IF($L605="",1/0,$L605*$B$4),0)+IF($B$5&gt;0,IF($M605="",1/0,$M605*$B$5),0)+IF($B$6&gt;0,IF($N605="",1/0,$N605*$B$6),0),""))</f>
        <v>79880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79880</v>
      </c>
      <c r="U605" s="17">
        <f aca="false">IF($T605="","",IF($B$10=0,"",$T605/$B$10))</f>
        <v>1997</v>
      </c>
      <c r="V605" s="17">
        <f aca="false">IF($P605="","",IF($B$10=0,"",$P605/$B$10))</f>
        <v>1997</v>
      </c>
      <c r="W605" s="19">
        <f aca="false">IF($T605="",1000000000000000,$T605)</f>
        <v>79880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IF($T606="","",1+COUNTIF($W$15:$W$884,"&lt;"&amp;W606))</f>
        <v>585</v>
      </c>
      <c r="B606" s="16" t="s">
        <v>12</v>
      </c>
      <c r="C606" s="16" t="s">
        <v>1225</v>
      </c>
      <c r="D606" s="21" t="s">
        <v>64</v>
      </c>
      <c r="E606" s="16" t="s">
        <v>26</v>
      </c>
      <c r="F606" s="16" t="s">
        <v>1226</v>
      </c>
      <c r="G606" s="17">
        <v>1997</v>
      </c>
      <c r="H606" s="17"/>
      <c r="I606" s="17"/>
      <c r="J606" s="17">
        <v>1987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1997</v>
      </c>
      <c r="M606" s="17">
        <f aca="false">IF($H606="","",$H606+$K606)</f>
        <v/>
      </c>
      <c r="N606" s="17">
        <f aca="false">IF($J606="","",$J606+$K606)</f>
        <v>1987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79,880원</v>
      </c>
      <c r="P606" s="17">
        <f aca="false">IF($B$10=0,"",IFERROR(IF($B$4&gt;0,IF($L606="",1/0,$L606*$B$4),0)+IF($B$5&gt;0,IF($M606="",1/0,$M606*$B$5),0)+IF($B$6&gt;0,IF($N606="",1/0,$N606*$B$6),0),""))</f>
        <v>79880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79880</v>
      </c>
      <c r="U606" s="17">
        <f aca="false">IF($T606="","",IF($B$10=0,"",$T606/$B$10))</f>
        <v>1997</v>
      </c>
      <c r="V606" s="17">
        <f aca="false">IF($P606="","",IF($B$10=0,"",$P606/$B$10))</f>
        <v>1997</v>
      </c>
      <c r="W606" s="19">
        <f aca="false">IF($T606="",1000000000000000,$T606)</f>
        <v>79880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IF($T607="","",1+COUNTIF($W$15:$W$884,"&lt;"&amp;W607))</f>
        <v>585</v>
      </c>
      <c r="B607" s="16" t="s">
        <v>14</v>
      </c>
      <c r="C607" s="16" t="s">
        <v>1361</v>
      </c>
      <c r="D607" s="16" t="s">
        <v>64</v>
      </c>
      <c r="E607" s="16" t="s">
        <v>26</v>
      </c>
      <c r="F607" s="16" t="s">
        <v>1362</v>
      </c>
      <c r="G607" s="17">
        <v>1997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79,880원</v>
      </c>
      <c r="P607" s="17">
        <f aca="false">IF($B$10=0,"",IFERROR(IF($B$4&gt;0,IF($L607="",1/0,$L607*$B$4),0)+IF($B$5&gt;0,IF($M607="",1/0,$M607*$B$5),0)+IF($B$6&gt;0,IF($N607="",1/0,$N607*$B$6),0),""))</f>
        <v>79880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79880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79880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IF($T608="","",1+COUNTIF($W$15:$W$884,"&lt;"&amp;W608))</f>
        <v>585</v>
      </c>
      <c r="B608" s="16" t="s">
        <v>10</v>
      </c>
      <c r="C608" s="16" t="s">
        <v>1227</v>
      </c>
      <c r="D608" s="16" t="s">
        <v>122</v>
      </c>
      <c r="E608" s="16" t="s">
        <v>51</v>
      </c>
      <c r="F608" s="16" t="s">
        <v>1228</v>
      </c>
      <c r="G608" s="17">
        <v>1997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79,880원</v>
      </c>
      <c r="P608" s="17">
        <f aca="false">IF($B$10=0,"",IFERROR(IF($B$4&gt;0,IF($L608="",1/0,$L608*$B$4),0)+IF($B$5&gt;0,IF($M608="",1/0,$M608*$B$5),0)+IF($B$6&gt;0,IF($N608="",1/0,$N608*$B$6),0),""))</f>
        <v>79880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79880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79880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IF($T609="","",1+COUNTIF($W$15:$W$884,"&lt;"&amp;W609))</f>
        <v>585</v>
      </c>
      <c r="B609" s="16" t="s">
        <v>18</v>
      </c>
      <c r="C609" s="16" t="s">
        <v>1229</v>
      </c>
      <c r="D609" s="16" t="s">
        <v>45</v>
      </c>
      <c r="E609" s="16" t="s">
        <v>26</v>
      </c>
      <c r="F609" s="16" t="s">
        <v>1230</v>
      </c>
      <c r="G609" s="17">
        <v>1997</v>
      </c>
      <c r="H609" s="17"/>
      <c r="I609" s="17"/>
      <c r="J609" s="17">
        <v>1995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1995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IF($T610="","",1+COUNTIF($W$15:$W$884,"&lt;"&amp;W610))</f>
        <v>585</v>
      </c>
      <c r="B610" s="16" t="s">
        <v>6</v>
      </c>
      <c r="C610" s="16" t="s">
        <v>1231</v>
      </c>
      <c r="D610" s="16" t="s">
        <v>64</v>
      </c>
      <c r="E610" s="16" t="s">
        <v>26</v>
      </c>
      <c r="F610" s="16" t="s">
        <v>1232</v>
      </c>
      <c r="G610" s="17">
        <v>1997</v>
      </c>
      <c r="H610" s="17"/>
      <c r="I610" s="17"/>
      <c r="J610" s="17">
        <v>1995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1995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B610" s="6"/>
      <c r="XFC610" s="3"/>
    </row>
    <row r="611" s="22" collapsed="false" customFormat="true" customHeight="true" hidden="false" ht="28.5" outlineLevel="0">
      <c r="A611" s="16">
        <f aca="false">IF($T611="","",1+COUNTIF($W$15:$W$884,"&lt;"&amp;W611))</f>
        <v>585</v>
      </c>
      <c r="B611" s="16" t="s">
        <v>18</v>
      </c>
      <c r="C611" s="16" t="s">
        <v>820</v>
      </c>
      <c r="D611" s="16" t="s">
        <v>45</v>
      </c>
      <c r="E611" s="16" t="s">
        <v>26</v>
      </c>
      <c r="F611" s="16" t="s">
        <v>821</v>
      </c>
      <c r="G611" s="17">
        <v>1997</v>
      </c>
      <c r="H611" s="17"/>
      <c r="I611" s="17"/>
      <c r="J611" s="17">
        <v>1997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1997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IF($T612="","",1+COUNTIF($W$15:$W$884,"&lt;"&amp;W612))</f>
        <v>585</v>
      </c>
      <c r="B612" s="16" t="s">
        <v>14</v>
      </c>
      <c r="C612" s="16" t="s">
        <v>1233</v>
      </c>
      <c r="D612" s="16" t="s">
        <v>64</v>
      </c>
      <c r="E612" s="16" t="s">
        <v>26</v>
      </c>
      <c r="F612" s="16" t="s">
        <v>1234</v>
      </c>
      <c r="G612" s="17">
        <v>1997</v>
      </c>
      <c r="H612" s="17"/>
      <c r="I612" s="17"/>
      <c r="J612" s="17">
        <v>1997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1997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IF($T613="","",1+COUNTIF($W$15:$W$884,"&lt;"&amp;W613))</f>
        <v>585</v>
      </c>
      <c r="B613" s="16" t="s">
        <v>14</v>
      </c>
      <c r="C613" s="16" t="s">
        <v>1235</v>
      </c>
      <c r="D613" s="16" t="s">
        <v>45</v>
      </c>
      <c r="E613" s="16" t="s">
        <v>51</v>
      </c>
      <c r="F613" s="16" t="s">
        <v>1236</v>
      </c>
      <c r="G613" s="17">
        <v>1997</v>
      </c>
      <c r="H613" s="17"/>
      <c r="I613" s="17"/>
      <c r="J613" s="17">
        <v>1997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1997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22" collapsed="false" customFormat="true" customHeight="true" hidden="false" ht="28.5" outlineLevel="0">
      <c r="A614" s="16">
        <f aca="false">IF($T614="","",1+COUNTIF($W$15:$W$884,"&lt;"&amp;W614))</f>
        <v>585</v>
      </c>
      <c r="B614" s="16" t="s">
        <v>12</v>
      </c>
      <c r="C614" s="16" t="s">
        <v>1239</v>
      </c>
      <c r="D614" s="21" t="s">
        <v>45</v>
      </c>
      <c r="E614" s="16" t="s">
        <v>26</v>
      </c>
      <c r="F614" s="16" t="s">
        <v>1240</v>
      </c>
      <c r="G614" s="17">
        <v>1997</v>
      </c>
      <c r="H614" s="17"/>
      <c r="I614" s="17"/>
      <c r="J614" s="17">
        <v>1997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1997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IF($T615="","",1+COUNTIF($W$15:$W$884,"&lt;"&amp;W615))</f>
        <v>585</v>
      </c>
      <c r="B615" s="16" t="s">
        <v>10</v>
      </c>
      <c r="C615" s="16" t="s">
        <v>1241</v>
      </c>
      <c r="D615" s="20" t="s">
        <v>54</v>
      </c>
      <c r="E615" s="16" t="s">
        <v>26</v>
      </c>
      <c r="F615" s="16" t="s">
        <v>1242</v>
      </c>
      <c r="G615" s="17">
        <v>1997</v>
      </c>
      <c r="H615" s="17"/>
      <c r="I615" s="17"/>
      <c r="J615" s="17">
        <v>1998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1998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6" collapsed="false" customFormat="true" customHeight="true" hidden="false" ht="28.5" outlineLevel="0">
      <c r="A616" s="16">
        <f aca="false">IF($T616="","",1+COUNTIF($W$15:$W$884,"&lt;"&amp;W616))</f>
        <v>602</v>
      </c>
      <c r="B616" s="16" t="s">
        <v>10</v>
      </c>
      <c r="C616" s="16" t="s">
        <v>1243</v>
      </c>
      <c r="D616" s="16" t="s">
        <v>64</v>
      </c>
      <c r="E616" s="16" t="s">
        <v>26</v>
      </c>
      <c r="F616" s="16" t="s">
        <v>1244</v>
      </c>
      <c r="G616" s="17">
        <v>1998</v>
      </c>
      <c r="H616" s="17">
        <v>2389</v>
      </c>
      <c r="I616" s="17"/>
      <c r="J616" s="17">
        <v>1989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1998</v>
      </c>
      <c r="M616" s="17">
        <f aca="false">IF($H616="","",$H616+$K616)</f>
        <v>2389</v>
      </c>
      <c r="N616" s="17">
        <f aca="false">IF($J616="","",$J616+$K616)</f>
        <v>1989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79,920원</v>
      </c>
      <c r="P616" s="17">
        <f aca="false">IF($B$10=0,"",IFERROR(IF($B$4&gt;0,IF($L616="",1/0,$L616*$B$4),0)+IF($B$5&gt;0,IF($M616="",1/0,$M616*$B$5),0)+IF($B$6&gt;0,IF($N616="",1/0,$N616*$B$6),0),""))</f>
        <v>79920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79920</v>
      </c>
      <c r="U616" s="17">
        <f aca="false">IF($T616="","",IF($B$10=0,"",$T616/$B$10))</f>
        <v>1998</v>
      </c>
      <c r="V616" s="17">
        <f aca="false">IF($P616="","",IF($B$10=0,"",$P616/$B$10))</f>
        <v>1998</v>
      </c>
      <c r="W616" s="19">
        <f aca="false">IF($T616="",1000000000000000,$T616)</f>
        <v>79920</v>
      </c>
      <c r="XFC616" s="3"/>
    </row>
    <row r="617" s="5" collapsed="false" customFormat="true" customHeight="true" hidden="false" ht="28.5" outlineLevel="0">
      <c r="A617" s="16">
        <f aca="false">IF($T617="","",1+COUNTIF($W$15:$W$884,"&lt;"&amp;W617))</f>
        <v>602</v>
      </c>
      <c r="B617" s="16" t="s">
        <v>12</v>
      </c>
      <c r="C617" s="16" t="s">
        <v>1245</v>
      </c>
      <c r="D617" s="21" t="s">
        <v>45</v>
      </c>
      <c r="E617" s="16" t="s">
        <v>26</v>
      </c>
      <c r="F617" s="16" t="s">
        <v>1246</v>
      </c>
      <c r="G617" s="17">
        <v>1998</v>
      </c>
      <c r="H617" s="17">
        <v>2437</v>
      </c>
      <c r="I617" s="17"/>
      <c r="J617" s="17">
        <v>1989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1998</v>
      </c>
      <c r="M617" s="17">
        <f aca="false">IF($H617="","",$H617+$K617)</f>
        <v>2437</v>
      </c>
      <c r="N617" s="17">
        <f aca="false">IF($J617="","",$J617+$K617)</f>
        <v>1989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79,920원</v>
      </c>
      <c r="P617" s="17">
        <f aca="false">IF($B$10=0,"",IFERROR(IF($B$4&gt;0,IF($L617="",1/0,$L617*$B$4),0)+IF($B$5&gt;0,IF($M617="",1/0,$M617*$B$5),0)+IF($B$6&gt;0,IF($N617="",1/0,$N617*$B$6),0),""))</f>
        <v>79920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79920</v>
      </c>
      <c r="U617" s="17">
        <f aca="false">IF($T617="","",IF($B$10=0,"",$T617/$B$10))</f>
        <v>1998</v>
      </c>
      <c r="V617" s="17">
        <f aca="false">IF($P617="","",IF($B$10=0,"",$P617/$B$10))</f>
        <v>1998</v>
      </c>
      <c r="W617" s="19">
        <f aca="false">IF($T617="",1000000000000000,$T617)</f>
        <v>79920</v>
      </c>
      <c r="XFB617" s="6"/>
      <c r="XFC617" s="3"/>
    </row>
    <row r="618" s="22" collapsed="false" customFormat="true" customHeight="true" hidden="false" ht="28.5" outlineLevel="0">
      <c r="A618" s="16">
        <f aca="false">IF($T618="","",1+COUNTIF($W$15:$W$884,"&lt;"&amp;W618))</f>
        <v>602</v>
      </c>
      <c r="B618" s="16" t="s">
        <v>8</v>
      </c>
      <c r="C618" s="16" t="s">
        <v>844</v>
      </c>
      <c r="D618" s="16" t="s">
        <v>45</v>
      </c>
      <c r="E618" s="16" t="s">
        <v>26</v>
      </c>
      <c r="F618" s="16" t="s">
        <v>845</v>
      </c>
      <c r="G618" s="17">
        <v>1998</v>
      </c>
      <c r="H618" s="17"/>
      <c r="I618" s="17"/>
      <c r="J618" s="17">
        <v>1984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1998</v>
      </c>
      <c r="M618" s="17">
        <f aca="false">IF($H618="","",$H618+$K618)</f>
        <v/>
      </c>
      <c r="N618" s="17">
        <f aca="false">IF($J618="","",$J618+$K618)</f>
        <v>1984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79,920원</v>
      </c>
      <c r="P618" s="17">
        <f aca="false">IF($B$10=0,"",IFERROR(IF($B$4&gt;0,IF($L618="",1/0,$L618*$B$4),0)+IF($B$5&gt;0,IF($M618="",1/0,$M618*$B$5),0)+IF($B$6&gt;0,IF($N618="",1/0,$N618*$B$6),0),""))</f>
        <v>79920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79920</v>
      </c>
      <c r="U618" s="17">
        <f aca="false">IF($T618="","",IF($B$10=0,"",$T618/$B$10))</f>
        <v>1998</v>
      </c>
      <c r="V618" s="17">
        <f aca="false">IF($P618="","",IF($B$10=0,"",$P618/$B$10))</f>
        <v>1998</v>
      </c>
      <c r="W618" s="19">
        <f aca="false">IF($T618="",1000000000000000,$T618)</f>
        <v>79920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IF($T619="","",1+COUNTIF($W$15:$W$884,"&lt;"&amp;W619))</f>
        <v>602</v>
      </c>
      <c r="B619" s="16" t="s">
        <v>8</v>
      </c>
      <c r="C619" s="16" t="s">
        <v>1247</v>
      </c>
      <c r="D619" s="21" t="s">
        <v>57</v>
      </c>
      <c r="E619" s="16" t="s">
        <v>26</v>
      </c>
      <c r="F619" s="16" t="s">
        <v>1248</v>
      </c>
      <c r="G619" s="17">
        <v>1998</v>
      </c>
      <c r="H619" s="17"/>
      <c r="I619" s="17"/>
      <c r="J619" s="17">
        <v>1984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1998</v>
      </c>
      <c r="M619" s="17">
        <f aca="false">IF($H619="","",$H619+$K619)</f>
        <v/>
      </c>
      <c r="N619" s="17">
        <f aca="false">IF($J619="","",$J619+$K619)</f>
        <v>1984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79,920원</v>
      </c>
      <c r="P619" s="17">
        <f aca="false">IF($B$10=0,"",IFERROR(IF($B$4&gt;0,IF($L619="",1/0,$L619*$B$4),0)+IF($B$5&gt;0,IF($M619="",1/0,$M619*$B$5),0)+IF($B$6&gt;0,IF($N619="",1/0,$N619*$B$6),0),""))</f>
        <v>79920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79920</v>
      </c>
      <c r="U619" s="17">
        <f aca="false">IF($T619="","",IF($B$10=0,"",$T619/$B$10))</f>
        <v>1998</v>
      </c>
      <c r="V619" s="17">
        <f aca="false">IF($P619="","",IF($B$10=0,"",$P619/$B$10))</f>
        <v>1998</v>
      </c>
      <c r="W619" s="19">
        <f aca="false">IF($T619="",1000000000000000,$T619)</f>
        <v>79920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IF($T620="","",1+COUNTIF($W$15:$W$884,"&lt;"&amp;W620))</f>
        <v>602</v>
      </c>
      <c r="B620" s="16" t="s">
        <v>6</v>
      </c>
      <c r="C620" s="16" t="s">
        <v>1249</v>
      </c>
      <c r="D620" s="16" t="s">
        <v>122</v>
      </c>
      <c r="E620" s="16" t="s">
        <v>26</v>
      </c>
      <c r="F620" s="16" t="s">
        <v>1250</v>
      </c>
      <c r="G620" s="17">
        <v>1998</v>
      </c>
      <c r="H620" s="17"/>
      <c r="I620" s="17"/>
      <c r="J620" s="17">
        <v>1987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1998</v>
      </c>
      <c r="M620" s="17">
        <f aca="false">IF($H620="","",$H620+$K620)</f>
        <v/>
      </c>
      <c r="N620" s="17">
        <f aca="false">IF($J620="","",$J620+$K620)</f>
        <v>1987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79,920원</v>
      </c>
      <c r="P620" s="17">
        <f aca="false">IF($B$10=0,"",IFERROR(IF($B$4&gt;0,IF($L620="",1/0,$L620*$B$4),0)+IF($B$5&gt;0,IF($M620="",1/0,$M620*$B$5),0)+IF($B$6&gt;0,IF($N620="",1/0,$N620*$B$6),0),""))</f>
        <v>79920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79920</v>
      </c>
      <c r="U620" s="17">
        <f aca="false">IF($T620="","",IF($B$10=0,"",$T620/$B$10))</f>
        <v>1998</v>
      </c>
      <c r="V620" s="17">
        <f aca="false">IF($P620="","",IF($B$10=0,"",$P620/$B$10))</f>
        <v>1998</v>
      </c>
      <c r="W620" s="19">
        <f aca="false">IF($T620="",1000000000000000,$T620)</f>
        <v>79920</v>
      </c>
      <c r="XFC620" s="3"/>
    </row>
    <row r="621" s="5" collapsed="false" customFormat="true" customHeight="true" hidden="false" ht="28.5" outlineLevel="0">
      <c r="A621" s="16">
        <f aca="false">IF($T621="","",1+COUNTIF($W$15:$W$884,"&lt;"&amp;W621))</f>
        <v>602</v>
      </c>
      <c r="B621" s="16" t="s">
        <v>12</v>
      </c>
      <c r="C621" s="16" t="s">
        <v>1251</v>
      </c>
      <c r="D621" s="21" t="s">
        <v>57</v>
      </c>
      <c r="E621" s="16" t="s">
        <v>26</v>
      </c>
      <c r="F621" s="16" t="s">
        <v>1252</v>
      </c>
      <c r="G621" s="17">
        <v>1998</v>
      </c>
      <c r="H621" s="17"/>
      <c r="I621" s="17"/>
      <c r="J621" s="17">
        <v>1987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1998</v>
      </c>
      <c r="M621" s="17">
        <f aca="false">IF($H621="","",$H621+$K621)</f>
        <v/>
      </c>
      <c r="N621" s="17">
        <f aca="false">IF($J621="","",$J621+$K621)</f>
        <v>1987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79,920원</v>
      </c>
      <c r="P621" s="17">
        <f aca="false">IF($B$10=0,"",IFERROR(IF($B$4&gt;0,IF($L621="",1/0,$L621*$B$4),0)+IF($B$5&gt;0,IF($M621="",1/0,$M621*$B$5),0)+IF($B$6&gt;0,IF($N621="",1/0,$N621*$B$6),0),""))</f>
        <v>79920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79920</v>
      </c>
      <c r="U621" s="17">
        <f aca="false">IF($T621="","",IF($B$10=0,"",$T621/$B$10))</f>
        <v>1998</v>
      </c>
      <c r="V621" s="17">
        <f aca="false">IF($P621="","",IF($B$10=0,"",$P621/$B$10))</f>
        <v>1998</v>
      </c>
      <c r="W621" s="19">
        <f aca="false">IF($T621="",1000000000000000,$T621)</f>
        <v>79920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IF($T622="","",1+COUNTIF($W$15:$W$884,"&lt;"&amp;W622))</f>
        <v>602</v>
      </c>
      <c r="B622" s="16" t="s">
        <v>12</v>
      </c>
      <c r="C622" s="16" t="s">
        <v>1253</v>
      </c>
      <c r="D622" s="21" t="s">
        <v>45</v>
      </c>
      <c r="E622" s="16" t="s">
        <v>26</v>
      </c>
      <c r="F622" s="16" t="s">
        <v>1254</v>
      </c>
      <c r="G622" s="17">
        <v>1998</v>
      </c>
      <c r="H622" s="17"/>
      <c r="I622" s="17"/>
      <c r="J622" s="17">
        <v>1987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/>
      </c>
      <c r="N622" s="17">
        <f aca="false">IF($J622="","",$J622+$K622)</f>
        <v>1987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79,920원</v>
      </c>
      <c r="P622" s="17">
        <f aca="false">IF($B$10=0,"",IFERROR(IF($B$4&gt;0,IF($L622="",1/0,$L622*$B$4),0)+IF($B$5&gt;0,IF($M622="",1/0,$M622*$B$5),0)+IF($B$6&gt;0,IF($N622="",1/0,$N622*$B$6),0),""))</f>
        <v>79920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79920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79920</v>
      </c>
      <c r="XFB622" s="6"/>
      <c r="XFC622" s="3"/>
    </row>
    <row r="623" s="22" collapsed="false" customFormat="true" customHeight="true" hidden="false" ht="28.5" outlineLevel="0">
      <c r="A623" s="16">
        <f aca="false">IF($T623="","",1+COUNTIF($W$15:$W$884,"&lt;"&amp;W623))</f>
        <v>602</v>
      </c>
      <c r="B623" s="16" t="s">
        <v>10</v>
      </c>
      <c r="C623" s="16" t="s">
        <v>676</v>
      </c>
      <c r="D623" s="16" t="s">
        <v>45</v>
      </c>
      <c r="E623" s="16" t="s">
        <v>26</v>
      </c>
      <c r="F623" s="16" t="s">
        <v>677</v>
      </c>
      <c r="G623" s="17">
        <v>1998</v>
      </c>
      <c r="H623" s="17"/>
      <c r="I623" s="17"/>
      <c r="J623" s="17">
        <v>1987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/>
      </c>
      <c r="N623" s="17">
        <f aca="false">IF($J623="","",$J623+$K623)</f>
        <v>1987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79,920원</v>
      </c>
      <c r="P623" s="17">
        <f aca="false">IF($B$10=0,"",IFERROR(IF($B$4&gt;0,IF($L623="",1/0,$L623*$B$4),0)+IF($B$5&gt;0,IF($M623="",1/0,$M623*$B$5),0)+IF($B$6&gt;0,IF($N623="",1/0,$N623*$B$6),0),""))</f>
        <v>79920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79920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79920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IF($T624="","",1+COUNTIF($W$15:$W$884,"&lt;"&amp;W624))</f>
        <v>602</v>
      </c>
      <c r="B624" s="16" t="s">
        <v>10</v>
      </c>
      <c r="C624" s="16" t="s">
        <v>1255</v>
      </c>
      <c r="D624" s="16" t="s">
        <v>45</v>
      </c>
      <c r="E624" s="16" t="s">
        <v>26</v>
      </c>
      <c r="F624" s="16" t="s">
        <v>1256</v>
      </c>
      <c r="G624" s="17">
        <v>1998</v>
      </c>
      <c r="H624" s="17"/>
      <c r="I624" s="17"/>
      <c r="J624" s="17">
        <v>1987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79,920원</v>
      </c>
      <c r="P624" s="17">
        <f aca="false">IF($B$10=0,"",IFERROR(IF($B$4&gt;0,IF($L624="",1/0,$L624*$B$4),0)+IF($B$5&gt;0,IF($M624="",1/0,$M624*$B$5),0)+IF($B$6&gt;0,IF($N624="",1/0,$N624*$B$6),0),""))</f>
        <v>79920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79920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79920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IF($T625="","",1+COUNTIF($W$15:$W$884,"&lt;"&amp;W625))</f>
        <v>602</v>
      </c>
      <c r="B625" s="16" t="s">
        <v>14</v>
      </c>
      <c r="C625" s="16" t="s">
        <v>1257</v>
      </c>
      <c r="D625" s="16" t="s">
        <v>45</v>
      </c>
      <c r="E625" s="16" t="s">
        <v>26</v>
      </c>
      <c r="F625" s="16" t="s">
        <v>1258</v>
      </c>
      <c r="G625" s="17">
        <v>1998</v>
      </c>
      <c r="H625" s="17"/>
      <c r="I625" s="17"/>
      <c r="J625" s="17">
        <v>1988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1988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IF($T626="","",1+COUNTIF($W$15:$W$884,"&lt;"&amp;W626))</f>
        <v>602</v>
      </c>
      <c r="B626" s="16" t="s">
        <v>12</v>
      </c>
      <c r="C626" s="16" t="s">
        <v>1259</v>
      </c>
      <c r="D626" s="21" t="s">
        <v>45</v>
      </c>
      <c r="E626" s="16" t="s">
        <v>26</v>
      </c>
      <c r="F626" s="16" t="s">
        <v>1260</v>
      </c>
      <c r="G626" s="17">
        <v>1998</v>
      </c>
      <c r="H626" s="17"/>
      <c r="I626" s="17"/>
      <c r="J626" s="17">
        <v>1988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1988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IF($T627="","",1+COUNTIF($W$15:$W$884,"&lt;"&amp;W627))</f>
        <v>602</v>
      </c>
      <c r="B627" s="16" t="s">
        <v>12</v>
      </c>
      <c r="C627" s="16" t="s">
        <v>1261</v>
      </c>
      <c r="D627" s="21" t="s">
        <v>176</v>
      </c>
      <c r="E627" s="16" t="s">
        <v>26</v>
      </c>
      <c r="F627" s="16" t="s">
        <v>1262</v>
      </c>
      <c r="G627" s="17">
        <v>1998</v>
      </c>
      <c r="H627" s="17"/>
      <c r="I627" s="17"/>
      <c r="J627" s="17">
        <v>1988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IF($T628="","",1+COUNTIF($W$15:$W$884,"&lt;"&amp;W628))</f>
        <v>602</v>
      </c>
      <c r="B628" s="16" t="s">
        <v>12</v>
      </c>
      <c r="C628" s="16" t="s">
        <v>1263</v>
      </c>
      <c r="D628" s="21" t="s">
        <v>176</v>
      </c>
      <c r="E628" s="16" t="s">
        <v>26</v>
      </c>
      <c r="F628" s="16" t="s">
        <v>1264</v>
      </c>
      <c r="G628" s="17">
        <v>1998</v>
      </c>
      <c r="H628" s="17"/>
      <c r="I628" s="17"/>
      <c r="J628" s="17">
        <v>1988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1988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IF($T629="","",1+COUNTIF($W$15:$W$884,"&lt;"&amp;W629))</f>
        <v>602</v>
      </c>
      <c r="B629" s="16" t="s">
        <v>10</v>
      </c>
      <c r="C629" s="16" t="s">
        <v>659</v>
      </c>
      <c r="D629" s="16" t="s">
        <v>45</v>
      </c>
      <c r="E629" s="16" t="s">
        <v>26</v>
      </c>
      <c r="F629" s="16" t="s">
        <v>660</v>
      </c>
      <c r="G629" s="17">
        <v>1998</v>
      </c>
      <c r="H629" s="17"/>
      <c r="I629" s="17"/>
      <c r="J629" s="17">
        <v>1988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1988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6" collapsed="false" customFormat="true" customHeight="true" hidden="false" ht="28.5" outlineLevel="0">
      <c r="A630" s="16">
        <f aca="false">IF($T630="","",1+COUNTIF($W$15:$W$884,"&lt;"&amp;W630))</f>
        <v>602</v>
      </c>
      <c r="B630" s="16" t="s">
        <v>10</v>
      </c>
      <c r="C630" s="16" t="s">
        <v>729</v>
      </c>
      <c r="D630" s="16" t="s">
        <v>45</v>
      </c>
      <c r="E630" s="16" t="s">
        <v>26</v>
      </c>
      <c r="F630" s="16" t="s">
        <v>730</v>
      </c>
      <c r="G630" s="17">
        <v>1998</v>
      </c>
      <c r="H630" s="17"/>
      <c r="I630" s="17"/>
      <c r="J630" s="17">
        <v>1988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C630" s="3"/>
    </row>
    <row r="631" s="5" collapsed="false" customFormat="true" customHeight="true" hidden="false" ht="28.5" outlineLevel="0">
      <c r="A631" s="16">
        <f aca="false">IF($T631="","",1+COUNTIF($W$15:$W$884,"&lt;"&amp;W631))</f>
        <v>602</v>
      </c>
      <c r="B631" s="16" t="s">
        <v>10</v>
      </c>
      <c r="C631" s="16" t="s">
        <v>674</v>
      </c>
      <c r="D631" s="16" t="s">
        <v>45</v>
      </c>
      <c r="E631" s="16" t="s">
        <v>26</v>
      </c>
      <c r="F631" s="16" t="s">
        <v>675</v>
      </c>
      <c r="G631" s="17">
        <v>1998</v>
      </c>
      <c r="H631" s="17"/>
      <c r="I631" s="17"/>
      <c r="J631" s="17">
        <v>1988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IF($T632="","",1+COUNTIF($W$15:$W$884,"&lt;"&amp;W632))</f>
        <v>602</v>
      </c>
      <c r="B632" s="16" t="s">
        <v>12</v>
      </c>
      <c r="C632" s="16" t="s">
        <v>1265</v>
      </c>
      <c r="D632" s="21" t="s">
        <v>45</v>
      </c>
      <c r="E632" s="16" t="s">
        <v>26</v>
      </c>
      <c r="F632" s="16" t="s">
        <v>1266</v>
      </c>
      <c r="G632" s="17">
        <v>1998</v>
      </c>
      <c r="H632" s="17"/>
      <c r="I632" s="17"/>
      <c r="J632" s="17">
        <v>1989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IF($T633="","",1+COUNTIF($W$15:$W$884,"&lt;"&amp;W633))</f>
        <v>602</v>
      </c>
      <c r="B633" s="16" t="s">
        <v>10</v>
      </c>
      <c r="C633" s="16" t="s">
        <v>1267</v>
      </c>
      <c r="D633" s="16" t="s">
        <v>45</v>
      </c>
      <c r="E633" s="16" t="s">
        <v>26</v>
      </c>
      <c r="F633" s="16" t="s">
        <v>1268</v>
      </c>
      <c r="G633" s="17">
        <v>1998</v>
      </c>
      <c r="H633" s="17"/>
      <c r="I633" s="17"/>
      <c r="J633" s="17">
        <v>1989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6" collapsed="false" customFormat="true" customHeight="true" hidden="false" ht="28.5" outlineLevel="0">
      <c r="A634" s="16">
        <f aca="false">IF($T634="","",1+COUNTIF($W$15:$W$884,"&lt;"&amp;W634))</f>
        <v>602</v>
      </c>
      <c r="B634" s="16" t="s">
        <v>10</v>
      </c>
      <c r="C634" s="16" t="s">
        <v>1714</v>
      </c>
      <c r="D634" s="16" t="s">
        <v>45</v>
      </c>
      <c r="E634" s="16" t="s">
        <v>26</v>
      </c>
      <c r="F634" s="16" t="s">
        <v>1715</v>
      </c>
      <c r="G634" s="17">
        <v>1998</v>
      </c>
      <c r="H634" s="17"/>
      <c r="I634" s="17"/>
      <c r="J634" s="17">
        <v>1989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1989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C634" s="3"/>
    </row>
    <row r="635" s="5" collapsed="false" customFormat="true" customHeight="true" hidden="false" ht="28.5" outlineLevel="0">
      <c r="A635" s="16">
        <f aca="false">IF($T635="","",1+COUNTIF($W$15:$W$884,"&lt;"&amp;W635))</f>
        <v>602</v>
      </c>
      <c r="B635" s="16" t="s">
        <v>10</v>
      </c>
      <c r="C635" s="16" t="s">
        <v>1269</v>
      </c>
      <c r="D635" s="16" t="s">
        <v>176</v>
      </c>
      <c r="E635" s="16" t="s">
        <v>51</v>
      </c>
      <c r="F635" s="16" t="s">
        <v>1270</v>
      </c>
      <c r="G635" s="17">
        <v>1998</v>
      </c>
      <c r="H635" s="17"/>
      <c r="I635" s="17"/>
      <c r="J635" s="17">
        <v>1989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1989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B635" s="6"/>
      <c r="XFC635" s="3"/>
    </row>
    <row r="636" s="6" collapsed="false" customFormat="true" customHeight="true" hidden="false" ht="28.5" outlineLevel="0">
      <c r="A636" s="16">
        <f aca="false">IF($T636="","",1+COUNTIF($W$15:$W$884,"&lt;"&amp;W636))</f>
        <v>602</v>
      </c>
      <c r="B636" s="16" t="s">
        <v>12</v>
      </c>
      <c r="C636" s="16" t="s">
        <v>1271</v>
      </c>
      <c r="D636" s="21" t="s">
        <v>176</v>
      </c>
      <c r="E636" s="16" t="s">
        <v>51</v>
      </c>
      <c r="F636" s="16" t="s">
        <v>1272</v>
      </c>
      <c r="G636" s="17">
        <v>1998</v>
      </c>
      <c r="H636" s="17"/>
      <c r="I636" s="17"/>
      <c r="J636" s="17">
        <v>1994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1994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C636" s="3"/>
    </row>
    <row r="637" s="6" collapsed="false" customFormat="true" customHeight="true" hidden="false" ht="28.5" outlineLevel="0">
      <c r="A637" s="16">
        <f aca="false">IF($T637="","",1+COUNTIF($W$15:$W$884,"&lt;"&amp;W637))</f>
        <v>602</v>
      </c>
      <c r="B637" s="16" t="s">
        <v>6</v>
      </c>
      <c r="C637" s="16" t="s">
        <v>1273</v>
      </c>
      <c r="D637" s="21" t="s">
        <v>57</v>
      </c>
      <c r="E637" s="16" t="s">
        <v>26</v>
      </c>
      <c r="F637" s="16" t="s">
        <v>1274</v>
      </c>
      <c r="G637" s="17">
        <v>1998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C637" s="3"/>
    </row>
    <row r="638" s="5" collapsed="false" customFormat="true" customHeight="true" hidden="false" ht="28.5" outlineLevel="0">
      <c r="A638" s="16">
        <f aca="false">IF($T638="","",1+COUNTIF($W$15:$W$884,"&lt;"&amp;W638))</f>
        <v>602</v>
      </c>
      <c r="B638" s="16" t="s">
        <v>8</v>
      </c>
      <c r="C638" s="16" t="s">
        <v>53</v>
      </c>
      <c r="D638" s="16" t="s">
        <v>64</v>
      </c>
      <c r="E638" s="16" t="s">
        <v>51</v>
      </c>
      <c r="F638" s="16" t="s">
        <v>1275</v>
      </c>
      <c r="G638" s="17">
        <v>1998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IF($T639="","",1+COUNTIF($W$15:$W$884,"&lt;"&amp;W639))</f>
        <v>602</v>
      </c>
      <c r="B639" s="16" t="s">
        <v>14</v>
      </c>
      <c r="C639" s="16" t="s">
        <v>1276</v>
      </c>
      <c r="D639" s="16" t="s">
        <v>45</v>
      </c>
      <c r="E639" s="16" t="s">
        <v>26</v>
      </c>
      <c r="F639" s="16" t="s">
        <v>1277</v>
      </c>
      <c r="G639" s="17">
        <v>1998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IF($T640="","",1+COUNTIF($W$15:$W$884,"&lt;"&amp;W640))</f>
        <v>602</v>
      </c>
      <c r="B640" s="16" t="s">
        <v>10</v>
      </c>
      <c r="C640" s="16" t="s">
        <v>1278</v>
      </c>
      <c r="D640" s="16" t="s">
        <v>45</v>
      </c>
      <c r="E640" s="16" t="s">
        <v>26</v>
      </c>
      <c r="F640" s="16" t="s">
        <v>1279</v>
      </c>
      <c r="G640" s="17">
        <v>1998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B640" s="6"/>
      <c r="XFC640" s="3"/>
    </row>
    <row r="641" s="6" collapsed="false" customFormat="true" customHeight="true" hidden="false" ht="28.5" outlineLevel="0">
      <c r="A641" s="16">
        <f aca="false">IF($T641="","",1+COUNTIF($W$15:$W$884,"&lt;"&amp;W641))</f>
        <v>602</v>
      </c>
      <c r="B641" s="16" t="s">
        <v>12</v>
      </c>
      <c r="C641" s="16" t="s">
        <v>1282</v>
      </c>
      <c r="D641" s="16" t="s">
        <v>719</v>
      </c>
      <c r="E641" s="16" t="s">
        <v>26</v>
      </c>
      <c r="F641" s="16" t="s">
        <v>1283</v>
      </c>
      <c r="G641" s="17">
        <v>1998</v>
      </c>
      <c r="H641" s="17"/>
      <c r="I641" s="17"/>
      <c r="J641" s="17">
        <v>1996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1996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C641" s="3"/>
    </row>
    <row r="642" s="5" collapsed="false" customFormat="true" customHeight="true" hidden="false" ht="28.5" outlineLevel="0">
      <c r="A642" s="16">
        <f aca="false">IF($T642="","",1+COUNTIF($W$15:$W$884,"&lt;"&amp;W642))</f>
        <v>602</v>
      </c>
      <c r="B642" s="16" t="s">
        <v>10</v>
      </c>
      <c r="C642" s="16" t="s">
        <v>1284</v>
      </c>
      <c r="D642" s="20" t="s">
        <v>54</v>
      </c>
      <c r="E642" s="16" t="s">
        <v>26</v>
      </c>
      <c r="F642" s="16" t="s">
        <v>1285</v>
      </c>
      <c r="G642" s="17">
        <v>1998</v>
      </c>
      <c r="H642" s="17"/>
      <c r="I642" s="17"/>
      <c r="J642" s="17">
        <v>1996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1996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IF($T643="","",1+COUNTIF($W$15:$W$884,"&lt;"&amp;W643))</f>
        <v>602</v>
      </c>
      <c r="B643" s="16" t="s">
        <v>10</v>
      </c>
      <c r="C643" s="16" t="s">
        <v>1286</v>
      </c>
      <c r="D643" s="16" t="s">
        <v>719</v>
      </c>
      <c r="E643" s="16" t="s">
        <v>26</v>
      </c>
      <c r="F643" s="16" t="s">
        <v>1287</v>
      </c>
      <c r="G643" s="17">
        <v>1998</v>
      </c>
      <c r="H643" s="17"/>
      <c r="I643" s="17"/>
      <c r="J643" s="17">
        <v>1996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1996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IF($T644="","",1+COUNTIF($W$15:$W$884,"&lt;"&amp;W644))</f>
        <v>602</v>
      </c>
      <c r="B644" s="16" t="s">
        <v>18</v>
      </c>
      <c r="C644" s="16" t="s">
        <v>1288</v>
      </c>
      <c r="D644" s="16" t="s">
        <v>176</v>
      </c>
      <c r="E644" s="16" t="s">
        <v>51</v>
      </c>
      <c r="F644" s="16" t="s">
        <v>1289</v>
      </c>
      <c r="G644" s="17">
        <v>1998</v>
      </c>
      <c r="H644" s="17"/>
      <c r="I644" s="17"/>
      <c r="J644" s="17">
        <v>1998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IF($T645="","",1+COUNTIF($W$15:$W$884,"&lt;"&amp;W645))</f>
        <v>602</v>
      </c>
      <c r="B645" s="16" t="s">
        <v>6</v>
      </c>
      <c r="C645" s="16" t="s">
        <v>1290</v>
      </c>
      <c r="D645" s="16" t="s">
        <v>45</v>
      </c>
      <c r="E645" s="16" t="s">
        <v>51</v>
      </c>
      <c r="F645" s="16" t="s">
        <v>1291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IF($T646="","",1+COUNTIF($W$15:$W$884,"&lt;"&amp;W646))</f>
        <v>602</v>
      </c>
      <c r="B646" s="16" t="s">
        <v>6</v>
      </c>
      <c r="C646" s="16" t="s">
        <v>1292</v>
      </c>
      <c r="D646" s="21" t="s">
        <v>57</v>
      </c>
      <c r="E646" s="16" t="s">
        <v>26</v>
      </c>
      <c r="F646" s="16" t="s">
        <v>1293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IF($T647="","",1+COUNTIF($W$15:$W$884,"&lt;"&amp;W647))</f>
        <v>602</v>
      </c>
      <c r="B647" s="16" t="s">
        <v>6</v>
      </c>
      <c r="C647" s="16" t="s">
        <v>1294</v>
      </c>
      <c r="D647" s="21" t="s">
        <v>57</v>
      </c>
      <c r="E647" s="16" t="s">
        <v>26</v>
      </c>
      <c r="F647" s="16" t="s">
        <v>1295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22" collapsed="false" customFormat="true" customHeight="true" hidden="false" ht="28.5" outlineLevel="0">
      <c r="A648" s="16">
        <f aca="false">IF($T648="","",1+COUNTIF($W$15:$W$884,"&lt;"&amp;W648))</f>
        <v>602</v>
      </c>
      <c r="B648" s="16" t="s">
        <v>6</v>
      </c>
      <c r="C648" s="16" t="s">
        <v>1296</v>
      </c>
      <c r="D648" s="16" t="s">
        <v>64</v>
      </c>
      <c r="E648" s="16" t="s">
        <v>26</v>
      </c>
      <c r="F648" s="16" t="s">
        <v>1297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B648" s="6"/>
      <c r="XFC648" s="3"/>
    </row>
    <row r="649" s="6" collapsed="false" customFormat="true" customHeight="true" hidden="false" ht="28.5" outlineLevel="0">
      <c r="A649" s="16">
        <f aca="false">IF($T649="","",1+COUNTIF($W$15:$W$884,"&lt;"&amp;W649))</f>
        <v>602</v>
      </c>
      <c r="B649" s="16" t="s">
        <v>8</v>
      </c>
      <c r="C649" s="16" t="s">
        <v>1298</v>
      </c>
      <c r="D649" s="16" t="s">
        <v>45</v>
      </c>
      <c r="E649" s="16" t="s">
        <v>26</v>
      </c>
      <c r="F649" s="16" t="s">
        <v>1299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C649" s="3"/>
    </row>
    <row r="650" s="6" collapsed="false" customFormat="true" customHeight="true" hidden="false" ht="28.5" outlineLevel="0">
      <c r="A650" s="16">
        <f aca="false">IF($T650="","",1+COUNTIF($W$15:$W$884,"&lt;"&amp;W650))</f>
        <v>602</v>
      </c>
      <c r="B650" s="16" t="s">
        <v>12</v>
      </c>
      <c r="C650" s="16" t="s">
        <v>1300</v>
      </c>
      <c r="D650" s="21" t="s">
        <v>57</v>
      </c>
      <c r="E650" s="16" t="s">
        <v>26</v>
      </c>
      <c r="F650" s="16" t="s">
        <v>1301</v>
      </c>
      <c r="G650" s="17">
        <v>1998</v>
      </c>
      <c r="H650" s="17"/>
      <c r="I650" s="17"/>
      <c r="J650" s="17">
        <v>1998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C650" s="3"/>
    </row>
    <row r="651" s="6" collapsed="false" customFormat="true" customHeight="true" hidden="false" ht="28.5" outlineLevel="0">
      <c r="A651" s="16">
        <f aca="false">IF($T651="","",1+COUNTIF($W$15:$W$884,"&lt;"&amp;W651))</f>
        <v>602</v>
      </c>
      <c r="B651" s="16" t="s">
        <v>10</v>
      </c>
      <c r="C651" s="16" t="s">
        <v>1302</v>
      </c>
      <c r="D651" s="16" t="s">
        <v>64</v>
      </c>
      <c r="E651" s="16" t="s">
        <v>26</v>
      </c>
      <c r="F651" s="16" t="s">
        <v>1303</v>
      </c>
      <c r="G651" s="17">
        <v>1998</v>
      </c>
      <c r="H651" s="17"/>
      <c r="I651" s="17"/>
      <c r="J651" s="17">
        <v>1998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C651" s="3"/>
    </row>
    <row r="652" s="5" collapsed="false" customFormat="true" customHeight="true" hidden="false" ht="28.5" outlineLevel="0">
      <c r="A652" s="16">
        <f aca="false">IF($T652="","",1+COUNTIF($W$15:$W$884,"&lt;"&amp;W652))</f>
        <v>602</v>
      </c>
      <c r="B652" s="16" t="s">
        <v>10</v>
      </c>
      <c r="C652" s="16" t="s">
        <v>1304</v>
      </c>
      <c r="D652" s="21" t="s">
        <v>57</v>
      </c>
      <c r="E652" s="16" t="s">
        <v>26</v>
      </c>
      <c r="F652" s="16" t="s">
        <v>1305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IF($T653="","",1+COUNTIF($W$15:$W$884,"&lt;"&amp;W653))</f>
        <v>602</v>
      </c>
      <c r="B653" s="16" t="s">
        <v>10</v>
      </c>
      <c r="C653" s="16" t="s">
        <v>1306</v>
      </c>
      <c r="D653" s="16" t="s">
        <v>64</v>
      </c>
      <c r="E653" s="16" t="s">
        <v>26</v>
      </c>
      <c r="F653" s="16" t="s">
        <v>1307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B653" s="6"/>
      <c r="XFC653" s="3"/>
    </row>
    <row r="654" s="6" collapsed="false" customFormat="true" customHeight="true" hidden="false" ht="28.5" outlineLevel="0">
      <c r="A654" s="16">
        <f aca="false">IF($T654="","",1+COUNTIF($W$15:$W$884,"&lt;"&amp;W654))</f>
        <v>602</v>
      </c>
      <c r="B654" s="16" t="s">
        <v>10</v>
      </c>
      <c r="C654" s="16" t="s">
        <v>1308</v>
      </c>
      <c r="D654" s="20" t="s">
        <v>54</v>
      </c>
      <c r="E654" s="16" t="s">
        <v>26</v>
      </c>
      <c r="F654" s="16" t="s">
        <v>1309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C654" s="3"/>
    </row>
    <row r="655" s="6" collapsed="false" customFormat="true" customHeight="true" hidden="false" ht="28.5" outlineLevel="0">
      <c r="A655" s="16">
        <f aca="false">IF($T655="","",1+COUNTIF($W$15:$W$884,"&lt;"&amp;W655))</f>
        <v>602</v>
      </c>
      <c r="B655" s="16" t="s">
        <v>10</v>
      </c>
      <c r="C655" s="16" t="s">
        <v>1310</v>
      </c>
      <c r="D655" s="20" t="s">
        <v>54</v>
      </c>
      <c r="E655" s="16" t="s">
        <v>26</v>
      </c>
      <c r="F655" s="16" t="s">
        <v>1311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C655" s="3"/>
    </row>
    <row r="656" s="5" collapsed="false" customFormat="true" customHeight="true" hidden="false" ht="28.5" outlineLevel="0">
      <c r="A656" s="16">
        <f aca="false">IF($T656="","",1+COUNTIF($W$15:$W$884,"&lt;"&amp;W656))</f>
        <v>602</v>
      </c>
      <c r="B656" s="16" t="s">
        <v>10</v>
      </c>
      <c r="C656" s="16" t="s">
        <v>1312</v>
      </c>
      <c r="D656" s="16" t="s">
        <v>64</v>
      </c>
      <c r="E656" s="16" t="s">
        <v>26</v>
      </c>
      <c r="F656" s="16" t="s">
        <v>1313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IF($T657="","",1+COUNTIF($W$15:$W$884,"&lt;"&amp;W657))</f>
        <v>602</v>
      </c>
      <c r="B657" s="16" t="s">
        <v>10</v>
      </c>
      <c r="C657" s="16" t="s">
        <v>208</v>
      </c>
      <c r="D657" s="16" t="s">
        <v>45</v>
      </c>
      <c r="E657" s="16" t="s">
        <v>51</v>
      </c>
      <c r="F657" s="16" t="s">
        <v>1314</v>
      </c>
      <c r="G657" s="17">
        <v>1998</v>
      </c>
      <c r="H657" s="17"/>
      <c r="I657" s="17"/>
      <c r="J657" s="17">
        <v>1998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IF($T658="","",1+COUNTIF($W$15:$W$884,"&lt;"&amp;W658))</f>
        <v>602</v>
      </c>
      <c r="B658" s="16" t="s">
        <v>14</v>
      </c>
      <c r="C658" s="16" t="s">
        <v>1315</v>
      </c>
      <c r="D658" s="16" t="s">
        <v>64</v>
      </c>
      <c r="E658" s="16" t="s">
        <v>26</v>
      </c>
      <c r="F658" s="16" t="s">
        <v>1316</v>
      </c>
      <c r="G658" s="17">
        <v>1998</v>
      </c>
      <c r="H658" s="17"/>
      <c r="I658" s="17"/>
      <c r="J658" s="17">
        <v>1999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1999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79,920원</v>
      </c>
      <c r="P658" s="17">
        <f aca="false">IF($B$10=0,"",IFERROR(IF($B$4&gt;0,IF($L658="",1/0,$L658*$B$4),0)+IF($B$5&gt;0,IF($M658="",1/0,$M658*$B$5),0)+IF($B$6&gt;0,IF($N658="",1/0,$N658*$B$6),0),""))</f>
        <v>79920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79920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79920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IF($T659="","",1+COUNTIF($W$15:$W$884,"&lt;"&amp;W659))</f>
        <v>602</v>
      </c>
      <c r="B659" s="16" t="s">
        <v>14</v>
      </c>
      <c r="C659" s="16" t="s">
        <v>1317</v>
      </c>
      <c r="D659" s="16" t="s">
        <v>64</v>
      </c>
      <c r="E659" s="16" t="s">
        <v>51</v>
      </c>
      <c r="F659" s="16" t="s">
        <v>1318</v>
      </c>
      <c r="G659" s="17">
        <v>1998</v>
      </c>
      <c r="H659" s="17"/>
      <c r="I659" s="17"/>
      <c r="J659" s="17">
        <v>2098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2098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79,920원</v>
      </c>
      <c r="P659" s="17">
        <f aca="false">IF($B$10=0,"",IFERROR(IF($B$4&gt;0,IF($L659="",1/0,$L659*$B$4),0)+IF($B$5&gt;0,IF($M659="",1/0,$M659*$B$5),0)+IF($B$6&gt;0,IF($N659="",1/0,$N659*$B$6),0),""))</f>
        <v>79920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79920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79920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IF($T660="","",1+COUNTIF($W$15:$W$884,"&lt;"&amp;W660))</f>
        <v>646</v>
      </c>
      <c r="B660" s="16" t="s">
        <v>14</v>
      </c>
      <c r="C660" s="16" t="s">
        <v>1319</v>
      </c>
      <c r="D660" s="16" t="s">
        <v>64</v>
      </c>
      <c r="E660" s="16" t="s">
        <v>26</v>
      </c>
      <c r="F660" s="16" t="s">
        <v>1320</v>
      </c>
      <c r="G660" s="17">
        <v>1999</v>
      </c>
      <c r="H660" s="17">
        <v>2319</v>
      </c>
      <c r="I660" s="17"/>
      <c r="J660" s="17">
        <v>1979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1999</v>
      </c>
      <c r="M660" s="17">
        <f aca="false">IF($H660="","",$H660+$K660)</f>
        <v>2319</v>
      </c>
      <c r="N660" s="17">
        <f aca="false">IF($J660="","",$J660+$K660)</f>
        <v>1979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79,960원</v>
      </c>
      <c r="P660" s="17">
        <f aca="false">IF($B$10=0,"",IFERROR(IF($B$4&gt;0,IF($L660="",1/0,$L660*$B$4),0)+IF($B$5&gt;0,IF($M660="",1/0,$M660*$B$5),0)+IF($B$6&gt;0,IF($N660="",1/0,$N660*$B$6),0),""))</f>
        <v>79960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79960</v>
      </c>
      <c r="U660" s="17">
        <f aca="false">IF($T660="","",IF($B$10=0,"",$T660/$B$10))</f>
        <v>1999</v>
      </c>
      <c r="V660" s="17">
        <f aca="false">IF($P660="","",IF($B$10=0,"",$P660/$B$10))</f>
        <v>1999</v>
      </c>
      <c r="W660" s="19">
        <f aca="false">IF($T660="",1000000000000000,$T660)</f>
        <v>79960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IF($T661="","",1+COUNTIF($W$15:$W$884,"&lt;"&amp;W661))</f>
        <v>646</v>
      </c>
      <c r="B661" s="16" t="s">
        <v>10</v>
      </c>
      <c r="C661" s="16" t="s">
        <v>1321</v>
      </c>
      <c r="D661" s="16" t="s">
        <v>64</v>
      </c>
      <c r="E661" s="16" t="s">
        <v>26</v>
      </c>
      <c r="F661" s="16" t="s">
        <v>1322</v>
      </c>
      <c r="G661" s="17">
        <v>1999</v>
      </c>
      <c r="H661" s="17">
        <v>2359</v>
      </c>
      <c r="I661" s="17"/>
      <c r="J661" s="17">
        <v>1999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1999</v>
      </c>
      <c r="M661" s="17">
        <f aca="false">IF($H661="","",$H661+$K661)</f>
        <v>2359</v>
      </c>
      <c r="N661" s="17">
        <f aca="false">IF($J661="","",$J661+$K661)</f>
        <v>1999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79,960원</v>
      </c>
      <c r="P661" s="17">
        <f aca="false">IF($B$10=0,"",IFERROR(IF($B$4&gt;0,IF($L661="",1/0,$L661*$B$4),0)+IF($B$5&gt;0,IF($M661="",1/0,$M661*$B$5),0)+IF($B$6&gt;0,IF($N661="",1/0,$N661*$B$6),0),""))</f>
        <v>79960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79960</v>
      </c>
      <c r="U661" s="17">
        <f aca="false">IF($T661="","",IF($B$10=0,"",$T661/$B$10))</f>
        <v>1999</v>
      </c>
      <c r="V661" s="17">
        <f aca="false">IF($P661="","",IF($B$10=0,"",$P661/$B$10))</f>
        <v>1999</v>
      </c>
      <c r="W661" s="19">
        <f aca="false">IF($T661="",1000000000000000,$T661)</f>
        <v>79960</v>
      </c>
      <c r="XFB661" s="6"/>
      <c r="XFC661" s="3"/>
    </row>
    <row r="662" s="22" collapsed="false" customFormat="true" customHeight="true" hidden="false" ht="28.5" outlineLevel="0">
      <c r="A662" s="16">
        <f aca="false">IF($T662="","",1+COUNTIF($W$15:$W$884,"&lt;"&amp;W662))</f>
        <v>646</v>
      </c>
      <c r="B662" s="16" t="s">
        <v>8</v>
      </c>
      <c r="C662" s="16" t="s">
        <v>426</v>
      </c>
      <c r="D662" s="16" t="s">
        <v>45</v>
      </c>
      <c r="E662" s="16" t="s">
        <v>26</v>
      </c>
      <c r="F662" s="16" t="s">
        <v>1323</v>
      </c>
      <c r="G662" s="17">
        <v>1999</v>
      </c>
      <c r="H662" s="17">
        <v>2369</v>
      </c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1999</v>
      </c>
      <c r="M662" s="17">
        <f aca="false">IF($H662="","",$H662+$K662)</f>
        <v>2369</v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79,960원</v>
      </c>
      <c r="P662" s="17">
        <f aca="false">IF($B$10=0,"",IFERROR(IF($B$4&gt;0,IF($L662="",1/0,$L662*$B$4),0)+IF($B$5&gt;0,IF($M662="",1/0,$M662*$B$5),0)+IF($B$6&gt;0,IF($N662="",1/0,$N662*$B$6),0),""))</f>
        <v>79960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79960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79960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IF($T663="","",1+COUNTIF($W$15:$W$884,"&lt;"&amp;W663))</f>
        <v>646</v>
      </c>
      <c r="B663" s="16" t="s">
        <v>8</v>
      </c>
      <c r="C663" s="16" t="s">
        <v>1324</v>
      </c>
      <c r="D663" s="16" t="s">
        <v>45</v>
      </c>
      <c r="E663" s="16" t="s">
        <v>26</v>
      </c>
      <c r="F663" s="16" t="s">
        <v>1325</v>
      </c>
      <c r="G663" s="17">
        <v>2009</v>
      </c>
      <c r="H663" s="17">
        <v>2399</v>
      </c>
      <c r="I663" s="17"/>
      <c r="J663" s="17">
        <v>2003</v>
      </c>
      <c r="K663" s="17">
        <f aca="false">IF(AND(IFERROR(SEARCH("현대오일뱅크",$C663),0)&gt;0,IFERROR(SEARCH("직영",$C663),0)&gt;0),$B$13,0)</f>
        <v>-10</v>
      </c>
      <c r="L663" s="17">
        <f aca="false">IF($G663="","",$G663+$K663)</f>
        <v>1999</v>
      </c>
      <c r="M663" s="17">
        <f aca="false">IF($H663="","",$H663+$K663)</f>
        <v>2389</v>
      </c>
      <c r="N663" s="17">
        <f aca="false">IF($J663="","",$J663+$K663)</f>
        <v>1993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79,960원</v>
      </c>
      <c r="P663" s="17">
        <f aca="false">IF($B$10=0,"",IFERROR(IF($B$4&gt;0,IF($L663="",1/0,$L663*$B$4),0)+IF($B$5&gt;0,IF($M663="",1/0,$M663*$B$5),0)+IF($B$6&gt;0,IF($N663="",1/0,$N663*$B$6),0),""))</f>
        <v>79960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79960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79960</v>
      </c>
      <c r="XFB663" s="6"/>
      <c r="XFC663" s="3"/>
    </row>
    <row r="664" s="22" collapsed="false" customFormat="true" customHeight="true" hidden="false" ht="28.5" outlineLevel="0">
      <c r="A664" s="16">
        <f aca="false">IF($T664="","",1+COUNTIF($W$15:$W$884,"&lt;"&amp;W664))</f>
        <v>646</v>
      </c>
      <c r="B664" s="16" t="s">
        <v>10</v>
      </c>
      <c r="C664" s="16" t="s">
        <v>1326</v>
      </c>
      <c r="D664" s="16" t="s">
        <v>45</v>
      </c>
      <c r="E664" s="16" t="s">
        <v>26</v>
      </c>
      <c r="F664" s="16" t="s">
        <v>1327</v>
      </c>
      <c r="G664" s="17">
        <v>2009</v>
      </c>
      <c r="H664" s="17">
        <v>2399</v>
      </c>
      <c r="I664" s="17"/>
      <c r="J664" s="17">
        <v>2003</v>
      </c>
      <c r="K664" s="17">
        <f aca="false">IF(AND(IFERROR(SEARCH("현대오일뱅크",$C664),0)&gt;0,IFERROR(SEARCH("직영",$C664),0)&gt;0),$B$13,0)</f>
        <v>-10</v>
      </c>
      <c r="L664" s="17">
        <f aca="false">IF($G664="","",$G664+$K664)</f>
        <v>1999</v>
      </c>
      <c r="M664" s="17">
        <f aca="false">IF($H664="","",$H664+$K664)</f>
        <v>2389</v>
      </c>
      <c r="N664" s="17">
        <f aca="false">IF($J664="","",$J664+$K664)</f>
        <v>1993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79,960원</v>
      </c>
      <c r="P664" s="17">
        <f aca="false">IF($B$10=0,"",IFERROR(IF($B$4&gt;0,IF($L664="",1/0,$L664*$B$4),0)+IF($B$5&gt;0,IF($M664="",1/0,$M664*$B$5),0)+IF($B$6&gt;0,IF($N664="",1/0,$N664*$B$6),0),""))</f>
        <v>79960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79960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79960</v>
      </c>
      <c r="XFB664" s="6"/>
      <c r="XFC664" s="3"/>
    </row>
    <row r="665" s="6" collapsed="false" customFormat="true" customHeight="true" hidden="false" ht="28.5" outlineLevel="0">
      <c r="A665" s="16">
        <f aca="false">IF($T665="","",1+COUNTIF($W$15:$W$884,"&lt;"&amp;W665))</f>
        <v>646</v>
      </c>
      <c r="B665" s="16" t="s">
        <v>6</v>
      </c>
      <c r="C665" s="16" t="s">
        <v>1328</v>
      </c>
      <c r="D665" s="16" t="s">
        <v>45</v>
      </c>
      <c r="E665" s="16" t="s">
        <v>51</v>
      </c>
      <c r="F665" s="16" t="s">
        <v>1329</v>
      </c>
      <c r="G665" s="17">
        <v>2009</v>
      </c>
      <c r="H665" s="17">
        <v>2417</v>
      </c>
      <c r="I665" s="17" t="s">
        <v>47</v>
      </c>
      <c r="J665" s="17">
        <v>2003</v>
      </c>
      <c r="K665" s="17">
        <f aca="false">IF(AND(IFERROR(SEARCH("현대오일뱅크",$C665),0)&gt;0,IFERROR(SEARCH("직영",$C665),0)&gt;0),$B$13,0)</f>
        <v>-10</v>
      </c>
      <c r="L665" s="17">
        <f aca="false">IF($G665="","",$G665+$K665)</f>
        <v>1999</v>
      </c>
      <c r="M665" s="17">
        <f aca="false">IF($H665="","",$H665+$K665)</f>
        <v>2407</v>
      </c>
      <c r="N665" s="17">
        <f aca="false">IF($J665="","",$J665+$K665)</f>
        <v>1993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79,960원</v>
      </c>
      <c r="P665" s="17">
        <f aca="false">IF($B$10=0,"",IFERROR(IF($B$4&gt;0,IF($L665="",1/0,$L665*$B$4),0)+IF($B$5&gt;0,IF($M665="",1/0,$M665*$B$5),0)+IF($B$6&gt;0,IF($N665="",1/0,$N665*$B$6),0),""))</f>
        <v>79960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79960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79960</v>
      </c>
      <c r="XFC665" s="3"/>
    </row>
    <row r="666" s="5" collapsed="false" customFormat="true" customHeight="true" hidden="false" ht="28.5" outlineLevel="0">
      <c r="A666" s="16">
        <f aca="false">IF($T666="","",1+COUNTIF($W$15:$W$884,"&lt;"&amp;W666))</f>
        <v>646</v>
      </c>
      <c r="B666" s="16" t="s">
        <v>6</v>
      </c>
      <c r="C666" s="16" t="s">
        <v>1330</v>
      </c>
      <c r="D666" s="16" t="s">
        <v>45</v>
      </c>
      <c r="E666" s="16" t="s">
        <v>26</v>
      </c>
      <c r="F666" s="16" t="s">
        <v>1331</v>
      </c>
      <c r="G666" s="17">
        <v>2009</v>
      </c>
      <c r="H666" s="17">
        <v>2417</v>
      </c>
      <c r="I666" s="17"/>
      <c r="J666" s="17">
        <v>2003</v>
      </c>
      <c r="K666" s="17">
        <f aca="false">IF(AND(IFERROR(SEARCH("현대오일뱅크",$C666),0)&gt;0,IFERROR(SEARCH("직영",$C666),0)&gt;0),$B$13,0)</f>
        <v>-10</v>
      </c>
      <c r="L666" s="17">
        <f aca="false">IF($G666="","",$G666+$K666)</f>
        <v>1999</v>
      </c>
      <c r="M666" s="17">
        <f aca="false">IF($H666="","",$H666+$K666)</f>
        <v>2407</v>
      </c>
      <c r="N666" s="17">
        <f aca="false">IF($J666="","",$J666+$K666)</f>
        <v>1993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79,960원</v>
      </c>
      <c r="P666" s="17">
        <f aca="false">IF($B$10=0,"",IFERROR(IF($B$4&gt;0,IF($L666="",1/0,$L666*$B$4),0)+IF($B$5&gt;0,IF($M666="",1/0,$M666*$B$5),0)+IF($B$6&gt;0,IF($N666="",1/0,$N666*$B$6),0),""))</f>
        <v>79960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79960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79960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IF($T667="","",1+COUNTIF($W$15:$W$884,"&lt;"&amp;W667))</f>
        <v>646</v>
      </c>
      <c r="B667" s="16" t="s">
        <v>6</v>
      </c>
      <c r="C667" s="16" t="s">
        <v>1332</v>
      </c>
      <c r="D667" s="16" t="s">
        <v>45</v>
      </c>
      <c r="E667" s="16" t="s">
        <v>26</v>
      </c>
      <c r="F667" s="16" t="s">
        <v>1333</v>
      </c>
      <c r="G667" s="17">
        <v>2009</v>
      </c>
      <c r="H667" s="17">
        <v>2417</v>
      </c>
      <c r="I667" s="17"/>
      <c r="J667" s="17">
        <v>2003</v>
      </c>
      <c r="K667" s="17">
        <f aca="false">IF(AND(IFERROR(SEARCH("현대오일뱅크",$C667),0)&gt;0,IFERROR(SEARCH("직영",$C667),0)&gt;0),$B$13,0)</f>
        <v>-10</v>
      </c>
      <c r="L667" s="17">
        <f aca="false">IF($G667="","",$G667+$K667)</f>
        <v>1999</v>
      </c>
      <c r="M667" s="17">
        <f aca="false">IF($H667="","",$H667+$K667)</f>
        <v>2407</v>
      </c>
      <c r="N667" s="17">
        <f aca="false">IF($J667="","",$J667+$K667)</f>
        <v>1993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79,960원</v>
      </c>
      <c r="P667" s="17">
        <f aca="false">IF($B$10=0,"",IFERROR(IF($B$4&gt;0,IF($L667="",1/0,$L667*$B$4),0)+IF($B$5&gt;0,IF($M667="",1/0,$M667*$B$5),0)+IF($B$6&gt;0,IF($N667="",1/0,$N667*$B$6),0),""))</f>
        <v>79960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79960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79960</v>
      </c>
      <c r="XFB667" s="6"/>
      <c r="XFC667" s="3"/>
    </row>
    <row r="668" s="22" collapsed="false" customFormat="true" customHeight="true" hidden="false" ht="28.5" outlineLevel="0">
      <c r="A668" s="16">
        <f aca="false">IF($T668="","",1+COUNTIF($W$15:$W$884,"&lt;"&amp;W668))</f>
        <v>646</v>
      </c>
      <c r="B668" s="16" t="s">
        <v>6</v>
      </c>
      <c r="C668" s="16" t="s">
        <v>1334</v>
      </c>
      <c r="D668" s="16" t="s">
        <v>45</v>
      </c>
      <c r="E668" s="16" t="s">
        <v>26</v>
      </c>
      <c r="F668" s="16" t="s">
        <v>1335</v>
      </c>
      <c r="G668" s="17">
        <v>2009</v>
      </c>
      <c r="H668" s="17">
        <v>2417</v>
      </c>
      <c r="I668" s="17" t="s">
        <v>47</v>
      </c>
      <c r="J668" s="17">
        <v>2003</v>
      </c>
      <c r="K668" s="17">
        <f aca="false">IF(AND(IFERROR(SEARCH("현대오일뱅크",$C668),0)&gt;0,IFERROR(SEARCH("직영",$C668),0)&gt;0),$B$13,0)</f>
        <v>-10</v>
      </c>
      <c r="L668" s="17">
        <f aca="false">IF($G668="","",$G668+$K668)</f>
        <v>1999</v>
      </c>
      <c r="M668" s="17">
        <f aca="false">IF($H668="","",$H668+$K668)</f>
        <v>2407</v>
      </c>
      <c r="N668" s="17">
        <f aca="false">IF($J668="","",$J668+$K668)</f>
        <v>1993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IF($T669="","",1+COUNTIF($W$15:$W$884,"&lt;"&amp;W669))</f>
        <v>646</v>
      </c>
      <c r="B669" s="16" t="s">
        <v>10</v>
      </c>
      <c r="C669" s="16" t="s">
        <v>1336</v>
      </c>
      <c r="D669" s="16" t="s">
        <v>45</v>
      </c>
      <c r="E669" s="16" t="s">
        <v>26</v>
      </c>
      <c r="F669" s="16" t="s">
        <v>1337</v>
      </c>
      <c r="G669" s="17">
        <v>2009</v>
      </c>
      <c r="H669" s="17">
        <v>2421</v>
      </c>
      <c r="I669" s="17"/>
      <c r="J669" s="17">
        <v>2003</v>
      </c>
      <c r="K669" s="17">
        <f aca="false">IF(AND(IFERROR(SEARCH("현대오일뱅크",$C669),0)&gt;0,IFERROR(SEARCH("직영",$C669),0)&gt;0),$B$13,0)</f>
        <v>-10</v>
      </c>
      <c r="L669" s="17">
        <f aca="false">IF($G669="","",$G669+$K669)</f>
        <v>1999</v>
      </c>
      <c r="M669" s="17">
        <f aca="false">IF($H669="","",$H669+$K669)</f>
        <v>2411</v>
      </c>
      <c r="N669" s="17">
        <f aca="false">IF($J669="","",$J669+$K669)</f>
        <v>1993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B669" s="6"/>
      <c r="XFC669" s="3"/>
    </row>
    <row r="670" s="6" collapsed="false" customFormat="true" customHeight="true" hidden="false" ht="28.5" outlineLevel="0">
      <c r="A670" s="16">
        <f aca="false">IF($T670="","",1+COUNTIF($W$15:$W$884,"&lt;"&amp;W670))</f>
        <v>646</v>
      </c>
      <c r="B670" s="16" t="s">
        <v>10</v>
      </c>
      <c r="C670" s="16" t="s">
        <v>1338</v>
      </c>
      <c r="D670" s="16" t="s">
        <v>64</v>
      </c>
      <c r="E670" s="16" t="s">
        <v>26</v>
      </c>
      <c r="F670" s="16" t="s">
        <v>1339</v>
      </c>
      <c r="G670" s="17">
        <v>1999</v>
      </c>
      <c r="H670" s="17">
        <v>2428</v>
      </c>
      <c r="I670" s="17"/>
      <c r="J670" s="17">
        <v>1999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>2428</v>
      </c>
      <c r="N670" s="17">
        <f aca="false">IF($J670="","",$J670+$K670)</f>
        <v>1999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C670" s="3"/>
    </row>
    <row r="671" s="5" collapsed="false" customFormat="true" customHeight="true" hidden="false" ht="28.5" outlineLevel="0">
      <c r="A671" s="16">
        <f aca="false">IF($T671="","",1+COUNTIF($W$15:$W$884,"&lt;"&amp;W671))</f>
        <v>646</v>
      </c>
      <c r="B671" s="16" t="s">
        <v>6</v>
      </c>
      <c r="C671" s="16" t="s">
        <v>1340</v>
      </c>
      <c r="D671" s="20" t="s">
        <v>54</v>
      </c>
      <c r="E671" s="16" t="s">
        <v>26</v>
      </c>
      <c r="F671" s="16" t="s">
        <v>1341</v>
      </c>
      <c r="G671" s="17">
        <v>1999</v>
      </c>
      <c r="H671" s="17">
        <v>2430</v>
      </c>
      <c r="I671" s="17"/>
      <c r="J671" s="17">
        <v>1999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>2430</v>
      </c>
      <c r="N671" s="17">
        <f aca="false">IF($J671="","",$J671+$K671)</f>
        <v>1999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B671" s="6"/>
      <c r="XFC671" s="3"/>
    </row>
    <row r="672" s="22" collapsed="false" customFormat="true" customHeight="true" hidden="false" ht="28.5" outlineLevel="0">
      <c r="A672" s="16">
        <f aca="false">IF($T672="","",1+COUNTIF($W$15:$W$884,"&lt;"&amp;W672))</f>
        <v>646</v>
      </c>
      <c r="B672" s="16" t="s">
        <v>10</v>
      </c>
      <c r="C672" s="16" t="s">
        <v>208</v>
      </c>
      <c r="D672" s="20" t="s">
        <v>54</v>
      </c>
      <c r="E672" s="16" t="s">
        <v>26</v>
      </c>
      <c r="F672" s="16" t="s">
        <v>1342</v>
      </c>
      <c r="G672" s="17">
        <v>1999</v>
      </c>
      <c r="H672" s="17">
        <v>2490</v>
      </c>
      <c r="I672" s="17"/>
      <c r="J672" s="17">
        <v>1999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1999</v>
      </c>
      <c r="M672" s="17">
        <f aca="false">IF($H672="","",$H672+$K672)</f>
        <v>2490</v>
      </c>
      <c r="N672" s="17">
        <f aca="false">IF($J672="","",$J672+$K672)</f>
        <v>1999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IF($T673="","",1+COUNTIF($W$15:$W$884,"&lt;"&amp;W673))</f>
        <v>646</v>
      </c>
      <c r="B673" s="16" t="s">
        <v>18</v>
      </c>
      <c r="C673" s="16" t="s">
        <v>1343</v>
      </c>
      <c r="D673" s="16" t="s">
        <v>64</v>
      </c>
      <c r="E673" s="16" t="s">
        <v>26</v>
      </c>
      <c r="F673" s="16" t="s">
        <v>1344</v>
      </c>
      <c r="G673" s="17">
        <v>1999</v>
      </c>
      <c r="H673" s="17">
        <v>2499</v>
      </c>
      <c r="I673" s="17"/>
      <c r="J673" s="17">
        <v>1999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>2499</v>
      </c>
      <c r="N673" s="17">
        <f aca="false">IF($J673="","",$J673+$K673)</f>
        <v>1999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IF($T674="","",1+COUNTIF($W$15:$W$884,"&lt;"&amp;W674))</f>
        <v>646</v>
      </c>
      <c r="B674" s="16" t="s">
        <v>10</v>
      </c>
      <c r="C674" s="16" t="s">
        <v>1345</v>
      </c>
      <c r="D674" s="16" t="s">
        <v>45</v>
      </c>
      <c r="E674" s="16" t="s">
        <v>26</v>
      </c>
      <c r="F674" s="16" t="s">
        <v>1346</v>
      </c>
      <c r="G674" s="17">
        <v>1999</v>
      </c>
      <c r="H674" s="17">
        <v>2573</v>
      </c>
      <c r="I674" s="17"/>
      <c r="J674" s="17">
        <v>2029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>2573</v>
      </c>
      <c r="N674" s="17">
        <f aca="false">IF($J674="","",$J674+$K674)</f>
        <v>2029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IF($T675="","",1+COUNTIF($W$15:$W$884,"&lt;"&amp;W675))</f>
        <v>646</v>
      </c>
      <c r="B675" s="16" t="s">
        <v>6</v>
      </c>
      <c r="C675" s="16" t="s">
        <v>773</v>
      </c>
      <c r="D675" s="21" t="s">
        <v>57</v>
      </c>
      <c r="E675" s="16" t="s">
        <v>26</v>
      </c>
      <c r="F675" s="16" t="s">
        <v>774</v>
      </c>
      <c r="G675" s="17">
        <v>1999</v>
      </c>
      <c r="H675" s="17"/>
      <c r="I675" s="17"/>
      <c r="J675" s="17">
        <v>1973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/>
      </c>
      <c r="N675" s="17">
        <f aca="false">IF($J675="","",$J675+$K675)</f>
        <v>1973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C675" s="3"/>
    </row>
    <row r="676" s="5" collapsed="false" customFormat="true" customHeight="true" hidden="false" ht="28.5" outlineLevel="0">
      <c r="A676" s="16">
        <f aca="false">IF($T676="","",1+COUNTIF($W$15:$W$884,"&lt;"&amp;W676))</f>
        <v>646</v>
      </c>
      <c r="B676" s="16" t="s">
        <v>14</v>
      </c>
      <c r="C676" s="16" t="s">
        <v>1347</v>
      </c>
      <c r="D676" s="16" t="s">
        <v>64</v>
      </c>
      <c r="E676" s="16" t="s">
        <v>26</v>
      </c>
      <c r="F676" s="16" t="s">
        <v>1348</v>
      </c>
      <c r="G676" s="17">
        <v>1999</v>
      </c>
      <c r="H676" s="17"/>
      <c r="I676" s="17"/>
      <c r="J676" s="17">
        <v>1979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1979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22" collapsed="false" customFormat="true" customHeight="true" hidden="false" ht="28.5" outlineLevel="0">
      <c r="A677" s="16">
        <f aca="false">IF($T677="","",1+COUNTIF($W$15:$W$884,"&lt;"&amp;W677))</f>
        <v>646</v>
      </c>
      <c r="B677" s="16" t="s">
        <v>14</v>
      </c>
      <c r="C677" s="16" t="s">
        <v>1349</v>
      </c>
      <c r="D677" s="16" t="s">
        <v>64</v>
      </c>
      <c r="E677" s="16" t="s">
        <v>26</v>
      </c>
      <c r="F677" s="16" t="s">
        <v>1350</v>
      </c>
      <c r="G677" s="17">
        <v>1999</v>
      </c>
      <c r="H677" s="17"/>
      <c r="I677" s="17"/>
      <c r="J677" s="17">
        <v>1979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1979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IF($T678="","",1+COUNTIF($W$15:$W$884,"&lt;"&amp;W678))</f>
        <v>646</v>
      </c>
      <c r="B678" s="16" t="s">
        <v>14</v>
      </c>
      <c r="C678" s="16" t="s">
        <v>173</v>
      </c>
      <c r="D678" s="16" t="s">
        <v>64</v>
      </c>
      <c r="E678" s="16" t="s">
        <v>26</v>
      </c>
      <c r="F678" s="16" t="s">
        <v>174</v>
      </c>
      <c r="G678" s="17">
        <v>1999</v>
      </c>
      <c r="H678" s="17"/>
      <c r="I678" s="17"/>
      <c r="J678" s="17">
        <v>1988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1988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B678" s="6"/>
      <c r="XFC678" s="3"/>
    </row>
    <row r="679" s="6" collapsed="false" customFormat="true" customHeight="true" hidden="false" ht="28.5" outlineLevel="0">
      <c r="A679" s="16">
        <f aca="false">IF($T679="","",1+COUNTIF($W$15:$W$884,"&lt;"&amp;W679))</f>
        <v>646</v>
      </c>
      <c r="B679" s="16" t="s">
        <v>6</v>
      </c>
      <c r="C679" s="16" t="s">
        <v>1351</v>
      </c>
      <c r="D679" s="16" t="s">
        <v>64</v>
      </c>
      <c r="E679" s="16" t="s">
        <v>26</v>
      </c>
      <c r="F679" s="16" t="s">
        <v>1352</v>
      </c>
      <c r="G679" s="17">
        <v>1999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C679" s="3"/>
    </row>
    <row r="680" s="22" collapsed="false" customFormat="true" customHeight="true" hidden="false" ht="28.5" outlineLevel="0">
      <c r="A680" s="16">
        <f aca="false">IF($T680="","",1+COUNTIF($W$15:$W$884,"&lt;"&amp;W680))</f>
        <v>646</v>
      </c>
      <c r="B680" s="16" t="s">
        <v>16</v>
      </c>
      <c r="C680" s="16" t="s">
        <v>1353</v>
      </c>
      <c r="D680" s="20" t="s">
        <v>54</v>
      </c>
      <c r="E680" s="16" t="s">
        <v>26</v>
      </c>
      <c r="F680" s="16" t="s">
        <v>1354</v>
      </c>
      <c r="G680" s="17">
        <v>1999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IF($T681="","",1+COUNTIF($W$15:$W$884,"&lt;"&amp;W681))</f>
        <v>646</v>
      </c>
      <c r="B681" s="16" t="s">
        <v>8</v>
      </c>
      <c r="C681" s="16" t="s">
        <v>1355</v>
      </c>
      <c r="D681" s="20" t="s">
        <v>54</v>
      </c>
      <c r="E681" s="16" t="s">
        <v>26</v>
      </c>
      <c r="F681" s="16" t="s">
        <v>1356</v>
      </c>
      <c r="G681" s="17">
        <v>1999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C681" s="3"/>
    </row>
    <row r="682" s="22" collapsed="false" customFormat="true" customHeight="true" hidden="false" ht="28.5" outlineLevel="0">
      <c r="A682" s="16">
        <f aca="false">IF($T682="","",1+COUNTIF($W$15:$W$884,"&lt;"&amp;W682))</f>
        <v>646</v>
      </c>
      <c r="B682" s="16" t="s">
        <v>8</v>
      </c>
      <c r="C682" s="16" t="s">
        <v>1357</v>
      </c>
      <c r="D682" s="16" t="s">
        <v>176</v>
      </c>
      <c r="E682" s="16" t="s">
        <v>51</v>
      </c>
      <c r="F682" s="16" t="s">
        <v>1358</v>
      </c>
      <c r="G682" s="17">
        <v>1999</v>
      </c>
      <c r="H682" s="17"/>
      <c r="I682" s="17"/>
      <c r="J682" s="17">
        <v>1989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1989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IF($T683="","",1+COUNTIF($W$15:$W$884,"&lt;"&amp;W683))</f>
        <v>646</v>
      </c>
      <c r="B683" s="16" t="s">
        <v>14</v>
      </c>
      <c r="C683" s="16" t="s">
        <v>1359</v>
      </c>
      <c r="D683" s="16" t="s">
        <v>45</v>
      </c>
      <c r="E683" s="16" t="s">
        <v>26</v>
      </c>
      <c r="F683" s="16" t="s">
        <v>1360</v>
      </c>
      <c r="G683" s="17">
        <v>1999</v>
      </c>
      <c r="H683" s="17"/>
      <c r="I683" s="17"/>
      <c r="J683" s="17">
        <v>1989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1989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IF($T684="","",1+COUNTIF($W$15:$W$884,"&lt;"&amp;W684))</f>
        <v>646</v>
      </c>
      <c r="B684" s="16" t="s">
        <v>12</v>
      </c>
      <c r="C684" s="16" t="s">
        <v>1363</v>
      </c>
      <c r="D684" s="16" t="s">
        <v>45</v>
      </c>
      <c r="E684" s="16" t="s">
        <v>26</v>
      </c>
      <c r="F684" s="16" t="s">
        <v>1364</v>
      </c>
      <c r="G684" s="17">
        <v>1999</v>
      </c>
      <c r="H684" s="17"/>
      <c r="I684" s="17"/>
      <c r="J684" s="17">
        <v>1989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1989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IF($T685="","",1+COUNTIF($W$15:$W$884,"&lt;"&amp;W685))</f>
        <v>646</v>
      </c>
      <c r="B685" s="16" t="s">
        <v>10</v>
      </c>
      <c r="C685" s="16" t="s">
        <v>1365</v>
      </c>
      <c r="D685" s="16" t="s">
        <v>45</v>
      </c>
      <c r="E685" s="16" t="s">
        <v>26</v>
      </c>
      <c r="F685" s="16" t="s">
        <v>1366</v>
      </c>
      <c r="G685" s="17">
        <v>1999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IF($T686="","",1+COUNTIF($W$15:$W$884,"&lt;"&amp;W686))</f>
        <v>646</v>
      </c>
      <c r="B686" s="16" t="s">
        <v>10</v>
      </c>
      <c r="C686" s="16" t="s">
        <v>1367</v>
      </c>
      <c r="D686" s="16" t="s">
        <v>64</v>
      </c>
      <c r="E686" s="16" t="s">
        <v>26</v>
      </c>
      <c r="F686" s="16" t="s">
        <v>1368</v>
      </c>
      <c r="G686" s="17">
        <v>1999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IF($T687="","",1+COUNTIF($W$15:$W$884,"&lt;"&amp;W687))</f>
        <v>646</v>
      </c>
      <c r="B687" s="16" t="s">
        <v>18</v>
      </c>
      <c r="C687" s="16" t="s">
        <v>1369</v>
      </c>
      <c r="D687" s="16" t="s">
        <v>176</v>
      </c>
      <c r="E687" s="16" t="s">
        <v>26</v>
      </c>
      <c r="F687" s="16" t="s">
        <v>1370</v>
      </c>
      <c r="G687" s="17">
        <v>1999</v>
      </c>
      <c r="H687" s="17"/>
      <c r="I687" s="17"/>
      <c r="J687" s="17">
        <v>1990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1990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IF($T688="","",1+COUNTIF($W$15:$W$884,"&lt;"&amp;W688))</f>
        <v>646</v>
      </c>
      <c r="B688" s="16" t="s">
        <v>18</v>
      </c>
      <c r="C688" s="16" t="s">
        <v>1371</v>
      </c>
      <c r="D688" s="16" t="s">
        <v>45</v>
      </c>
      <c r="E688" s="16" t="s">
        <v>51</v>
      </c>
      <c r="F688" s="16" t="s">
        <v>1372</v>
      </c>
      <c r="G688" s="17">
        <v>2009</v>
      </c>
      <c r="H688" s="17"/>
      <c r="I688" s="17"/>
      <c r="J688" s="17">
        <v>2003</v>
      </c>
      <c r="K688" s="17">
        <v>-10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1993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C688" s="3"/>
    </row>
    <row r="689" s="5" collapsed="false" customFormat="true" customHeight="true" hidden="false" ht="28.5" outlineLevel="0">
      <c r="A689" s="16">
        <f aca="false">IF($T689="","",1+COUNTIF($W$15:$W$884,"&lt;"&amp;W689))</f>
        <v>646</v>
      </c>
      <c r="B689" s="16" t="s">
        <v>10</v>
      </c>
      <c r="C689" s="16" t="s">
        <v>1373</v>
      </c>
      <c r="D689" s="16" t="s">
        <v>45</v>
      </c>
      <c r="E689" s="16" t="s">
        <v>26</v>
      </c>
      <c r="F689" s="16" t="s">
        <v>1374</v>
      </c>
      <c r="G689" s="17">
        <v>2009</v>
      </c>
      <c r="H689" s="17"/>
      <c r="I689" s="17"/>
      <c r="J689" s="17">
        <v>2003</v>
      </c>
      <c r="K689" s="17">
        <v>-10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1993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IF($T690="","",1+COUNTIF($W$15:$W$884,"&lt;"&amp;W690))</f>
        <v>646</v>
      </c>
      <c r="B690" s="16" t="s">
        <v>6</v>
      </c>
      <c r="C690" s="16" t="s">
        <v>1375</v>
      </c>
      <c r="D690" s="20" t="s">
        <v>54</v>
      </c>
      <c r="E690" s="16" t="s">
        <v>26</v>
      </c>
      <c r="F690" s="16" t="s">
        <v>1376</v>
      </c>
      <c r="G690" s="17">
        <v>1999</v>
      </c>
      <c r="H690" s="17"/>
      <c r="I690" s="17"/>
      <c r="J690" s="17">
        <v>1994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1994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IF($T691="","",1+COUNTIF($W$15:$W$884,"&lt;"&amp;W691))</f>
        <v>646</v>
      </c>
      <c r="B691" s="16" t="s">
        <v>6</v>
      </c>
      <c r="C691" s="16" t="s">
        <v>1377</v>
      </c>
      <c r="D691" s="16" t="s">
        <v>45</v>
      </c>
      <c r="E691" s="16" t="s">
        <v>26</v>
      </c>
      <c r="F691" s="16" t="s">
        <v>1378</v>
      </c>
      <c r="G691" s="17">
        <v>1999</v>
      </c>
      <c r="H691" s="17"/>
      <c r="I691" s="17"/>
      <c r="J691" s="17">
        <v>1994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1994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IF($T692="","",1+COUNTIF($W$15:$W$884,"&lt;"&amp;W692))</f>
        <v>646</v>
      </c>
      <c r="B692" s="16" t="s">
        <v>18</v>
      </c>
      <c r="C692" s="16" t="s">
        <v>1381</v>
      </c>
      <c r="D692" s="20" t="s">
        <v>54</v>
      </c>
      <c r="E692" s="16" t="s">
        <v>26</v>
      </c>
      <c r="F692" s="16" t="s">
        <v>1382</v>
      </c>
      <c r="G692" s="17">
        <v>1999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IF($T693="","",1+COUNTIF($W$15:$W$884,"&lt;"&amp;W693))</f>
        <v>646</v>
      </c>
      <c r="B693" s="16" t="s">
        <v>18</v>
      </c>
      <c r="C693" s="16" t="s">
        <v>1383</v>
      </c>
      <c r="D693" s="16" t="s">
        <v>64</v>
      </c>
      <c r="E693" s="16" t="s">
        <v>51</v>
      </c>
      <c r="F693" s="16" t="s">
        <v>1384</v>
      </c>
      <c r="G693" s="17">
        <v>1999</v>
      </c>
      <c r="H693" s="17"/>
      <c r="I693" s="17"/>
      <c r="J693" s="17">
        <v>1995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B693" s="6"/>
      <c r="XFC693" s="3"/>
    </row>
    <row r="694" s="22" collapsed="false" customFormat="true" customHeight="true" hidden="false" ht="28.5" outlineLevel="0">
      <c r="A694" s="16">
        <f aca="false">IF($T694="","",1+COUNTIF($W$15:$W$884,"&lt;"&amp;W694))</f>
        <v>646</v>
      </c>
      <c r="B694" s="16" t="s">
        <v>16</v>
      </c>
      <c r="C694" s="16" t="s">
        <v>1385</v>
      </c>
      <c r="D694" s="20" t="s">
        <v>54</v>
      </c>
      <c r="E694" s="16" t="s">
        <v>26</v>
      </c>
      <c r="F694" s="16" t="s">
        <v>1386</v>
      </c>
      <c r="G694" s="17">
        <v>1999</v>
      </c>
      <c r="H694" s="17"/>
      <c r="I694" s="17"/>
      <c r="J694" s="17">
        <v>1995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22" collapsed="false" customFormat="true" customHeight="true" hidden="false" ht="28.5" outlineLevel="0">
      <c r="A695" s="16">
        <f aca="false">IF($T695="","",1+COUNTIF($W$15:$W$884,"&lt;"&amp;W695))</f>
        <v>646</v>
      </c>
      <c r="B695" s="16" t="s">
        <v>8</v>
      </c>
      <c r="C695" s="16" t="s">
        <v>1552</v>
      </c>
      <c r="D695" s="16" t="s">
        <v>64</v>
      </c>
      <c r="E695" s="16" t="s">
        <v>26</v>
      </c>
      <c r="F695" s="16" t="s">
        <v>1553</v>
      </c>
      <c r="G695" s="17">
        <v>1999</v>
      </c>
      <c r="H695" s="17"/>
      <c r="I695" s="17"/>
      <c r="J695" s="17">
        <v>1995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B695" s="6"/>
      <c r="XFC695" s="3"/>
    </row>
    <row r="696" s="22" collapsed="false" customFormat="true" customHeight="true" hidden="false" ht="28.5" outlineLevel="0">
      <c r="A696" s="16">
        <f aca="false">IF($T696="","",1+COUNTIF($W$15:$W$884,"&lt;"&amp;W696))</f>
        <v>646</v>
      </c>
      <c r="B696" s="16" t="s">
        <v>14</v>
      </c>
      <c r="C696" s="16" t="s">
        <v>1389</v>
      </c>
      <c r="D696" s="21" t="s">
        <v>57</v>
      </c>
      <c r="E696" s="16" t="s">
        <v>26</v>
      </c>
      <c r="F696" s="16" t="s">
        <v>1390</v>
      </c>
      <c r="G696" s="17">
        <v>1999</v>
      </c>
      <c r="H696" s="17"/>
      <c r="I696" s="17"/>
      <c r="J696" s="17">
        <v>1995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B696" s="6"/>
      <c r="XFC696" s="3"/>
    </row>
    <row r="697" s="22" collapsed="false" customFormat="true" customHeight="true" hidden="false" ht="28.5" outlineLevel="0">
      <c r="A697" s="16">
        <f aca="false">IF($T697="","",1+COUNTIF($W$15:$W$884,"&lt;"&amp;W697))</f>
        <v>646</v>
      </c>
      <c r="B697" s="16" t="s">
        <v>10</v>
      </c>
      <c r="C697" s="16" t="s">
        <v>1391</v>
      </c>
      <c r="D697" s="16" t="s">
        <v>64</v>
      </c>
      <c r="E697" s="16" t="s">
        <v>51</v>
      </c>
      <c r="F697" s="16" t="s">
        <v>1392</v>
      </c>
      <c r="G697" s="17">
        <v>1999</v>
      </c>
      <c r="H697" s="17"/>
      <c r="I697" s="17"/>
      <c r="J697" s="17">
        <v>1995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IF($T698="","",1+COUNTIF($W$15:$W$884,"&lt;"&amp;W698))</f>
        <v>646</v>
      </c>
      <c r="B698" s="16" t="s">
        <v>6</v>
      </c>
      <c r="C698" s="16" t="s">
        <v>1280</v>
      </c>
      <c r="D698" s="16" t="s">
        <v>45</v>
      </c>
      <c r="E698" s="16" t="s">
        <v>51</v>
      </c>
      <c r="F698" s="16" t="s">
        <v>1281</v>
      </c>
      <c r="G698" s="17">
        <v>1999</v>
      </c>
      <c r="H698" s="17"/>
      <c r="I698" s="17"/>
      <c r="J698" s="17">
        <v>1997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1997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IF($T699="","",1+COUNTIF($W$15:$W$884,"&lt;"&amp;W699))</f>
        <v>646</v>
      </c>
      <c r="B699" s="16" t="s">
        <v>12</v>
      </c>
      <c r="C699" s="16" t="s">
        <v>1393</v>
      </c>
      <c r="D699" s="20" t="s">
        <v>54</v>
      </c>
      <c r="E699" s="16" t="s">
        <v>26</v>
      </c>
      <c r="F699" s="16" t="s">
        <v>1394</v>
      </c>
      <c r="G699" s="17">
        <v>1999</v>
      </c>
      <c r="H699" s="17"/>
      <c r="I699" s="17"/>
      <c r="J699" s="17">
        <v>1997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1997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IF($T700="","",1+COUNTIF($W$15:$W$884,"&lt;"&amp;W700))</f>
        <v>646</v>
      </c>
      <c r="B700" s="16" t="s">
        <v>6</v>
      </c>
      <c r="C700" s="16" t="s">
        <v>1395</v>
      </c>
      <c r="D700" s="16" t="s">
        <v>719</v>
      </c>
      <c r="E700" s="16" t="s">
        <v>26</v>
      </c>
      <c r="F700" s="16" t="s">
        <v>1396</v>
      </c>
      <c r="G700" s="17">
        <v>1999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6" collapsed="false" customFormat="true" customHeight="true" hidden="false" ht="28.5" outlineLevel="0">
      <c r="A701" s="16">
        <f aca="false">IF($T701="","",1+COUNTIF($W$15:$W$884,"&lt;"&amp;W701))</f>
        <v>646</v>
      </c>
      <c r="B701" s="16" t="s">
        <v>16</v>
      </c>
      <c r="C701" s="16" t="s">
        <v>1397</v>
      </c>
      <c r="D701" s="16" t="s">
        <v>45</v>
      </c>
      <c r="E701" s="16" t="s">
        <v>26</v>
      </c>
      <c r="F701" s="16" t="s">
        <v>1398</v>
      </c>
      <c r="G701" s="17">
        <v>1999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C701" s="3"/>
    </row>
    <row r="702" s="22" collapsed="false" customFormat="true" customHeight="true" hidden="false" ht="28.5" outlineLevel="0">
      <c r="A702" s="16">
        <f aca="false">IF($T702="","",1+COUNTIF($W$15:$W$884,"&lt;"&amp;W702))</f>
        <v>646</v>
      </c>
      <c r="B702" s="16" t="s">
        <v>18</v>
      </c>
      <c r="C702" s="16" t="s">
        <v>1399</v>
      </c>
      <c r="D702" s="16" t="s">
        <v>45</v>
      </c>
      <c r="E702" s="16" t="s">
        <v>51</v>
      </c>
      <c r="F702" s="16" t="s">
        <v>1400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6" collapsed="false" customFormat="true" customHeight="true" hidden="false" ht="28.5" outlineLevel="0">
      <c r="A703" s="16">
        <f aca="false">IF($T703="","",1+COUNTIF($W$15:$W$884,"&lt;"&amp;W703))</f>
        <v>646</v>
      </c>
      <c r="B703" s="16" t="s">
        <v>18</v>
      </c>
      <c r="C703" s="16" t="s">
        <v>1401</v>
      </c>
      <c r="D703" s="16" t="s">
        <v>176</v>
      </c>
      <c r="E703" s="16" t="s">
        <v>51</v>
      </c>
      <c r="F703" s="16" t="s">
        <v>1402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C703" s="3"/>
    </row>
    <row r="704" s="5" collapsed="false" customFormat="true" customHeight="true" hidden="false" ht="28.5" outlineLevel="0">
      <c r="A704" s="16">
        <f aca="false">IF($T704="","",1+COUNTIF($W$15:$W$884,"&lt;"&amp;W704))</f>
        <v>646</v>
      </c>
      <c r="B704" s="16" t="s">
        <v>16</v>
      </c>
      <c r="C704" s="16" t="s">
        <v>1405</v>
      </c>
      <c r="D704" s="16" t="s">
        <v>64</v>
      </c>
      <c r="E704" s="16" t="s">
        <v>26</v>
      </c>
      <c r="F704" s="16" t="s">
        <v>1406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IF($T705="","",1+COUNTIF($W$15:$W$884,"&lt;"&amp;W705))</f>
        <v>646</v>
      </c>
      <c r="B705" s="16" t="s">
        <v>16</v>
      </c>
      <c r="C705" s="16" t="s">
        <v>1387</v>
      </c>
      <c r="D705" s="21" t="s">
        <v>57</v>
      </c>
      <c r="E705" s="16" t="s">
        <v>26</v>
      </c>
      <c r="F705" s="16" t="s">
        <v>1388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IF($T706="","",1+COUNTIF($W$15:$W$884,"&lt;"&amp;W706))</f>
        <v>646</v>
      </c>
      <c r="B706" s="16" t="s">
        <v>14</v>
      </c>
      <c r="C706" s="16" t="s">
        <v>1407</v>
      </c>
      <c r="D706" s="20" t="s">
        <v>54</v>
      </c>
      <c r="E706" s="16" t="s">
        <v>26</v>
      </c>
      <c r="F706" s="16" t="s">
        <v>1408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IF($T707="","",1+COUNTIF($W$15:$W$884,"&lt;"&amp;W707))</f>
        <v>646</v>
      </c>
      <c r="B707" s="16" t="s">
        <v>14</v>
      </c>
      <c r="C707" s="16" t="s">
        <v>1409</v>
      </c>
      <c r="D707" s="16" t="s">
        <v>176</v>
      </c>
      <c r="E707" s="16" t="s">
        <v>26</v>
      </c>
      <c r="F707" s="16" t="s">
        <v>1410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79,960원</v>
      </c>
      <c r="P707" s="17">
        <f aca="false">IF($B$10=0,"",IFERROR(IF($B$4&gt;0,IF($L707="",1/0,$L707*$B$4),0)+IF($B$5&gt;0,IF($M707="",1/0,$M707*$B$5),0)+IF($B$6&gt;0,IF($N707="",1/0,$N707*$B$6),0),""))</f>
        <v>79960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79960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79960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IF($T708="","",1+COUNTIF($W$15:$W$884,"&lt;"&amp;W708))</f>
        <v>646</v>
      </c>
      <c r="B708" s="16" t="s">
        <v>12</v>
      </c>
      <c r="C708" s="16" t="s">
        <v>1411</v>
      </c>
      <c r="D708" s="21" t="s">
        <v>64</v>
      </c>
      <c r="E708" s="16" t="s">
        <v>51</v>
      </c>
      <c r="F708" s="16" t="s">
        <v>1412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79,960원</v>
      </c>
      <c r="P708" s="17">
        <f aca="false">IF($B$10=0,"",IFERROR(IF($B$4&gt;0,IF($L708="",1/0,$L708*$B$4),0)+IF($B$5&gt;0,IF($M708="",1/0,$M708*$B$5),0)+IF($B$6&gt;0,IF($N708="",1/0,$N708*$B$6),0),""))</f>
        <v>79960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79960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79960</v>
      </c>
      <c r="XFC708" s="3"/>
    </row>
    <row r="709" s="5" collapsed="false" customFormat="true" customHeight="true" hidden="false" ht="28.5" outlineLevel="0">
      <c r="A709" s="16">
        <f aca="false">IF($T709="","",1+COUNTIF($W$15:$W$884,"&lt;"&amp;W709))</f>
        <v>646</v>
      </c>
      <c r="B709" s="16" t="s">
        <v>12</v>
      </c>
      <c r="C709" s="16" t="s">
        <v>1413</v>
      </c>
      <c r="D709" s="21" t="s">
        <v>176</v>
      </c>
      <c r="E709" s="16" t="s">
        <v>26</v>
      </c>
      <c r="F709" s="16" t="s">
        <v>1414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79,960원</v>
      </c>
      <c r="P709" s="17">
        <f aca="false">IF($B$10=0,"",IFERROR(IF($B$4&gt;0,IF($L709="",1/0,$L709*$B$4),0)+IF($B$5&gt;0,IF($M709="",1/0,$M709*$B$5),0)+IF($B$6&gt;0,IF($N709="",1/0,$N709*$B$6),0),""))</f>
        <v>79960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79960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79960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IF($T710="","",1+COUNTIF($W$15:$W$884,"&lt;"&amp;W710))</f>
        <v>646</v>
      </c>
      <c r="B710" s="16" t="s">
        <v>10</v>
      </c>
      <c r="C710" s="16" t="s">
        <v>1415</v>
      </c>
      <c r="D710" s="16" t="s">
        <v>64</v>
      </c>
      <c r="E710" s="16" t="s">
        <v>26</v>
      </c>
      <c r="F710" s="16" t="s">
        <v>1416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79,960원</v>
      </c>
      <c r="P710" s="17">
        <f aca="false">IF($B$10=0,"",IFERROR(IF($B$4&gt;0,IF($L710="",1/0,$L710*$B$4),0)+IF($B$5&gt;0,IF($M710="",1/0,$M710*$B$5),0)+IF($B$6&gt;0,IF($N710="",1/0,$N710*$B$6),0),""))</f>
        <v>79960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79960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79960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IF($T711="","",1+COUNTIF($W$15:$W$884,"&lt;"&amp;W711))</f>
        <v>646</v>
      </c>
      <c r="B711" s="16" t="s">
        <v>10</v>
      </c>
      <c r="C711" s="16" t="s">
        <v>1417</v>
      </c>
      <c r="D711" s="20" t="s">
        <v>54</v>
      </c>
      <c r="E711" s="16" t="s">
        <v>26</v>
      </c>
      <c r="F711" s="16" t="s">
        <v>1418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79,960원</v>
      </c>
      <c r="P711" s="17">
        <f aca="false">IF($B$10=0,"",IFERROR(IF($B$4&gt;0,IF($L711="",1/0,$L711*$B$4),0)+IF($B$5&gt;0,IF($M711="",1/0,$M711*$B$5),0)+IF($B$6&gt;0,IF($N711="",1/0,$N711*$B$6),0),""))</f>
        <v>79960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79960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79960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IF($T712="","",1+COUNTIF($W$15:$W$884,"&lt;"&amp;W712))</f>
        <v>646</v>
      </c>
      <c r="B712" s="16" t="s">
        <v>10</v>
      </c>
      <c r="C712" s="16" t="s">
        <v>1419</v>
      </c>
      <c r="D712" s="20" t="s">
        <v>54</v>
      </c>
      <c r="E712" s="16" t="s">
        <v>51</v>
      </c>
      <c r="F712" s="16" t="s">
        <v>1420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79,960원</v>
      </c>
      <c r="P712" s="17">
        <f aca="false">IF($B$10=0,"",IFERROR(IF($B$4&gt;0,IF($L712="",1/0,$L712*$B$4),0)+IF($B$5&gt;0,IF($M712="",1/0,$M712*$B$5),0)+IF($B$6&gt;0,IF($N712="",1/0,$N712*$B$6),0),""))</f>
        <v>79960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79960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79960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IF($T713="","",1+COUNTIF($W$15:$W$884,"&lt;"&amp;W713))</f>
        <v>646</v>
      </c>
      <c r="B713" s="16" t="s">
        <v>10</v>
      </c>
      <c r="C713" s="16" t="s">
        <v>1421</v>
      </c>
      <c r="D713" s="21" t="s">
        <v>57</v>
      </c>
      <c r="E713" s="16" t="s">
        <v>26</v>
      </c>
      <c r="F713" s="16" t="s">
        <v>1422</v>
      </c>
      <c r="G713" s="17">
        <v>1999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79,960원</v>
      </c>
      <c r="P713" s="17">
        <f aca="false">IF($B$10=0,"",IFERROR(IF($B$4&gt;0,IF($L713="",1/0,$L713*$B$4),0)+IF($B$5&gt;0,IF($M713="",1/0,$M713*$B$5),0)+IF($B$6&gt;0,IF($N713="",1/0,$N713*$B$6),0),""))</f>
        <v>79960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79960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79960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IF($T714="","",1+COUNTIF($W$15:$W$884,"&lt;"&amp;W714))</f>
        <v>646</v>
      </c>
      <c r="B714" s="16" t="s">
        <v>10</v>
      </c>
      <c r="C714" s="16" t="s">
        <v>1423</v>
      </c>
      <c r="D714" s="16" t="s">
        <v>64</v>
      </c>
      <c r="E714" s="16" t="s">
        <v>51</v>
      </c>
      <c r="F714" s="16" t="s">
        <v>1424</v>
      </c>
      <c r="G714" s="17">
        <v>1999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79,960원</v>
      </c>
      <c r="P714" s="17">
        <f aca="false">IF($B$10=0,"",IFERROR(IF($B$4&gt;0,IF($L714="",1/0,$L714*$B$4),0)+IF($B$5&gt;0,IF($M714="",1/0,$M714*$B$5),0)+IF($B$6&gt;0,IF($N714="",1/0,$N714*$B$6),0),""))</f>
        <v>79960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79960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79960</v>
      </c>
      <c r="XFB714" s="6"/>
      <c r="XFC714" s="3"/>
    </row>
    <row r="715" s="22" collapsed="false" customFormat="true" customHeight="true" hidden="false" ht="28.5" outlineLevel="0">
      <c r="A715" s="16">
        <f aca="false">IF($T715="","",1+COUNTIF($W$15:$W$884,"&lt;"&amp;W715))</f>
        <v>646</v>
      </c>
      <c r="B715" s="16" t="s">
        <v>10</v>
      </c>
      <c r="C715" s="16" t="s">
        <v>1425</v>
      </c>
      <c r="D715" s="16" t="s">
        <v>64</v>
      </c>
      <c r="E715" s="16" t="s">
        <v>26</v>
      </c>
      <c r="F715" s="16" t="s">
        <v>1426</v>
      </c>
      <c r="G715" s="17">
        <v>1999</v>
      </c>
      <c r="H715" s="17"/>
      <c r="I715" s="17"/>
      <c r="J715" s="17">
        <v>1999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79,960원</v>
      </c>
      <c r="P715" s="17">
        <f aca="false">IF($B$10=0,"",IFERROR(IF($B$4&gt;0,IF($L715="",1/0,$L715*$B$4),0)+IF($B$5&gt;0,IF($M715="",1/0,$M715*$B$5),0)+IF($B$6&gt;0,IF($N715="",1/0,$N715*$B$6),0),""))</f>
        <v>79960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79960</v>
      </c>
      <c r="U715" s="17">
        <f aca="false">IF($T715="","",IF($B$10=0,"",$T715/$B$10))</f>
        <v>1999</v>
      </c>
      <c r="V715" s="17">
        <f aca="false">IF($P715="","",IF($B$10=0,"",$P715/$B$10))</f>
        <v>1999</v>
      </c>
      <c r="W715" s="19">
        <f aca="false">IF($T715="",1000000000000000,$T715)</f>
        <v>79960</v>
      </c>
      <c r="XFB715" s="6"/>
      <c r="XFC715" s="3"/>
    </row>
    <row r="716" s="22" collapsed="false" customFormat="true" customHeight="true" hidden="false" ht="28.5" outlineLevel="0">
      <c r="A716" s="16">
        <f aca="false">IF($T716="","",1+COUNTIF($W$15:$W$884,"&lt;"&amp;W716))</f>
        <v>646</v>
      </c>
      <c r="B716" s="16" t="s">
        <v>10</v>
      </c>
      <c r="C716" s="16" t="s">
        <v>1427</v>
      </c>
      <c r="D716" s="16" t="s">
        <v>45</v>
      </c>
      <c r="E716" s="16" t="s">
        <v>51</v>
      </c>
      <c r="F716" s="16" t="s">
        <v>1428</v>
      </c>
      <c r="G716" s="17">
        <v>1999</v>
      </c>
      <c r="H716" s="17"/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79,960원</v>
      </c>
      <c r="P716" s="17">
        <f aca="false">IF($B$10=0,"",IFERROR(IF($B$4&gt;0,IF($L716="",1/0,$L716*$B$4),0)+IF($B$5&gt;0,IF($M716="",1/0,$M716*$B$5),0)+IF($B$6&gt;0,IF($N716="",1/0,$N716*$B$6),0),""))</f>
        <v>79960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79960</v>
      </c>
      <c r="U716" s="17">
        <f aca="false">IF($T716="","",IF($B$10=0,"",$T716/$B$10))</f>
        <v>1999</v>
      </c>
      <c r="V716" s="17">
        <f aca="false">IF($P716="","",IF($B$10=0,"",$P716/$B$10))</f>
        <v>1999</v>
      </c>
      <c r="W716" s="19">
        <f aca="false">IF($T716="",1000000000000000,$T716)</f>
        <v>79960</v>
      </c>
      <c r="XFB716" s="6"/>
      <c r="XFC716" s="3"/>
    </row>
    <row r="717" s="6" collapsed="false" customFormat="true" customHeight="true" hidden="false" ht="28.5" outlineLevel="0">
      <c r="A717" s="16">
        <f aca="false">IF($T717="","",1+COUNTIF($W$15:$W$884,"&lt;"&amp;W717))</f>
        <v>646</v>
      </c>
      <c r="B717" s="16" t="s">
        <v>18</v>
      </c>
      <c r="C717" s="16" t="s">
        <v>1429</v>
      </c>
      <c r="D717" s="20" t="s">
        <v>54</v>
      </c>
      <c r="E717" s="16" t="s">
        <v>26</v>
      </c>
      <c r="F717" s="16" t="s">
        <v>1430</v>
      </c>
      <c r="G717" s="17">
        <v>1999</v>
      </c>
      <c r="H717" s="17"/>
      <c r="I717" s="17"/>
      <c r="J717" s="17">
        <v>2019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2019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79,960원</v>
      </c>
      <c r="P717" s="17">
        <f aca="false">IF($B$10=0,"",IFERROR(IF($B$4&gt;0,IF($L717="",1/0,$L717*$B$4),0)+IF($B$5&gt;0,IF($M717="",1/0,$M717*$B$5),0)+IF($B$6&gt;0,IF($N717="",1/0,$N717*$B$6),0),""))</f>
        <v>79960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79960</v>
      </c>
      <c r="U717" s="17">
        <f aca="false">IF($T717="","",IF($B$10=0,"",$T717/$B$10))</f>
        <v>1999</v>
      </c>
      <c r="V717" s="17">
        <f aca="false">IF($P717="","",IF($B$10=0,"",$P717/$B$10))</f>
        <v>1999</v>
      </c>
      <c r="W717" s="19">
        <f aca="false">IF($T717="",1000000000000000,$T717)</f>
        <v>79960</v>
      </c>
      <c r="XFC717" s="3"/>
    </row>
    <row r="718" s="5" collapsed="false" customFormat="true" customHeight="true" hidden="false" ht="28.5" outlineLevel="0">
      <c r="A718" s="16">
        <f aca="false">IF($T718="","",1+COUNTIF($W$15:$W$884,"&lt;"&amp;W718))</f>
        <v>646</v>
      </c>
      <c r="B718" s="16" t="s">
        <v>16</v>
      </c>
      <c r="C718" s="16" t="s">
        <v>1433</v>
      </c>
      <c r="D718" s="16" t="s">
        <v>45</v>
      </c>
      <c r="E718" s="16" t="s">
        <v>26</v>
      </c>
      <c r="F718" s="16" t="s">
        <v>1434</v>
      </c>
      <c r="G718" s="17">
        <v>1999</v>
      </c>
      <c r="H718" s="17"/>
      <c r="I718" s="17"/>
      <c r="J718" s="17">
        <v>2019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2019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79,960원</v>
      </c>
      <c r="P718" s="17">
        <f aca="false">IF($B$10=0,"",IFERROR(IF($B$4&gt;0,IF($L718="",1/0,$L718*$B$4),0)+IF($B$5&gt;0,IF($M718="",1/0,$M718*$B$5),0)+IF($B$6&gt;0,IF($N718="",1/0,$N718*$B$6),0),""))</f>
        <v>79960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79960</v>
      </c>
      <c r="U718" s="17">
        <f aca="false">IF($T718="","",IF($B$10=0,"",$T718/$B$10))</f>
        <v>1999</v>
      </c>
      <c r="V718" s="17">
        <f aca="false">IF($P718="","",IF($B$10=0,"",$P718/$B$10))</f>
        <v>1999</v>
      </c>
      <c r="W718" s="19">
        <f aca="false">IF($T718="",1000000000000000,$T718)</f>
        <v>79960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IF($T719="","",1+COUNTIF($W$15:$W$884,"&lt;"&amp;W719))</f>
        <v>705</v>
      </c>
      <c r="B719" s="16" t="s">
        <v>16</v>
      </c>
      <c r="C719" s="16" t="s">
        <v>1437</v>
      </c>
      <c r="D719" s="16" t="s">
        <v>176</v>
      </c>
      <c r="E719" s="16" t="s">
        <v>51</v>
      </c>
      <c r="F719" s="16" t="s">
        <v>1438</v>
      </c>
      <c r="G719" s="17">
        <v>2000</v>
      </c>
      <c r="H719" s="17"/>
      <c r="I719" s="17"/>
      <c r="J719" s="17">
        <v>1990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2000</v>
      </c>
      <c r="M719" s="17">
        <f aca="false">IF($H719="","",$H719+$K719)</f>
        <v/>
      </c>
      <c r="N719" s="17">
        <f aca="false">IF($J719="","",$J719+$K719)</f>
        <v>1990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80,000원</v>
      </c>
      <c r="P719" s="17">
        <f aca="false">IF($B$10=0,"",IFERROR(IF($B$4&gt;0,IF($L719="",1/0,$L719*$B$4),0)+IF($B$5&gt;0,IF($M719="",1/0,$M719*$B$5),0)+IF($B$6&gt;0,IF($N719="",1/0,$N719*$B$6),0),""))</f>
        <v>80000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80000</v>
      </c>
      <c r="U719" s="17">
        <f aca="false">IF($T719="","",IF($B$10=0,"",$T719/$B$10))</f>
        <v>2000</v>
      </c>
      <c r="V719" s="17">
        <f aca="false">IF($P719="","",IF($B$10=0,"",$P719/$B$10))</f>
        <v>2000</v>
      </c>
      <c r="W719" s="19">
        <f aca="false">IF($T719="",1000000000000000,$T719)</f>
        <v>80000</v>
      </c>
      <c r="XFB719" s="6"/>
      <c r="XFC719" s="3"/>
    </row>
    <row r="720" s="22" collapsed="false" customFormat="true" customHeight="true" hidden="false" ht="28.5" outlineLevel="0">
      <c r="A720" s="16">
        <f aca="false">IF($T720="","",1+COUNTIF($W$15:$W$884,"&lt;"&amp;W720))</f>
        <v>705</v>
      </c>
      <c r="B720" s="16" t="s">
        <v>18</v>
      </c>
      <c r="C720" s="16" t="s">
        <v>1439</v>
      </c>
      <c r="D720" s="16" t="s">
        <v>176</v>
      </c>
      <c r="E720" s="16" t="s">
        <v>51</v>
      </c>
      <c r="F720" s="16" t="s">
        <v>1440</v>
      </c>
      <c r="G720" s="17">
        <v>2000</v>
      </c>
      <c r="H720" s="17"/>
      <c r="I720" s="17"/>
      <c r="J720" s="17">
        <v>2000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2000</v>
      </c>
      <c r="M720" s="17">
        <f aca="false">IF($H720="","",$H720+$K720)</f>
        <v/>
      </c>
      <c r="N720" s="17">
        <f aca="false">IF($J720="","",$J720+$K720)</f>
        <v>2000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80,000원</v>
      </c>
      <c r="P720" s="17">
        <f aca="false">IF($B$10=0,"",IFERROR(IF($B$4&gt;0,IF($L720="",1/0,$L720*$B$4),0)+IF($B$5&gt;0,IF($M720="",1/0,$M720*$B$5),0)+IF($B$6&gt;0,IF($N720="",1/0,$N720*$B$6),0),""))</f>
        <v>80000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80000</v>
      </c>
      <c r="U720" s="17">
        <f aca="false">IF($T720="","",IF($B$10=0,"",$T720/$B$10))</f>
        <v>2000</v>
      </c>
      <c r="V720" s="17">
        <f aca="false">IF($P720="","",IF($B$10=0,"",$P720/$B$10))</f>
        <v>2000</v>
      </c>
      <c r="W720" s="19">
        <f aca="false">IF($T720="",1000000000000000,$T720)</f>
        <v>80000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IF($T721="","",1+COUNTIF($W$15:$W$884,"&lt;"&amp;W721))</f>
        <v>705</v>
      </c>
      <c r="B721" s="16" t="s">
        <v>16</v>
      </c>
      <c r="C721" s="16" t="s">
        <v>1435</v>
      </c>
      <c r="D721" s="16" t="s">
        <v>176</v>
      </c>
      <c r="E721" s="16" t="s">
        <v>26</v>
      </c>
      <c r="F721" s="16" t="s">
        <v>1436</v>
      </c>
      <c r="G721" s="17">
        <v>2000</v>
      </c>
      <c r="H721" s="17"/>
      <c r="I721" s="17"/>
      <c r="J721" s="17">
        <v>2000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2000</v>
      </c>
      <c r="M721" s="17">
        <f aca="false">IF($H721="","",$H721+$K721)</f>
        <v/>
      </c>
      <c r="N721" s="17">
        <f aca="false">IF($J721="","",$J721+$K721)</f>
        <v>2000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80,000원</v>
      </c>
      <c r="P721" s="17">
        <f aca="false">IF($B$10=0,"",IFERROR(IF($B$4&gt;0,IF($L721="",1/0,$L721*$B$4),0)+IF($B$5&gt;0,IF($M721="",1/0,$M721*$B$5),0)+IF($B$6&gt;0,IF($N721="",1/0,$N721*$B$6),0),""))</f>
        <v>80000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80000</v>
      </c>
      <c r="U721" s="17">
        <f aca="false">IF($T721="","",IF($B$10=0,"",$T721/$B$10))</f>
        <v>2000</v>
      </c>
      <c r="V721" s="17">
        <f aca="false">IF($P721="","",IF($B$10=0,"",$P721/$B$10))</f>
        <v>2000</v>
      </c>
      <c r="W721" s="19">
        <f aca="false">IF($T721="",1000000000000000,$T721)</f>
        <v>80000</v>
      </c>
      <c r="XFB721" s="6"/>
      <c r="XFC721" s="3"/>
    </row>
    <row r="722" s="22" collapsed="false" customFormat="true" customHeight="true" hidden="false" ht="28.5" outlineLevel="0">
      <c r="A722" s="16">
        <f aca="false">IF($T722="","",1+COUNTIF($W$15:$W$884,"&lt;"&amp;W722))</f>
        <v>705</v>
      </c>
      <c r="B722" s="16" t="s">
        <v>16</v>
      </c>
      <c r="C722" s="16" t="s">
        <v>1441</v>
      </c>
      <c r="D722" s="16" t="s">
        <v>176</v>
      </c>
      <c r="E722" s="16" t="s">
        <v>51</v>
      </c>
      <c r="F722" s="16" t="s">
        <v>1442</v>
      </c>
      <c r="G722" s="17">
        <v>2000</v>
      </c>
      <c r="H722" s="17"/>
      <c r="I722" s="17"/>
      <c r="J722" s="17">
        <v>2000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2000</v>
      </c>
      <c r="M722" s="17">
        <f aca="false">IF($H722="","",$H722+$K722)</f>
        <v/>
      </c>
      <c r="N722" s="17">
        <f aca="false">IF($J722="","",$J722+$K722)</f>
        <v>2000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80,000원</v>
      </c>
      <c r="P722" s="17">
        <f aca="false">IF($B$10=0,"",IFERROR(IF($B$4&gt;0,IF($L722="",1/0,$L722*$B$4),0)+IF($B$5&gt;0,IF($M722="",1/0,$M722*$B$5),0)+IF($B$6&gt;0,IF($N722="",1/0,$N722*$B$6),0),""))</f>
        <v>80000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80000</v>
      </c>
      <c r="U722" s="17">
        <f aca="false">IF($T722="","",IF($B$10=0,"",$T722/$B$10))</f>
        <v>2000</v>
      </c>
      <c r="V722" s="17">
        <f aca="false">IF($P722="","",IF($B$10=0,"",$P722/$B$10))</f>
        <v>2000</v>
      </c>
      <c r="W722" s="19">
        <f aca="false">IF($T722="",1000000000000000,$T722)</f>
        <v>80000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IF($T723="","",1+COUNTIF($W$15:$W$884,"&lt;"&amp;W723))</f>
        <v>709</v>
      </c>
      <c r="B723" s="16" t="s">
        <v>10</v>
      </c>
      <c r="C723" s="16" t="s">
        <v>1443</v>
      </c>
      <c r="D723" s="21" t="s">
        <v>57</v>
      </c>
      <c r="E723" s="16" t="s">
        <v>26</v>
      </c>
      <c r="F723" s="16" t="s">
        <v>1444</v>
      </c>
      <c r="G723" s="17">
        <v>2004</v>
      </c>
      <c r="H723" s="17">
        <v>2384</v>
      </c>
      <c r="I723" s="17"/>
      <c r="J723" s="17">
        <v>1999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2004</v>
      </c>
      <c r="M723" s="17">
        <f aca="false">IF($H723="","",$H723+$K723)</f>
        <v>2384</v>
      </c>
      <c r="N723" s="17">
        <f aca="false">IF($J723="","",$J723+$K723)</f>
        <v>1999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80,160원</v>
      </c>
      <c r="P723" s="17">
        <f aca="false">IF($B$10=0,"",IFERROR(IF($B$4&gt;0,IF($L723="",1/0,$L723*$B$4),0)+IF($B$5&gt;0,IF($M723="",1/0,$M723*$B$5),0)+IF($B$6&gt;0,IF($N723="",1/0,$N723*$B$6),0),""))</f>
        <v>80160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80160</v>
      </c>
      <c r="U723" s="17">
        <f aca="false">IF($T723="","",IF($B$10=0,"",$T723/$B$10))</f>
        <v>2004</v>
      </c>
      <c r="V723" s="17">
        <f aca="false">IF($P723="","",IF($B$10=0,"",$P723/$B$10))</f>
        <v>2004</v>
      </c>
      <c r="W723" s="19">
        <f aca="false">IF($T723="",1000000000000000,$T723)</f>
        <v>80160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IF($T724="","",1+COUNTIF($W$15:$W$884,"&lt;"&amp;W724))</f>
        <v>709</v>
      </c>
      <c r="B724" s="16" t="s">
        <v>6</v>
      </c>
      <c r="C724" s="16" t="s">
        <v>1445</v>
      </c>
      <c r="D724" s="16" t="s">
        <v>45</v>
      </c>
      <c r="E724" s="16" t="s">
        <v>51</v>
      </c>
      <c r="F724" s="16" t="s">
        <v>1446</v>
      </c>
      <c r="G724" s="17">
        <v>2014</v>
      </c>
      <c r="H724" s="17">
        <v>2416</v>
      </c>
      <c r="I724" s="17"/>
      <c r="J724" s="17">
        <v>2008</v>
      </c>
      <c r="K724" s="17">
        <f aca="false">IF(AND(IFERROR(SEARCH("현대오일뱅크",$C724),0)&gt;0,IFERROR(SEARCH("직영",$C724),0)&gt;0),$B$13,0)</f>
        <v>-10</v>
      </c>
      <c r="L724" s="17">
        <f aca="false">IF($G724="","",$G724+$K724)</f>
        <v>2004</v>
      </c>
      <c r="M724" s="17">
        <f aca="false">IF($H724="","",$H724+$K724)</f>
        <v>2406</v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80,160원</v>
      </c>
      <c r="P724" s="17">
        <f aca="false">IF($B$10=0,"",IFERROR(IF($B$4&gt;0,IF($L724="",1/0,$L724*$B$4),0)+IF($B$5&gt;0,IF($M724="",1/0,$M724*$B$5),0)+IF($B$6&gt;0,IF($N724="",1/0,$N724*$B$6),0),""))</f>
        <v>80160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80160</v>
      </c>
      <c r="U724" s="17">
        <f aca="false">IF($T724="","",IF($B$10=0,"",$T724/$B$10))</f>
        <v>2004</v>
      </c>
      <c r="V724" s="17">
        <f aca="false">IF($P724="","",IF($B$10=0,"",$P724/$B$10))</f>
        <v>2004</v>
      </c>
      <c r="W724" s="19">
        <f aca="false">IF($T724="",1000000000000000,$T724)</f>
        <v>80160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IF($T725="","",1+COUNTIF($W$15:$W$884,"&lt;"&amp;W725))</f>
        <v>709</v>
      </c>
      <c r="B725" s="16" t="s">
        <v>10</v>
      </c>
      <c r="C725" s="16" t="s">
        <v>1447</v>
      </c>
      <c r="D725" s="16" t="s">
        <v>45</v>
      </c>
      <c r="E725" s="16" t="s">
        <v>51</v>
      </c>
      <c r="F725" s="16" t="s">
        <v>1448</v>
      </c>
      <c r="G725" s="17">
        <v>2014</v>
      </c>
      <c r="H725" s="17"/>
      <c r="I725" s="17"/>
      <c r="J725" s="17">
        <v>2008</v>
      </c>
      <c r="K725" s="17">
        <v>-10</v>
      </c>
      <c r="L725" s="17">
        <f aca="false">IF($G725="","",$G725+$K725)</f>
        <v>2004</v>
      </c>
      <c r="M725" s="17">
        <f aca="false">IF($H725="","",$H725+$K725)</f>
        <v/>
      </c>
      <c r="N725" s="17">
        <f aca="false">IF($J725="","",$J725+$K725)</f>
        <v>1998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80,160원</v>
      </c>
      <c r="P725" s="17">
        <f aca="false">IF($B$10=0,"",IFERROR(IF($B$4&gt;0,IF($L725="",1/0,$L725*$B$4),0)+IF($B$5&gt;0,IF($M725="",1/0,$M725*$B$5),0)+IF($B$6&gt;0,IF($N725="",1/0,$N725*$B$6),0),""))</f>
        <v>80160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80160</v>
      </c>
      <c r="U725" s="17">
        <f aca="false">IF($T725="","",IF($B$10=0,"",$T725/$B$10))</f>
        <v>2004</v>
      </c>
      <c r="V725" s="17">
        <f aca="false">IF($P725="","",IF($B$10=0,"",$P725/$B$10))</f>
        <v>2004</v>
      </c>
      <c r="W725" s="19">
        <f aca="false">IF($T725="",1000000000000000,$T725)</f>
        <v>80160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IF($T726="","",1+COUNTIF($W$15:$W$884,"&lt;"&amp;W726))</f>
        <v>709</v>
      </c>
      <c r="B726" s="16" t="s">
        <v>12</v>
      </c>
      <c r="C726" s="16" t="s">
        <v>1449</v>
      </c>
      <c r="D726" s="21" t="s">
        <v>57</v>
      </c>
      <c r="E726" s="16" t="s">
        <v>26</v>
      </c>
      <c r="F726" s="16" t="s">
        <v>1450</v>
      </c>
      <c r="G726" s="17">
        <v>2004</v>
      </c>
      <c r="H726" s="17"/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2004</v>
      </c>
      <c r="M726" s="17">
        <f aca="false">IF($H726="","",$H726+$K726)</f>
        <v/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80,160원</v>
      </c>
      <c r="P726" s="17">
        <f aca="false">IF($B$10=0,"",IFERROR(IF($B$4&gt;0,IF($L726="",1/0,$L726*$B$4),0)+IF($B$5&gt;0,IF($M726="",1/0,$M726*$B$5),0)+IF($B$6&gt;0,IF($N726="",1/0,$N726*$B$6),0),""))</f>
        <v>80160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80160</v>
      </c>
      <c r="U726" s="17">
        <f aca="false">IF($T726="","",IF($B$10=0,"",$T726/$B$10))</f>
        <v>2004</v>
      </c>
      <c r="V726" s="17">
        <f aca="false">IF($P726="","",IF($B$10=0,"",$P726/$B$10))</f>
        <v>2004</v>
      </c>
      <c r="W726" s="19">
        <f aca="false">IF($T726="",1000000000000000,$T726)</f>
        <v>80160</v>
      </c>
      <c r="XFC726" s="3"/>
    </row>
    <row r="727" s="5" collapsed="false" customFormat="true" customHeight="true" hidden="false" ht="28.5" outlineLevel="0">
      <c r="A727" s="16">
        <f aca="false">IF($T727="","",1+COUNTIF($W$15:$W$884,"&lt;"&amp;W727))</f>
        <v>713</v>
      </c>
      <c r="B727" s="16" t="s">
        <v>6</v>
      </c>
      <c r="C727" s="16" t="s">
        <v>1451</v>
      </c>
      <c r="D727" s="16" t="s">
        <v>64</v>
      </c>
      <c r="E727" s="16" t="s">
        <v>26</v>
      </c>
      <c r="F727" s="16" t="s">
        <v>1452</v>
      </c>
      <c r="G727" s="17">
        <v>2005</v>
      </c>
      <c r="H727" s="17"/>
      <c r="I727" s="17"/>
      <c r="J727" s="17">
        <v>1995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2005</v>
      </c>
      <c r="M727" s="17">
        <f aca="false">IF($H727="","",$H727+$K727)</f>
        <v/>
      </c>
      <c r="N727" s="17">
        <f aca="false">IF($J727="","",$J727+$K727)</f>
        <v>1995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80,200원</v>
      </c>
      <c r="P727" s="17">
        <f aca="false">IF($B$10=0,"",IFERROR(IF($B$4&gt;0,IF($L727="",1/0,$L727*$B$4),0)+IF($B$5&gt;0,IF($M727="",1/0,$M727*$B$5),0)+IF($B$6&gt;0,IF($N727="",1/0,$N727*$B$6),0),""))</f>
        <v>80200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80200</v>
      </c>
      <c r="U727" s="17">
        <f aca="false">IF($T727="","",IF($B$10=0,"",$T727/$B$10))</f>
        <v>2005</v>
      </c>
      <c r="V727" s="17">
        <f aca="false">IF($P727="","",IF($B$10=0,"",$P727/$B$10))</f>
        <v>2005</v>
      </c>
      <c r="W727" s="19">
        <f aca="false">IF($T727="",1000000000000000,$T727)</f>
        <v>80200</v>
      </c>
      <c r="XFB727" s="6"/>
      <c r="XFC727" s="3"/>
    </row>
    <row r="728" s="6" collapsed="false" customFormat="true" customHeight="true" hidden="false" ht="28.5" outlineLevel="0">
      <c r="A728" s="16">
        <f aca="false">IF($T728="","",1+COUNTIF($W$15:$W$884,"&lt;"&amp;W728))</f>
        <v>714</v>
      </c>
      <c r="B728" s="16" t="s">
        <v>10</v>
      </c>
      <c r="C728" s="16" t="s">
        <v>1453</v>
      </c>
      <c r="D728" s="20" t="s">
        <v>54</v>
      </c>
      <c r="E728" s="16" t="s">
        <v>26</v>
      </c>
      <c r="F728" s="16" t="s">
        <v>1454</v>
      </c>
      <c r="G728" s="17">
        <v>2007</v>
      </c>
      <c r="H728" s="17">
        <v>2438</v>
      </c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2007</v>
      </c>
      <c r="M728" s="17">
        <f aca="false">IF($H728="","",$H728+$K728)</f>
        <v>2438</v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80,280원</v>
      </c>
      <c r="P728" s="17">
        <f aca="false">IF($B$10=0,"",IFERROR(IF($B$4&gt;0,IF($L728="",1/0,$L728*$B$4),0)+IF($B$5&gt;0,IF($M728="",1/0,$M728*$B$5),0)+IF($B$6&gt;0,IF($N728="",1/0,$N728*$B$6),0),""))</f>
        <v>80280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80280</v>
      </c>
      <c r="U728" s="17">
        <f aca="false">IF($T728="","",IF($B$10=0,"",$T728/$B$10))</f>
        <v>2007</v>
      </c>
      <c r="V728" s="17">
        <f aca="false">IF($P728="","",IF($B$10=0,"",$P728/$B$10))</f>
        <v>2007</v>
      </c>
      <c r="W728" s="19">
        <f aca="false">IF($T728="",1000000000000000,$T728)</f>
        <v>80280</v>
      </c>
      <c r="XFC728" s="3"/>
    </row>
    <row r="729" s="22" collapsed="false" customFormat="true" customHeight="true" hidden="false" ht="28.5" outlineLevel="0">
      <c r="A729" s="16">
        <f aca="false">IF($T729="","",1+COUNTIF($W$15:$W$884,"&lt;"&amp;W729))</f>
        <v>714</v>
      </c>
      <c r="B729" s="16" t="s">
        <v>12</v>
      </c>
      <c r="C729" s="16" t="s">
        <v>1455</v>
      </c>
      <c r="D729" s="21" t="s">
        <v>45</v>
      </c>
      <c r="E729" s="16" t="s">
        <v>51</v>
      </c>
      <c r="F729" s="16" t="s">
        <v>1456</v>
      </c>
      <c r="G729" s="17">
        <v>2017</v>
      </c>
      <c r="H729" s="17"/>
      <c r="I729" s="17"/>
      <c r="J729" s="17">
        <v>2005</v>
      </c>
      <c r="K729" s="17">
        <v>-10</v>
      </c>
      <c r="L729" s="17">
        <f aca="false">IF($G729="","",$G729+$K729)</f>
        <v>2007</v>
      </c>
      <c r="M729" s="17">
        <f aca="false">IF($H729="","",$H729+$K729)</f>
        <v/>
      </c>
      <c r="N729" s="17">
        <f aca="false">IF($J729="","",$J729+$K729)</f>
        <v>1995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80,280원</v>
      </c>
      <c r="P729" s="17">
        <f aca="false">IF($B$10=0,"",IFERROR(IF($B$4&gt;0,IF($L729="",1/0,$L729*$B$4),0)+IF($B$5&gt;0,IF($M729="",1/0,$M729*$B$5),0)+IF($B$6&gt;0,IF($N729="",1/0,$N729*$B$6),0),""))</f>
        <v>80280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80280</v>
      </c>
      <c r="U729" s="17">
        <f aca="false">IF($T729="","",IF($B$10=0,"",$T729/$B$10))</f>
        <v>2007</v>
      </c>
      <c r="V729" s="17">
        <f aca="false">IF($P729="","",IF($B$10=0,"",$P729/$B$10))</f>
        <v>2007</v>
      </c>
      <c r="W729" s="19">
        <f aca="false">IF($T729="",1000000000000000,$T729)</f>
        <v>80280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IF($T730="","",1+COUNTIF($W$15:$W$884,"&lt;"&amp;W730))</f>
        <v>714</v>
      </c>
      <c r="B730" s="16" t="s">
        <v>12</v>
      </c>
      <c r="C730" s="16" t="s">
        <v>1457</v>
      </c>
      <c r="D730" s="21" t="s">
        <v>45</v>
      </c>
      <c r="E730" s="16" t="s">
        <v>51</v>
      </c>
      <c r="F730" s="16" t="s">
        <v>1458</v>
      </c>
      <c r="G730" s="17">
        <v>2017</v>
      </c>
      <c r="H730" s="17"/>
      <c r="I730" s="17"/>
      <c r="J730" s="17">
        <v>2007</v>
      </c>
      <c r="K730" s="17">
        <v>-10</v>
      </c>
      <c r="L730" s="17">
        <f aca="false">IF($G730="","",$G730+$K730)</f>
        <v>2007</v>
      </c>
      <c r="M730" s="17">
        <f aca="false">IF($H730="","",$H730+$K730)</f>
        <v/>
      </c>
      <c r="N730" s="17">
        <f aca="false">IF($J730="","",$J730+$K730)</f>
        <v>1997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80,280원</v>
      </c>
      <c r="P730" s="17">
        <f aca="false">IF($B$10=0,"",IFERROR(IF($B$4&gt;0,IF($L730="",1/0,$L730*$B$4),0)+IF($B$5&gt;0,IF($M730="",1/0,$M730*$B$5),0)+IF($B$6&gt;0,IF($N730="",1/0,$N730*$B$6),0),""))</f>
        <v>80280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80280</v>
      </c>
      <c r="U730" s="17">
        <f aca="false">IF($T730="","",IF($B$10=0,"",$T730/$B$10))</f>
        <v>2007</v>
      </c>
      <c r="V730" s="17">
        <f aca="false">IF($P730="","",IF($B$10=0,"",$P730/$B$10))</f>
        <v>2007</v>
      </c>
      <c r="W730" s="19">
        <f aca="false">IF($T730="",1000000000000000,$T730)</f>
        <v>80280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IF($T731="","",1+COUNTIF($W$15:$W$884,"&lt;"&amp;W731))</f>
        <v>714</v>
      </c>
      <c r="B731" s="16" t="s">
        <v>12</v>
      </c>
      <c r="C731" s="16" t="s">
        <v>1459</v>
      </c>
      <c r="D731" s="21" t="s">
        <v>45</v>
      </c>
      <c r="E731" s="16" t="s">
        <v>51</v>
      </c>
      <c r="F731" s="16" t="s">
        <v>1460</v>
      </c>
      <c r="G731" s="17">
        <v>2017</v>
      </c>
      <c r="H731" s="17"/>
      <c r="I731" s="17"/>
      <c r="J731" s="17">
        <v>2007</v>
      </c>
      <c r="K731" s="17">
        <v>-10</v>
      </c>
      <c r="L731" s="17">
        <f aca="false">IF($G731="","",$G731+$K731)</f>
        <v>2007</v>
      </c>
      <c r="M731" s="17">
        <f aca="false">IF($H731="","",$H731+$K731)</f>
        <v/>
      </c>
      <c r="N731" s="17">
        <f aca="false">IF($J731="","",$J731+$K731)</f>
        <v>1997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80,280원</v>
      </c>
      <c r="P731" s="17">
        <f aca="false">IF($B$10=0,"",IFERROR(IF($B$4&gt;0,IF($L731="",1/0,$L731*$B$4),0)+IF($B$5&gt;0,IF($M731="",1/0,$M731*$B$5),0)+IF($B$6&gt;0,IF($N731="",1/0,$N731*$B$6),0),""))</f>
        <v>80280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80280</v>
      </c>
      <c r="U731" s="17">
        <f aca="false">IF($T731="","",IF($B$10=0,"",$T731/$B$10))</f>
        <v>2007</v>
      </c>
      <c r="V731" s="17">
        <f aca="false">IF($P731="","",IF($B$10=0,"",$P731/$B$10))</f>
        <v>2007</v>
      </c>
      <c r="W731" s="19">
        <f aca="false">IF($T731="",1000000000000000,$T731)</f>
        <v>80280</v>
      </c>
      <c r="XFB731" s="6"/>
      <c r="XFC731" s="3"/>
    </row>
    <row r="732" s="22" collapsed="false" customFormat="true" customHeight="true" hidden="false" ht="28.5" outlineLevel="0">
      <c r="A732" s="16">
        <f aca="false">IF($T732="","",1+COUNTIF($W$15:$W$884,"&lt;"&amp;W732))</f>
        <v>718</v>
      </c>
      <c r="B732" s="16" t="s">
        <v>6</v>
      </c>
      <c r="C732" s="16" t="s">
        <v>1461</v>
      </c>
      <c r="D732" s="16" t="s">
        <v>45</v>
      </c>
      <c r="E732" s="16" t="s">
        <v>51</v>
      </c>
      <c r="F732" s="16" t="s">
        <v>1462</v>
      </c>
      <c r="G732" s="17">
        <v>2018</v>
      </c>
      <c r="H732" s="17">
        <v>2417</v>
      </c>
      <c r="I732" s="17" t="s">
        <v>47</v>
      </c>
      <c r="J732" s="17">
        <v>2012</v>
      </c>
      <c r="K732" s="17">
        <f aca="false">IF(AND(IFERROR(SEARCH("현대오일뱅크",$C732),0)&gt;0,IFERROR(SEARCH("직영",$C732),0)&gt;0),$B$13,0)</f>
        <v>-10</v>
      </c>
      <c r="L732" s="17">
        <f aca="false">IF($G732="","",$G732+$K732)</f>
        <v>2008</v>
      </c>
      <c r="M732" s="17">
        <f aca="false">IF($H732="","",$H732+$K732)</f>
        <v>2407</v>
      </c>
      <c r="N732" s="17">
        <f aca="false">IF($J732="","",$J732+$K732)</f>
        <v>2002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80,320원</v>
      </c>
      <c r="P732" s="17">
        <f aca="false">IF($B$10=0,"",IFERROR(IF($B$4&gt;0,IF($L732="",1/0,$L732*$B$4),0)+IF($B$5&gt;0,IF($M732="",1/0,$M732*$B$5),0)+IF($B$6&gt;0,IF($N732="",1/0,$N732*$B$6),0),""))</f>
        <v>80320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80320</v>
      </c>
      <c r="U732" s="17">
        <f aca="false">IF($T732="","",IF($B$10=0,"",$T732/$B$10))</f>
        <v>2008</v>
      </c>
      <c r="V732" s="17">
        <f aca="false">IF($P732="","",IF($B$10=0,"",$P732/$B$10))</f>
        <v>2008</v>
      </c>
      <c r="W732" s="19">
        <f aca="false">IF($T732="",1000000000000000,$T732)</f>
        <v>80320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IF($T733="","",1+COUNTIF($W$15:$W$884,"&lt;"&amp;W733))</f>
        <v>718</v>
      </c>
      <c r="B733" s="16" t="s">
        <v>14</v>
      </c>
      <c r="C733" s="16" t="s">
        <v>1463</v>
      </c>
      <c r="D733" s="16" t="s">
        <v>45</v>
      </c>
      <c r="E733" s="16" t="s">
        <v>51</v>
      </c>
      <c r="F733" s="16" t="s">
        <v>1464</v>
      </c>
      <c r="G733" s="17">
        <v>2018</v>
      </c>
      <c r="H733" s="17">
        <v>2435</v>
      </c>
      <c r="I733" s="17"/>
      <c r="J733" s="17">
        <v>2001</v>
      </c>
      <c r="K733" s="17">
        <f aca="false">IF(AND(IFERROR(SEARCH("현대오일뱅크",$C733),0)&gt;0,IFERROR(SEARCH("직영",$C733),0)&gt;0),$B$13,0)</f>
        <v>-10</v>
      </c>
      <c r="L733" s="17">
        <f aca="false">IF($G733="","",$G733+$K733)</f>
        <v>2008</v>
      </c>
      <c r="M733" s="17">
        <f aca="false">IF($H733="","",$H733+$K733)</f>
        <v>2425</v>
      </c>
      <c r="N733" s="17">
        <f aca="false">IF($J733="","",$J733+$K733)</f>
        <v>1991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80,320원</v>
      </c>
      <c r="P733" s="17">
        <f aca="false">IF($B$10=0,"",IFERROR(IF($B$4&gt;0,IF($L733="",1/0,$L733*$B$4),0)+IF($B$5&gt;0,IF($M733="",1/0,$M733*$B$5),0)+IF($B$6&gt;0,IF($N733="",1/0,$N733*$B$6),0),""))</f>
        <v>80320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80320</v>
      </c>
      <c r="U733" s="17">
        <f aca="false">IF($T733="","",IF($B$10=0,"",$T733/$B$10))</f>
        <v>2008</v>
      </c>
      <c r="V733" s="17">
        <f aca="false">IF($P733="","",IF($B$10=0,"",$P733/$B$10))</f>
        <v>2008</v>
      </c>
      <c r="W733" s="19">
        <f aca="false">IF($T733="",1000000000000000,$T733)</f>
        <v>80320</v>
      </c>
      <c r="XFC733" s="3"/>
    </row>
    <row r="734" s="6" collapsed="false" customFormat="true" customHeight="true" hidden="false" ht="28.5" outlineLevel="0">
      <c r="A734" s="16">
        <f aca="false">IF($T734="","",1+COUNTIF($W$15:$W$884,"&lt;"&amp;W734))</f>
        <v>718</v>
      </c>
      <c r="B734" s="16" t="s">
        <v>6</v>
      </c>
      <c r="C734" s="16" t="s">
        <v>1465</v>
      </c>
      <c r="D734" s="20" t="s">
        <v>54</v>
      </c>
      <c r="E734" s="16" t="s">
        <v>26</v>
      </c>
      <c r="F734" s="16" t="s">
        <v>1466</v>
      </c>
      <c r="G734" s="17">
        <v>2008</v>
      </c>
      <c r="H734" s="17">
        <v>2430</v>
      </c>
      <c r="I734" s="17"/>
      <c r="J734" s="17">
        <v>2008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2008</v>
      </c>
      <c r="M734" s="17">
        <f aca="false">IF($H734="","",$H734+$K734)</f>
        <v>2430</v>
      </c>
      <c r="N734" s="17">
        <f aca="false">IF($J734="","",$J734+$K734)</f>
        <v>2008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80,320원</v>
      </c>
      <c r="P734" s="17">
        <f aca="false">IF($B$10=0,"",IFERROR(IF($B$4&gt;0,IF($L734="",1/0,$L734*$B$4),0)+IF($B$5&gt;0,IF($M734="",1/0,$M734*$B$5),0)+IF($B$6&gt;0,IF($N734="",1/0,$N734*$B$6),0),""))</f>
        <v>80320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80320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80320</v>
      </c>
      <c r="XFC734" s="3"/>
    </row>
    <row r="735" s="5" collapsed="false" customFormat="true" customHeight="true" hidden="false" ht="28.5" outlineLevel="0">
      <c r="A735" s="16">
        <f aca="false">IF($T735="","",1+COUNTIF($W$15:$W$884,"&lt;"&amp;W735))</f>
        <v>718</v>
      </c>
      <c r="B735" s="16" t="s">
        <v>8</v>
      </c>
      <c r="C735" s="16" t="s">
        <v>1467</v>
      </c>
      <c r="D735" s="20" t="s">
        <v>54</v>
      </c>
      <c r="E735" s="16" t="s">
        <v>26</v>
      </c>
      <c r="F735" s="16" t="s">
        <v>1468</v>
      </c>
      <c r="G735" s="17">
        <v>2008</v>
      </c>
      <c r="H735" s="17">
        <v>2438</v>
      </c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>2438</v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80,320원</v>
      </c>
      <c r="P735" s="17">
        <f aca="false">IF($B$10=0,"",IFERROR(IF($B$4&gt;0,IF($L735="",1/0,$L735*$B$4),0)+IF($B$5&gt;0,IF($M735="",1/0,$M735*$B$5),0)+IF($B$6&gt;0,IF($N735="",1/0,$N735*$B$6),0),""))</f>
        <v>80320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80320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80320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IF($T736="","",1+COUNTIF($W$15:$W$884,"&lt;"&amp;W736))</f>
        <v>718</v>
      </c>
      <c r="B736" s="16" t="s">
        <v>12</v>
      </c>
      <c r="C736" s="16" t="s">
        <v>1469</v>
      </c>
      <c r="D736" s="20" t="s">
        <v>54</v>
      </c>
      <c r="E736" s="16" t="s">
        <v>26</v>
      </c>
      <c r="F736" s="16" t="s">
        <v>1470</v>
      </c>
      <c r="G736" s="17">
        <v>2008</v>
      </c>
      <c r="H736" s="17">
        <v>2438</v>
      </c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>2438</v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80,320원</v>
      </c>
      <c r="P736" s="17">
        <f aca="false">IF($B$10=0,"",IFERROR(IF($B$4&gt;0,IF($L736="",1/0,$L736*$B$4),0)+IF($B$5&gt;0,IF($M736="",1/0,$M736*$B$5),0)+IF($B$6&gt;0,IF($N736="",1/0,$N736*$B$6),0),""))</f>
        <v>80320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80320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80320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IF($T737="","",1+COUNTIF($W$15:$W$884,"&lt;"&amp;W737))</f>
        <v>718</v>
      </c>
      <c r="B737" s="16" t="s">
        <v>12</v>
      </c>
      <c r="C737" s="16" t="s">
        <v>1471</v>
      </c>
      <c r="D737" s="20" t="s">
        <v>54</v>
      </c>
      <c r="E737" s="16" t="s">
        <v>26</v>
      </c>
      <c r="F737" s="16" t="s">
        <v>1472</v>
      </c>
      <c r="G737" s="17">
        <v>2008</v>
      </c>
      <c r="H737" s="17">
        <v>2438</v>
      </c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2008</v>
      </c>
      <c r="M737" s="17">
        <f aca="false">IF($H737="","",$H737+$K737)</f>
        <v>2438</v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80,320원</v>
      </c>
      <c r="P737" s="17">
        <f aca="false">IF($B$10=0,"",IFERROR(IF($B$4&gt;0,IF($L737="",1/0,$L737*$B$4),0)+IF($B$5&gt;0,IF($M737="",1/0,$M737*$B$5),0)+IF($B$6&gt;0,IF($N737="",1/0,$N737*$B$6),0),""))</f>
        <v>80320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80320</v>
      </c>
      <c r="U737" s="17">
        <f aca="false">IF($T737="","",IF($B$10=0,"",$T737/$B$10))</f>
        <v>2008</v>
      </c>
      <c r="V737" s="17">
        <f aca="false">IF($P737="","",IF($B$10=0,"",$P737/$B$10))</f>
        <v>2008</v>
      </c>
      <c r="W737" s="19">
        <f aca="false">IF($T737="",1000000000000000,$T737)</f>
        <v>80320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IF($T738="","",1+COUNTIF($W$15:$W$884,"&lt;"&amp;W738))</f>
        <v>718</v>
      </c>
      <c r="B738" s="16" t="s">
        <v>6</v>
      </c>
      <c r="C738" s="16" t="s">
        <v>1473</v>
      </c>
      <c r="D738" s="20" t="s">
        <v>54</v>
      </c>
      <c r="E738" s="16" t="s">
        <v>26</v>
      </c>
      <c r="F738" s="16" t="s">
        <v>1474</v>
      </c>
      <c r="G738" s="17">
        <v>2008</v>
      </c>
      <c r="H738" s="17">
        <v>2438</v>
      </c>
      <c r="I738" s="17"/>
      <c r="J738" s="17">
        <v>2005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2008</v>
      </c>
      <c r="M738" s="17">
        <f aca="false">IF($H738="","",$H738+$K738)</f>
        <v>2438</v>
      </c>
      <c r="N738" s="17">
        <f aca="false">IF($J738="","",$J738+$K738)</f>
        <v>2005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80,320원</v>
      </c>
      <c r="P738" s="17">
        <f aca="false">IF($B$10=0,"",IFERROR(IF($B$4&gt;0,IF($L738="",1/0,$L738*$B$4),0)+IF($B$5&gt;0,IF($M738="",1/0,$M738*$B$5),0)+IF($B$6&gt;0,IF($N738="",1/0,$N738*$B$6),0),""))</f>
        <v>80320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80320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80320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IF($T739="","",1+COUNTIF($W$15:$W$884,"&lt;"&amp;W739))</f>
        <v>718</v>
      </c>
      <c r="B739" s="16" t="s">
        <v>16</v>
      </c>
      <c r="C739" s="16" t="s">
        <v>1475</v>
      </c>
      <c r="D739" s="16" t="s">
        <v>122</v>
      </c>
      <c r="E739" s="16" t="s">
        <v>26</v>
      </c>
      <c r="F739" s="16" t="s">
        <v>1476</v>
      </c>
      <c r="G739" s="17">
        <v>2008</v>
      </c>
      <c r="H739" s="17"/>
      <c r="I739" s="17"/>
      <c r="J739" s="17">
        <v>1998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2008</v>
      </c>
      <c r="M739" s="17">
        <f aca="false">IF($H739="","",$H739+$K739)</f>
        <v/>
      </c>
      <c r="N739" s="17">
        <f aca="false">IF($J739="","",$J739+$K739)</f>
        <v>1998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80,320원</v>
      </c>
      <c r="P739" s="17">
        <f aca="false">IF($B$10=0,"",IFERROR(IF($B$4&gt;0,IF($L739="",1/0,$L739*$B$4),0)+IF($B$5&gt;0,IF($M739="",1/0,$M739*$B$5),0)+IF($B$6&gt;0,IF($N739="",1/0,$N739*$B$6),0),""))</f>
        <v>80320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80320</v>
      </c>
      <c r="U739" s="17">
        <f aca="false">IF($T739="","",IF($B$10=0,"",$T739/$B$10))</f>
        <v>2008</v>
      </c>
      <c r="V739" s="17">
        <f aca="false">IF($P739="","",IF($B$10=0,"",$P739/$B$10))</f>
        <v>2008</v>
      </c>
      <c r="W739" s="19">
        <f aca="false">IF($T739="",1000000000000000,$T739)</f>
        <v>80320</v>
      </c>
      <c r="XFB739" s="6"/>
      <c r="XFC739" s="3"/>
    </row>
    <row r="740" s="22" collapsed="false" customFormat="true" customHeight="true" hidden="false" ht="28.5" outlineLevel="0">
      <c r="A740" s="16">
        <f aca="false">IF($T740="","",1+COUNTIF($W$15:$W$884,"&lt;"&amp;W740))</f>
        <v>718</v>
      </c>
      <c r="B740" s="16" t="s">
        <v>12</v>
      </c>
      <c r="C740" s="16" t="s">
        <v>1477</v>
      </c>
      <c r="D740" s="20" t="s">
        <v>54</v>
      </c>
      <c r="E740" s="16" t="s">
        <v>26</v>
      </c>
      <c r="F740" s="16" t="s">
        <v>1478</v>
      </c>
      <c r="G740" s="17">
        <v>2008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2008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80,320원</v>
      </c>
      <c r="P740" s="17">
        <f aca="false">IF($B$10=0,"",IFERROR(IF($B$4&gt;0,IF($L740="",1/0,$L740*$B$4),0)+IF($B$5&gt;0,IF($M740="",1/0,$M740*$B$5),0)+IF($B$6&gt;0,IF($N740="",1/0,$N740*$B$6),0),""))</f>
        <v>80320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80320</v>
      </c>
      <c r="U740" s="17">
        <f aca="false">IF($T740="","",IF($B$10=0,"",$T740/$B$10))</f>
        <v>2008</v>
      </c>
      <c r="V740" s="17">
        <f aca="false">IF($P740="","",IF($B$10=0,"",$P740/$B$10))</f>
        <v>2008</v>
      </c>
      <c r="W740" s="19">
        <f aca="false">IF($T740="",1000000000000000,$T740)</f>
        <v>80320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IF($T741="","",1+COUNTIF($W$15:$W$884,"&lt;"&amp;W741))</f>
        <v>718</v>
      </c>
      <c r="B741" s="16" t="s">
        <v>10</v>
      </c>
      <c r="C741" s="16" t="s">
        <v>1479</v>
      </c>
      <c r="D741" s="21" t="s">
        <v>57</v>
      </c>
      <c r="E741" s="16" t="s">
        <v>51</v>
      </c>
      <c r="F741" s="16" t="s">
        <v>1480</v>
      </c>
      <c r="G741" s="17">
        <v>2008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2008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80,320원</v>
      </c>
      <c r="P741" s="17">
        <f aca="false">IF($B$10=0,"",IFERROR(IF($B$4&gt;0,IF($L741="",1/0,$L741*$B$4),0)+IF($B$5&gt;0,IF($M741="",1/0,$M741*$B$5),0)+IF($B$6&gt;0,IF($N741="",1/0,$N741*$B$6),0),""))</f>
        <v>80320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80320</v>
      </c>
      <c r="U741" s="17">
        <f aca="false">IF($T741="","",IF($B$10=0,"",$T741/$B$10))</f>
        <v>2008</v>
      </c>
      <c r="V741" s="17">
        <f aca="false">IF($P741="","",IF($B$10=0,"",$P741/$B$10))</f>
        <v>2008</v>
      </c>
      <c r="W741" s="19">
        <f aca="false">IF($T741="",1000000000000000,$T741)</f>
        <v>80320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IF($T742="","",1+COUNTIF($W$15:$W$884,"&lt;"&amp;W742))</f>
        <v>728</v>
      </c>
      <c r="B742" s="16" t="s">
        <v>6</v>
      </c>
      <c r="C742" s="16" t="s">
        <v>1481</v>
      </c>
      <c r="D742" s="16" t="s">
        <v>45</v>
      </c>
      <c r="E742" s="16" t="s">
        <v>51</v>
      </c>
      <c r="F742" s="16" t="s">
        <v>1482</v>
      </c>
      <c r="G742" s="17">
        <v>2019</v>
      </c>
      <c r="H742" s="17">
        <v>2399</v>
      </c>
      <c r="I742" s="17"/>
      <c r="J742" s="17">
        <v>2018</v>
      </c>
      <c r="K742" s="17">
        <f aca="false">IF(AND(IFERROR(SEARCH("현대오일뱅크",$C742),0)&gt;0,IFERROR(SEARCH("직영",$C742),0)&gt;0),$B$13,0)</f>
        <v>-10</v>
      </c>
      <c r="L742" s="17">
        <f aca="false">IF($G742="","",$G742+$K742)</f>
        <v>2009</v>
      </c>
      <c r="M742" s="17">
        <f aca="false">IF($H742="","",$H742+$K742)</f>
        <v>2389</v>
      </c>
      <c r="N742" s="17">
        <f aca="false">IF($J742="","",$J742+$K742)</f>
        <v>2008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80,360원</v>
      </c>
      <c r="P742" s="17">
        <f aca="false">IF($B$10=0,"",IFERROR(IF($B$4&gt;0,IF($L742="",1/0,$L742*$B$4),0)+IF($B$5&gt;0,IF($M742="",1/0,$M742*$B$5),0)+IF($B$6&gt;0,IF($N742="",1/0,$N742*$B$6),0),""))</f>
        <v>80360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80360</v>
      </c>
      <c r="U742" s="17">
        <f aca="false">IF($T742="","",IF($B$10=0,"",$T742/$B$10))</f>
        <v>2009</v>
      </c>
      <c r="V742" s="17">
        <f aca="false">IF($P742="","",IF($B$10=0,"",$P742/$B$10))</f>
        <v>2009</v>
      </c>
      <c r="W742" s="19">
        <f aca="false">IF($T742="",1000000000000000,$T742)</f>
        <v>80360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IF($T743="","",1+COUNTIF($W$15:$W$884,"&lt;"&amp;W743))</f>
        <v>728</v>
      </c>
      <c r="B743" s="16" t="s">
        <v>14</v>
      </c>
      <c r="C743" s="16" t="s">
        <v>1483</v>
      </c>
      <c r="D743" s="21" t="s">
        <v>57</v>
      </c>
      <c r="E743" s="16" t="s">
        <v>26</v>
      </c>
      <c r="F743" s="16" t="s">
        <v>1484</v>
      </c>
      <c r="G743" s="17">
        <v>2009</v>
      </c>
      <c r="H743" s="17"/>
      <c r="I743" s="17"/>
      <c r="J743" s="17">
        <v>1979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2009</v>
      </c>
      <c r="M743" s="17">
        <f aca="false">IF($H743="","",$H743+$K743)</f>
        <v/>
      </c>
      <c r="N743" s="17">
        <f aca="false">IF($J743="","",$J743+$K743)</f>
        <v>1979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80,360원</v>
      </c>
      <c r="P743" s="17">
        <f aca="false">IF($B$10=0,"",IFERROR(IF($B$4&gt;0,IF($L743="",1/0,$L743*$B$4),0)+IF($B$5&gt;0,IF($M743="",1/0,$M743*$B$5),0)+IF($B$6&gt;0,IF($N743="",1/0,$N743*$B$6),0),""))</f>
        <v>80360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80360</v>
      </c>
      <c r="U743" s="17">
        <f aca="false">IF($T743="","",IF($B$10=0,"",$T743/$B$10))</f>
        <v>2009</v>
      </c>
      <c r="V743" s="17">
        <f aca="false">IF($P743="","",IF($B$10=0,"",$P743/$B$10))</f>
        <v>2009</v>
      </c>
      <c r="W743" s="19">
        <f aca="false">IF($T743="",1000000000000000,$T743)</f>
        <v>80360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IF($T744="","",1+COUNTIF($W$15:$W$884,"&lt;"&amp;W744))</f>
        <v>728</v>
      </c>
      <c r="B744" s="16" t="s">
        <v>6</v>
      </c>
      <c r="C744" s="16" t="s">
        <v>1485</v>
      </c>
      <c r="D744" s="16" t="s">
        <v>45</v>
      </c>
      <c r="E744" s="16" t="s">
        <v>51</v>
      </c>
      <c r="F744" s="16" t="s">
        <v>1486</v>
      </c>
      <c r="G744" s="17">
        <v>2019</v>
      </c>
      <c r="H744" s="17"/>
      <c r="I744" s="17"/>
      <c r="J744" s="17">
        <v>2018</v>
      </c>
      <c r="K744" s="17">
        <v>-10</v>
      </c>
      <c r="L744" s="17">
        <f aca="false">IF($G744="","",$G744+$K744)</f>
        <v>2009</v>
      </c>
      <c r="M744" s="17">
        <f aca="false">IF($H744="","",$H744+$K744)</f>
        <v/>
      </c>
      <c r="N744" s="17">
        <f aca="false">IF($J744="","",$J744+$K744)</f>
        <v>2008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80,360원</v>
      </c>
      <c r="P744" s="17">
        <f aca="false">IF($B$10=0,"",IFERROR(IF($B$4&gt;0,IF($L744="",1/0,$L744*$B$4),0)+IF($B$5&gt;0,IF($M744="",1/0,$M744*$B$5),0)+IF($B$6&gt;0,IF($N744="",1/0,$N744*$B$6),0),""))</f>
        <v>80360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80360</v>
      </c>
      <c r="U744" s="17">
        <f aca="false">IF($T744="","",IF($B$10=0,"",$T744/$B$10))</f>
        <v>2009</v>
      </c>
      <c r="V744" s="17">
        <f aca="false">IF($P744="","",IF($B$10=0,"",$P744/$B$10))</f>
        <v>2009</v>
      </c>
      <c r="W744" s="19">
        <f aca="false">IF($T744="",1000000000000000,$T744)</f>
        <v>80360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IF($T745="","",1+COUNTIF($W$15:$W$884,"&lt;"&amp;W745))</f>
        <v>731</v>
      </c>
      <c r="B745" s="16" t="s">
        <v>16</v>
      </c>
      <c r="C745" s="16" t="s">
        <v>1487</v>
      </c>
      <c r="D745" s="21" t="s">
        <v>57</v>
      </c>
      <c r="E745" s="16" t="s">
        <v>26</v>
      </c>
      <c r="F745" s="16" t="s">
        <v>1488</v>
      </c>
      <c r="G745" s="17">
        <v>2010</v>
      </c>
      <c r="H745" s="17">
        <v>2380</v>
      </c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2010</v>
      </c>
      <c r="M745" s="17">
        <f aca="false">IF($H745="","",$H745+$K745)</f>
        <v>2380</v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80,400원</v>
      </c>
      <c r="P745" s="17">
        <f aca="false">IF($B$10=0,"",IFERROR(IF($B$4&gt;0,IF($L745="",1/0,$L745*$B$4),0)+IF($B$5&gt;0,IF($M745="",1/0,$M745*$B$5),0)+IF($B$6&gt;0,IF($N745="",1/0,$N745*$B$6),0),""))</f>
        <v>80400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80400</v>
      </c>
      <c r="U745" s="17">
        <f aca="false">IF($T745="","",IF($B$10=0,"",$T745/$B$10))</f>
        <v>2010</v>
      </c>
      <c r="V745" s="17">
        <f aca="false">IF($P745="","",IF($B$10=0,"",$P745/$B$10))</f>
        <v>2010</v>
      </c>
      <c r="W745" s="19">
        <f aca="false">IF($T745="",1000000000000000,$T745)</f>
        <v>80400</v>
      </c>
      <c r="XFC745" s="3"/>
    </row>
    <row r="746" s="6" collapsed="false" customFormat="true" customHeight="true" hidden="false" ht="28.5" outlineLevel="0">
      <c r="A746" s="16">
        <f aca="false">IF($T746="","",1+COUNTIF($W$15:$W$884,"&lt;"&amp;W746))</f>
        <v>731</v>
      </c>
      <c r="B746" s="16" t="s">
        <v>14</v>
      </c>
      <c r="C746" s="16" t="s">
        <v>1489</v>
      </c>
      <c r="D746" s="16" t="s">
        <v>45</v>
      </c>
      <c r="E746" s="16" t="s">
        <v>26</v>
      </c>
      <c r="F746" s="16" t="s">
        <v>1490</v>
      </c>
      <c r="G746" s="17">
        <v>2010</v>
      </c>
      <c r="H746" s="17"/>
      <c r="I746" s="17"/>
      <c r="J746" s="17">
        <v>1979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1979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80,400원</v>
      </c>
      <c r="P746" s="17">
        <f aca="false">IF($B$10=0,"",IFERROR(IF($B$4&gt;0,IF($L746="",1/0,$L746*$B$4),0)+IF($B$5&gt;0,IF($M746="",1/0,$M746*$B$5),0)+IF($B$6&gt;0,IF($N746="",1/0,$N746*$B$6),0),""))</f>
        <v>80400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80400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80400</v>
      </c>
      <c r="XFC746" s="3"/>
    </row>
    <row r="747" s="22" collapsed="false" customFormat="true" customHeight="true" hidden="false" ht="28.5" outlineLevel="0">
      <c r="A747" s="16">
        <f aca="false">IF($T747="","",1+COUNTIF($W$15:$W$884,"&lt;"&amp;W747))</f>
        <v>731</v>
      </c>
      <c r="B747" s="16" t="s">
        <v>18</v>
      </c>
      <c r="C747" s="16" t="s">
        <v>1491</v>
      </c>
      <c r="D747" s="20" t="s">
        <v>54</v>
      </c>
      <c r="E747" s="16" t="s">
        <v>26</v>
      </c>
      <c r="F747" s="16" t="s">
        <v>1492</v>
      </c>
      <c r="G747" s="17">
        <v>2010</v>
      </c>
      <c r="H747" s="17"/>
      <c r="I747" s="17"/>
      <c r="J747" s="17">
        <v>1989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1989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80,400원</v>
      </c>
      <c r="P747" s="17">
        <f aca="false">IF($B$10=0,"",IFERROR(IF($B$4&gt;0,IF($L747="",1/0,$L747*$B$4),0)+IF($B$5&gt;0,IF($M747="",1/0,$M747*$B$5),0)+IF($B$6&gt;0,IF($N747="",1/0,$N747*$B$6),0),""))</f>
        <v>80400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80400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80400</v>
      </c>
      <c r="XFB747" s="6"/>
      <c r="XFC747" s="3"/>
    </row>
    <row r="748" s="6" collapsed="false" customFormat="true" customHeight="true" hidden="false" ht="28.5" outlineLevel="0">
      <c r="A748" s="16">
        <f aca="false">IF($T748="","",1+COUNTIF($W$15:$W$884,"&lt;"&amp;W748))</f>
        <v>731</v>
      </c>
      <c r="B748" s="16" t="s">
        <v>16</v>
      </c>
      <c r="C748" s="16" t="s">
        <v>1493</v>
      </c>
      <c r="D748" s="20" t="s">
        <v>54</v>
      </c>
      <c r="E748" s="16" t="s">
        <v>51</v>
      </c>
      <c r="F748" s="16" t="s">
        <v>1494</v>
      </c>
      <c r="G748" s="17">
        <v>2010</v>
      </c>
      <c r="H748" s="17"/>
      <c r="I748" s="17"/>
      <c r="J748" s="17">
        <v>2000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80,400원</v>
      </c>
      <c r="P748" s="17">
        <f aca="false">IF($B$10=0,"",IFERROR(IF($B$4&gt;0,IF($L748="",1/0,$L748*$B$4),0)+IF($B$5&gt;0,IF($M748="",1/0,$M748*$B$5),0)+IF($B$6&gt;0,IF($N748="",1/0,$N748*$B$6),0),""))</f>
        <v>80400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80400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80400</v>
      </c>
      <c r="XFC748" s="3"/>
    </row>
    <row r="749" s="22" collapsed="false" customFormat="true" customHeight="true" hidden="false" ht="28.5" outlineLevel="0">
      <c r="A749" s="16">
        <f aca="false">IF($T749="","",1+COUNTIF($W$15:$W$884,"&lt;"&amp;W749))</f>
        <v>731</v>
      </c>
      <c r="B749" s="16" t="s">
        <v>16</v>
      </c>
      <c r="C749" s="16" t="s">
        <v>1495</v>
      </c>
      <c r="D749" s="16" t="s">
        <v>45</v>
      </c>
      <c r="E749" s="16" t="s">
        <v>26</v>
      </c>
      <c r="F749" s="16" t="s">
        <v>1496</v>
      </c>
      <c r="G749" s="17">
        <v>2010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80,400원</v>
      </c>
      <c r="P749" s="17">
        <f aca="false">IF($B$10=0,"",IFERROR(IF($B$4&gt;0,IF($L749="",1/0,$L749*$B$4),0)+IF($B$5&gt;0,IF($M749="",1/0,$M749*$B$5),0)+IF($B$6&gt;0,IF($N749="",1/0,$N749*$B$6),0),""))</f>
        <v>80400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80400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80400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IF($T750="","",1+COUNTIF($W$15:$W$884,"&lt;"&amp;W750))</f>
        <v>731</v>
      </c>
      <c r="B750" s="16" t="s">
        <v>16</v>
      </c>
      <c r="C750" s="16" t="s">
        <v>1497</v>
      </c>
      <c r="D750" s="16" t="s">
        <v>45</v>
      </c>
      <c r="E750" s="16" t="s">
        <v>26</v>
      </c>
      <c r="F750" s="16" t="s">
        <v>1498</v>
      </c>
      <c r="G750" s="17">
        <v>2010</v>
      </c>
      <c r="H750" s="17"/>
      <c r="I750" s="17"/>
      <c r="J750" s="17">
        <v>2000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2010</v>
      </c>
      <c r="M750" s="17">
        <f aca="false">IF($H750="","",$H750+$K750)</f>
        <v/>
      </c>
      <c r="N750" s="17">
        <f aca="false">IF($J750="","",$J750+$K750)</f>
        <v>2000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80,400원</v>
      </c>
      <c r="P750" s="17">
        <f aca="false">IF($B$10=0,"",IFERROR(IF($B$4&gt;0,IF($L750="",1/0,$L750*$B$4),0)+IF($B$5&gt;0,IF($M750="",1/0,$M750*$B$5),0)+IF($B$6&gt;0,IF($N750="",1/0,$N750*$B$6),0),""))</f>
        <v>80400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80400</v>
      </c>
      <c r="U750" s="17">
        <f aca="false">IF($T750="","",IF($B$10=0,"",$T750/$B$10))</f>
        <v>2010</v>
      </c>
      <c r="V750" s="17">
        <f aca="false">IF($P750="","",IF($B$10=0,"",$P750/$B$10))</f>
        <v>2010</v>
      </c>
      <c r="W750" s="19">
        <f aca="false">IF($T750="",1000000000000000,$T750)</f>
        <v>80400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IF($T751="","",1+COUNTIF($W$15:$W$884,"&lt;"&amp;W751))</f>
        <v>731</v>
      </c>
      <c r="B751" s="16" t="s">
        <v>16</v>
      </c>
      <c r="C751" s="16" t="s">
        <v>1499</v>
      </c>
      <c r="D751" s="16" t="s">
        <v>176</v>
      </c>
      <c r="E751" s="16" t="s">
        <v>51</v>
      </c>
      <c r="F751" s="16" t="s">
        <v>1500</v>
      </c>
      <c r="G751" s="17">
        <v>2010</v>
      </c>
      <c r="H751" s="17"/>
      <c r="I751" s="17"/>
      <c r="J751" s="17">
        <v>2000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2010</v>
      </c>
      <c r="M751" s="17">
        <f aca="false">IF($H751="","",$H751+$K751)</f>
        <v/>
      </c>
      <c r="N751" s="17">
        <f aca="false">IF($J751="","",$J751+$K751)</f>
        <v>2000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80,400원</v>
      </c>
      <c r="P751" s="17">
        <f aca="false">IF($B$10=0,"",IFERROR(IF($B$4&gt;0,IF($L751="",1/0,$L751*$B$4),0)+IF($B$5&gt;0,IF($M751="",1/0,$M751*$B$5),0)+IF($B$6&gt;0,IF($N751="",1/0,$N751*$B$6),0),""))</f>
        <v>80400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80400</v>
      </c>
      <c r="U751" s="17">
        <f aca="false">IF($T751="","",IF($B$10=0,"",$T751/$B$10))</f>
        <v>2010</v>
      </c>
      <c r="V751" s="17">
        <f aca="false">IF($P751="","",IF($B$10=0,"",$P751/$B$10))</f>
        <v>2010</v>
      </c>
      <c r="W751" s="19">
        <f aca="false">IF($T751="",1000000000000000,$T751)</f>
        <v>80400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IF($T752="","",1+COUNTIF($W$15:$W$884,"&lt;"&amp;W752))</f>
        <v>731</v>
      </c>
      <c r="B752" s="16" t="s">
        <v>16</v>
      </c>
      <c r="C752" s="16" t="s">
        <v>1501</v>
      </c>
      <c r="D752" s="16" t="s">
        <v>176</v>
      </c>
      <c r="E752" s="16" t="s">
        <v>51</v>
      </c>
      <c r="F752" s="16" t="s">
        <v>1502</v>
      </c>
      <c r="G752" s="17">
        <v>2010</v>
      </c>
      <c r="H752" s="17"/>
      <c r="I752" s="17"/>
      <c r="J752" s="17">
        <v>2000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2010</v>
      </c>
      <c r="M752" s="17">
        <f aca="false">IF($H752="","",$H752+$K752)</f>
        <v/>
      </c>
      <c r="N752" s="17">
        <f aca="false">IF($J752="","",$J752+$K752)</f>
        <v>2000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80,400원</v>
      </c>
      <c r="P752" s="17">
        <f aca="false">IF($B$10=0,"",IFERROR(IF($B$4&gt;0,IF($L752="",1/0,$L752*$B$4),0)+IF($B$5&gt;0,IF($M752="",1/0,$M752*$B$5),0)+IF($B$6&gt;0,IF($N752="",1/0,$N752*$B$6),0),""))</f>
        <v>80400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80400</v>
      </c>
      <c r="U752" s="17">
        <f aca="false">IF($T752="","",IF($B$10=0,"",$T752/$B$10))</f>
        <v>2010</v>
      </c>
      <c r="V752" s="17">
        <f aca="false">IF($P752="","",IF($B$10=0,"",$P752/$B$10))</f>
        <v>2010</v>
      </c>
      <c r="W752" s="19">
        <f aca="false">IF($T752="",1000000000000000,$T752)</f>
        <v>80400</v>
      </c>
      <c r="XFC752" s="3"/>
    </row>
    <row r="753" s="6" collapsed="false" customFormat="true" customHeight="true" hidden="false" ht="28.5" outlineLevel="0">
      <c r="A753" s="16">
        <f aca="false">IF($T753="","",1+COUNTIF($W$15:$W$884,"&lt;"&amp;W753))</f>
        <v>731</v>
      </c>
      <c r="B753" s="16" t="s">
        <v>16</v>
      </c>
      <c r="C753" s="16" t="s">
        <v>1505</v>
      </c>
      <c r="D753" s="20" t="s">
        <v>54</v>
      </c>
      <c r="E753" s="16" t="s">
        <v>26</v>
      </c>
      <c r="F753" s="16" t="s">
        <v>1506</v>
      </c>
      <c r="G753" s="17">
        <v>2010</v>
      </c>
      <c r="H753" s="17"/>
      <c r="I753" s="17"/>
      <c r="J753" s="17">
        <v>2005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2010</v>
      </c>
      <c r="M753" s="17">
        <f aca="false">IF($H753="","",$H753+$K753)</f>
        <v/>
      </c>
      <c r="N753" s="17">
        <f aca="false">IF($J753="","",$J753+$K753)</f>
        <v>2005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80,400원</v>
      </c>
      <c r="P753" s="17">
        <f aca="false">IF($B$10=0,"",IFERROR(IF($B$4&gt;0,IF($L753="",1/0,$L753*$B$4),0)+IF($B$5&gt;0,IF($M753="",1/0,$M753*$B$5),0)+IF($B$6&gt;0,IF($N753="",1/0,$N753*$B$6),0),""))</f>
        <v>80400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80400</v>
      </c>
      <c r="U753" s="17">
        <f aca="false">IF($T753="","",IF($B$10=0,"",$T753/$B$10))</f>
        <v>2010</v>
      </c>
      <c r="V753" s="17">
        <f aca="false">IF($P753="","",IF($B$10=0,"",$P753/$B$10))</f>
        <v>2010</v>
      </c>
      <c r="W753" s="19">
        <f aca="false">IF($T753="",1000000000000000,$T753)</f>
        <v>80400</v>
      </c>
      <c r="XFC753" s="3"/>
    </row>
    <row r="754" s="6" collapsed="false" customFormat="true" customHeight="true" hidden="false" ht="28.5" outlineLevel="0">
      <c r="A754" s="16">
        <f aca="false">IF($T754="","",1+COUNTIF($W$15:$W$884,"&lt;"&amp;W754))</f>
        <v>731</v>
      </c>
      <c r="B754" s="16" t="s">
        <v>16</v>
      </c>
      <c r="C754" s="16" t="s">
        <v>1503</v>
      </c>
      <c r="D754" s="16" t="s">
        <v>176</v>
      </c>
      <c r="E754" s="16" t="s">
        <v>26</v>
      </c>
      <c r="F754" s="16" t="s">
        <v>1504</v>
      </c>
      <c r="G754" s="17">
        <v>2010</v>
      </c>
      <c r="H754" s="17"/>
      <c r="I754" s="17"/>
      <c r="J754" s="17">
        <v>2010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2010</v>
      </c>
      <c r="M754" s="17">
        <f aca="false">IF($H754="","",$H754+$K754)</f>
        <v/>
      </c>
      <c r="N754" s="17">
        <f aca="false">IF($J754="","",$J754+$K754)</f>
        <v>2010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80,400원</v>
      </c>
      <c r="P754" s="17">
        <f aca="false">IF($B$10=0,"",IFERROR(IF($B$4&gt;0,IF($L754="",1/0,$L754*$B$4),0)+IF($B$5&gt;0,IF($M754="",1/0,$M754*$B$5),0)+IF($B$6&gt;0,IF($N754="",1/0,$N754*$B$6),0),""))</f>
        <v>80400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80400</v>
      </c>
      <c r="U754" s="17">
        <f aca="false">IF($T754="","",IF($B$10=0,"",$T754/$B$10))</f>
        <v>2010</v>
      </c>
      <c r="V754" s="17">
        <f aca="false">IF($P754="","",IF($B$10=0,"",$P754/$B$10))</f>
        <v>2010</v>
      </c>
      <c r="W754" s="19">
        <f aca="false">IF($T754="",1000000000000000,$T754)</f>
        <v>80400</v>
      </c>
      <c r="XFC754" s="3"/>
    </row>
    <row r="755" s="6" collapsed="false" customFormat="true" customHeight="true" hidden="false" ht="28.5" outlineLevel="0">
      <c r="A755" s="16">
        <f aca="false">IF($T755="","",1+COUNTIF($W$15:$W$884,"&lt;"&amp;W755))</f>
        <v>741</v>
      </c>
      <c r="B755" s="16" t="s">
        <v>8</v>
      </c>
      <c r="C755" s="16" t="s">
        <v>1507</v>
      </c>
      <c r="D755" s="20" t="s">
        <v>54</v>
      </c>
      <c r="E755" s="16" t="s">
        <v>26</v>
      </c>
      <c r="F755" s="16" t="s">
        <v>1508</v>
      </c>
      <c r="G755" s="17">
        <v>2014</v>
      </c>
      <c r="H755" s="17">
        <v>2398</v>
      </c>
      <c r="I755" s="17"/>
      <c r="J755" s="17">
        <v>2014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2014</v>
      </c>
      <c r="M755" s="17">
        <f aca="false">IF($H755="","",$H755+$K755)</f>
        <v>2398</v>
      </c>
      <c r="N755" s="17">
        <f aca="false">IF($J755="","",$J755+$K755)</f>
        <v>2014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80,560원</v>
      </c>
      <c r="P755" s="17">
        <f aca="false">IF($B$10=0,"",IFERROR(IF($B$4&gt;0,IF($L755="",1/0,$L755*$B$4),0)+IF($B$5&gt;0,IF($M755="",1/0,$M755*$B$5),0)+IF($B$6&gt;0,IF($N755="",1/0,$N755*$B$6),0),""))</f>
        <v>80560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80560</v>
      </c>
      <c r="U755" s="17">
        <f aca="false">IF($T755="","",IF($B$10=0,"",$T755/$B$10))</f>
        <v>2014</v>
      </c>
      <c r="V755" s="17">
        <f aca="false">IF($P755="","",IF($B$10=0,"",$P755/$B$10))</f>
        <v>2014</v>
      </c>
      <c r="W755" s="19">
        <f aca="false">IF($T755="",1000000000000000,$T755)</f>
        <v>80560</v>
      </c>
      <c r="XFC755" s="3"/>
    </row>
    <row r="756" s="5" collapsed="false" customFormat="true" customHeight="true" hidden="false" ht="28.5" outlineLevel="0">
      <c r="A756" s="16">
        <f aca="false">IF($T756="","",1+COUNTIF($W$15:$W$884,"&lt;"&amp;W756))</f>
        <v>741</v>
      </c>
      <c r="B756" s="16" t="s">
        <v>8</v>
      </c>
      <c r="C756" s="16" t="s">
        <v>1509</v>
      </c>
      <c r="D756" s="20" t="s">
        <v>54</v>
      </c>
      <c r="E756" s="16" t="s">
        <v>26</v>
      </c>
      <c r="F756" s="16" t="s">
        <v>1510</v>
      </c>
      <c r="G756" s="17">
        <v>2014</v>
      </c>
      <c r="H756" s="17">
        <v>2431</v>
      </c>
      <c r="I756" s="17"/>
      <c r="J756" s="17">
        <v>2014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2014</v>
      </c>
      <c r="M756" s="17">
        <f aca="false">IF($H756="","",$H756+$K756)</f>
        <v>2431</v>
      </c>
      <c r="N756" s="17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80,560원</v>
      </c>
      <c r="P756" s="17">
        <f aca="false">IF($B$10=0,"",IFERROR(IF($B$4&gt;0,IF($L756="",1/0,$L756*$B$4),0)+IF($B$5&gt;0,IF($M756="",1/0,$M756*$B$5),0)+IF($B$6&gt;0,IF($N756="",1/0,$N756*$B$6),0),""))</f>
        <v>80560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80560</v>
      </c>
      <c r="U756" s="17">
        <f aca="false">IF($T756="","",IF($B$10=0,"",$T756/$B$10))</f>
        <v>2014</v>
      </c>
      <c r="V756" s="17">
        <f aca="false">IF($P756="","",IF($B$10=0,"",$P756/$B$10))</f>
        <v>2014</v>
      </c>
      <c r="W756" s="19">
        <f aca="false">IF($T756="",1000000000000000,$T756)</f>
        <v>80560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IF($T757="","",1+COUNTIF($W$15:$W$884,"&lt;"&amp;W757))</f>
        <v>741</v>
      </c>
      <c r="B757" s="16" t="s">
        <v>8</v>
      </c>
      <c r="C757" s="16" t="s">
        <v>1511</v>
      </c>
      <c r="D757" s="16" t="s">
        <v>64</v>
      </c>
      <c r="E757" s="16" t="s">
        <v>26</v>
      </c>
      <c r="F757" s="16" t="s">
        <v>1512</v>
      </c>
      <c r="G757" s="17">
        <v>2014</v>
      </c>
      <c r="H757" s="17">
        <v>2499</v>
      </c>
      <c r="I757" s="17"/>
      <c r="J757" s="17">
        <v>2014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2014</v>
      </c>
      <c r="M757" s="17">
        <f aca="false">IF($H757="","",$H757+$K757)</f>
        <v>2499</v>
      </c>
      <c r="N757" s="17">
        <f aca="false">IF($J757="","",$J757+$K757)</f>
        <v>2014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80,560원</v>
      </c>
      <c r="P757" s="17">
        <f aca="false">IF($B$10=0,"",IFERROR(IF($B$4&gt;0,IF($L757="",1/0,$L757*$B$4),0)+IF($B$5&gt;0,IF($M757="",1/0,$M757*$B$5),0)+IF($B$6&gt;0,IF($N757="",1/0,$N757*$B$6),0),""))</f>
        <v>80560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80560</v>
      </c>
      <c r="U757" s="17">
        <f aca="false">IF($T757="","",IF($B$10=0,"",$T757/$B$10))</f>
        <v>2014</v>
      </c>
      <c r="V757" s="17">
        <f aca="false">IF($P757="","",IF($B$10=0,"",$P757/$B$10))</f>
        <v>2014</v>
      </c>
      <c r="W757" s="19">
        <f aca="false">IF($T757="",1000000000000000,$T757)</f>
        <v>80560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IF($T758="","",1+COUNTIF($W$15:$W$884,"&lt;"&amp;W758))</f>
        <v>741</v>
      </c>
      <c r="B758" s="16" t="s">
        <v>18</v>
      </c>
      <c r="C758" s="16" t="s">
        <v>1513</v>
      </c>
      <c r="D758" s="16" t="s">
        <v>45</v>
      </c>
      <c r="E758" s="16" t="s">
        <v>51</v>
      </c>
      <c r="F758" s="16" t="s">
        <v>1514</v>
      </c>
      <c r="G758" s="17">
        <v>2014</v>
      </c>
      <c r="H758" s="17"/>
      <c r="I758" s="17"/>
      <c r="J758" s="17">
        <v>1989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2014</v>
      </c>
      <c r="M758" s="17">
        <f aca="false">IF($H758="","",$H758+$K758)</f>
        <v/>
      </c>
      <c r="N758" s="17">
        <f aca="false">IF($J758="","",$J758+$K758)</f>
        <v>1989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80,560원</v>
      </c>
      <c r="P758" s="17">
        <f aca="false">IF($B$10=0,"",IFERROR(IF($B$4&gt;0,IF($L758="",1/0,$L758*$B$4),0)+IF($B$5&gt;0,IF($M758="",1/0,$M758*$B$5),0)+IF($B$6&gt;0,IF($N758="",1/0,$N758*$B$6),0),""))</f>
        <v>80560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80560</v>
      </c>
      <c r="U758" s="17">
        <f aca="false">IF($T758="","",IF($B$10=0,"",$T758/$B$10))</f>
        <v>2014</v>
      </c>
      <c r="V758" s="17">
        <f aca="false">IF($P758="","",IF($B$10=0,"",$P758/$B$10))</f>
        <v>2014</v>
      </c>
      <c r="W758" s="19">
        <f aca="false">IF($T758="",1000000000000000,$T758)</f>
        <v>80560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IF($T759="","",1+COUNTIF($W$15:$W$884,"&lt;"&amp;W759))</f>
        <v>741</v>
      </c>
      <c r="B759" s="16" t="s">
        <v>8</v>
      </c>
      <c r="C759" s="16" t="s">
        <v>1517</v>
      </c>
      <c r="D759" s="16" t="s">
        <v>45</v>
      </c>
      <c r="E759" s="16" t="s">
        <v>26</v>
      </c>
      <c r="F759" s="16" t="s">
        <v>1518</v>
      </c>
      <c r="G759" s="17">
        <v>2014</v>
      </c>
      <c r="H759" s="17"/>
      <c r="I759" s="17"/>
      <c r="J759" s="17">
        <v>2014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2014</v>
      </c>
      <c r="M759" s="17">
        <f aca="false">IF($H759="","",$H759+$K759)</f>
        <v/>
      </c>
      <c r="N759" s="17">
        <f aca="false">IF($J759="","",$J759+$K759)</f>
        <v>2014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80,560원</v>
      </c>
      <c r="P759" s="17">
        <f aca="false">IF($B$10=0,"",IFERROR(IF($B$4&gt;0,IF($L759="",1/0,$L759*$B$4),0)+IF($B$5&gt;0,IF($M759="",1/0,$M759*$B$5),0)+IF($B$6&gt;0,IF($N759="",1/0,$N759*$B$6),0),""))</f>
        <v>80560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80560</v>
      </c>
      <c r="U759" s="17">
        <f aca="false">IF($T759="","",IF($B$10=0,"",$T759/$B$10))</f>
        <v>2014</v>
      </c>
      <c r="V759" s="17">
        <f aca="false">IF($P759="","",IF($B$10=0,"",$P759/$B$10))</f>
        <v>2014</v>
      </c>
      <c r="W759" s="19">
        <f aca="false">IF($T759="",1000000000000000,$T759)</f>
        <v>80560</v>
      </c>
      <c r="XFB759" s="6"/>
      <c r="XFC759" s="3"/>
    </row>
    <row r="760" s="22" collapsed="false" customFormat="true" customHeight="true" hidden="false" ht="28.5" outlineLevel="0">
      <c r="A760" s="16">
        <f aca="false">IF($T760="","",1+COUNTIF($W$15:$W$884,"&lt;"&amp;W760))</f>
        <v>741</v>
      </c>
      <c r="B760" s="16" t="s">
        <v>8</v>
      </c>
      <c r="C760" s="16" t="s">
        <v>1519</v>
      </c>
      <c r="D760" s="16" t="s">
        <v>122</v>
      </c>
      <c r="E760" s="16" t="s">
        <v>26</v>
      </c>
      <c r="F760" s="16" t="s">
        <v>1520</v>
      </c>
      <c r="G760" s="17">
        <v>2014</v>
      </c>
      <c r="H760" s="17"/>
      <c r="I760" s="17"/>
      <c r="J760" s="17">
        <v>2014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2014</v>
      </c>
      <c r="M760" s="17">
        <f aca="false">IF($H760="","",$H760+$K760)</f>
        <v/>
      </c>
      <c r="N760" s="17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80,560원</v>
      </c>
      <c r="P760" s="17">
        <f aca="false">IF($B$10=0,"",IFERROR(IF($B$4&gt;0,IF($L760="",1/0,$L760*$B$4),0)+IF($B$5&gt;0,IF($M760="",1/0,$M760*$B$5),0)+IF($B$6&gt;0,IF($N760="",1/0,$N760*$B$6),0),""))</f>
        <v>80560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80560</v>
      </c>
      <c r="U760" s="17">
        <f aca="false">IF($T760="","",IF($B$10=0,"",$T760/$B$10))</f>
        <v>2014</v>
      </c>
      <c r="V760" s="17">
        <f aca="false">IF($P760="","",IF($B$10=0,"",$P760/$B$10))</f>
        <v>2014</v>
      </c>
      <c r="W760" s="19">
        <f aca="false">IF($T760="",1000000000000000,$T760)</f>
        <v>80560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IF($T761="","",1+COUNTIF($W$15:$W$884,"&lt;"&amp;W761))</f>
        <v>741</v>
      </c>
      <c r="B761" s="16" t="s">
        <v>8</v>
      </c>
      <c r="C761" s="16" t="s">
        <v>1521</v>
      </c>
      <c r="D761" s="20" t="s">
        <v>54</v>
      </c>
      <c r="E761" s="16" t="s">
        <v>26</v>
      </c>
      <c r="F761" s="16" t="s">
        <v>1522</v>
      </c>
      <c r="G761" s="17">
        <v>2014</v>
      </c>
      <c r="H761" s="17"/>
      <c r="I761" s="17"/>
      <c r="J761" s="17">
        <v>2014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2014</v>
      </c>
      <c r="M761" s="17">
        <f aca="false">IF($H761="","",$H761+$K761)</f>
        <v/>
      </c>
      <c r="N761" s="17">
        <f aca="false">IF($J761="","",$J761+$K761)</f>
        <v>2014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80,560원</v>
      </c>
      <c r="P761" s="17">
        <f aca="false">IF($B$10=0,"",IFERROR(IF($B$4&gt;0,IF($L761="",1/0,$L761*$B$4),0)+IF($B$5&gt;0,IF($M761="",1/0,$M761*$B$5),0)+IF($B$6&gt;0,IF($N761="",1/0,$N761*$B$6),0),""))</f>
        <v>80560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80560</v>
      </c>
      <c r="U761" s="17">
        <f aca="false">IF($T761="","",IF($B$10=0,"",$T761/$B$10))</f>
        <v>2014</v>
      </c>
      <c r="V761" s="17">
        <f aca="false">IF($P761="","",IF($B$10=0,"",$P761/$B$10))</f>
        <v>2014</v>
      </c>
      <c r="W761" s="19">
        <f aca="false">IF($T761="",1000000000000000,$T761)</f>
        <v>80560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IF($T762="","",1+COUNTIF($W$15:$W$884,"&lt;"&amp;W762))</f>
        <v>741</v>
      </c>
      <c r="B762" s="16" t="s">
        <v>8</v>
      </c>
      <c r="C762" s="16" t="s">
        <v>1523</v>
      </c>
      <c r="D762" s="16" t="s">
        <v>64</v>
      </c>
      <c r="E762" s="16" t="s">
        <v>26</v>
      </c>
      <c r="F762" s="16" t="s">
        <v>1524</v>
      </c>
      <c r="G762" s="17">
        <v>2014</v>
      </c>
      <c r="H762" s="17"/>
      <c r="I762" s="17"/>
      <c r="J762" s="17">
        <v>2014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2014</v>
      </c>
      <c r="M762" s="17">
        <f aca="false">IF($H762="","",$H762+$K762)</f>
        <v/>
      </c>
      <c r="N762" s="17">
        <f aca="false">IF($J762="","",$J762+$K762)</f>
        <v>2014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80,560원</v>
      </c>
      <c r="P762" s="17">
        <f aca="false">IF($B$10=0,"",IFERROR(IF($B$4&gt;0,IF($L762="",1/0,$L762*$B$4),0)+IF($B$5&gt;0,IF($M762="",1/0,$M762*$B$5),0)+IF($B$6&gt;0,IF($N762="",1/0,$N762*$B$6),0),""))</f>
        <v>80560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80560</v>
      </c>
      <c r="U762" s="17">
        <f aca="false">IF($T762="","",IF($B$10=0,"",$T762/$B$10))</f>
        <v>2014</v>
      </c>
      <c r="V762" s="17">
        <f aca="false">IF($P762="","",IF($B$10=0,"",$P762/$B$10))</f>
        <v>2014</v>
      </c>
      <c r="W762" s="19">
        <f aca="false">IF($T762="",1000000000000000,$T762)</f>
        <v>80560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IF($T763="","",1+COUNTIF($W$15:$W$884,"&lt;"&amp;W763))</f>
        <v>741</v>
      </c>
      <c r="B763" s="16" t="s">
        <v>8</v>
      </c>
      <c r="C763" s="16" t="s">
        <v>1525</v>
      </c>
      <c r="D763" s="16" t="s">
        <v>122</v>
      </c>
      <c r="E763" s="16" t="s">
        <v>26</v>
      </c>
      <c r="F763" s="16" t="s">
        <v>1526</v>
      </c>
      <c r="G763" s="17">
        <v>2014</v>
      </c>
      <c r="H763" s="17"/>
      <c r="I763" s="17"/>
      <c r="J763" s="17">
        <v>2014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2014</v>
      </c>
      <c r="M763" s="17">
        <f aca="false">IF($H763="","",$H763+$K763)</f>
        <v/>
      </c>
      <c r="N763" s="17">
        <f aca="false">IF($J763="","",$J763+$K763)</f>
        <v>2014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80,560원</v>
      </c>
      <c r="P763" s="17">
        <f aca="false">IF($B$10=0,"",IFERROR(IF($B$4&gt;0,IF($L763="",1/0,$L763*$B$4),0)+IF($B$5&gt;0,IF($M763="",1/0,$M763*$B$5),0)+IF($B$6&gt;0,IF($N763="",1/0,$N763*$B$6),0),""))</f>
        <v>80560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80560</v>
      </c>
      <c r="U763" s="17">
        <f aca="false">IF($T763="","",IF($B$10=0,"",$T763/$B$10))</f>
        <v>2014</v>
      </c>
      <c r="V763" s="17">
        <f aca="false">IF($P763="","",IF($B$10=0,"",$P763/$B$10))</f>
        <v>2014</v>
      </c>
      <c r="W763" s="19">
        <f aca="false">IF($T763="",1000000000000000,$T763)</f>
        <v>80560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IF($T764="","",1+COUNTIF($W$15:$W$884,"&lt;"&amp;W764))</f>
        <v>750</v>
      </c>
      <c r="B764" s="16" t="s">
        <v>10</v>
      </c>
      <c r="C764" s="16" t="s">
        <v>1527</v>
      </c>
      <c r="D764" s="16" t="s">
        <v>45</v>
      </c>
      <c r="E764" s="16" t="s">
        <v>26</v>
      </c>
      <c r="F764" s="16" t="s">
        <v>1528</v>
      </c>
      <c r="G764" s="17">
        <v>2015</v>
      </c>
      <c r="H764" s="17">
        <v>2380</v>
      </c>
      <c r="I764" s="17"/>
      <c r="J764" s="17">
        <v>1985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2015</v>
      </c>
      <c r="M764" s="17">
        <f aca="false">IF($H764="","",$H764+$K764)</f>
        <v>2380</v>
      </c>
      <c r="N764" s="17">
        <f aca="false">IF($J764="","",$J764+$K764)</f>
        <v>1985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80,600원</v>
      </c>
      <c r="P764" s="17">
        <f aca="false">IF($B$10=0,"",IFERROR(IF($B$4&gt;0,IF($L764="",1/0,$L764*$B$4),0)+IF($B$5&gt;0,IF($M764="",1/0,$M764*$B$5),0)+IF($B$6&gt;0,IF($N764="",1/0,$N764*$B$6),0),""))</f>
        <v>80600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80600</v>
      </c>
      <c r="U764" s="17">
        <f aca="false">IF($T764="","",IF($B$10=0,"",$T764/$B$10))</f>
        <v>2015</v>
      </c>
      <c r="V764" s="17">
        <f aca="false">IF($P764="","",IF($B$10=0,"",$P764/$B$10))</f>
        <v>2015</v>
      </c>
      <c r="W764" s="19">
        <f aca="false">IF($T764="",1000000000000000,$T764)</f>
        <v>80600</v>
      </c>
      <c r="XFB764" s="6"/>
      <c r="XFC764" s="3"/>
    </row>
    <row r="765" s="22" collapsed="false" customFormat="true" customHeight="true" hidden="false" ht="28.5" outlineLevel="0">
      <c r="A765" s="16">
        <f aca="false">IF($T765="","",1+COUNTIF($W$15:$W$884,"&lt;"&amp;W765))</f>
        <v>750</v>
      </c>
      <c r="B765" s="16" t="s">
        <v>16</v>
      </c>
      <c r="C765" s="16" t="s">
        <v>1529</v>
      </c>
      <c r="D765" s="16" t="s">
        <v>45</v>
      </c>
      <c r="E765" s="16" t="s">
        <v>26</v>
      </c>
      <c r="F765" s="16" t="s">
        <v>1530</v>
      </c>
      <c r="G765" s="17">
        <v>2015</v>
      </c>
      <c r="H765" s="17">
        <v>2385</v>
      </c>
      <c r="I765" s="17"/>
      <c r="J765" s="17">
        <v>2005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>2385</v>
      </c>
      <c r="N765" s="17">
        <f aca="false">IF($J765="","",$J765+$K765)</f>
        <v>2005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80,600원</v>
      </c>
      <c r="P765" s="17">
        <f aca="false">IF($B$10=0,"",IFERROR(IF($B$4&gt;0,IF($L765="",1/0,$L765*$B$4),0)+IF($B$5&gt;0,IF($M765="",1/0,$M765*$B$5),0)+IF($B$6&gt;0,IF($N765="",1/0,$N765*$B$6),0),""))</f>
        <v>80600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80600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80600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IF($T766="","",1+COUNTIF($W$15:$W$884,"&lt;"&amp;W766))</f>
        <v>750</v>
      </c>
      <c r="B766" s="16" t="s">
        <v>10</v>
      </c>
      <c r="C766" s="16" t="s">
        <v>1531</v>
      </c>
      <c r="D766" s="21" t="s">
        <v>57</v>
      </c>
      <c r="E766" s="16" t="s">
        <v>26</v>
      </c>
      <c r="F766" s="16" t="s">
        <v>1532</v>
      </c>
      <c r="G766" s="17">
        <v>2015</v>
      </c>
      <c r="H766" s="17">
        <v>2450</v>
      </c>
      <c r="I766" s="17"/>
      <c r="J766" s="17">
        <v>2015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>2450</v>
      </c>
      <c r="N766" s="17">
        <f aca="false">IF($J766="","",$J766+$K766)</f>
        <v>2015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80,600원</v>
      </c>
      <c r="P766" s="17">
        <f aca="false">IF($B$10=0,"",IFERROR(IF($B$4&gt;0,IF($L766="",1/0,$L766*$B$4),0)+IF($B$5&gt;0,IF($M766="",1/0,$M766*$B$5),0)+IF($B$6&gt;0,IF($N766="",1/0,$N766*$B$6),0),""))</f>
        <v>80600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80600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80600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IF($T767="","",1+COUNTIF($W$15:$W$884,"&lt;"&amp;W767))</f>
        <v>750</v>
      </c>
      <c r="B767" s="16" t="s">
        <v>12</v>
      </c>
      <c r="C767" s="16" t="s">
        <v>1533</v>
      </c>
      <c r="D767" s="21" t="s">
        <v>57</v>
      </c>
      <c r="E767" s="16" t="s">
        <v>26</v>
      </c>
      <c r="F767" s="16" t="s">
        <v>1534</v>
      </c>
      <c r="G767" s="17">
        <v>2015</v>
      </c>
      <c r="H767" s="17">
        <v>2458</v>
      </c>
      <c r="I767" s="17"/>
      <c r="J767" s="17">
        <v>1999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>2458</v>
      </c>
      <c r="N767" s="17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80,600원</v>
      </c>
      <c r="P767" s="17">
        <f aca="false">IF($B$10=0,"",IFERROR(IF($B$4&gt;0,IF($L767="",1/0,$L767*$B$4),0)+IF($B$5&gt;0,IF($M767="",1/0,$M767*$B$5),0)+IF($B$6&gt;0,IF($N767="",1/0,$N767*$B$6),0),""))</f>
        <v>80600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80600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80600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IF($T768="","",1+COUNTIF($W$15:$W$884,"&lt;"&amp;W768))</f>
        <v>750</v>
      </c>
      <c r="B768" s="16" t="s">
        <v>14</v>
      </c>
      <c r="C768" s="16" t="s">
        <v>107</v>
      </c>
      <c r="D768" s="21" t="s">
        <v>57</v>
      </c>
      <c r="E768" s="16" t="s">
        <v>51</v>
      </c>
      <c r="F768" s="16" t="s">
        <v>1535</v>
      </c>
      <c r="G768" s="17">
        <v>2015</v>
      </c>
      <c r="H768" s="17"/>
      <c r="I768" s="17"/>
      <c r="J768" s="17">
        <v>1995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/>
      </c>
      <c r="N768" s="17">
        <f aca="false">IF($J768="","",$J768+$K768)</f>
        <v>1995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80,600원</v>
      </c>
      <c r="P768" s="17">
        <f aca="false">IF($B$10=0,"",IFERROR(IF($B$4&gt;0,IF($L768="",1/0,$L768*$B$4),0)+IF($B$5&gt;0,IF($M768="",1/0,$M768*$B$5),0)+IF($B$6&gt;0,IF($N768="",1/0,$N768*$B$6),0),""))</f>
        <v>80600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80600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80600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IF($T769="","",1+COUNTIF($W$15:$W$884,"&lt;"&amp;W769))</f>
        <v>750</v>
      </c>
      <c r="B769" s="16" t="s">
        <v>12</v>
      </c>
      <c r="C769" s="16" t="s">
        <v>1536</v>
      </c>
      <c r="D769" s="21" t="s">
        <v>57</v>
      </c>
      <c r="E769" s="16" t="s">
        <v>26</v>
      </c>
      <c r="F769" s="16" t="s">
        <v>1537</v>
      </c>
      <c r="G769" s="17">
        <v>2015</v>
      </c>
      <c r="H769" s="17"/>
      <c r="I769" s="17"/>
      <c r="J769" s="17">
        <v>1995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/>
      </c>
      <c r="N769" s="17">
        <f aca="false">IF($J769="","",$J769+$K769)</f>
        <v>1995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80,600원</v>
      </c>
      <c r="P769" s="17">
        <f aca="false">IF($B$10=0,"",IFERROR(IF($B$4&gt;0,IF($L769="",1/0,$L769*$B$4),0)+IF($B$5&gt;0,IF($M769="",1/0,$M769*$B$5),0)+IF($B$6&gt;0,IF($N769="",1/0,$N769*$B$6),0),""))</f>
        <v>80600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80600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80600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IF($T770="","",1+COUNTIF($W$15:$W$884,"&lt;"&amp;W770))</f>
        <v>750</v>
      </c>
      <c r="B770" s="16" t="s">
        <v>16</v>
      </c>
      <c r="C770" s="16" t="s">
        <v>1538</v>
      </c>
      <c r="D770" s="20" t="s">
        <v>54</v>
      </c>
      <c r="E770" s="16" t="s">
        <v>26</v>
      </c>
      <c r="F770" s="16" t="s">
        <v>1539</v>
      </c>
      <c r="G770" s="17">
        <v>2015</v>
      </c>
      <c r="H770" s="17"/>
      <c r="I770" s="17"/>
      <c r="J770" s="17">
        <v>2005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2015</v>
      </c>
      <c r="M770" s="17">
        <f aca="false">IF($H770="","",$H770+$K770)</f>
        <v/>
      </c>
      <c r="N770" s="17">
        <f aca="false">IF($J770="","",$J770+$K770)</f>
        <v>2005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80,600원</v>
      </c>
      <c r="P770" s="17">
        <f aca="false">IF($B$10=0,"",IFERROR(IF($B$4&gt;0,IF($L770="",1/0,$L770*$B$4),0)+IF($B$5&gt;0,IF($M770="",1/0,$M770*$B$5),0)+IF($B$6&gt;0,IF($N770="",1/0,$N770*$B$6),0),""))</f>
        <v>80600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80600</v>
      </c>
      <c r="U770" s="17">
        <f aca="false">IF($T770="","",IF($B$10=0,"",$T770/$B$10))</f>
        <v>2015</v>
      </c>
      <c r="V770" s="17">
        <f aca="false">IF($P770="","",IF($B$10=0,"",$P770/$B$10))</f>
        <v>2015</v>
      </c>
      <c r="W770" s="19">
        <f aca="false">IF($T770="",1000000000000000,$T770)</f>
        <v>80600</v>
      </c>
      <c r="XFB770" s="6"/>
      <c r="XFC770" s="3"/>
    </row>
    <row r="771" s="6" collapsed="false" customFormat="true" customHeight="true" hidden="false" ht="28.5" outlineLevel="0">
      <c r="A771" s="16">
        <f aca="false">IF($T771="","",1+COUNTIF($W$15:$W$884,"&lt;"&amp;W771))</f>
        <v>757</v>
      </c>
      <c r="B771" s="16" t="s">
        <v>12</v>
      </c>
      <c r="C771" s="16" t="s">
        <v>1540</v>
      </c>
      <c r="D771" s="21" t="s">
        <v>57</v>
      </c>
      <c r="E771" s="16" t="s">
        <v>51</v>
      </c>
      <c r="F771" s="16" t="s">
        <v>1541</v>
      </c>
      <c r="G771" s="17">
        <v>2017</v>
      </c>
      <c r="H771" s="17"/>
      <c r="I771" s="17"/>
      <c r="J771" s="17">
        <v>2017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2017</v>
      </c>
      <c r="M771" s="17">
        <f aca="false">IF($H771="","",$H771+$K771)</f>
        <v/>
      </c>
      <c r="N771" s="17">
        <f aca="false">IF($J771="","",$J771+$K771)</f>
        <v>2017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80,680원</v>
      </c>
      <c r="P771" s="17">
        <f aca="false">IF($B$10=0,"",IFERROR(IF($B$4&gt;0,IF($L771="",1/0,$L771*$B$4),0)+IF($B$5&gt;0,IF($M771="",1/0,$M771*$B$5),0)+IF($B$6&gt;0,IF($N771="",1/0,$N771*$B$6),0),""))</f>
        <v>80680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80680</v>
      </c>
      <c r="U771" s="17">
        <f aca="false">IF($T771="","",IF($B$10=0,"",$T771/$B$10))</f>
        <v>2017</v>
      </c>
      <c r="V771" s="17">
        <f aca="false">IF($P771="","",IF($B$10=0,"",$P771/$B$10))</f>
        <v>2017</v>
      </c>
      <c r="W771" s="19">
        <f aca="false">IF($T771="",1000000000000000,$T771)</f>
        <v>80680</v>
      </c>
      <c r="XFC771" s="3"/>
    </row>
    <row r="772" s="22" collapsed="false" customFormat="true" customHeight="true" hidden="false" ht="28.5" outlineLevel="0">
      <c r="A772" s="16">
        <f aca="false">IF($T772="","",1+COUNTIF($W$15:$W$884,"&lt;"&amp;W772))</f>
        <v>758</v>
      </c>
      <c r="B772" s="16" t="s">
        <v>12</v>
      </c>
      <c r="C772" s="16" t="s">
        <v>1542</v>
      </c>
      <c r="D772" s="20" t="s">
        <v>54</v>
      </c>
      <c r="E772" s="16" t="s">
        <v>51</v>
      </c>
      <c r="F772" s="16" t="s">
        <v>1543</v>
      </c>
      <c r="G772" s="17">
        <v>2018</v>
      </c>
      <c r="H772" s="17">
        <v>2438</v>
      </c>
      <c r="I772" s="17"/>
      <c r="J772" s="17">
        <v>2019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2018</v>
      </c>
      <c r="M772" s="17">
        <f aca="false">IF($H772="","",$H772+$K772)</f>
        <v>2438</v>
      </c>
      <c r="N772" s="17">
        <f aca="false">IF($J772="","",$J772+$K772)</f>
        <v>2019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80,720원</v>
      </c>
      <c r="P772" s="17">
        <f aca="false">IF($B$10=0,"",IFERROR(IF($B$4&gt;0,IF($L772="",1/0,$L772*$B$4),0)+IF($B$5&gt;0,IF($M772="",1/0,$M772*$B$5),0)+IF($B$6&gt;0,IF($N772="",1/0,$N772*$B$6),0),""))</f>
        <v>80720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80720</v>
      </c>
      <c r="U772" s="17">
        <f aca="false">IF($T772="","",IF($B$10=0,"",$T772/$B$10))</f>
        <v>2018</v>
      </c>
      <c r="V772" s="17">
        <f aca="false">IF($P772="","",IF($B$10=0,"",$P772/$B$10))</f>
        <v>2018</v>
      </c>
      <c r="W772" s="19">
        <f aca="false">IF($T772="",1000000000000000,$T772)</f>
        <v>80720</v>
      </c>
      <c r="XFB772" s="6"/>
      <c r="XFC772" s="3"/>
    </row>
    <row r="773" s="22" collapsed="false" customFormat="true" customHeight="true" hidden="false" ht="28.5" outlineLevel="0">
      <c r="A773" s="16">
        <f aca="false">IF($T773="","",1+COUNTIF($W$15:$W$884,"&lt;"&amp;W773))</f>
        <v>758</v>
      </c>
      <c r="B773" s="16" t="s">
        <v>10</v>
      </c>
      <c r="C773" s="16" t="s">
        <v>1544</v>
      </c>
      <c r="D773" s="21" t="s">
        <v>57</v>
      </c>
      <c r="E773" s="16" t="s">
        <v>51</v>
      </c>
      <c r="F773" s="16" t="s">
        <v>1545</v>
      </c>
      <c r="G773" s="17">
        <v>2018</v>
      </c>
      <c r="H773" s="17">
        <v>2449</v>
      </c>
      <c r="I773" s="17"/>
      <c r="J773" s="17">
        <v>1998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>2449</v>
      </c>
      <c r="N773" s="17">
        <f aca="false">IF($J773="","",$J773+$K773)</f>
        <v>1998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80,720원</v>
      </c>
      <c r="P773" s="17">
        <f aca="false">IF($B$10=0,"",IFERROR(IF($B$4&gt;0,IF($L773="",1/0,$L773*$B$4),0)+IF($B$5&gt;0,IF($M773="",1/0,$M773*$B$5),0)+IF($B$6&gt;0,IF($N773="",1/0,$N773*$B$6),0),""))</f>
        <v>80720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80720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80720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IF($T774="","",1+COUNTIF($W$15:$W$884,"&lt;"&amp;W774))</f>
        <v>758</v>
      </c>
      <c r="B774" s="16" t="s">
        <v>8</v>
      </c>
      <c r="C774" s="16" t="s">
        <v>1546</v>
      </c>
      <c r="D774" s="16" t="s">
        <v>64</v>
      </c>
      <c r="E774" s="16" t="s">
        <v>26</v>
      </c>
      <c r="F774" s="16" t="s">
        <v>1547</v>
      </c>
      <c r="G774" s="17">
        <v>2018</v>
      </c>
      <c r="H774" s="17">
        <v>2499</v>
      </c>
      <c r="I774" s="17"/>
      <c r="J774" s="17">
        <v>2018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>2499</v>
      </c>
      <c r="N774" s="17">
        <f aca="false">IF($J774="","",$J774+$K774)</f>
        <v>2018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80,720원</v>
      </c>
      <c r="P774" s="17">
        <f aca="false">IF($B$10=0,"",IFERROR(IF($B$4&gt;0,IF($L774="",1/0,$L774*$B$4),0)+IF($B$5&gt;0,IF($M774="",1/0,$M774*$B$5),0)+IF($B$6&gt;0,IF($N774="",1/0,$N774*$B$6),0),""))</f>
        <v>80720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80720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80720</v>
      </c>
      <c r="XFB774" s="6"/>
      <c r="XFC774" s="3"/>
    </row>
    <row r="775" s="6" collapsed="false" customFormat="true" customHeight="true" hidden="false" ht="28.5" outlineLevel="0">
      <c r="A775" s="16">
        <f aca="false">IF($T775="","",1+COUNTIF($W$15:$W$884,"&lt;"&amp;W775))</f>
        <v>758</v>
      </c>
      <c r="B775" s="16" t="s">
        <v>10</v>
      </c>
      <c r="C775" s="16" t="s">
        <v>1548</v>
      </c>
      <c r="D775" s="21" t="s">
        <v>57</v>
      </c>
      <c r="E775" s="16" t="s">
        <v>26</v>
      </c>
      <c r="F775" s="16" t="s">
        <v>1549</v>
      </c>
      <c r="G775" s="17">
        <v>2018</v>
      </c>
      <c r="H775" s="17"/>
      <c r="I775" s="17"/>
      <c r="J775" s="17">
        <v>1998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/>
      </c>
      <c r="N775" s="17">
        <f aca="false">IF($J775="","",$J775+$K775)</f>
        <v>1998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80,720원</v>
      </c>
      <c r="P775" s="17">
        <f aca="false">IF($B$10=0,"",IFERROR(IF($B$4&gt;0,IF($L775="",1/0,$L775*$B$4),0)+IF($B$5&gt;0,IF($M775="",1/0,$M775*$B$5),0)+IF($B$6&gt;0,IF($N775="",1/0,$N775*$B$6),0),""))</f>
        <v>80720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80720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80720</v>
      </c>
      <c r="XFC775" s="3"/>
    </row>
    <row r="776" s="5" collapsed="false" customFormat="true" customHeight="true" hidden="false" ht="28.5" outlineLevel="0">
      <c r="A776" s="16">
        <f aca="false">IF($T776="","",1+COUNTIF($W$15:$W$884,"&lt;"&amp;W776))</f>
        <v>758</v>
      </c>
      <c r="B776" s="16" t="s">
        <v>10</v>
      </c>
      <c r="C776" s="16" t="s">
        <v>1550</v>
      </c>
      <c r="D776" s="16" t="s">
        <v>45</v>
      </c>
      <c r="E776" s="16" t="s">
        <v>51</v>
      </c>
      <c r="F776" s="16" t="s">
        <v>1551</v>
      </c>
      <c r="G776" s="17">
        <v>2018</v>
      </c>
      <c r="H776" s="17"/>
      <c r="I776" s="17"/>
      <c r="J776" s="17">
        <v>1998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/>
      </c>
      <c r="N776" s="17">
        <f aca="false">IF($J776="","",$J776+$K776)</f>
        <v>1998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IF($T777="","",1+COUNTIF($W$15:$W$884,"&lt;"&amp;W777))</f>
        <v>758</v>
      </c>
      <c r="B777" s="16" t="s">
        <v>8</v>
      </c>
      <c r="C777" s="16" t="s">
        <v>1554</v>
      </c>
      <c r="D777" s="16" t="s">
        <v>64</v>
      </c>
      <c r="E777" s="16" t="s">
        <v>26</v>
      </c>
      <c r="F777" s="16" t="s">
        <v>1555</v>
      </c>
      <c r="G777" s="17">
        <v>2018</v>
      </c>
      <c r="H777" s="17"/>
      <c r="I777" s="17"/>
      <c r="J777" s="17">
        <v>2018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2018</v>
      </c>
      <c r="M777" s="17">
        <f aca="false">IF($H777="","",$H777+$K777)</f>
        <v/>
      </c>
      <c r="N777" s="17">
        <f aca="false">IF($J777="","",$J777+$K777)</f>
        <v>2018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80,720원</v>
      </c>
      <c r="P777" s="17">
        <f aca="false">IF($B$10=0,"",IFERROR(IF($B$4&gt;0,IF($L777="",1/0,$L777*$B$4),0)+IF($B$5&gt;0,IF($M777="",1/0,$M777*$B$5),0)+IF($B$6&gt;0,IF($N777="",1/0,$N777*$B$6),0),""))</f>
        <v>80720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80720</v>
      </c>
      <c r="U777" s="17">
        <f aca="false">IF($T777="","",IF($B$10=0,"",$T777/$B$10))</f>
        <v>2018</v>
      </c>
      <c r="V777" s="17">
        <f aca="false">IF($P777="","",IF($B$10=0,"",$P777/$B$10))</f>
        <v>2018</v>
      </c>
      <c r="W777" s="19">
        <f aca="false">IF($T777="",1000000000000000,$T777)</f>
        <v>80720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IF($T778="","",1+COUNTIF($W$15:$W$884,"&lt;"&amp;W778))</f>
        <v>758</v>
      </c>
      <c r="B778" s="16" t="s">
        <v>12</v>
      </c>
      <c r="C778" s="16" t="s">
        <v>1556</v>
      </c>
      <c r="D778" s="20" t="s">
        <v>54</v>
      </c>
      <c r="E778" s="16" t="s">
        <v>51</v>
      </c>
      <c r="F778" s="16" t="s">
        <v>1557</v>
      </c>
      <c r="G778" s="17">
        <v>2018</v>
      </c>
      <c r="H778" s="17"/>
      <c r="I778" s="17"/>
      <c r="J778" s="17">
        <v>2018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2018</v>
      </c>
      <c r="M778" s="17">
        <f aca="false">IF($H778="","",$H778+$K778)</f>
        <v/>
      </c>
      <c r="N778" s="17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80,720원</v>
      </c>
      <c r="P778" s="17">
        <f aca="false">IF($B$10=0,"",IFERROR(IF($B$4&gt;0,IF($L778="",1/0,$L778*$B$4),0)+IF($B$5&gt;0,IF($M778="",1/0,$M778*$B$5),0)+IF($B$6&gt;0,IF($N778="",1/0,$N778*$B$6),0),""))</f>
        <v>80720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80720</v>
      </c>
      <c r="U778" s="17">
        <f aca="false">IF($T778="","",IF($B$10=0,"",$T778/$B$10))</f>
        <v>2018</v>
      </c>
      <c r="V778" s="17">
        <f aca="false">IF($P778="","",IF($B$10=0,"",$P778/$B$10))</f>
        <v>2018</v>
      </c>
      <c r="W778" s="19">
        <f aca="false">IF($T778="",1000000000000000,$T778)</f>
        <v>80720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IF($T779="","",1+COUNTIF($W$15:$W$884,"&lt;"&amp;W779))</f>
        <v>765</v>
      </c>
      <c r="B779" s="16" t="s">
        <v>10</v>
      </c>
      <c r="C779" s="16" t="s">
        <v>1560</v>
      </c>
      <c r="D779" s="20" t="s">
        <v>54</v>
      </c>
      <c r="E779" s="16" t="s">
        <v>26</v>
      </c>
      <c r="F779" s="16" t="s">
        <v>1561</v>
      </c>
      <c r="G779" s="17">
        <v>2019</v>
      </c>
      <c r="H779" s="17">
        <v>2499</v>
      </c>
      <c r="I779" s="17"/>
      <c r="J779" s="17">
        <v>1999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2019</v>
      </c>
      <c r="M779" s="17">
        <f aca="false">IF($H779="","",$H779+$K779)</f>
        <v>2499</v>
      </c>
      <c r="N779" s="17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80,760원</v>
      </c>
      <c r="P779" s="17">
        <f aca="false">IF($B$10=0,"",IFERROR(IF($B$4&gt;0,IF($L779="",1/0,$L779*$B$4),0)+IF($B$5&gt;0,IF($M779="",1/0,$M779*$B$5),0)+IF($B$6&gt;0,IF($N779="",1/0,$N779*$B$6),0),""))</f>
        <v>80760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80760</v>
      </c>
      <c r="U779" s="17">
        <f aca="false">IF($T779="","",IF($B$10=0,"",$T779/$B$10))</f>
        <v>2019</v>
      </c>
      <c r="V779" s="17">
        <f aca="false">IF($P779="","",IF($B$10=0,"",$P779/$B$10))</f>
        <v>2019</v>
      </c>
      <c r="W779" s="19">
        <f aca="false">IF($T779="",1000000000000000,$T779)</f>
        <v>80760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IF($T780="","",1+COUNTIF($W$15:$W$884,"&lt;"&amp;W780))</f>
        <v>765</v>
      </c>
      <c r="B780" s="16" t="s">
        <v>10</v>
      </c>
      <c r="C780" s="16" t="s">
        <v>1562</v>
      </c>
      <c r="D780" s="16" t="s">
        <v>54</v>
      </c>
      <c r="E780" s="16" t="s">
        <v>26</v>
      </c>
      <c r="F780" s="16" t="s">
        <v>1563</v>
      </c>
      <c r="G780" s="17">
        <v>2019</v>
      </c>
      <c r="H780" s="17">
        <v>2550</v>
      </c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2019</v>
      </c>
      <c r="M780" s="17">
        <f aca="false">IF($H780="","",$H780+$K780)</f>
        <v>2550</v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80,760원</v>
      </c>
      <c r="P780" s="17">
        <f aca="false">IF($B$10=0,"",IFERROR(IF($B$4&gt;0,IF($L780="",1/0,$L780*$B$4),0)+IF($B$5&gt;0,IF($M780="",1/0,$M780*$B$5),0)+IF($B$6&gt;0,IF($N780="",1/0,$N780*$B$6),0),""))</f>
        <v>80760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80760</v>
      </c>
      <c r="U780" s="17">
        <f aca="false">IF($T780="","",IF($B$10=0,"",$T780/$B$10))</f>
        <v>2019</v>
      </c>
      <c r="V780" s="17">
        <f aca="false">IF($P780="","",IF($B$10=0,"",$P780/$B$10))</f>
        <v>2019</v>
      </c>
      <c r="W780" s="19">
        <f aca="false">IF($T780="",1000000000000000,$T780)</f>
        <v>80760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IF($T781="","",1+COUNTIF($W$15:$W$884,"&lt;"&amp;W781))</f>
        <v>765</v>
      </c>
      <c r="B781" s="16" t="s">
        <v>14</v>
      </c>
      <c r="C781" s="16" t="s">
        <v>1564</v>
      </c>
      <c r="D781" s="16" t="s">
        <v>176</v>
      </c>
      <c r="E781" s="16" t="s">
        <v>51</v>
      </c>
      <c r="F781" s="16" t="s">
        <v>1565</v>
      </c>
      <c r="G781" s="17">
        <v>2019</v>
      </c>
      <c r="H781" s="17"/>
      <c r="I781" s="17"/>
      <c r="J781" s="17">
        <v>2009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2019</v>
      </c>
      <c r="M781" s="17">
        <f aca="false">IF($H781="","",$H781+$K781)</f>
        <v/>
      </c>
      <c r="N781" s="17">
        <f aca="false">IF($J781="","",$J781+$K781)</f>
        <v>2009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80,760원</v>
      </c>
      <c r="P781" s="17">
        <f aca="false">IF($B$10=0,"",IFERROR(IF($B$4&gt;0,IF($L781="",1/0,$L781*$B$4),0)+IF($B$5&gt;0,IF($M781="",1/0,$M781*$B$5),0)+IF($B$6&gt;0,IF($N781="",1/0,$N781*$B$6),0),""))</f>
        <v>80760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80760</v>
      </c>
      <c r="U781" s="17">
        <f aca="false">IF($T781="","",IF($B$10=0,"",$T781/$B$10))</f>
        <v>2019</v>
      </c>
      <c r="V781" s="17">
        <f aca="false">IF($P781="","",IF($B$10=0,"",$P781/$B$10))</f>
        <v>2019</v>
      </c>
      <c r="W781" s="19">
        <f aca="false">IF($T781="",1000000000000000,$T781)</f>
        <v>80760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IF($T782="","",1+COUNTIF($W$15:$W$884,"&lt;"&amp;W782))</f>
        <v>765</v>
      </c>
      <c r="B782" s="16" t="s">
        <v>10</v>
      </c>
      <c r="C782" s="16" t="s">
        <v>1566</v>
      </c>
      <c r="D782" s="20" t="s">
        <v>54</v>
      </c>
      <c r="E782" s="16" t="s">
        <v>51</v>
      </c>
      <c r="F782" s="16" t="s">
        <v>1567</v>
      </c>
      <c r="G782" s="17">
        <v>2019</v>
      </c>
      <c r="H782" s="17"/>
      <c r="I782" s="17"/>
      <c r="J782" s="17">
        <v>2018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/>
      </c>
      <c r="N782" s="17">
        <f aca="false">IF($J782="","",$J782+$K782)</f>
        <v>2018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80,760원</v>
      </c>
      <c r="P782" s="17">
        <f aca="false">IF($B$10=0,"",IFERROR(IF($B$4&gt;0,IF($L782="",1/0,$L782*$B$4),0)+IF($B$5&gt;0,IF($M782="",1/0,$M782*$B$5),0)+IF($B$6&gt;0,IF($N782="",1/0,$N782*$B$6),0),""))</f>
        <v>80760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80760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80760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IF($T783="","",1+COUNTIF($W$15:$W$884,"&lt;"&amp;W783))</f>
        <v>765</v>
      </c>
      <c r="B783" s="16" t="s">
        <v>6</v>
      </c>
      <c r="C783" s="16" t="s">
        <v>1568</v>
      </c>
      <c r="D783" s="16" t="s">
        <v>64</v>
      </c>
      <c r="E783" s="16" t="s">
        <v>51</v>
      </c>
      <c r="F783" s="16" t="s">
        <v>1569</v>
      </c>
      <c r="G783" s="17">
        <v>2019</v>
      </c>
      <c r="H783" s="17"/>
      <c r="I783" s="17"/>
      <c r="J783" s="17">
        <v>2019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/>
      </c>
      <c r="N783" s="17">
        <f aca="false">IF($J783="","",$J783+$K783)</f>
        <v>2019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80,760원</v>
      </c>
      <c r="P783" s="17">
        <f aca="false">IF($B$10=0,"",IFERROR(IF($B$4&gt;0,IF($L783="",1/0,$L783*$B$4),0)+IF($B$5&gt;0,IF($M783="",1/0,$M783*$B$5),0)+IF($B$6&gt;0,IF($N783="",1/0,$N783*$B$6),0),""))</f>
        <v>80760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80760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80760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IF($T784="","",1+COUNTIF($W$15:$W$884,"&lt;"&amp;W784))</f>
        <v>765</v>
      </c>
      <c r="B784" s="16" t="s">
        <v>16</v>
      </c>
      <c r="C784" s="16" t="s">
        <v>1431</v>
      </c>
      <c r="D784" s="16" t="s">
        <v>64</v>
      </c>
      <c r="E784" s="16" t="s">
        <v>51</v>
      </c>
      <c r="F784" s="16" t="s">
        <v>1432</v>
      </c>
      <c r="G784" s="17">
        <v>2019</v>
      </c>
      <c r="H784" s="17"/>
      <c r="I784" s="17"/>
      <c r="J784" s="17">
        <v>2019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/>
      </c>
      <c r="N784" s="17">
        <f aca="false">IF($J784="","",$J784+$K784)</f>
        <v>2019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IF($T785="","",1+COUNTIF($W$15:$W$884,"&lt;"&amp;W785))</f>
        <v>765</v>
      </c>
      <c r="B785" s="16" t="s">
        <v>6</v>
      </c>
      <c r="C785" s="16" t="s">
        <v>1570</v>
      </c>
      <c r="D785" s="20" t="s">
        <v>54</v>
      </c>
      <c r="E785" s="16" t="s">
        <v>26</v>
      </c>
      <c r="F785" s="16" t="s">
        <v>1571</v>
      </c>
      <c r="G785" s="17">
        <v>2019</v>
      </c>
      <c r="H785" s="17"/>
      <c r="I785" s="17"/>
      <c r="J785" s="17">
        <v>2029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/>
      </c>
      <c r="N785" s="17">
        <f aca="false">IF($J785="","",$J785+$K785)</f>
        <v>2029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C785" s="3"/>
    </row>
    <row r="786" s="22" collapsed="false" customFormat="true" customHeight="true" hidden="false" ht="28.5" outlineLevel="0">
      <c r="A786" s="16">
        <f aca="false">IF($T786="","",1+COUNTIF($W$15:$W$884,"&lt;"&amp;W786))</f>
        <v>765</v>
      </c>
      <c r="B786" s="16" t="s">
        <v>14</v>
      </c>
      <c r="C786" s="16" t="s">
        <v>1572</v>
      </c>
      <c r="D786" s="16" t="s">
        <v>64</v>
      </c>
      <c r="E786" s="16" t="s">
        <v>26</v>
      </c>
      <c r="F786" s="16" t="s">
        <v>1573</v>
      </c>
      <c r="G786" s="17">
        <v>2019</v>
      </c>
      <c r="H786" s="17"/>
      <c r="I786" s="17"/>
      <c r="J786" s="17">
        <v>2039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2019</v>
      </c>
      <c r="M786" s="17">
        <f aca="false">IF($H786="","",$H786+$K786)</f>
        <v/>
      </c>
      <c r="N786" s="17">
        <f aca="false">IF($J786="","",$J786+$K786)</f>
        <v>2039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80,760원</v>
      </c>
      <c r="P786" s="17">
        <f aca="false">IF($B$10=0,"",IFERROR(IF($B$4&gt;0,IF($L786="",1/0,$L786*$B$4),0)+IF($B$5&gt;0,IF($M786="",1/0,$M786*$B$5),0)+IF($B$6&gt;0,IF($N786="",1/0,$N786*$B$6),0),""))</f>
        <v>80760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80760</v>
      </c>
      <c r="U786" s="17">
        <f aca="false">IF($T786="","",IF($B$10=0,"",$T786/$B$10))</f>
        <v>2019</v>
      </c>
      <c r="V786" s="17">
        <f aca="false">IF($P786="","",IF($B$10=0,"",$P786/$B$10))</f>
        <v>2019</v>
      </c>
      <c r="W786" s="19">
        <f aca="false">IF($T786="",1000000000000000,$T786)</f>
        <v>80760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IF($T787="","",1+COUNTIF($W$15:$W$884,"&lt;"&amp;W787))</f>
        <v>773</v>
      </c>
      <c r="B787" s="16" t="s">
        <v>16</v>
      </c>
      <c r="C787" s="16" t="s">
        <v>1574</v>
      </c>
      <c r="D787" s="16" t="s">
        <v>64</v>
      </c>
      <c r="E787" s="16" t="s">
        <v>26</v>
      </c>
      <c r="F787" s="16" t="s">
        <v>1575</v>
      </c>
      <c r="G787" s="17">
        <v>2020</v>
      </c>
      <c r="H787" s="17"/>
      <c r="I787" s="17"/>
      <c r="J787" s="17">
        <v>2010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2020</v>
      </c>
      <c r="M787" s="17">
        <f aca="false">IF($H787="","",$H787+$K787)</f>
        <v/>
      </c>
      <c r="N787" s="17">
        <f aca="false">IF($J787="","",$J787+$K787)</f>
        <v>2010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80,800원</v>
      </c>
      <c r="P787" s="17">
        <f aca="false">IF($B$10=0,"",IFERROR(IF($B$4&gt;0,IF($L787="",1/0,$L787*$B$4),0)+IF($B$5&gt;0,IF($M787="",1/0,$M787*$B$5),0)+IF($B$6&gt;0,IF($N787="",1/0,$N787*$B$6),0),""))</f>
        <v>80800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80800</v>
      </c>
      <c r="U787" s="17">
        <f aca="false">IF($T787="","",IF($B$10=0,"",$T787/$B$10))</f>
        <v>2020</v>
      </c>
      <c r="V787" s="17">
        <f aca="false">IF($P787="","",IF($B$10=0,"",$P787/$B$10))</f>
        <v>2020</v>
      </c>
      <c r="W787" s="19">
        <f aca="false">IF($T787="",1000000000000000,$T787)</f>
        <v>80800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IF($T788="","",1+COUNTIF($W$15:$W$884,"&lt;"&amp;W788))</f>
        <v>773</v>
      </c>
      <c r="B788" s="16" t="s">
        <v>16</v>
      </c>
      <c r="C788" s="16" t="s">
        <v>1578</v>
      </c>
      <c r="D788" s="16" t="s">
        <v>64</v>
      </c>
      <c r="E788" s="16" t="s">
        <v>26</v>
      </c>
      <c r="F788" s="16" t="s">
        <v>1579</v>
      </c>
      <c r="G788" s="17">
        <v>2020</v>
      </c>
      <c r="H788" s="17"/>
      <c r="I788" s="17"/>
      <c r="J788" s="17">
        <v>2020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2020</v>
      </c>
      <c r="M788" s="17">
        <f aca="false">IF($H788="","",$H788+$K788)</f>
        <v/>
      </c>
      <c r="N788" s="17">
        <f aca="false">IF($J788="","",$J788+$K788)</f>
        <v>2020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80,800원</v>
      </c>
      <c r="P788" s="17">
        <f aca="false">IF($B$10=0,"",IFERROR(IF($B$4&gt;0,IF($L788="",1/0,$L788*$B$4),0)+IF($B$5&gt;0,IF($M788="",1/0,$M788*$B$5),0)+IF($B$6&gt;0,IF($N788="",1/0,$N788*$B$6),0),""))</f>
        <v>80800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80800</v>
      </c>
      <c r="U788" s="17">
        <f aca="false">IF($T788="","",IF($B$10=0,"",$T788/$B$10))</f>
        <v>2020</v>
      </c>
      <c r="V788" s="17">
        <f aca="false">IF($P788="","",IF($B$10=0,"",$P788/$B$10))</f>
        <v>2020</v>
      </c>
      <c r="W788" s="19">
        <f aca="false">IF($T788="",1000000000000000,$T788)</f>
        <v>80800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IF($T789="","",1+COUNTIF($W$15:$W$884,"&lt;"&amp;W789))</f>
        <v>773</v>
      </c>
      <c r="B789" s="16" t="s">
        <v>10</v>
      </c>
      <c r="C789" s="16" t="s">
        <v>1576</v>
      </c>
      <c r="D789" s="20" t="s">
        <v>54</v>
      </c>
      <c r="E789" s="16" t="s">
        <v>51</v>
      </c>
      <c r="F789" s="16" t="s">
        <v>1577</v>
      </c>
      <c r="G789" s="17">
        <v>2020</v>
      </c>
      <c r="H789" s="17"/>
      <c r="I789" s="17"/>
      <c r="J789" s="17">
        <v>2040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2020</v>
      </c>
      <c r="M789" s="17">
        <f aca="false">IF($H789="","",$H789+$K789)</f>
        <v/>
      </c>
      <c r="N789" s="17">
        <f aca="false">IF($J789="","",$J789+$K789)</f>
        <v>2040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80,800원</v>
      </c>
      <c r="P789" s="17">
        <f aca="false">IF($B$10=0,"",IFERROR(IF($B$4&gt;0,IF($L789="",1/0,$L789*$B$4),0)+IF($B$5&gt;0,IF($M789="",1/0,$M789*$B$5),0)+IF($B$6&gt;0,IF($N789="",1/0,$N789*$B$6),0),""))</f>
        <v>80800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80800</v>
      </c>
      <c r="U789" s="17">
        <f aca="false">IF($T789="","",IF($B$10=0,"",$T789/$B$10))</f>
        <v>2020</v>
      </c>
      <c r="V789" s="17">
        <f aca="false">IF($P789="","",IF($B$10=0,"",$P789/$B$10))</f>
        <v>2020</v>
      </c>
      <c r="W789" s="19">
        <f aca="false">IF($T789="",1000000000000000,$T789)</f>
        <v>80800</v>
      </c>
      <c r="XFC789" s="3"/>
    </row>
    <row r="790" s="5" collapsed="false" customFormat="true" customHeight="true" hidden="false" ht="28.5" outlineLevel="0">
      <c r="A790" s="16">
        <f aca="false">IF($T790="","",1+COUNTIF($W$15:$W$884,"&lt;"&amp;W790))</f>
        <v>776</v>
      </c>
      <c r="B790" s="16" t="s">
        <v>6</v>
      </c>
      <c r="C790" s="16" t="s">
        <v>1580</v>
      </c>
      <c r="D790" s="20" t="s">
        <v>54</v>
      </c>
      <c r="E790" s="16" t="s">
        <v>26</v>
      </c>
      <c r="F790" s="16" t="s">
        <v>1581</v>
      </c>
      <c r="G790" s="17">
        <v>2023</v>
      </c>
      <c r="H790" s="17">
        <v>2438</v>
      </c>
      <c r="I790" s="17"/>
      <c r="J790" s="17">
        <v>2019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2023</v>
      </c>
      <c r="M790" s="17">
        <f aca="false">IF($H790="","",$H790+$K790)</f>
        <v>2438</v>
      </c>
      <c r="N790" s="17">
        <f aca="false">IF($J790="","",$J790+$K790)</f>
        <v>2019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80,920원</v>
      </c>
      <c r="P790" s="17">
        <f aca="false">IF($B$10=0,"",IFERROR(IF($B$4&gt;0,IF($L790="",1/0,$L790*$B$4),0)+IF($B$5&gt;0,IF($M790="",1/0,$M790*$B$5),0)+IF($B$6&gt;0,IF($N790="",1/0,$N790*$B$6),0),""))</f>
        <v>80920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80920</v>
      </c>
      <c r="U790" s="17">
        <f aca="false">IF($T790="","",IF($B$10=0,"",$T790/$B$10))</f>
        <v>2023</v>
      </c>
      <c r="V790" s="17">
        <f aca="false">IF($P790="","",IF($B$10=0,"",$P790/$B$10))</f>
        <v>2023</v>
      </c>
      <c r="W790" s="19">
        <f aca="false">IF($T790="",1000000000000000,$T790)</f>
        <v>80920</v>
      </c>
      <c r="XFB790" s="6"/>
      <c r="XFC790" s="3"/>
    </row>
    <row r="791" s="22" collapsed="false" customFormat="true" customHeight="true" hidden="false" ht="28.5" outlineLevel="0">
      <c r="A791" s="16">
        <f aca="false">IF($T791="","",1+COUNTIF($W$15:$W$884,"&lt;"&amp;W791))</f>
        <v>777</v>
      </c>
      <c r="B791" s="16" t="s">
        <v>10</v>
      </c>
      <c r="C791" s="16" t="s">
        <v>1582</v>
      </c>
      <c r="D791" s="20" t="s">
        <v>54</v>
      </c>
      <c r="E791" s="16" t="s">
        <v>26</v>
      </c>
      <c r="F791" s="16" t="s">
        <v>1583</v>
      </c>
      <c r="G791" s="17">
        <v>2025</v>
      </c>
      <c r="H791" s="17">
        <v>2435</v>
      </c>
      <c r="I791" s="17"/>
      <c r="J791" s="17">
        <v>1995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2025</v>
      </c>
      <c r="M791" s="17">
        <f aca="false">IF($H791="","",$H791+$K791)</f>
        <v>2435</v>
      </c>
      <c r="N791" s="17">
        <f aca="false">IF($J791="","",$J791+$K791)</f>
        <v>1995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81,000원</v>
      </c>
      <c r="P791" s="17">
        <f aca="false">IF($B$10=0,"",IFERROR(IF($B$4&gt;0,IF($L791="",1/0,$L791*$B$4),0)+IF($B$5&gt;0,IF($M791="",1/0,$M791*$B$5),0)+IF($B$6&gt;0,IF($N791="",1/0,$N791*$B$6),0),""))</f>
        <v>81000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81000</v>
      </c>
      <c r="U791" s="17">
        <f aca="false">IF($T791="","",IF($B$10=0,"",$T791/$B$10))</f>
        <v>2025</v>
      </c>
      <c r="V791" s="17">
        <f aca="false">IF($P791="","",IF($B$10=0,"",$P791/$B$10))</f>
        <v>2025</v>
      </c>
      <c r="W791" s="19">
        <f aca="false">IF($T791="",1000000000000000,$T791)</f>
        <v>81000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IF($T792="","",1+COUNTIF($W$15:$W$884,"&lt;"&amp;W792))</f>
        <v>777</v>
      </c>
      <c r="B792" s="16" t="s">
        <v>10</v>
      </c>
      <c r="C792" s="16" t="s">
        <v>1584</v>
      </c>
      <c r="D792" s="20" t="s">
        <v>54</v>
      </c>
      <c r="E792" s="16" t="s">
        <v>26</v>
      </c>
      <c r="F792" s="16" t="s">
        <v>1585</v>
      </c>
      <c r="G792" s="17">
        <v>2025</v>
      </c>
      <c r="H792" s="17">
        <v>2537</v>
      </c>
      <c r="I792" s="17"/>
      <c r="J792" s="17">
        <v>2025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2025</v>
      </c>
      <c r="M792" s="17">
        <f aca="false">IF($H792="","",$H792+$K792)</f>
        <v>2537</v>
      </c>
      <c r="N792" s="17">
        <f aca="false">IF($J792="","",$J792+$K792)</f>
        <v>2025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81,000원</v>
      </c>
      <c r="P792" s="17">
        <f aca="false">IF($B$10=0,"",IFERROR(IF($B$4&gt;0,IF($L792="",1/0,$L792*$B$4),0)+IF($B$5&gt;0,IF($M792="",1/0,$M792*$B$5),0)+IF($B$6&gt;0,IF($N792="",1/0,$N792*$B$6),0),""))</f>
        <v>81000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81000</v>
      </c>
      <c r="U792" s="17">
        <f aca="false">IF($T792="","",IF($B$10=0,"",$T792/$B$10))</f>
        <v>2025</v>
      </c>
      <c r="V792" s="17">
        <f aca="false">IF($P792="","",IF($B$10=0,"",$P792/$B$10))</f>
        <v>2025</v>
      </c>
      <c r="W792" s="19">
        <f aca="false">IF($T792="",1000000000000000,$T792)</f>
        <v>81000</v>
      </c>
      <c r="XFC792" s="3"/>
    </row>
    <row r="793" s="6" collapsed="false" customFormat="true" customHeight="true" hidden="false" ht="28.5" outlineLevel="0">
      <c r="A793" s="16">
        <f aca="false">IF($T793="","",1+COUNTIF($W$15:$W$884,"&lt;"&amp;W793))</f>
        <v>777</v>
      </c>
      <c r="B793" s="16" t="s">
        <v>12</v>
      </c>
      <c r="C793" s="16" t="s">
        <v>1586</v>
      </c>
      <c r="D793" s="21" t="s">
        <v>176</v>
      </c>
      <c r="E793" s="16" t="s">
        <v>51</v>
      </c>
      <c r="F793" s="16" t="s">
        <v>1587</v>
      </c>
      <c r="G793" s="17">
        <v>2025</v>
      </c>
      <c r="H793" s="17"/>
      <c r="I793" s="17"/>
      <c r="J793" s="17">
        <v>2010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2025</v>
      </c>
      <c r="M793" s="17">
        <f aca="false">IF($H793="","",$H793+$K793)</f>
        <v/>
      </c>
      <c r="N793" s="17">
        <f aca="false">IF($J793="","",$J793+$K793)</f>
        <v>2010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81,000원</v>
      </c>
      <c r="P793" s="17">
        <f aca="false">IF($B$10=0,"",IFERROR(IF($B$4&gt;0,IF($L793="",1/0,$L793*$B$4),0)+IF($B$5&gt;0,IF($M793="",1/0,$M793*$B$5),0)+IF($B$6&gt;0,IF($N793="",1/0,$N793*$B$6),0),""))</f>
        <v>81000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81000</v>
      </c>
      <c r="U793" s="17">
        <f aca="false">IF($T793="","",IF($B$10=0,"",$T793/$B$10))</f>
        <v>2025</v>
      </c>
      <c r="V793" s="17">
        <f aca="false">IF($P793="","",IF($B$10=0,"",$P793/$B$10))</f>
        <v>2025</v>
      </c>
      <c r="W793" s="19">
        <f aca="false">IF($T793="",1000000000000000,$T793)</f>
        <v>81000</v>
      </c>
      <c r="XFC793" s="3"/>
    </row>
    <row r="794" s="5" collapsed="false" customFormat="true" customHeight="true" hidden="false" ht="28.5" outlineLevel="0">
      <c r="A794" s="16">
        <f aca="false">IF($T794="","",1+COUNTIF($W$15:$W$884,"&lt;"&amp;W794))</f>
        <v>777</v>
      </c>
      <c r="B794" s="16" t="s">
        <v>12</v>
      </c>
      <c r="C794" s="16" t="s">
        <v>1588</v>
      </c>
      <c r="D794" s="21" t="s">
        <v>176</v>
      </c>
      <c r="E794" s="16" t="s">
        <v>51</v>
      </c>
      <c r="F794" s="16" t="s">
        <v>1589</v>
      </c>
      <c r="G794" s="17">
        <v>2025</v>
      </c>
      <c r="H794" s="17"/>
      <c r="I794" s="17"/>
      <c r="J794" s="17">
        <v>2010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/>
      </c>
      <c r="N794" s="17">
        <f aca="false">IF($J794="","",$J794+$K794)</f>
        <v>2010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81,000원</v>
      </c>
      <c r="P794" s="17">
        <f aca="false">IF($B$10=0,"",IFERROR(IF($B$4&gt;0,IF($L794="",1/0,$L794*$B$4),0)+IF($B$5&gt;0,IF($M794="",1/0,$M794*$B$5),0)+IF($B$6&gt;0,IF($N794="",1/0,$N794*$B$6),0),""))</f>
        <v>81000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81000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81000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IF($T795="","",1+COUNTIF($W$15:$W$884,"&lt;"&amp;W795))</f>
        <v>777</v>
      </c>
      <c r="B795" s="16" t="s">
        <v>12</v>
      </c>
      <c r="C795" s="16" t="s">
        <v>1590</v>
      </c>
      <c r="D795" s="21" t="s">
        <v>176</v>
      </c>
      <c r="E795" s="16" t="s">
        <v>26</v>
      </c>
      <c r="F795" s="16" t="s">
        <v>1591</v>
      </c>
      <c r="G795" s="17">
        <v>2025</v>
      </c>
      <c r="H795" s="17"/>
      <c r="I795" s="17"/>
      <c r="J795" s="17">
        <v>2010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/>
      </c>
      <c r="N795" s="17">
        <f aca="false">IF($J795="","",$J795+$K795)</f>
        <v>2010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81,000원</v>
      </c>
      <c r="P795" s="17">
        <f aca="false">IF($B$10=0,"",IFERROR(IF($B$4&gt;0,IF($L795="",1/0,$L795*$B$4),0)+IF($B$5&gt;0,IF($M795="",1/0,$M795*$B$5),0)+IF($B$6&gt;0,IF($N795="",1/0,$N795*$B$6),0),""))</f>
        <v>81000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81000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81000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IF($T796="","",1+COUNTIF($W$15:$W$884,"&lt;"&amp;W796))</f>
        <v>777</v>
      </c>
      <c r="B796" s="16" t="s">
        <v>14</v>
      </c>
      <c r="C796" s="16" t="s">
        <v>1150</v>
      </c>
      <c r="D796" s="16" t="s">
        <v>64</v>
      </c>
      <c r="E796" s="16" t="s">
        <v>51</v>
      </c>
      <c r="F796" s="16" t="s">
        <v>1592</v>
      </c>
      <c r="G796" s="17">
        <v>2025</v>
      </c>
      <c r="H796" s="17"/>
      <c r="I796" s="17"/>
      <c r="J796" s="17">
        <v>2015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/>
      </c>
      <c r="N796" s="17">
        <f aca="false">IF($J796="","",$J796+$K796)</f>
        <v>2015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IF($T797="","",1+COUNTIF($W$15:$W$884,"&lt;"&amp;W797))</f>
        <v>777</v>
      </c>
      <c r="B797" s="16" t="s">
        <v>14</v>
      </c>
      <c r="C797" s="16" t="s">
        <v>1593</v>
      </c>
      <c r="D797" s="16" t="s">
        <v>64</v>
      </c>
      <c r="E797" s="16" t="s">
        <v>26</v>
      </c>
      <c r="F797" s="16" t="s">
        <v>1594</v>
      </c>
      <c r="G797" s="17">
        <v>2025</v>
      </c>
      <c r="H797" s="17"/>
      <c r="I797" s="17"/>
      <c r="J797" s="17">
        <v>2025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2025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IF($T798="","",1+COUNTIF($W$15:$W$884,"&lt;"&amp;W798))</f>
        <v>777</v>
      </c>
      <c r="B798" s="16" t="s">
        <v>10</v>
      </c>
      <c r="C798" s="16" t="s">
        <v>1595</v>
      </c>
      <c r="D798" s="16" t="s">
        <v>45</v>
      </c>
      <c r="E798" s="16" t="s">
        <v>26</v>
      </c>
      <c r="F798" s="16" t="s">
        <v>1596</v>
      </c>
      <c r="G798" s="17">
        <v>2025</v>
      </c>
      <c r="H798" s="17"/>
      <c r="I798" s="17"/>
      <c r="J798" s="17">
        <v>2025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2025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81,000원</v>
      </c>
      <c r="P798" s="17">
        <f aca="false">IF($B$10=0,"",IFERROR(IF($B$4&gt;0,IF($L798="",1/0,$L798*$B$4),0)+IF($B$5&gt;0,IF($M798="",1/0,$M798*$B$5),0)+IF($B$6&gt;0,IF($N798="",1/0,$N798*$B$6),0),""))</f>
        <v>81000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81000</v>
      </c>
      <c r="U798" s="17">
        <f aca="false">IF($T798="","",IF($B$10=0,"",$T798/$B$10))</f>
        <v>2025</v>
      </c>
      <c r="V798" s="17">
        <f aca="false">IF($P798="","",IF($B$10=0,"",$P798/$B$10))</f>
        <v>2025</v>
      </c>
      <c r="W798" s="19">
        <f aca="false">IF($T798="",1000000000000000,$T798)</f>
        <v>81000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IF($T799="","",1+COUNTIF($W$15:$W$884,"&lt;"&amp;W799))</f>
        <v>785</v>
      </c>
      <c r="B799" s="16" t="s">
        <v>14</v>
      </c>
      <c r="C799" s="16" t="s">
        <v>1597</v>
      </c>
      <c r="D799" s="16" t="s">
        <v>45</v>
      </c>
      <c r="E799" s="16" t="s">
        <v>51</v>
      </c>
      <c r="F799" s="16" t="s">
        <v>1598</v>
      </c>
      <c r="G799" s="17">
        <v>2026</v>
      </c>
      <c r="H799" s="17"/>
      <c r="I799" s="17"/>
      <c r="J799" s="17">
        <v>2026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2026</v>
      </c>
      <c r="M799" s="17">
        <f aca="false">IF($H799="","",$H799+$K799)</f>
        <v/>
      </c>
      <c r="N799" s="17">
        <f aca="false">IF($J799="","",$J799+$K799)</f>
        <v>2026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81,040원</v>
      </c>
      <c r="P799" s="17">
        <f aca="false">IF($B$10=0,"",IFERROR(IF($B$4&gt;0,IF($L799="",1/0,$L799*$B$4),0)+IF($B$5&gt;0,IF($M799="",1/0,$M799*$B$5),0)+IF($B$6&gt;0,IF($N799="",1/0,$N799*$B$6),0),""))</f>
        <v>81040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81040</v>
      </c>
      <c r="U799" s="17">
        <f aca="false">IF($T799="","",IF($B$10=0,"",$T799/$B$10))</f>
        <v>2026</v>
      </c>
      <c r="V799" s="17">
        <f aca="false">IF($P799="","",IF($B$10=0,"",$P799/$B$10))</f>
        <v>2026</v>
      </c>
      <c r="W799" s="19">
        <f aca="false">IF($T799="",1000000000000000,$T799)</f>
        <v>81040</v>
      </c>
      <c r="XFB799" s="6"/>
      <c r="XFC799" s="3"/>
    </row>
    <row r="800" s="22" collapsed="false" customFormat="true" customHeight="true" hidden="false" ht="28.5" outlineLevel="0">
      <c r="A800" s="16">
        <f aca="false">IF($T800="","",1+COUNTIF($W$15:$W$884,"&lt;"&amp;W800))</f>
        <v>785</v>
      </c>
      <c r="B800" s="16" t="s">
        <v>12</v>
      </c>
      <c r="C800" s="16" t="s">
        <v>1599</v>
      </c>
      <c r="D800" s="21" t="s">
        <v>45</v>
      </c>
      <c r="E800" s="16" t="s">
        <v>51</v>
      </c>
      <c r="F800" s="16" t="s">
        <v>1600</v>
      </c>
      <c r="G800" s="17">
        <v>2026</v>
      </c>
      <c r="H800" s="17"/>
      <c r="I800" s="17"/>
      <c r="J800" s="17">
        <v>2026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2026</v>
      </c>
      <c r="M800" s="17">
        <f aca="false">IF($H800="","",$H800+$K800)</f>
        <v/>
      </c>
      <c r="N800" s="17">
        <f aca="false">IF($J800="","",$J800+$K800)</f>
        <v>2026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81,040원</v>
      </c>
      <c r="P800" s="17">
        <f aca="false">IF($B$10=0,"",IFERROR(IF($B$4&gt;0,IF($L800="",1/0,$L800*$B$4),0)+IF($B$5&gt;0,IF($M800="",1/0,$M800*$B$5),0)+IF($B$6&gt;0,IF($N800="",1/0,$N800*$B$6),0),""))</f>
        <v>81040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81040</v>
      </c>
      <c r="U800" s="17">
        <f aca="false">IF($T800="","",IF($B$10=0,"",$T800/$B$10))</f>
        <v>2026</v>
      </c>
      <c r="V800" s="17">
        <f aca="false">IF($P800="","",IF($B$10=0,"",$P800/$B$10))</f>
        <v>2026</v>
      </c>
      <c r="W800" s="19">
        <f aca="false">IF($T800="",1000000000000000,$T800)</f>
        <v>81040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IF($T801="","",1+COUNTIF($W$15:$W$884,"&lt;"&amp;W801))</f>
        <v>787</v>
      </c>
      <c r="B801" s="16" t="s">
        <v>10</v>
      </c>
      <c r="C801" s="16" t="s">
        <v>1601</v>
      </c>
      <c r="D801" s="20" t="s">
        <v>54</v>
      </c>
      <c r="E801" s="16" t="s">
        <v>26</v>
      </c>
      <c r="F801" s="16" t="s">
        <v>1602</v>
      </c>
      <c r="G801" s="17">
        <v>2027</v>
      </c>
      <c r="H801" s="17"/>
      <c r="I801" s="17"/>
      <c r="J801" s="17">
        <v>2017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2027</v>
      </c>
      <c r="M801" s="17">
        <f aca="false">IF($H801="","",$H801+$K801)</f>
        <v/>
      </c>
      <c r="N801" s="17">
        <f aca="false">IF($J801="","",$J801+$K801)</f>
        <v>2017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81,080원</v>
      </c>
      <c r="P801" s="17">
        <f aca="false">IF($B$10=0,"",IFERROR(IF($B$4&gt;0,IF($L801="",1/0,$L801*$B$4),0)+IF($B$5&gt;0,IF($M801="",1/0,$M801*$B$5),0)+IF($B$6&gt;0,IF($N801="",1/0,$N801*$B$6),0),""))</f>
        <v>81080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81080</v>
      </c>
      <c r="U801" s="17">
        <f aca="false">IF($T801="","",IF($B$10=0,"",$T801/$B$10))</f>
        <v>2027</v>
      </c>
      <c r="V801" s="17">
        <f aca="false">IF($P801="","",IF($B$10=0,"",$P801/$B$10))</f>
        <v>2027</v>
      </c>
      <c r="W801" s="19">
        <f aca="false">IF($T801="",1000000000000000,$T801)</f>
        <v>81080</v>
      </c>
      <c r="XFB801" s="6"/>
      <c r="XFC801" s="3"/>
    </row>
    <row r="802" s="6" collapsed="false" customFormat="true" customHeight="true" hidden="false" ht="28.5" outlineLevel="0">
      <c r="A802" s="16">
        <f aca="false">IF($T802="","",1+COUNTIF($W$15:$W$884,"&lt;"&amp;W802))</f>
        <v>788</v>
      </c>
      <c r="B802" s="16" t="s">
        <v>14</v>
      </c>
      <c r="C802" s="16" t="s">
        <v>1603</v>
      </c>
      <c r="D802" s="16" t="s">
        <v>64</v>
      </c>
      <c r="E802" s="16" t="s">
        <v>26</v>
      </c>
      <c r="F802" s="16" t="s">
        <v>1604</v>
      </c>
      <c r="G802" s="17">
        <v>2028</v>
      </c>
      <c r="H802" s="17"/>
      <c r="I802" s="17"/>
      <c r="J802" s="17">
        <v>2028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2028</v>
      </c>
      <c r="M802" s="17">
        <f aca="false">IF($H802="","",$H802+$K802)</f>
        <v/>
      </c>
      <c r="N802" s="17">
        <f aca="false">IF($J802="","",$J802+$K802)</f>
        <v>2028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81,120원</v>
      </c>
      <c r="P802" s="17">
        <f aca="false">IF($B$10=0,"",IFERROR(IF($B$4&gt;0,IF($L802="",1/0,$L802*$B$4),0)+IF($B$5&gt;0,IF($M802="",1/0,$M802*$B$5),0)+IF($B$6&gt;0,IF($N802="",1/0,$N802*$B$6),0),""))</f>
        <v>81120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81120</v>
      </c>
      <c r="U802" s="17">
        <f aca="false">IF($T802="","",IF($B$10=0,"",$T802/$B$10))</f>
        <v>2028</v>
      </c>
      <c r="V802" s="17">
        <f aca="false">IF($P802="","",IF($B$10=0,"",$P802/$B$10))</f>
        <v>2028</v>
      </c>
      <c r="W802" s="19">
        <f aca="false">IF($T802="",1000000000000000,$T802)</f>
        <v>81120</v>
      </c>
      <c r="XFC802" s="3"/>
    </row>
    <row r="803" s="5" collapsed="false" customFormat="true" customHeight="true" hidden="false" ht="28.5" outlineLevel="0">
      <c r="A803" s="16">
        <f aca="false">IF($T803="","",1+COUNTIF($W$15:$W$884,"&lt;"&amp;W803))</f>
        <v>788</v>
      </c>
      <c r="B803" s="16" t="s">
        <v>12</v>
      </c>
      <c r="C803" s="16" t="s">
        <v>1605</v>
      </c>
      <c r="D803" s="21" t="s">
        <v>57</v>
      </c>
      <c r="E803" s="16" t="s">
        <v>51</v>
      </c>
      <c r="F803" s="16" t="s">
        <v>1606</v>
      </c>
      <c r="G803" s="17">
        <v>2028</v>
      </c>
      <c r="H803" s="17"/>
      <c r="I803" s="17"/>
      <c r="J803" s="17">
        <v>2028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2028</v>
      </c>
      <c r="M803" s="17">
        <f aca="false">IF($H803="","",$H803+$K803)</f>
        <v/>
      </c>
      <c r="N803" s="17">
        <f aca="false">IF($J803="","",$J803+$K803)</f>
        <v>2028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81,120원</v>
      </c>
      <c r="P803" s="17">
        <f aca="false">IF($B$10=0,"",IFERROR(IF($B$4&gt;0,IF($L803="",1/0,$L803*$B$4),0)+IF($B$5&gt;0,IF($M803="",1/0,$M803*$B$5),0)+IF($B$6&gt;0,IF($N803="",1/0,$N803*$B$6),0),""))</f>
        <v>81120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81120</v>
      </c>
      <c r="U803" s="17">
        <f aca="false">IF($T803="","",IF($B$10=0,"",$T803/$B$10))</f>
        <v>2028</v>
      </c>
      <c r="V803" s="17">
        <f aca="false">IF($P803="","",IF($B$10=0,"",$P803/$B$10))</f>
        <v>2028</v>
      </c>
      <c r="W803" s="19">
        <f aca="false">IF($T803="",1000000000000000,$T803)</f>
        <v>81120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IF($T804="","",1+COUNTIF($W$15:$W$884,"&lt;"&amp;W804))</f>
        <v>788</v>
      </c>
      <c r="B804" s="16" t="s">
        <v>10</v>
      </c>
      <c r="C804" s="16" t="s">
        <v>1607</v>
      </c>
      <c r="D804" s="21" t="s">
        <v>57</v>
      </c>
      <c r="E804" s="16" t="s">
        <v>51</v>
      </c>
      <c r="F804" s="16" t="s">
        <v>1608</v>
      </c>
      <c r="G804" s="17">
        <v>2028</v>
      </c>
      <c r="H804" s="17"/>
      <c r="I804" s="17"/>
      <c r="J804" s="17">
        <v>2028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2028</v>
      </c>
      <c r="M804" s="17">
        <f aca="false">IF($H804="","",$H804+$K804)</f>
        <v/>
      </c>
      <c r="N804" s="17">
        <f aca="false">IF($J804="","",$J804+$K804)</f>
        <v>2028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81,120원</v>
      </c>
      <c r="P804" s="17">
        <f aca="false">IF($B$10=0,"",IFERROR(IF($B$4&gt;0,IF($L804="",1/0,$L804*$B$4),0)+IF($B$5&gt;0,IF($M804="",1/0,$M804*$B$5),0)+IF($B$6&gt;0,IF($N804="",1/0,$N804*$B$6),0),""))</f>
        <v>81120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81120</v>
      </c>
      <c r="U804" s="17">
        <f aca="false">IF($T804="","",IF($B$10=0,"",$T804/$B$10))</f>
        <v>2028</v>
      </c>
      <c r="V804" s="17">
        <f aca="false">IF($P804="","",IF($B$10=0,"",$P804/$B$10))</f>
        <v>2028</v>
      </c>
      <c r="W804" s="19">
        <f aca="false">IF($T804="",1000000000000000,$T804)</f>
        <v>81120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IF($T805="","",1+COUNTIF($W$15:$W$884,"&lt;"&amp;W805))</f>
        <v>788</v>
      </c>
      <c r="B805" s="16" t="s">
        <v>10</v>
      </c>
      <c r="C805" s="16" t="s">
        <v>1609</v>
      </c>
      <c r="D805" s="20" t="s">
        <v>54</v>
      </c>
      <c r="E805" s="16" t="s">
        <v>26</v>
      </c>
      <c r="F805" s="16" t="s">
        <v>1610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81,120원</v>
      </c>
      <c r="P805" s="17">
        <f aca="false">IF($B$10=0,"",IFERROR(IF($B$4&gt;0,IF($L805="",1/0,$L805*$B$4),0)+IF($B$5&gt;0,IF($M805="",1/0,$M805*$B$5),0)+IF($B$6&gt;0,IF($N805="",1/0,$N805*$B$6),0),""))</f>
        <v>81120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81120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81120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IF($T806="","",1+COUNTIF($W$15:$W$884,"&lt;"&amp;W806))</f>
        <v>792</v>
      </c>
      <c r="B806" s="16" t="s">
        <v>14</v>
      </c>
      <c r="C806" s="16" t="s">
        <v>1613</v>
      </c>
      <c r="D806" s="16" t="s">
        <v>64</v>
      </c>
      <c r="E806" s="16" t="s">
        <v>26</v>
      </c>
      <c r="F806" s="16" t="s">
        <v>1614</v>
      </c>
      <c r="G806" s="17">
        <v>2029</v>
      </c>
      <c r="H806" s="17"/>
      <c r="I806" s="17"/>
      <c r="J806" s="17">
        <v>2019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2029</v>
      </c>
      <c r="M806" s="17">
        <f aca="false">IF($H806="","",$H806+$K806)</f>
        <v/>
      </c>
      <c r="N806" s="17">
        <f aca="false">IF($J806="","",$J806+$K806)</f>
        <v>2019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81,160원</v>
      </c>
      <c r="P806" s="17">
        <f aca="false">IF($B$10=0,"",IFERROR(IF($B$4&gt;0,IF($L806="",1/0,$L806*$B$4),0)+IF($B$5&gt;0,IF($M806="",1/0,$M806*$B$5),0)+IF($B$6&gt;0,IF($N806="",1/0,$N806*$B$6),0),""))</f>
        <v>81160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81160</v>
      </c>
      <c r="U806" s="17">
        <f aca="false">IF($T806="","",IF($B$10=0,"",$T806/$B$10))</f>
        <v>2029</v>
      </c>
      <c r="V806" s="17">
        <f aca="false">IF($P806="","",IF($B$10=0,"",$P806/$B$10))</f>
        <v>2029</v>
      </c>
      <c r="W806" s="19">
        <f aca="false">IF($T806="",1000000000000000,$T806)</f>
        <v>81160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IF($T807="","",1+COUNTIF($W$15:$W$884,"&lt;"&amp;W807))</f>
        <v>792</v>
      </c>
      <c r="B807" s="16" t="s">
        <v>14</v>
      </c>
      <c r="C807" s="16" t="s">
        <v>1615</v>
      </c>
      <c r="D807" s="16" t="s">
        <v>45</v>
      </c>
      <c r="E807" s="16" t="s">
        <v>51</v>
      </c>
      <c r="F807" s="16" t="s">
        <v>1616</v>
      </c>
      <c r="G807" s="17">
        <v>2029</v>
      </c>
      <c r="H807" s="17"/>
      <c r="I807" s="17"/>
      <c r="J807" s="17">
        <v>2019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2029</v>
      </c>
      <c r="M807" s="17">
        <f aca="false">IF($H807="","",$H807+$K807)</f>
        <v/>
      </c>
      <c r="N807" s="17">
        <f aca="false">IF($J807="","",$J807+$K807)</f>
        <v>2019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81,160원</v>
      </c>
      <c r="P807" s="17">
        <f aca="false">IF($B$10=0,"",IFERROR(IF($B$4&gt;0,IF($L807="",1/0,$L807*$B$4),0)+IF($B$5&gt;0,IF($M807="",1/0,$M807*$B$5),0)+IF($B$6&gt;0,IF($N807="",1/0,$N807*$B$6),0),""))</f>
        <v>81160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81160</v>
      </c>
      <c r="U807" s="17">
        <f aca="false">IF($T807="","",IF($B$10=0,"",$T807/$B$10))</f>
        <v>2029</v>
      </c>
      <c r="V807" s="17">
        <f aca="false">IF($P807="","",IF($B$10=0,"",$P807/$B$10))</f>
        <v>2029</v>
      </c>
      <c r="W807" s="19">
        <f aca="false">IF($T807="",1000000000000000,$T807)</f>
        <v>81160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IF($T808="","",1+COUNTIF($W$15:$W$884,"&lt;"&amp;W808))</f>
        <v>792</v>
      </c>
      <c r="B808" s="16" t="s">
        <v>10</v>
      </c>
      <c r="C808" s="16" t="s">
        <v>1617</v>
      </c>
      <c r="D808" s="16" t="s">
        <v>45</v>
      </c>
      <c r="E808" s="16" t="s">
        <v>26</v>
      </c>
      <c r="F808" s="16" t="s">
        <v>1618</v>
      </c>
      <c r="G808" s="17">
        <v>2029</v>
      </c>
      <c r="H808" s="17"/>
      <c r="I808" s="17"/>
      <c r="J808" s="17">
        <v>2019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2029</v>
      </c>
      <c r="M808" s="17">
        <f aca="false">IF($H808="","",$H808+$K808)</f>
        <v/>
      </c>
      <c r="N808" s="17">
        <f aca="false">IF($J808="","",$J808+$K808)</f>
        <v>2019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81,160원</v>
      </c>
      <c r="P808" s="17">
        <f aca="false">IF($B$10=0,"",IFERROR(IF($B$4&gt;0,IF($L808="",1/0,$L808*$B$4),0)+IF($B$5&gt;0,IF($M808="",1/0,$M808*$B$5),0)+IF($B$6&gt;0,IF($N808="",1/0,$N808*$B$6),0),""))</f>
        <v>81160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81160</v>
      </c>
      <c r="U808" s="17">
        <f aca="false">IF($T808="","",IF($B$10=0,"",$T808/$B$10))</f>
        <v>2029</v>
      </c>
      <c r="V808" s="17">
        <f aca="false">IF($P808="","",IF($B$10=0,"",$P808/$B$10))</f>
        <v>2029</v>
      </c>
      <c r="W808" s="19">
        <f aca="false">IF($T808="",1000000000000000,$T808)</f>
        <v>81160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IF($T809="","",1+COUNTIF($W$15:$W$884,"&lt;"&amp;W809))</f>
        <v>792</v>
      </c>
      <c r="B809" s="16" t="s">
        <v>18</v>
      </c>
      <c r="C809" s="16" t="s">
        <v>1619</v>
      </c>
      <c r="D809" s="16" t="s">
        <v>176</v>
      </c>
      <c r="E809" s="16" t="s">
        <v>51</v>
      </c>
      <c r="F809" s="16" t="s">
        <v>1620</v>
      </c>
      <c r="G809" s="17">
        <v>2029</v>
      </c>
      <c r="H809" s="17"/>
      <c r="I809" s="17"/>
      <c r="J809" s="17">
        <v>2029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2029</v>
      </c>
      <c r="M809" s="17">
        <f aca="false">IF($H809="","",$H809+$K809)</f>
        <v/>
      </c>
      <c r="N809" s="17">
        <f aca="false">IF($J809="","",$J809+$K809)</f>
        <v>2029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81,160원</v>
      </c>
      <c r="P809" s="17">
        <f aca="false">IF($B$10=0,"",IFERROR(IF($B$4&gt;0,IF($L809="",1/0,$L809*$B$4),0)+IF($B$5&gt;0,IF($M809="",1/0,$M809*$B$5),0)+IF($B$6&gt;0,IF($N809="",1/0,$N809*$B$6),0),""))</f>
        <v>81160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81160</v>
      </c>
      <c r="U809" s="17">
        <f aca="false">IF($T809="","",IF($B$10=0,"",$T809/$B$10))</f>
        <v>2029</v>
      </c>
      <c r="V809" s="17">
        <f aca="false">IF($P809="","",IF($B$10=0,"",$P809/$B$10))</f>
        <v>2029</v>
      </c>
      <c r="W809" s="19">
        <f aca="false">IF($T809="",1000000000000000,$T809)</f>
        <v>81160</v>
      </c>
      <c r="XFB809" s="6"/>
      <c r="XFC809" s="3"/>
    </row>
    <row r="810" s="6" collapsed="false" customFormat="true" customHeight="true" hidden="false" ht="28.5" outlineLevel="0">
      <c r="A810" s="16">
        <f aca="false">IF($T810="","",1+COUNTIF($W$15:$W$884,"&lt;"&amp;W810))</f>
        <v>792</v>
      </c>
      <c r="B810" s="16" t="s">
        <v>8</v>
      </c>
      <c r="C810" s="16" t="s">
        <v>1621</v>
      </c>
      <c r="D810" s="21" t="s">
        <v>57</v>
      </c>
      <c r="E810" s="16" t="s">
        <v>51</v>
      </c>
      <c r="F810" s="16" t="s">
        <v>1622</v>
      </c>
      <c r="G810" s="17">
        <v>2029</v>
      </c>
      <c r="H810" s="17"/>
      <c r="I810" s="17"/>
      <c r="J810" s="17">
        <v>2029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2029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81,160원</v>
      </c>
      <c r="P810" s="17">
        <f aca="false">IF($B$10=0,"",IFERROR(IF($B$4&gt;0,IF($L810="",1/0,$L810*$B$4),0)+IF($B$5&gt;0,IF($M810="",1/0,$M810*$B$5),0)+IF($B$6&gt;0,IF($N810="",1/0,$N810*$B$6),0),""))</f>
        <v>81160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81160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81160</v>
      </c>
      <c r="XFC810" s="3"/>
    </row>
    <row r="811" s="5" collapsed="false" customFormat="true" customHeight="true" hidden="false" ht="28.5" outlineLevel="0">
      <c r="A811" s="16">
        <f aca="false">IF($T811="","",1+COUNTIF($W$15:$W$884,"&lt;"&amp;W811))</f>
        <v>792</v>
      </c>
      <c r="B811" s="16" t="s">
        <v>10</v>
      </c>
      <c r="C811" s="16" t="s">
        <v>1625</v>
      </c>
      <c r="D811" s="21" t="s">
        <v>57</v>
      </c>
      <c r="E811" s="16" t="s">
        <v>26</v>
      </c>
      <c r="F811" s="16" t="s">
        <v>1626</v>
      </c>
      <c r="G811" s="17">
        <v>2029</v>
      </c>
      <c r="H811" s="17"/>
      <c r="I811" s="17"/>
      <c r="J811" s="17">
        <v>2029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2029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IF($T812="","",1+COUNTIF($W$15:$W$884,"&lt;"&amp;W812))</f>
        <v>792</v>
      </c>
      <c r="B812" s="16" t="s">
        <v>10</v>
      </c>
      <c r="C812" s="16" t="s">
        <v>1627</v>
      </c>
      <c r="D812" s="21" t="s">
        <v>57</v>
      </c>
      <c r="E812" s="16" t="s">
        <v>51</v>
      </c>
      <c r="F812" s="16" t="s">
        <v>1628</v>
      </c>
      <c r="G812" s="17">
        <v>2029</v>
      </c>
      <c r="H812" s="17"/>
      <c r="I812" s="17"/>
      <c r="J812" s="17">
        <v>2029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2029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IF($T813="","",1+COUNTIF($W$15:$W$884,"&lt;"&amp;W813))</f>
        <v>792</v>
      </c>
      <c r="B813" s="16" t="s">
        <v>14</v>
      </c>
      <c r="C813" s="16" t="s">
        <v>1623</v>
      </c>
      <c r="D813" s="16" t="s">
        <v>45</v>
      </c>
      <c r="E813" s="16" t="s">
        <v>51</v>
      </c>
      <c r="F813" s="16" t="s">
        <v>1624</v>
      </c>
      <c r="G813" s="17">
        <v>2029</v>
      </c>
      <c r="H813" s="17"/>
      <c r="I813" s="17"/>
      <c r="J813" s="17">
        <v>2059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2059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C813" s="3"/>
    </row>
    <row r="814" s="6" collapsed="false" customFormat="true" customHeight="true" hidden="false" ht="28.5" outlineLevel="0">
      <c r="A814" s="16">
        <f aca="false">IF($T814="","",1+COUNTIF($W$15:$W$884,"&lt;"&amp;W814))</f>
        <v>800</v>
      </c>
      <c r="B814" s="16" t="s">
        <v>16</v>
      </c>
      <c r="C814" s="16" t="s">
        <v>1629</v>
      </c>
      <c r="D814" s="21" t="s">
        <v>57</v>
      </c>
      <c r="E814" s="16" t="s">
        <v>26</v>
      </c>
      <c r="F814" s="16" t="s">
        <v>1630</v>
      </c>
      <c r="G814" s="17">
        <v>2030</v>
      </c>
      <c r="H814" s="17">
        <v>2430</v>
      </c>
      <c r="I814" s="17"/>
      <c r="J814" s="17">
        <v>2020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2030</v>
      </c>
      <c r="M814" s="17">
        <f aca="false">IF($H814="","",$H814+$K814)</f>
        <v>2430</v>
      </c>
      <c r="N814" s="17">
        <f aca="false">IF($J814="","",$J814+$K814)</f>
        <v>2020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81,200원</v>
      </c>
      <c r="P814" s="17">
        <f aca="false">IF($B$10=0,"",IFERROR(IF($B$4&gt;0,IF($L814="",1/0,$L814*$B$4),0)+IF($B$5&gt;0,IF($M814="",1/0,$M814*$B$5),0)+IF($B$6&gt;0,IF($N814="",1/0,$N814*$B$6),0),""))</f>
        <v>81200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81200</v>
      </c>
      <c r="U814" s="17">
        <f aca="false">IF($T814="","",IF($B$10=0,"",$T814/$B$10))</f>
        <v>2030</v>
      </c>
      <c r="V814" s="17">
        <f aca="false">IF($P814="","",IF($B$10=0,"",$P814/$B$10))</f>
        <v>2030</v>
      </c>
      <c r="W814" s="19">
        <f aca="false">IF($T814="",1000000000000000,$T814)</f>
        <v>81200</v>
      </c>
      <c r="XFC814" s="3"/>
    </row>
    <row r="815" s="22" collapsed="false" customFormat="true" customHeight="true" hidden="false" ht="28.5" outlineLevel="0">
      <c r="A815" s="16">
        <f aca="false">IF($T815="","",1+COUNTIF($W$15:$W$884,"&lt;"&amp;W815))</f>
        <v>800</v>
      </c>
      <c r="B815" s="16" t="s">
        <v>18</v>
      </c>
      <c r="C815" s="16" t="s">
        <v>1631</v>
      </c>
      <c r="D815" s="16" t="s">
        <v>45</v>
      </c>
      <c r="E815" s="16" t="s">
        <v>26</v>
      </c>
      <c r="F815" s="16" t="s">
        <v>1632</v>
      </c>
      <c r="G815" s="17">
        <v>2030</v>
      </c>
      <c r="H815" s="17"/>
      <c r="I815" s="17"/>
      <c r="J815" s="17">
        <v>2020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2030</v>
      </c>
      <c r="M815" s="17">
        <f aca="false">IF($H815="","",$H815+$K815)</f>
        <v/>
      </c>
      <c r="N815" s="17">
        <f aca="false">IF($J815="","",$J815+$K815)</f>
        <v>2020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81,200원</v>
      </c>
      <c r="P815" s="17">
        <f aca="false">IF($B$10=0,"",IFERROR(IF($B$4&gt;0,IF($L815="",1/0,$L815*$B$4),0)+IF($B$5&gt;0,IF($M815="",1/0,$M815*$B$5),0)+IF($B$6&gt;0,IF($N815="",1/0,$N815*$B$6),0),""))</f>
        <v>81200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81200</v>
      </c>
      <c r="U815" s="17">
        <f aca="false">IF($T815="","",IF($B$10=0,"",$T815/$B$10))</f>
        <v>2030</v>
      </c>
      <c r="V815" s="17">
        <f aca="false">IF($P815="","",IF($B$10=0,"",$P815/$B$10))</f>
        <v>2030</v>
      </c>
      <c r="W815" s="19">
        <f aca="false">IF($T815="",1000000000000000,$T815)</f>
        <v>81200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IF($T816="","",1+COUNTIF($W$15:$W$884,"&lt;"&amp;W816))</f>
        <v>800</v>
      </c>
      <c r="B816" s="16" t="s">
        <v>12</v>
      </c>
      <c r="C816" s="16" t="s">
        <v>1633</v>
      </c>
      <c r="D816" s="21" t="s">
        <v>45</v>
      </c>
      <c r="E816" s="16" t="s">
        <v>51</v>
      </c>
      <c r="F816" s="16" t="s">
        <v>1634</v>
      </c>
      <c r="G816" s="17">
        <v>2030</v>
      </c>
      <c r="H816" s="17"/>
      <c r="I816" s="17"/>
      <c r="J816" s="17">
        <v>2020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2030</v>
      </c>
      <c r="M816" s="17">
        <f aca="false">IF($H816="","",$H816+$K816)</f>
        <v/>
      </c>
      <c r="N816" s="17">
        <f aca="false">IF($J816="","",$J816+$K816)</f>
        <v>2020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81,200원</v>
      </c>
      <c r="P816" s="17">
        <f aca="false">IF($B$10=0,"",IFERROR(IF($B$4&gt;0,IF($L816="",1/0,$L816*$B$4),0)+IF($B$5&gt;0,IF($M816="",1/0,$M816*$B$5),0)+IF($B$6&gt;0,IF($N816="",1/0,$N816*$B$6),0),""))</f>
        <v>81200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81200</v>
      </c>
      <c r="U816" s="17">
        <f aca="false">IF($T816="","",IF($B$10=0,"",$T816/$B$10))</f>
        <v>2030</v>
      </c>
      <c r="V816" s="17">
        <f aca="false">IF($P816="","",IF($B$10=0,"",$P816/$B$10))</f>
        <v>2030</v>
      </c>
      <c r="W816" s="19">
        <f aca="false">IF($T816="",1000000000000000,$T816)</f>
        <v>81200</v>
      </c>
      <c r="XFB816" s="6"/>
      <c r="XFC816" s="3"/>
    </row>
    <row r="817" s="22" collapsed="false" customFormat="true" customHeight="true" hidden="false" ht="28.5" outlineLevel="0">
      <c r="A817" s="16">
        <f aca="false">IF($T817="","",1+COUNTIF($W$15:$W$884,"&lt;"&amp;W817))</f>
        <v>800</v>
      </c>
      <c r="B817" s="16" t="s">
        <v>18</v>
      </c>
      <c r="C817" s="16" t="s">
        <v>1635</v>
      </c>
      <c r="D817" s="16" t="s">
        <v>45</v>
      </c>
      <c r="E817" s="16" t="s">
        <v>51</v>
      </c>
      <c r="F817" s="16" t="s">
        <v>1636</v>
      </c>
      <c r="G817" s="17">
        <v>2030</v>
      </c>
      <c r="H817" s="17"/>
      <c r="I817" s="17"/>
      <c r="J817" s="17">
        <v>2030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2030</v>
      </c>
      <c r="M817" s="17">
        <f aca="false">IF($H817="","",$H817+$K817)</f>
        <v/>
      </c>
      <c r="N817" s="17">
        <f aca="false">IF($J817="","",$J817+$K817)</f>
        <v>2030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81,200원</v>
      </c>
      <c r="P817" s="17">
        <f aca="false">IF($B$10=0,"",IFERROR(IF($B$4&gt;0,IF($L817="",1/0,$L817*$B$4),0)+IF($B$5&gt;0,IF($M817="",1/0,$M817*$B$5),0)+IF($B$6&gt;0,IF($N817="",1/0,$N817*$B$6),0),""))</f>
        <v>81200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81200</v>
      </c>
      <c r="U817" s="17">
        <f aca="false">IF($T817="","",IF($B$10=0,"",$T817/$B$10))</f>
        <v>2030</v>
      </c>
      <c r="V817" s="17">
        <f aca="false">IF($P817="","",IF($B$10=0,"",$P817/$B$10))</f>
        <v>2030</v>
      </c>
      <c r="W817" s="19">
        <f aca="false">IF($T817="",1000000000000000,$T817)</f>
        <v>81200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IF($T818="","",1+COUNTIF($W$15:$W$884,"&lt;"&amp;W818))</f>
        <v>800</v>
      </c>
      <c r="B818" s="16" t="s">
        <v>18</v>
      </c>
      <c r="C818" s="16" t="s">
        <v>1637</v>
      </c>
      <c r="D818" s="16" t="s">
        <v>176</v>
      </c>
      <c r="E818" s="16" t="s">
        <v>51</v>
      </c>
      <c r="F818" s="16" t="s">
        <v>1638</v>
      </c>
      <c r="G818" s="17">
        <v>2030</v>
      </c>
      <c r="H818" s="17"/>
      <c r="I818" s="17"/>
      <c r="J818" s="17">
        <v>2030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/>
      </c>
      <c r="N818" s="17">
        <f aca="false">IF($J818="","",$J818+$K818)</f>
        <v>2030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81,200원</v>
      </c>
      <c r="P818" s="17">
        <f aca="false">IF($B$10=0,"",IFERROR(IF($B$4&gt;0,IF($L818="",1/0,$L818*$B$4),0)+IF($B$5&gt;0,IF($M818="",1/0,$M818*$B$5),0)+IF($B$6&gt;0,IF($N818="",1/0,$N818*$B$6),0),""))</f>
        <v>81200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81200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81200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IF($T819="","",1+COUNTIF($W$15:$W$884,"&lt;"&amp;W819))</f>
        <v>800</v>
      </c>
      <c r="B819" s="16" t="s">
        <v>8</v>
      </c>
      <c r="C819" s="16" t="s">
        <v>1639</v>
      </c>
      <c r="D819" s="21" t="s">
        <v>57</v>
      </c>
      <c r="E819" s="16" t="s">
        <v>51</v>
      </c>
      <c r="F819" s="16" t="s">
        <v>1640</v>
      </c>
      <c r="G819" s="17">
        <v>2030</v>
      </c>
      <c r="H819" s="17"/>
      <c r="I819" s="17"/>
      <c r="J819" s="17">
        <v>2030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2030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C819" s="3"/>
    </row>
    <row r="820" s="5" collapsed="false" customFormat="true" customHeight="true" hidden="false" ht="28.5" outlineLevel="0">
      <c r="A820" s="16">
        <f aca="false">IF($T820="","",1+COUNTIF($W$15:$W$884,"&lt;"&amp;W820))</f>
        <v>806</v>
      </c>
      <c r="B820" s="16" t="s">
        <v>14</v>
      </c>
      <c r="C820" s="16" t="s">
        <v>1641</v>
      </c>
      <c r="D820" s="20" t="s">
        <v>54</v>
      </c>
      <c r="E820" s="16" t="s">
        <v>26</v>
      </c>
      <c r="F820" s="16" t="s">
        <v>1642</v>
      </c>
      <c r="G820" s="17">
        <v>2035</v>
      </c>
      <c r="H820" s="17">
        <v>2435</v>
      </c>
      <c r="I820" s="17"/>
      <c r="J820" s="17">
        <v>2035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2035</v>
      </c>
      <c r="M820" s="17">
        <f aca="false">IF($H820="","",$H820+$K820)</f>
        <v>2435</v>
      </c>
      <c r="N820" s="17">
        <f aca="false">IF($J820="","",$J820+$K820)</f>
        <v>2035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81,400원</v>
      </c>
      <c r="P820" s="17">
        <f aca="false">IF($B$10=0,"",IFERROR(IF($B$4&gt;0,IF($L820="",1/0,$L820*$B$4),0)+IF($B$5&gt;0,IF($M820="",1/0,$M820*$B$5),0)+IF($B$6&gt;0,IF($N820="",1/0,$N820*$B$6),0),""))</f>
        <v>81400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81400</v>
      </c>
      <c r="U820" s="17">
        <f aca="false">IF($T820="","",IF($B$10=0,"",$T820/$B$10))</f>
        <v>2035</v>
      </c>
      <c r="V820" s="17">
        <f aca="false">IF($P820="","",IF($B$10=0,"",$P820/$B$10))</f>
        <v>2035</v>
      </c>
      <c r="W820" s="19">
        <f aca="false">IF($T820="",1000000000000000,$T820)</f>
        <v>81400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IF($T821="","",1+COUNTIF($W$15:$W$884,"&lt;"&amp;W821))</f>
        <v>806</v>
      </c>
      <c r="B821" s="16" t="s">
        <v>10</v>
      </c>
      <c r="C821" s="16" t="s">
        <v>1643</v>
      </c>
      <c r="D821" s="20" t="s">
        <v>54</v>
      </c>
      <c r="E821" s="16" t="s">
        <v>51</v>
      </c>
      <c r="F821" s="16" t="s">
        <v>1644</v>
      </c>
      <c r="G821" s="17">
        <v>2035</v>
      </c>
      <c r="H821" s="17"/>
      <c r="I821" s="17"/>
      <c r="J821" s="17">
        <v>2019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2035</v>
      </c>
      <c r="M821" s="17">
        <f aca="false">IF($H821="","",$H821+$K821)</f>
        <v/>
      </c>
      <c r="N821" s="17">
        <f aca="false">IF($J821="","",$J821+$K821)</f>
        <v>2019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81,400원</v>
      </c>
      <c r="P821" s="17">
        <f aca="false">IF($B$10=0,"",IFERROR(IF($B$4&gt;0,IF($L821="",1/0,$L821*$B$4),0)+IF($B$5&gt;0,IF($M821="",1/0,$M821*$B$5),0)+IF($B$6&gt;0,IF($N821="",1/0,$N821*$B$6),0),""))</f>
        <v>81400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81400</v>
      </c>
      <c r="U821" s="17">
        <f aca="false">IF($T821="","",IF($B$10=0,"",$T821/$B$10))</f>
        <v>2035</v>
      </c>
      <c r="V821" s="17">
        <f aca="false">IF($P821="","",IF($B$10=0,"",$P821/$B$10))</f>
        <v>2035</v>
      </c>
      <c r="W821" s="19">
        <f aca="false">IF($T821="",1000000000000000,$T821)</f>
        <v>81400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IF($T822="","",1+COUNTIF($W$15:$W$884,"&lt;"&amp;W822))</f>
        <v>806</v>
      </c>
      <c r="B822" s="16" t="s">
        <v>14</v>
      </c>
      <c r="C822" s="16" t="s">
        <v>1645</v>
      </c>
      <c r="D822" s="16" t="s">
        <v>64</v>
      </c>
      <c r="E822" s="16" t="s">
        <v>26</v>
      </c>
      <c r="F822" s="16" t="s">
        <v>1646</v>
      </c>
      <c r="G822" s="17">
        <v>2035</v>
      </c>
      <c r="H822" s="17"/>
      <c r="I822" s="17"/>
      <c r="J822" s="17">
        <v>2025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2035</v>
      </c>
      <c r="M822" s="17">
        <f aca="false">IF($H822="","",$H822+$K822)</f>
        <v/>
      </c>
      <c r="N822" s="17">
        <f aca="false">IF($J822="","",$J822+$K822)</f>
        <v>2025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81,400원</v>
      </c>
      <c r="P822" s="17">
        <f aca="false">IF($B$10=0,"",IFERROR(IF($B$4&gt;0,IF($L822="",1/0,$L822*$B$4),0)+IF($B$5&gt;0,IF($M822="",1/0,$M822*$B$5),0)+IF($B$6&gt;0,IF($N822="",1/0,$N822*$B$6),0),""))</f>
        <v>81400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81400</v>
      </c>
      <c r="U822" s="17">
        <f aca="false">IF($T822="","",IF($B$10=0,"",$T822/$B$10))</f>
        <v>2035</v>
      </c>
      <c r="V822" s="17">
        <f aca="false">IF($P822="","",IF($B$10=0,"",$P822/$B$10))</f>
        <v>2035</v>
      </c>
      <c r="W822" s="19">
        <f aca="false">IF($T822="",1000000000000000,$T822)</f>
        <v>81400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IF($T823="","",1+COUNTIF($W$15:$W$884,"&lt;"&amp;W823))</f>
        <v>806</v>
      </c>
      <c r="B823" s="16" t="s">
        <v>12</v>
      </c>
      <c r="C823" s="16" t="s">
        <v>1647</v>
      </c>
      <c r="D823" s="21" t="s">
        <v>45</v>
      </c>
      <c r="E823" s="16" t="s">
        <v>26</v>
      </c>
      <c r="F823" s="16" t="s">
        <v>1648</v>
      </c>
      <c r="G823" s="17">
        <v>2035</v>
      </c>
      <c r="H823" s="17"/>
      <c r="I823" s="17"/>
      <c r="J823" s="17">
        <v>2025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2035</v>
      </c>
      <c r="M823" s="17">
        <f aca="false">IF($H823="","",$H823+$K823)</f>
        <v/>
      </c>
      <c r="N823" s="17">
        <f aca="false">IF($J823="","",$J823+$K823)</f>
        <v>2025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81,400원</v>
      </c>
      <c r="P823" s="17">
        <f aca="false">IF($B$10=0,"",IFERROR(IF($B$4&gt;0,IF($L823="",1/0,$L823*$B$4),0)+IF($B$5&gt;0,IF($M823="",1/0,$M823*$B$5),0)+IF($B$6&gt;0,IF($N823="",1/0,$N823*$B$6),0),""))</f>
        <v>81400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81400</v>
      </c>
      <c r="U823" s="17">
        <f aca="false">IF($T823="","",IF($B$10=0,"",$T823/$B$10))</f>
        <v>2035</v>
      </c>
      <c r="V823" s="17">
        <f aca="false">IF($P823="","",IF($B$10=0,"",$P823/$B$10))</f>
        <v>2035</v>
      </c>
      <c r="W823" s="19">
        <f aca="false">IF($T823="",1000000000000000,$T823)</f>
        <v>81400</v>
      </c>
      <c r="XFB823" s="6"/>
      <c r="XFC823" s="3"/>
    </row>
    <row r="824" s="22" collapsed="false" customFormat="true" customHeight="true" hidden="false" ht="28.5" outlineLevel="0">
      <c r="A824" s="16">
        <f aca="false">IF($T824="","",1+COUNTIF($W$15:$W$884,"&lt;"&amp;W824))</f>
        <v>806</v>
      </c>
      <c r="B824" s="16" t="s">
        <v>10</v>
      </c>
      <c r="C824" s="16" t="s">
        <v>1649</v>
      </c>
      <c r="D824" s="16" t="s">
        <v>45</v>
      </c>
      <c r="E824" s="16" t="s">
        <v>51</v>
      </c>
      <c r="F824" s="16" t="s">
        <v>1650</v>
      </c>
      <c r="G824" s="17">
        <v>2035</v>
      </c>
      <c r="H824" s="17"/>
      <c r="I824" s="17"/>
      <c r="J824" s="17">
        <v>2025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2035</v>
      </c>
      <c r="M824" s="17">
        <f aca="false">IF($H824="","",$H824+$K824)</f>
        <v/>
      </c>
      <c r="N824" s="17">
        <f aca="false">IF($J824="","",$J824+$K824)</f>
        <v>2025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81,400원</v>
      </c>
      <c r="P824" s="17">
        <f aca="false">IF($B$10=0,"",IFERROR(IF($B$4&gt;0,IF($L824="",1/0,$L824*$B$4),0)+IF($B$5&gt;0,IF($M824="",1/0,$M824*$B$5),0)+IF($B$6&gt;0,IF($N824="",1/0,$N824*$B$6),0),""))</f>
        <v>81400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81400</v>
      </c>
      <c r="U824" s="17">
        <f aca="false">IF($T824="","",IF($B$10=0,"",$T824/$B$10))</f>
        <v>2035</v>
      </c>
      <c r="V824" s="17">
        <f aca="false">IF($P824="","",IF($B$10=0,"",$P824/$B$10))</f>
        <v>2035</v>
      </c>
      <c r="W824" s="19">
        <f aca="false">IF($T824="",1000000000000000,$T824)</f>
        <v>81400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IF($T825="","",1+COUNTIF($W$15:$W$884,"&lt;"&amp;W825))</f>
        <v>806</v>
      </c>
      <c r="B825" s="16" t="s">
        <v>10</v>
      </c>
      <c r="C825" s="16" t="s">
        <v>1651</v>
      </c>
      <c r="D825" s="16" t="s">
        <v>64</v>
      </c>
      <c r="E825" s="16" t="s">
        <v>51</v>
      </c>
      <c r="F825" s="16" t="s">
        <v>1652</v>
      </c>
      <c r="G825" s="17">
        <v>2035</v>
      </c>
      <c r="H825" s="17"/>
      <c r="I825" s="17"/>
      <c r="J825" s="17">
        <v>2035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/>
      </c>
      <c r="N825" s="17">
        <f aca="false">IF($J825="","",$J825+$K825)</f>
        <v>2035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22" collapsed="false" customFormat="true" customHeight="true" hidden="false" ht="28.5" outlineLevel="0">
      <c r="A826" s="16">
        <f aca="false">IF($T826="","",1+COUNTIF($W$15:$W$884,"&lt;"&amp;W826))</f>
        <v>812</v>
      </c>
      <c r="B826" s="16" t="s">
        <v>12</v>
      </c>
      <c r="C826" s="16" t="s">
        <v>1653</v>
      </c>
      <c r="D826" s="21" t="s">
        <v>45</v>
      </c>
      <c r="E826" s="16" t="s">
        <v>51</v>
      </c>
      <c r="F826" s="16" t="s">
        <v>1654</v>
      </c>
      <c r="G826" s="17">
        <v>2036</v>
      </c>
      <c r="H826" s="17"/>
      <c r="I826" s="17"/>
      <c r="J826" s="17">
        <v>2026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2036</v>
      </c>
      <c r="M826" s="17">
        <f aca="false">IF($H826="","",$H826+$K826)</f>
        <v/>
      </c>
      <c r="N826" s="17">
        <f aca="false">IF($J826="","",$J826+$K826)</f>
        <v>2026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81,440원</v>
      </c>
      <c r="P826" s="17">
        <f aca="false">IF($B$10=0,"",IFERROR(IF($B$4&gt;0,IF($L826="",1/0,$L826*$B$4),0)+IF($B$5&gt;0,IF($M826="",1/0,$M826*$B$5),0)+IF($B$6&gt;0,IF($N826="",1/0,$N826*$B$6),0),""))</f>
        <v>81440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81440</v>
      </c>
      <c r="U826" s="17">
        <f aca="false">IF($T826="","",IF($B$10=0,"",$T826/$B$10))</f>
        <v>2036</v>
      </c>
      <c r="V826" s="17">
        <f aca="false">IF($P826="","",IF($B$10=0,"",$P826/$B$10))</f>
        <v>2036</v>
      </c>
      <c r="W826" s="19">
        <f aca="false">IF($T826="",1000000000000000,$T826)</f>
        <v>81440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IF($T827="","",1+COUNTIF($W$15:$W$884,"&lt;"&amp;W827))</f>
        <v>812</v>
      </c>
      <c r="B827" s="16" t="s">
        <v>14</v>
      </c>
      <c r="C827" s="16" t="s">
        <v>1655</v>
      </c>
      <c r="D827" s="16" t="s">
        <v>45</v>
      </c>
      <c r="E827" s="16" t="s">
        <v>26</v>
      </c>
      <c r="F827" s="16" t="s">
        <v>1656</v>
      </c>
      <c r="G827" s="17">
        <v>2036</v>
      </c>
      <c r="H827" s="17"/>
      <c r="I827" s="17"/>
      <c r="J827" s="17">
        <v>2036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2036</v>
      </c>
      <c r="M827" s="17">
        <f aca="false">IF($H827="","",$H827+$K827)</f>
        <v/>
      </c>
      <c r="N827" s="17">
        <f aca="false">IF($J827="","",$J827+$K827)</f>
        <v>2036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81,440원</v>
      </c>
      <c r="P827" s="17">
        <f aca="false">IF($B$10=0,"",IFERROR(IF($B$4&gt;0,IF($L827="",1/0,$L827*$B$4),0)+IF($B$5&gt;0,IF($M827="",1/0,$M827*$B$5),0)+IF($B$6&gt;0,IF($N827="",1/0,$N827*$B$6),0),""))</f>
        <v>81440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81440</v>
      </c>
      <c r="U827" s="17">
        <f aca="false">IF($T827="","",IF($B$10=0,"",$T827/$B$10))</f>
        <v>2036</v>
      </c>
      <c r="V827" s="17">
        <f aca="false">IF($P827="","",IF($B$10=0,"",$P827/$B$10))</f>
        <v>2036</v>
      </c>
      <c r="W827" s="19">
        <f aca="false">IF($T827="",1000000000000000,$T827)</f>
        <v>81440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IF($T828="","",1+COUNTIF($W$15:$W$884,"&lt;"&amp;W828))</f>
        <v>814</v>
      </c>
      <c r="B828" s="16" t="s">
        <v>6</v>
      </c>
      <c r="C828" s="16" t="s">
        <v>1657</v>
      </c>
      <c r="D828" s="20" t="s">
        <v>54</v>
      </c>
      <c r="E828" s="16" t="s">
        <v>26</v>
      </c>
      <c r="F828" s="16" t="s">
        <v>1658</v>
      </c>
      <c r="G828" s="17">
        <v>2038</v>
      </c>
      <c r="H828" s="17">
        <v>2398</v>
      </c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2038</v>
      </c>
      <c r="M828" s="17">
        <f aca="false">IF($H828="","",$H828+$K828)</f>
        <v>2398</v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81,520원</v>
      </c>
      <c r="P828" s="17">
        <f aca="false">IF($B$10=0,"",IFERROR(IF($B$4&gt;0,IF($L828="",1/0,$L828*$B$4),0)+IF($B$5&gt;0,IF($M828="",1/0,$M828*$B$5),0)+IF($B$6&gt;0,IF($N828="",1/0,$N828*$B$6),0),""))</f>
        <v>81520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81520</v>
      </c>
      <c r="U828" s="17">
        <f aca="false">IF($T828="","",IF($B$10=0,"",$T828/$B$10))</f>
        <v>2038</v>
      </c>
      <c r="V828" s="17">
        <f aca="false">IF($P828="","",IF($B$10=0,"",$P828/$B$10))</f>
        <v>2038</v>
      </c>
      <c r="W828" s="19">
        <f aca="false">IF($T828="",1000000000000000,$T828)</f>
        <v>81520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IF($T829="","",1+COUNTIF($W$15:$W$884,"&lt;"&amp;W829))</f>
        <v>814</v>
      </c>
      <c r="B829" s="16" t="s">
        <v>14</v>
      </c>
      <c r="C829" s="16" t="s">
        <v>1659</v>
      </c>
      <c r="D829" s="20" t="s">
        <v>54</v>
      </c>
      <c r="E829" s="16" t="s">
        <v>26</v>
      </c>
      <c r="F829" s="16" t="s">
        <v>1660</v>
      </c>
      <c r="G829" s="17">
        <v>2038</v>
      </c>
      <c r="H829" s="17"/>
      <c r="I829" s="17"/>
      <c r="J829" s="17">
        <v>2018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2038</v>
      </c>
      <c r="M829" s="17">
        <f aca="false">IF($H829="","",$H829+$K829)</f>
        <v/>
      </c>
      <c r="N829" s="17">
        <f aca="false">IF($J829="","",$J829+$K829)</f>
        <v>2018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81,520원</v>
      </c>
      <c r="P829" s="17">
        <f aca="false">IF($B$10=0,"",IFERROR(IF($B$4&gt;0,IF($L829="",1/0,$L829*$B$4),0)+IF($B$5&gt;0,IF($M829="",1/0,$M829*$B$5),0)+IF($B$6&gt;0,IF($N829="",1/0,$N829*$B$6),0),""))</f>
        <v>81520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81520</v>
      </c>
      <c r="U829" s="17">
        <f aca="false">IF($T829="","",IF($B$10=0,"",$T829/$B$10))</f>
        <v>2038</v>
      </c>
      <c r="V829" s="17">
        <f aca="false">IF($P829="","",IF($B$10=0,"",$P829/$B$10))</f>
        <v>2038</v>
      </c>
      <c r="W829" s="19">
        <f aca="false">IF($T829="",1000000000000000,$T829)</f>
        <v>81520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IF($T830="","",1+COUNTIF($W$15:$W$884,"&lt;"&amp;W830))</f>
        <v>814</v>
      </c>
      <c r="B830" s="16" t="s">
        <v>12</v>
      </c>
      <c r="C830" s="16" t="s">
        <v>1661</v>
      </c>
      <c r="D830" s="21" t="s">
        <v>57</v>
      </c>
      <c r="E830" s="16" t="s">
        <v>51</v>
      </c>
      <c r="F830" s="16" t="s">
        <v>1662</v>
      </c>
      <c r="G830" s="17">
        <v>2038</v>
      </c>
      <c r="H830" s="17"/>
      <c r="I830" s="17"/>
      <c r="J830" s="17">
        <v>2028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2038</v>
      </c>
      <c r="M830" s="17">
        <f aca="false">IF($H830="","",$H830+$K830)</f>
        <v/>
      </c>
      <c r="N830" s="17">
        <f aca="false">IF($J830="","",$J830+$K830)</f>
        <v>2028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81,520원</v>
      </c>
      <c r="P830" s="17">
        <f aca="false">IF($B$10=0,"",IFERROR(IF($B$4&gt;0,IF($L830="",1/0,$L830*$B$4),0)+IF($B$5&gt;0,IF($M830="",1/0,$M830*$B$5),0)+IF($B$6&gt;0,IF($N830="",1/0,$N830*$B$6),0),""))</f>
        <v>81520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81520</v>
      </c>
      <c r="U830" s="17">
        <f aca="false">IF($T830="","",IF($B$10=0,"",$T830/$B$10))</f>
        <v>2038</v>
      </c>
      <c r="V830" s="17">
        <f aca="false">IF($P830="","",IF($B$10=0,"",$P830/$B$10))</f>
        <v>2038</v>
      </c>
      <c r="W830" s="19">
        <f aca="false">IF($T830="",1000000000000000,$T830)</f>
        <v>81520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IF($T831="","",1+COUNTIF($W$15:$W$884,"&lt;"&amp;W831))</f>
        <v>814</v>
      </c>
      <c r="B831" s="16" t="s">
        <v>12</v>
      </c>
      <c r="C831" s="16" t="s">
        <v>1663</v>
      </c>
      <c r="D831" s="21" t="s">
        <v>64</v>
      </c>
      <c r="E831" s="16" t="s">
        <v>51</v>
      </c>
      <c r="F831" s="16" t="s">
        <v>1664</v>
      </c>
      <c r="G831" s="17">
        <v>2038</v>
      </c>
      <c r="H831" s="17"/>
      <c r="I831" s="17"/>
      <c r="J831" s="17">
        <v>2028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2038</v>
      </c>
      <c r="M831" s="17">
        <f aca="false">IF($H831="","",$H831+$K831)</f>
        <v/>
      </c>
      <c r="N831" s="17">
        <f aca="false">IF($J831="","",$J831+$K831)</f>
        <v>2028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81,520원</v>
      </c>
      <c r="P831" s="17">
        <f aca="false">IF($B$10=0,"",IFERROR(IF($B$4&gt;0,IF($L831="",1/0,$L831*$B$4),0)+IF($B$5&gt;0,IF($M831="",1/0,$M831*$B$5),0)+IF($B$6&gt;0,IF($N831="",1/0,$N831*$B$6),0),""))</f>
        <v>81520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81520</v>
      </c>
      <c r="U831" s="17">
        <f aca="false">IF($T831="","",IF($B$10=0,"",$T831/$B$10))</f>
        <v>2038</v>
      </c>
      <c r="V831" s="17">
        <f aca="false">IF($P831="","",IF($B$10=0,"",$P831/$B$10))</f>
        <v>2038</v>
      </c>
      <c r="W831" s="19">
        <f aca="false">IF($T831="",1000000000000000,$T831)</f>
        <v>81520</v>
      </c>
      <c r="XFC831" s="3"/>
    </row>
    <row r="832" s="22" collapsed="false" customFormat="true" customHeight="true" hidden="false" ht="28.5" outlineLevel="0">
      <c r="A832" s="16">
        <f aca="false">IF($T832="","",1+COUNTIF($W$15:$W$884,"&lt;"&amp;W832))</f>
        <v>814</v>
      </c>
      <c r="B832" s="16" t="s">
        <v>10</v>
      </c>
      <c r="C832" s="16" t="s">
        <v>1665</v>
      </c>
      <c r="D832" s="20" t="s">
        <v>54</v>
      </c>
      <c r="E832" s="16" t="s">
        <v>51</v>
      </c>
      <c r="F832" s="16" t="s">
        <v>1666</v>
      </c>
      <c r="G832" s="17">
        <v>2038</v>
      </c>
      <c r="H832" s="17"/>
      <c r="I832" s="17"/>
      <c r="J832" s="17">
        <v>2028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2038</v>
      </c>
      <c r="M832" s="17">
        <f aca="false">IF($H832="","",$H832+$K832)</f>
        <v/>
      </c>
      <c r="N832" s="17">
        <f aca="false">IF($J832="","",$J832+$K832)</f>
        <v>2028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81,520원</v>
      </c>
      <c r="P832" s="17">
        <f aca="false">IF($B$10=0,"",IFERROR(IF($B$4&gt;0,IF($L832="",1/0,$L832*$B$4),0)+IF($B$5&gt;0,IF($M832="",1/0,$M832*$B$5),0)+IF($B$6&gt;0,IF($N832="",1/0,$N832*$B$6),0),""))</f>
        <v>81520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81520</v>
      </c>
      <c r="U832" s="17">
        <f aca="false">IF($T832="","",IF($B$10=0,"",$T832/$B$10))</f>
        <v>2038</v>
      </c>
      <c r="V832" s="17">
        <f aca="false">IF($P832="","",IF($B$10=0,"",$P832/$B$10))</f>
        <v>2038</v>
      </c>
      <c r="W832" s="19">
        <f aca="false">IF($T832="",1000000000000000,$T832)</f>
        <v>81520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IF($T833="","",1+COUNTIF($W$15:$W$884,"&lt;"&amp;W833))</f>
        <v>814</v>
      </c>
      <c r="B833" s="16" t="s">
        <v>14</v>
      </c>
      <c r="C833" s="16" t="s">
        <v>1558</v>
      </c>
      <c r="D833" s="16" t="s">
        <v>64</v>
      </c>
      <c r="E833" s="16" t="s">
        <v>26</v>
      </c>
      <c r="F833" s="16" t="s">
        <v>1559</v>
      </c>
      <c r="G833" s="17">
        <v>2038</v>
      </c>
      <c r="H833" s="17"/>
      <c r="I833" s="17"/>
      <c r="J833" s="17">
        <v>2037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2037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IF($T834="","",1+COUNTIF($W$15:$W$884,"&lt;"&amp;W834))</f>
        <v>814</v>
      </c>
      <c r="B834" s="16" t="s">
        <v>14</v>
      </c>
      <c r="C834" s="16" t="s">
        <v>1667</v>
      </c>
      <c r="D834" s="16" t="s">
        <v>45</v>
      </c>
      <c r="E834" s="16" t="s">
        <v>51</v>
      </c>
      <c r="F834" s="16" t="s">
        <v>1668</v>
      </c>
      <c r="G834" s="17">
        <v>2038</v>
      </c>
      <c r="H834" s="17"/>
      <c r="I834" s="17"/>
      <c r="J834" s="17">
        <v>2038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2038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IF($T835="","",1+COUNTIF($W$15:$W$884,"&lt;"&amp;W835))</f>
        <v>814</v>
      </c>
      <c r="B835" s="16" t="s">
        <v>12</v>
      </c>
      <c r="C835" s="16" t="s">
        <v>1669</v>
      </c>
      <c r="D835" s="21" t="s">
        <v>45</v>
      </c>
      <c r="E835" s="16" t="s">
        <v>51</v>
      </c>
      <c r="F835" s="16" t="s">
        <v>1670</v>
      </c>
      <c r="G835" s="17">
        <v>2038</v>
      </c>
      <c r="H835" s="17"/>
      <c r="I835" s="17"/>
      <c r="J835" s="17">
        <v>2038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2038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IF($T836="","",1+COUNTIF($W$15:$W$884,"&lt;"&amp;W836))</f>
        <v>822</v>
      </c>
      <c r="B836" s="16" t="s">
        <v>8</v>
      </c>
      <c r="C836" s="16" t="s">
        <v>1671</v>
      </c>
      <c r="D836" s="16" t="s">
        <v>64</v>
      </c>
      <c r="E836" s="16" t="s">
        <v>26</v>
      </c>
      <c r="F836" s="16" t="s">
        <v>1672</v>
      </c>
      <c r="G836" s="17">
        <v>2039</v>
      </c>
      <c r="H836" s="17">
        <v>2459</v>
      </c>
      <c r="I836" s="17"/>
      <c r="J836" s="17">
        <v>2029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2039</v>
      </c>
      <c r="M836" s="17">
        <f aca="false">IF($H836="","",$H836+$K836)</f>
        <v>2459</v>
      </c>
      <c r="N836" s="17">
        <f aca="false">IF($J836="","",$J836+$K836)</f>
        <v>2029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81,560원</v>
      </c>
      <c r="P836" s="17">
        <f aca="false">IF($B$10=0,"",IFERROR(IF($B$4&gt;0,IF($L836="",1/0,$L836*$B$4),0)+IF($B$5&gt;0,IF($M836="",1/0,$M836*$B$5),0)+IF($B$6&gt;0,IF($N836="",1/0,$N836*$B$6),0),""))</f>
        <v>81560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81560</v>
      </c>
      <c r="U836" s="17">
        <f aca="false">IF($T836="","",IF($B$10=0,"",$T836/$B$10))</f>
        <v>2039</v>
      </c>
      <c r="V836" s="17">
        <f aca="false">IF($P836="","",IF($B$10=0,"",$P836/$B$10))</f>
        <v>2039</v>
      </c>
      <c r="W836" s="19">
        <f aca="false">IF($T836="",1000000000000000,$T836)</f>
        <v>81560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IF($T837="","",1+COUNTIF($W$15:$W$884,"&lt;"&amp;W837))</f>
        <v>822</v>
      </c>
      <c r="B837" s="16" t="s">
        <v>14</v>
      </c>
      <c r="C837" s="16" t="s">
        <v>1123</v>
      </c>
      <c r="D837" s="16" t="s">
        <v>64</v>
      </c>
      <c r="E837" s="16" t="s">
        <v>26</v>
      </c>
      <c r="F837" s="16" t="s">
        <v>1673</v>
      </c>
      <c r="G837" s="17">
        <v>2039</v>
      </c>
      <c r="H837" s="17">
        <v>2459</v>
      </c>
      <c r="I837" s="17"/>
      <c r="J837" s="17">
        <v>2029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2039</v>
      </c>
      <c r="M837" s="17">
        <f aca="false">IF($H837="","",$H837+$K837)</f>
        <v>2459</v>
      </c>
      <c r="N837" s="17">
        <f aca="false">IF($J837="","",$J837+$K837)</f>
        <v>2029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81,560원</v>
      </c>
      <c r="P837" s="17">
        <f aca="false">IF($B$10=0,"",IFERROR(IF($B$4&gt;0,IF($L837="",1/0,$L837*$B$4),0)+IF($B$5&gt;0,IF($M837="",1/0,$M837*$B$5),0)+IF($B$6&gt;0,IF($N837="",1/0,$N837*$B$6),0),""))</f>
        <v>81560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81560</v>
      </c>
      <c r="U837" s="17">
        <f aca="false">IF($T837="","",IF($B$10=0,"",$T837/$B$10))</f>
        <v>2039</v>
      </c>
      <c r="V837" s="17">
        <f aca="false">IF($P837="","",IF($B$10=0,"",$P837/$B$10))</f>
        <v>2039</v>
      </c>
      <c r="W837" s="19">
        <f aca="false">IF($T837="",1000000000000000,$T837)</f>
        <v>81560</v>
      </c>
      <c r="XFB837" s="6"/>
      <c r="XFC837" s="3"/>
    </row>
    <row r="838" s="6" collapsed="false" customFormat="true" customHeight="true" hidden="false" ht="28.5" outlineLevel="0">
      <c r="A838" s="16">
        <f aca="false">IF($T838="","",1+COUNTIF($W$15:$W$884,"&lt;"&amp;W838))</f>
        <v>822</v>
      </c>
      <c r="B838" s="16" t="s">
        <v>10</v>
      </c>
      <c r="C838" s="16" t="s">
        <v>1674</v>
      </c>
      <c r="D838" s="16" t="s">
        <v>45</v>
      </c>
      <c r="E838" s="16" t="s">
        <v>26</v>
      </c>
      <c r="F838" s="16" t="s">
        <v>1675</v>
      </c>
      <c r="G838" s="17">
        <v>2039</v>
      </c>
      <c r="H838" s="17">
        <v>2550</v>
      </c>
      <c r="I838" s="17"/>
      <c r="J838" s="17">
        <v>2029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2039</v>
      </c>
      <c r="M838" s="17">
        <f aca="false">IF($H838="","",$H838+$K838)</f>
        <v>2550</v>
      </c>
      <c r="N838" s="17">
        <f aca="false">IF($J838="","",$J838+$K838)</f>
        <v>2029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81,560원</v>
      </c>
      <c r="P838" s="17">
        <f aca="false">IF($B$10=0,"",IFERROR(IF($B$4&gt;0,IF($L838="",1/0,$L838*$B$4),0)+IF($B$5&gt;0,IF($M838="",1/0,$M838*$B$5),0)+IF($B$6&gt;0,IF($N838="",1/0,$N838*$B$6),0),""))</f>
        <v>81560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81560</v>
      </c>
      <c r="U838" s="17">
        <f aca="false">IF($T838="","",IF($B$10=0,"",$T838/$B$10))</f>
        <v>2039</v>
      </c>
      <c r="V838" s="17">
        <f aca="false">IF($P838="","",IF($B$10=0,"",$P838/$B$10))</f>
        <v>2039</v>
      </c>
      <c r="W838" s="19">
        <f aca="false">IF($T838="",1000000000000000,$T838)</f>
        <v>81560</v>
      </c>
      <c r="XFC838" s="3"/>
    </row>
    <row r="839" s="5" collapsed="false" customFormat="true" customHeight="true" hidden="false" ht="28.5" outlineLevel="0">
      <c r="A839" s="16">
        <f aca="false">IF($T839="","",1+COUNTIF($W$15:$W$884,"&lt;"&amp;W839))</f>
        <v>822</v>
      </c>
      <c r="B839" s="16" t="s">
        <v>14</v>
      </c>
      <c r="C839" s="16" t="s">
        <v>1676</v>
      </c>
      <c r="D839" s="16" t="s">
        <v>176</v>
      </c>
      <c r="E839" s="16" t="s">
        <v>26</v>
      </c>
      <c r="F839" s="16" t="s">
        <v>1677</v>
      </c>
      <c r="G839" s="17">
        <v>2039</v>
      </c>
      <c r="H839" s="17"/>
      <c r="I839" s="17"/>
      <c r="J839" s="17">
        <v>1999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/>
      </c>
      <c r="N839" s="17">
        <f aca="false">IF($J839="","",$J839+$K839)</f>
        <v>1999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81,560원</v>
      </c>
      <c r="P839" s="17">
        <f aca="false">IF($B$10=0,"",IFERROR(IF($B$4&gt;0,IF($L839="",1/0,$L839*$B$4),0)+IF($B$5&gt;0,IF($M839="",1/0,$M839*$B$5),0)+IF($B$6&gt;0,IF($N839="",1/0,$N839*$B$6),0),""))</f>
        <v>81560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81560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81560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IF($T840="","",1+COUNTIF($W$15:$W$884,"&lt;"&amp;W840))</f>
        <v>822</v>
      </c>
      <c r="B840" s="16" t="s">
        <v>14</v>
      </c>
      <c r="C840" s="16" t="s">
        <v>1678</v>
      </c>
      <c r="D840" s="16" t="s">
        <v>45</v>
      </c>
      <c r="E840" s="16" t="s">
        <v>51</v>
      </c>
      <c r="F840" s="16" t="s">
        <v>1679</v>
      </c>
      <c r="G840" s="17">
        <v>2039</v>
      </c>
      <c r="H840" s="17"/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/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81,560원</v>
      </c>
      <c r="P840" s="17">
        <f aca="false">IF($B$10=0,"",IFERROR(IF($B$4&gt;0,IF($L840="",1/0,$L840*$B$4),0)+IF($B$5&gt;0,IF($M840="",1/0,$M840*$B$5),0)+IF($B$6&gt;0,IF($N840="",1/0,$N840*$B$6),0),""))</f>
        <v>81560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81560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81560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IF($T841="","",1+COUNTIF($W$15:$W$884,"&lt;"&amp;W841))</f>
        <v>822</v>
      </c>
      <c r="B841" s="16" t="s">
        <v>14</v>
      </c>
      <c r="C841" s="16" t="s">
        <v>1680</v>
      </c>
      <c r="D841" s="16" t="s">
        <v>176</v>
      </c>
      <c r="E841" s="16" t="s">
        <v>51</v>
      </c>
      <c r="F841" s="16" t="s">
        <v>1681</v>
      </c>
      <c r="G841" s="17">
        <v>2039</v>
      </c>
      <c r="H841" s="17"/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/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IF($T842="","",1+COUNTIF($W$15:$W$884,"&lt;"&amp;W842))</f>
        <v>822</v>
      </c>
      <c r="B842" s="16" t="s">
        <v>14</v>
      </c>
      <c r="C842" s="16" t="s">
        <v>1682</v>
      </c>
      <c r="D842" s="16" t="s">
        <v>176</v>
      </c>
      <c r="E842" s="16" t="s">
        <v>51</v>
      </c>
      <c r="F842" s="16" t="s">
        <v>1683</v>
      </c>
      <c r="G842" s="17">
        <v>2039</v>
      </c>
      <c r="H842" s="17"/>
      <c r="I842" s="17"/>
      <c r="J842" s="17">
        <v>2029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2029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22" collapsed="false" customFormat="true" customHeight="true" hidden="false" ht="28.5" outlineLevel="0">
      <c r="A843" s="16">
        <f aca="false">IF($T843="","",1+COUNTIF($W$15:$W$884,"&lt;"&amp;W843))</f>
        <v>822</v>
      </c>
      <c r="B843" s="16" t="s">
        <v>10</v>
      </c>
      <c r="C843" s="16" t="s">
        <v>1684</v>
      </c>
      <c r="D843" s="16" t="s">
        <v>45</v>
      </c>
      <c r="E843" s="16" t="s">
        <v>26</v>
      </c>
      <c r="F843" s="16" t="s">
        <v>1685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IF($T844="","",1+COUNTIF($W$15:$W$884,"&lt;"&amp;W844))</f>
        <v>822</v>
      </c>
      <c r="B844" s="16" t="s">
        <v>10</v>
      </c>
      <c r="C844" s="16" t="s">
        <v>1686</v>
      </c>
      <c r="D844" s="20" t="s">
        <v>54</v>
      </c>
      <c r="E844" s="16" t="s">
        <v>51</v>
      </c>
      <c r="F844" s="16" t="s">
        <v>1687</v>
      </c>
      <c r="G844" s="17">
        <v>2039</v>
      </c>
      <c r="H844" s="17"/>
      <c r="I844" s="17"/>
      <c r="J844" s="17">
        <v>2035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2035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22" collapsed="false" customFormat="true" customHeight="true" hidden="false" ht="28.5" outlineLevel="0">
      <c r="A845" s="16">
        <f aca="false">IF($T845="","",1+COUNTIF($W$15:$W$884,"&lt;"&amp;W845))</f>
        <v>822</v>
      </c>
      <c r="B845" s="16" t="s">
        <v>16</v>
      </c>
      <c r="C845" s="16" t="s">
        <v>1175</v>
      </c>
      <c r="D845" s="20" t="s">
        <v>54</v>
      </c>
      <c r="E845" s="16" t="s">
        <v>51</v>
      </c>
      <c r="F845" s="16" t="s">
        <v>1176</v>
      </c>
      <c r="G845" s="17">
        <v>2039</v>
      </c>
      <c r="H845" s="17"/>
      <c r="I845" s="17"/>
      <c r="J845" s="17">
        <v>2039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2039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22" collapsed="false" customFormat="true" customHeight="true" hidden="false" ht="28.5" outlineLevel="0">
      <c r="A846" s="16">
        <f aca="false">IF($T846="","",1+COUNTIF($W$15:$W$884,"&lt;"&amp;W846))</f>
        <v>822</v>
      </c>
      <c r="B846" s="16" t="s">
        <v>16</v>
      </c>
      <c r="C846" s="16" t="s">
        <v>1177</v>
      </c>
      <c r="D846" s="20" t="s">
        <v>54</v>
      </c>
      <c r="E846" s="16" t="s">
        <v>51</v>
      </c>
      <c r="F846" s="16" t="s">
        <v>1178</v>
      </c>
      <c r="G846" s="17">
        <v>2039</v>
      </c>
      <c r="H846" s="17"/>
      <c r="I846" s="17"/>
      <c r="J846" s="17">
        <v>2039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2039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IF($T847="","",1+COUNTIF($W$15:$W$884,"&lt;"&amp;W847))</f>
        <v>822</v>
      </c>
      <c r="B847" s="16" t="s">
        <v>14</v>
      </c>
      <c r="C847" s="16" t="s">
        <v>1611</v>
      </c>
      <c r="D847" s="21" t="s">
        <v>57</v>
      </c>
      <c r="E847" s="16" t="s">
        <v>26</v>
      </c>
      <c r="F847" s="16" t="s">
        <v>1612</v>
      </c>
      <c r="G847" s="17">
        <v>2039</v>
      </c>
      <c r="H847" s="17"/>
      <c r="I847" s="17"/>
      <c r="J847" s="17">
        <v>2039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6" collapsed="false" customFormat="true" customHeight="true" hidden="false" ht="28.5" outlineLevel="0">
      <c r="A848" s="16">
        <f aca="false">IF($T848="","",1+COUNTIF($W$15:$W$884,"&lt;"&amp;W848))</f>
        <v>822</v>
      </c>
      <c r="B848" s="16" t="s">
        <v>14</v>
      </c>
      <c r="C848" s="16" t="s">
        <v>1688</v>
      </c>
      <c r="D848" s="20" t="s">
        <v>54</v>
      </c>
      <c r="E848" s="16" t="s">
        <v>26</v>
      </c>
      <c r="F848" s="16" t="s">
        <v>1689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C848" s="3"/>
    </row>
    <row r="849" s="6" collapsed="false" customFormat="true" customHeight="true" hidden="false" ht="28.5" outlineLevel="0">
      <c r="A849" s="16">
        <f aca="false">IF($T849="","",1+COUNTIF($W$15:$W$884,"&lt;"&amp;W849))</f>
        <v>822</v>
      </c>
      <c r="B849" s="16" t="s">
        <v>14</v>
      </c>
      <c r="C849" s="16" t="s">
        <v>1692</v>
      </c>
      <c r="D849" s="20" t="s">
        <v>54</v>
      </c>
      <c r="E849" s="16" t="s">
        <v>26</v>
      </c>
      <c r="F849" s="16" t="s">
        <v>1693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C849" s="3"/>
    </row>
    <row r="850" s="6" collapsed="false" customFormat="true" customHeight="true" hidden="false" ht="28.5" outlineLevel="0">
      <c r="A850" s="16">
        <f aca="false">IF($T850="","",1+COUNTIF($W$15:$W$884,"&lt;"&amp;W850))</f>
        <v>822</v>
      </c>
      <c r="B850" s="16" t="s">
        <v>10</v>
      </c>
      <c r="C850" s="16" t="s">
        <v>1694</v>
      </c>
      <c r="D850" s="21" t="s">
        <v>57</v>
      </c>
      <c r="E850" s="16" t="s">
        <v>51</v>
      </c>
      <c r="F850" s="16" t="s">
        <v>1695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C850" s="3"/>
    </row>
    <row r="851" s="5" collapsed="false" customFormat="true" customHeight="true" hidden="false" ht="28.5" outlineLevel="0">
      <c r="A851" s="16">
        <f aca="false">IF($T851="","",1+COUNTIF($W$15:$W$884,"&lt;"&amp;W851))</f>
        <v>822</v>
      </c>
      <c r="B851" s="16" t="s">
        <v>10</v>
      </c>
      <c r="C851" s="16" t="s">
        <v>1696</v>
      </c>
      <c r="D851" s="21" t="s">
        <v>57</v>
      </c>
      <c r="E851" s="16" t="s">
        <v>51</v>
      </c>
      <c r="F851" s="16" t="s">
        <v>1697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IF($T852="","",1+COUNTIF($W$15:$W$884,"&lt;"&amp;W852))</f>
        <v>822</v>
      </c>
      <c r="B852" s="16" t="s">
        <v>10</v>
      </c>
      <c r="C852" s="16" t="s">
        <v>212</v>
      </c>
      <c r="D852" s="21" t="s">
        <v>57</v>
      </c>
      <c r="E852" s="16" t="s">
        <v>51</v>
      </c>
      <c r="F852" s="16" t="s">
        <v>1698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IF($T853="","",1+COUNTIF($W$15:$W$884,"&lt;"&amp;W853))</f>
        <v>822</v>
      </c>
      <c r="B853" s="16" t="s">
        <v>14</v>
      </c>
      <c r="C853" s="16" t="s">
        <v>1690</v>
      </c>
      <c r="D853" s="16" t="s">
        <v>45</v>
      </c>
      <c r="E853" s="16" t="s">
        <v>26</v>
      </c>
      <c r="F853" s="16" t="s">
        <v>1691</v>
      </c>
      <c r="G853" s="17">
        <v>2039</v>
      </c>
      <c r="H853" s="17"/>
      <c r="I853" s="17"/>
      <c r="J853" s="17">
        <v>2059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2059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B853" s="6"/>
      <c r="XFC853" s="3"/>
    </row>
    <row r="854" s="6" collapsed="false" customFormat="true" customHeight="true" hidden="false" ht="28.5" outlineLevel="0">
      <c r="A854" s="16">
        <f aca="false">IF($T854="","",1+COUNTIF($W$15:$W$884,"&lt;"&amp;W854))</f>
        <v>840</v>
      </c>
      <c r="B854" s="16" t="s">
        <v>12</v>
      </c>
      <c r="C854" s="16" t="s">
        <v>1699</v>
      </c>
      <c r="D854" s="21" t="s">
        <v>64</v>
      </c>
      <c r="E854" s="16" t="s">
        <v>51</v>
      </c>
      <c r="F854" s="16" t="s">
        <v>1700</v>
      </c>
      <c r="G854" s="17">
        <v>2045</v>
      </c>
      <c r="H854" s="17"/>
      <c r="I854" s="17"/>
      <c r="J854" s="17">
        <v>2035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2045</v>
      </c>
      <c r="M854" s="17">
        <f aca="false">IF($H854="","",$H854+$K854)</f>
        <v/>
      </c>
      <c r="N854" s="17">
        <f aca="false">IF($J854="","",$J854+$K854)</f>
        <v>2035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81,800원</v>
      </c>
      <c r="P854" s="17">
        <f aca="false">IF($B$10=0,"",IFERROR(IF($B$4&gt;0,IF($L854="",1/0,$L854*$B$4),0)+IF($B$5&gt;0,IF($M854="",1/0,$M854*$B$5),0)+IF($B$6&gt;0,IF($N854="",1/0,$N854*$B$6),0),""))</f>
        <v>81800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81800</v>
      </c>
      <c r="U854" s="17">
        <f aca="false">IF($T854="","",IF($B$10=0,"",$T854/$B$10))</f>
        <v>2045</v>
      </c>
      <c r="V854" s="17">
        <f aca="false">IF($P854="","",IF($B$10=0,"",$P854/$B$10))</f>
        <v>2045</v>
      </c>
      <c r="W854" s="19">
        <f aca="false">IF($T854="",1000000000000000,$T854)</f>
        <v>81800</v>
      </c>
      <c r="XFC854" s="3"/>
    </row>
    <row r="855" s="5" collapsed="false" customFormat="true" customHeight="true" hidden="false" ht="28.5" outlineLevel="0">
      <c r="A855" s="16">
        <f aca="false">IF($T855="","",1+COUNTIF($W$15:$W$884,"&lt;"&amp;W855))</f>
        <v>841</v>
      </c>
      <c r="B855" s="16" t="s">
        <v>12</v>
      </c>
      <c r="C855" s="16" t="s">
        <v>1701</v>
      </c>
      <c r="D855" s="21" t="s">
        <v>45</v>
      </c>
      <c r="E855" s="16" t="s">
        <v>26</v>
      </c>
      <c r="F855" s="16" t="s">
        <v>1702</v>
      </c>
      <c r="G855" s="17">
        <v>2048</v>
      </c>
      <c r="H855" s="17"/>
      <c r="I855" s="17"/>
      <c r="J855" s="17">
        <v>2038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2048</v>
      </c>
      <c r="M855" s="17">
        <f aca="false">IF($H855="","",$H855+$K855)</f>
        <v/>
      </c>
      <c r="N855" s="17">
        <f aca="false">IF($J855="","",$J855+$K855)</f>
        <v>2038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81,920원</v>
      </c>
      <c r="P855" s="17">
        <f aca="false">IF($B$10=0,"",IFERROR(IF($B$4&gt;0,IF($L855="",1/0,$L855*$B$4),0)+IF($B$5&gt;0,IF($M855="",1/0,$M855*$B$5),0)+IF($B$6&gt;0,IF($N855="",1/0,$N855*$B$6),0),""))</f>
        <v>81920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81920</v>
      </c>
      <c r="U855" s="17">
        <f aca="false">IF($T855="","",IF($B$10=0,"",$T855/$B$10))</f>
        <v>2048</v>
      </c>
      <c r="V855" s="17">
        <f aca="false">IF($P855="","",IF($B$10=0,"",$P855/$B$10))</f>
        <v>2048</v>
      </c>
      <c r="W855" s="19">
        <f aca="false">IF($T855="",1000000000000000,$T855)</f>
        <v>81920</v>
      </c>
      <c r="XFB855" s="6"/>
      <c r="XFC855" s="3"/>
    </row>
    <row r="856" s="6" collapsed="false" customFormat="true" customHeight="true" hidden="false" ht="28.5" outlineLevel="0">
      <c r="A856" s="16">
        <f aca="false">IF($T856="","",1+COUNTIF($W$15:$W$884,"&lt;"&amp;W856))</f>
        <v>842</v>
      </c>
      <c r="B856" s="16" t="s">
        <v>12</v>
      </c>
      <c r="C856" s="16" t="s">
        <v>1703</v>
      </c>
      <c r="D856" s="21" t="s">
        <v>57</v>
      </c>
      <c r="E856" s="16" t="s">
        <v>26</v>
      </c>
      <c r="F856" s="16" t="s">
        <v>1704</v>
      </c>
      <c r="G856" s="17">
        <v>2049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81,960원</v>
      </c>
      <c r="P856" s="17">
        <f aca="false">IF($B$10=0,"",IFERROR(IF($B$4&gt;0,IF($L856="",1/0,$L856*$B$4),0)+IF($B$5&gt;0,IF($M856="",1/0,$M856*$B$5),0)+IF($B$6&gt;0,IF($N856="",1/0,$N856*$B$6),0),""))</f>
        <v>81960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81960</v>
      </c>
      <c r="U856" s="17">
        <f aca="false">IF($T856="","",IF($B$10=0,"",$T856/$B$10))</f>
        <v>2049</v>
      </c>
      <c r="V856" s="17">
        <f aca="false">IF($P856="","",IF($B$10=0,"",$P856/$B$10))</f>
        <v>2049</v>
      </c>
      <c r="W856" s="19">
        <f aca="false">IF($T856="",1000000000000000,$T856)</f>
        <v>81960</v>
      </c>
      <c r="XFC856" s="3"/>
    </row>
    <row r="857" s="22" collapsed="false" customFormat="true" customHeight="true" hidden="false" ht="28.5" outlineLevel="0">
      <c r="A857" s="16">
        <f aca="false">IF($T857="","",1+COUNTIF($W$15:$W$884,"&lt;"&amp;W857))</f>
        <v>843</v>
      </c>
      <c r="B857" s="16" t="s">
        <v>12</v>
      </c>
      <c r="C857" s="16" t="s">
        <v>1705</v>
      </c>
      <c r="D857" s="21" t="s">
        <v>64</v>
      </c>
      <c r="E857" s="16" t="s">
        <v>26</v>
      </c>
      <c r="F857" s="16" t="s">
        <v>1706</v>
      </c>
      <c r="G857" s="17">
        <v>2050</v>
      </c>
      <c r="H857" s="17"/>
      <c r="I857" s="17"/>
      <c r="J857" s="17">
        <v>2050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2050</v>
      </c>
      <c r="M857" s="17">
        <f aca="false">IF($H857="","",$H857+$K857)</f>
        <v/>
      </c>
      <c r="N857" s="17">
        <f aca="false">IF($J857="","",$J857+$K857)</f>
        <v>2050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82,000원</v>
      </c>
      <c r="P857" s="17">
        <f aca="false">IF($B$10=0,"",IFERROR(IF($B$4&gt;0,IF($L857="",1/0,$L857*$B$4),0)+IF($B$5&gt;0,IF($M857="",1/0,$M857*$B$5),0)+IF($B$6&gt;0,IF($N857="",1/0,$N857*$B$6),0),""))</f>
        <v>82000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82000</v>
      </c>
      <c r="U857" s="17">
        <f aca="false">IF($T857="","",IF($B$10=0,"",$T857/$B$10))</f>
        <v>2050</v>
      </c>
      <c r="V857" s="17">
        <f aca="false">IF($P857="","",IF($B$10=0,"",$P857/$B$10))</f>
        <v>2050</v>
      </c>
      <c r="W857" s="19">
        <f aca="false">IF($T857="",1000000000000000,$T857)</f>
        <v>82000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IF($T858="","",1+COUNTIF($W$15:$W$884,"&lt;"&amp;W858))</f>
        <v>844</v>
      </c>
      <c r="B858" s="16" t="s">
        <v>14</v>
      </c>
      <c r="C858" s="16" t="s">
        <v>1707</v>
      </c>
      <c r="D858" s="21" t="s">
        <v>57</v>
      </c>
      <c r="E858" s="16" t="s">
        <v>26</v>
      </c>
      <c r="F858" s="16" t="s">
        <v>1708</v>
      </c>
      <c r="G858" s="17">
        <v>2055</v>
      </c>
      <c r="H858" s="17">
        <v>2430</v>
      </c>
      <c r="I858" s="17"/>
      <c r="J858" s="17">
        <v>2025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2055</v>
      </c>
      <c r="M858" s="17">
        <f aca="false">IF($H858="","",$H858+$K858)</f>
        <v>2430</v>
      </c>
      <c r="N858" s="17">
        <f aca="false">IF($J858="","",$J858+$K858)</f>
        <v>2025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82,200원</v>
      </c>
      <c r="P858" s="17">
        <f aca="false">IF($B$10=0,"",IFERROR(IF($B$4&gt;0,IF($L858="",1/0,$L858*$B$4),0)+IF($B$5&gt;0,IF($M858="",1/0,$M858*$B$5),0)+IF($B$6&gt;0,IF($N858="",1/0,$N858*$B$6),0),""))</f>
        <v>82200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82200</v>
      </c>
      <c r="U858" s="17">
        <f aca="false">IF($T858="","",IF($B$10=0,"",$T858/$B$10))</f>
        <v>2055</v>
      </c>
      <c r="V858" s="17">
        <f aca="false">IF($P858="","",IF($B$10=0,"",$P858/$B$10))</f>
        <v>2055</v>
      </c>
      <c r="W858" s="19">
        <f aca="false">IF($T858="",1000000000000000,$T858)</f>
        <v>82200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IF($T859="","",1+COUNTIF($W$15:$W$884,"&lt;"&amp;W859))</f>
        <v>844</v>
      </c>
      <c r="B859" s="16" t="s">
        <v>14</v>
      </c>
      <c r="C859" s="16" t="s">
        <v>1709</v>
      </c>
      <c r="D859" s="21" t="s">
        <v>57</v>
      </c>
      <c r="E859" s="16" t="s">
        <v>26</v>
      </c>
      <c r="F859" s="16" t="s">
        <v>1710</v>
      </c>
      <c r="G859" s="17">
        <v>2055</v>
      </c>
      <c r="H859" s="17"/>
      <c r="I859" s="17"/>
      <c r="J859" s="17">
        <v>2025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2055</v>
      </c>
      <c r="M859" s="17">
        <f aca="false">IF($H859="","",$H859+$K859)</f>
        <v/>
      </c>
      <c r="N859" s="17">
        <f aca="false">IF($J859="","",$J859+$K859)</f>
        <v>2025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82,200원</v>
      </c>
      <c r="P859" s="17">
        <f aca="false">IF($B$10=0,"",IFERROR(IF($B$4&gt;0,IF($L859="",1/0,$L859*$B$4),0)+IF($B$5&gt;0,IF($M859="",1/0,$M859*$B$5),0)+IF($B$6&gt;0,IF($N859="",1/0,$N859*$B$6),0),""))</f>
        <v>82200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82200</v>
      </c>
      <c r="U859" s="17">
        <f aca="false">IF($T859="","",IF($B$10=0,"",$T859/$B$10))</f>
        <v>2055</v>
      </c>
      <c r="V859" s="17">
        <f aca="false">IF($P859="","",IF($B$10=0,"",$P859/$B$10))</f>
        <v>2055</v>
      </c>
      <c r="W859" s="19">
        <f aca="false">IF($T859="",1000000000000000,$T859)</f>
        <v>82200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IF($T860="","",1+COUNTIF($W$15:$W$884,"&lt;"&amp;W860))</f>
        <v>844</v>
      </c>
      <c r="B860" s="16" t="s">
        <v>14</v>
      </c>
      <c r="C860" s="16" t="s">
        <v>1711</v>
      </c>
      <c r="D860" s="20" t="s">
        <v>54</v>
      </c>
      <c r="E860" s="16" t="s">
        <v>51</v>
      </c>
      <c r="F860" s="16" t="s">
        <v>1712</v>
      </c>
      <c r="G860" s="17">
        <v>2055</v>
      </c>
      <c r="H860" s="17"/>
      <c r="I860" s="17"/>
      <c r="J860" s="17">
        <v>2035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2055</v>
      </c>
      <c r="M860" s="17">
        <f aca="false">IF($H860="","",$H860+$K860)</f>
        <v/>
      </c>
      <c r="N860" s="17">
        <f aca="false">IF($J860="","",$J860+$K860)</f>
        <v>2035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82,200원</v>
      </c>
      <c r="P860" s="17">
        <f aca="false">IF($B$10=0,"",IFERROR(IF($B$4&gt;0,IF($L860="",1/0,$L860*$B$4),0)+IF($B$5&gt;0,IF($M860="",1/0,$M860*$B$5),0)+IF($B$6&gt;0,IF($N860="",1/0,$N860*$B$6),0),""))</f>
        <v>82200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82200</v>
      </c>
      <c r="U860" s="17">
        <f aca="false">IF($T860="","",IF($B$10=0,"",$T860/$B$10))</f>
        <v>2055</v>
      </c>
      <c r="V860" s="17">
        <f aca="false">IF($P860="","",IF($B$10=0,"",$P860/$B$10))</f>
        <v>2055</v>
      </c>
      <c r="W860" s="19">
        <f aca="false">IF($T860="",1000000000000000,$T860)</f>
        <v>82200</v>
      </c>
      <c r="XFB860" s="6"/>
      <c r="XFC860" s="3"/>
    </row>
    <row r="861" s="6" collapsed="false" customFormat="true" customHeight="true" hidden="false" ht="28.5" outlineLevel="0">
      <c r="A861" s="16">
        <f aca="false">IF($T861="","",1+COUNTIF($W$15:$W$884,"&lt;"&amp;W861))</f>
        <v>847</v>
      </c>
      <c r="B861" s="16" t="s">
        <v>12</v>
      </c>
      <c r="C861" s="16" t="s">
        <v>607</v>
      </c>
      <c r="D861" s="21" t="s">
        <v>57</v>
      </c>
      <c r="E861" s="16" t="s">
        <v>51</v>
      </c>
      <c r="F861" s="16" t="s">
        <v>1713</v>
      </c>
      <c r="G861" s="17">
        <v>2056</v>
      </c>
      <c r="H861" s="17"/>
      <c r="I861" s="17"/>
      <c r="J861" s="17">
        <v>2046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2056</v>
      </c>
      <c r="M861" s="17">
        <f aca="false">IF($H861="","",$H861+$K861)</f>
        <v/>
      </c>
      <c r="N861" s="17">
        <f aca="false">IF($J861="","",$J861+$K861)</f>
        <v>2046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82,240원</v>
      </c>
      <c r="P861" s="17">
        <f aca="false">IF($B$10=0,"",IFERROR(IF($B$4&gt;0,IF($L861="",1/0,$L861*$B$4),0)+IF($B$5&gt;0,IF($M861="",1/0,$M861*$B$5),0)+IF($B$6&gt;0,IF($N861="",1/0,$N861*$B$6),0),""))</f>
        <v>82240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82240</v>
      </c>
      <c r="U861" s="17">
        <f aca="false">IF($T861="","",IF($B$10=0,"",$T861/$B$10))</f>
        <v>2056</v>
      </c>
      <c r="V861" s="17">
        <f aca="false">IF($P861="","",IF($B$10=0,"",$P861/$B$10))</f>
        <v>2056</v>
      </c>
      <c r="W861" s="19">
        <f aca="false">IF($T861="",1000000000000000,$T861)</f>
        <v>82240</v>
      </c>
      <c r="XFC861" s="3"/>
    </row>
    <row r="862" s="5" collapsed="false" customFormat="true" customHeight="true" hidden="false" ht="28.5" outlineLevel="0">
      <c r="A862" s="16">
        <f aca="false">IF($T862="","",1+COUNTIF($W$15:$W$884,"&lt;"&amp;W862))</f>
        <v>848</v>
      </c>
      <c r="B862" s="16" t="s">
        <v>12</v>
      </c>
      <c r="C862" s="16" t="s">
        <v>1237</v>
      </c>
      <c r="D862" s="20" t="s">
        <v>54</v>
      </c>
      <c r="E862" s="16" t="s">
        <v>51</v>
      </c>
      <c r="F862" s="16" t="s">
        <v>1238</v>
      </c>
      <c r="G862" s="17">
        <v>2057</v>
      </c>
      <c r="H862" s="17"/>
      <c r="I862" s="17"/>
      <c r="J862" s="17">
        <v>1997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2057</v>
      </c>
      <c r="M862" s="17">
        <f aca="false">IF($H862="","",$H862+$K862)</f>
        <v/>
      </c>
      <c r="N862" s="17">
        <f aca="false">IF($J862="","",$J862+$K862)</f>
        <v>1997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82,280원</v>
      </c>
      <c r="P862" s="17">
        <f aca="false">IF($B$10=0,"",IFERROR(IF($B$4&gt;0,IF($L862="",1/0,$L862*$B$4),0)+IF($B$5&gt;0,IF($M862="",1/0,$M862*$B$5),0)+IF($B$6&gt;0,IF($N862="",1/0,$N862*$B$6),0),""))</f>
        <v>82280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82280</v>
      </c>
      <c r="U862" s="17">
        <f aca="false">IF($T862="","",IF($B$10=0,"",$T862/$B$10))</f>
        <v>2057</v>
      </c>
      <c r="V862" s="17">
        <f aca="false">IF($P862="","",IF($B$10=0,"",$P862/$B$10))</f>
        <v>2057</v>
      </c>
      <c r="W862" s="19">
        <f aca="false">IF($T862="",1000000000000000,$T862)</f>
        <v>82280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IF($T863="","",1+COUNTIF($W$15:$W$884,"&lt;"&amp;W863))</f>
        <v>849</v>
      </c>
      <c r="B863" s="16" t="s">
        <v>6</v>
      </c>
      <c r="C863" s="16" t="s">
        <v>268</v>
      </c>
      <c r="D863" s="21" t="s">
        <v>57</v>
      </c>
      <c r="E863" s="16" t="s">
        <v>51</v>
      </c>
      <c r="F863" s="16" t="s">
        <v>1716</v>
      </c>
      <c r="G863" s="17">
        <v>2059</v>
      </c>
      <c r="H863" s="17"/>
      <c r="I863" s="17"/>
      <c r="J863" s="17">
        <v>2049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2059</v>
      </c>
      <c r="M863" s="17">
        <f aca="false">IF($H863="","",$H863+$K863)</f>
        <v/>
      </c>
      <c r="N863" s="17">
        <f aca="false">IF($J863="","",$J863+$K863)</f>
        <v>2049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82,360원</v>
      </c>
      <c r="P863" s="17">
        <f aca="false">IF($B$10=0,"",IFERROR(IF($B$4&gt;0,IF($L863="",1/0,$L863*$B$4),0)+IF($B$5&gt;0,IF($M863="",1/0,$M863*$B$5),0)+IF($B$6&gt;0,IF($N863="",1/0,$N863*$B$6),0),""))</f>
        <v>82360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82360</v>
      </c>
      <c r="U863" s="17">
        <f aca="false">IF($T863="","",IF($B$10=0,"",$T863/$B$10))</f>
        <v>2059</v>
      </c>
      <c r="V863" s="17">
        <f aca="false">IF($P863="","",IF($B$10=0,"",$P863/$B$10))</f>
        <v>2059</v>
      </c>
      <c r="W863" s="19">
        <f aca="false">IF($T863="",1000000000000000,$T863)</f>
        <v>82360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IF($T864="","",1+COUNTIF($W$15:$W$884,"&lt;"&amp;W864))</f>
        <v>849</v>
      </c>
      <c r="B864" s="16" t="s">
        <v>10</v>
      </c>
      <c r="C864" s="16" t="s">
        <v>1717</v>
      </c>
      <c r="D864" s="16" t="s">
        <v>45</v>
      </c>
      <c r="E864" s="16" t="s">
        <v>26</v>
      </c>
      <c r="F864" s="16" t="s">
        <v>1718</v>
      </c>
      <c r="G864" s="17">
        <v>2059</v>
      </c>
      <c r="H864" s="17"/>
      <c r="I864" s="17"/>
      <c r="J864" s="17">
        <v>2049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2049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82,360원</v>
      </c>
      <c r="P864" s="17">
        <f aca="false">IF($B$10=0,"",IFERROR(IF($B$4&gt;0,IF($L864="",1/0,$L864*$B$4),0)+IF($B$5&gt;0,IF($M864="",1/0,$M864*$B$5),0)+IF($B$6&gt;0,IF($N864="",1/0,$N864*$B$6),0),""))</f>
        <v>82360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82360</v>
      </c>
      <c r="U864" s="17">
        <f aca="false">IF($T864="","",IF($B$10=0,"",$T864/$B$10))</f>
        <v>2059</v>
      </c>
      <c r="V864" s="17">
        <f aca="false">IF($P864="","",IF($B$10=0,"",$P864/$B$10))</f>
        <v>2059</v>
      </c>
      <c r="W864" s="19">
        <f aca="false">IF($T864="",1000000000000000,$T864)</f>
        <v>82360</v>
      </c>
      <c r="XFC864" s="3"/>
    </row>
    <row r="865" s="6" collapsed="false" customFormat="true" customHeight="true" hidden="false" ht="28.5" outlineLevel="0">
      <c r="A865" s="16">
        <f aca="false">IF($T865="","",1+COUNTIF($W$15:$W$884,"&lt;"&amp;W865))</f>
        <v>851</v>
      </c>
      <c r="B865" s="16" t="s">
        <v>14</v>
      </c>
      <c r="C865" s="16" t="s">
        <v>1719</v>
      </c>
      <c r="D865" s="16" t="s">
        <v>64</v>
      </c>
      <c r="E865" s="16" t="s">
        <v>26</v>
      </c>
      <c r="F865" s="16" t="s">
        <v>1720</v>
      </c>
      <c r="G865" s="17">
        <v>2069</v>
      </c>
      <c r="H865" s="17"/>
      <c r="I865" s="17"/>
      <c r="J865" s="17">
        <v>2059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2069</v>
      </c>
      <c r="M865" s="17">
        <f aca="false">IF($H865="","",$H865+$K865)</f>
        <v/>
      </c>
      <c r="N865" s="17">
        <f aca="false">IF($J865="","",$J865+$K865)</f>
        <v>2059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82,760원</v>
      </c>
      <c r="P865" s="17">
        <f aca="false">IF($B$10=0,"",IFERROR(IF($B$4&gt;0,IF($L865="",1/0,$L865*$B$4),0)+IF($B$5&gt;0,IF($M865="",1/0,$M865*$B$5),0)+IF($B$6&gt;0,IF($N865="",1/0,$N865*$B$6),0),""))</f>
        <v>82760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82760</v>
      </c>
      <c r="U865" s="17">
        <f aca="false">IF($T865="","",IF($B$10=0,"",$T865/$B$10))</f>
        <v>2069</v>
      </c>
      <c r="V865" s="17">
        <f aca="false">IF($P865="","",IF($B$10=0,"",$P865/$B$10))</f>
        <v>2069</v>
      </c>
      <c r="W865" s="19">
        <f aca="false">IF($T865="",1000000000000000,$T865)</f>
        <v>82760</v>
      </c>
      <c r="XFC865" s="3"/>
    </row>
    <row r="866" s="5" collapsed="false" customFormat="true" customHeight="true" hidden="false" ht="28.5" outlineLevel="0">
      <c r="A866" s="16">
        <f aca="false">IF($T866="","",1+COUNTIF($W$15:$W$884,"&lt;"&amp;W866))</f>
        <v>851</v>
      </c>
      <c r="B866" s="16" t="s">
        <v>10</v>
      </c>
      <c r="C866" s="16" t="s">
        <v>1721</v>
      </c>
      <c r="D866" s="16" t="s">
        <v>64</v>
      </c>
      <c r="E866" s="16" t="s">
        <v>51</v>
      </c>
      <c r="F866" s="16" t="s">
        <v>1722</v>
      </c>
      <c r="G866" s="17">
        <v>2069</v>
      </c>
      <c r="H866" s="17"/>
      <c r="I866" s="17"/>
      <c r="J866" s="17">
        <v>2059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2069</v>
      </c>
      <c r="M866" s="17">
        <f aca="false">IF($H866="","",$H866+$K866)</f>
        <v/>
      </c>
      <c r="N866" s="17">
        <f aca="false">IF($J866="","",$J866+$K866)</f>
        <v>2059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82,760원</v>
      </c>
      <c r="P866" s="17">
        <f aca="false">IF($B$10=0,"",IFERROR(IF($B$4&gt;0,IF($L866="",1/0,$L866*$B$4),0)+IF($B$5&gt;0,IF($M866="",1/0,$M866*$B$5),0)+IF($B$6&gt;0,IF($N866="",1/0,$N866*$B$6),0),""))</f>
        <v>82760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82760</v>
      </c>
      <c r="U866" s="17">
        <f aca="false">IF($T866="","",IF($B$10=0,"",$T866/$B$10))</f>
        <v>2069</v>
      </c>
      <c r="V866" s="17">
        <f aca="false">IF($P866="","",IF($B$10=0,"",$P866/$B$10))</f>
        <v>2069</v>
      </c>
      <c r="W866" s="19">
        <f aca="false">IF($T866="",1000000000000000,$T866)</f>
        <v>82760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IF($T867="","",1+COUNTIF($W$15:$W$884,"&lt;"&amp;W867))</f>
        <v>853</v>
      </c>
      <c r="B867" s="16" t="s">
        <v>6</v>
      </c>
      <c r="C867" s="16" t="s">
        <v>1723</v>
      </c>
      <c r="D867" s="20" t="s">
        <v>54</v>
      </c>
      <c r="E867" s="16" t="s">
        <v>26</v>
      </c>
      <c r="F867" s="16" t="s">
        <v>1724</v>
      </c>
      <c r="G867" s="17">
        <v>2299</v>
      </c>
      <c r="H867" s="17"/>
      <c r="I867" s="17"/>
      <c r="J867" s="17">
        <v>2299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2299</v>
      </c>
      <c r="M867" s="17">
        <f aca="false">IF($H867="","",$H867+$K867)</f>
        <v/>
      </c>
      <c r="N867" s="17">
        <f aca="false">IF($J867="","",$J867+$K867)</f>
        <v>2299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91,960원</v>
      </c>
      <c r="P867" s="17">
        <f aca="false">IF($B$10=0,"",IFERROR(IF($B$4&gt;0,IF($L867="",1/0,$L867*$B$4),0)+IF($B$5&gt;0,IF($M867="",1/0,$M867*$B$5),0)+IF($B$6&gt;0,IF($N867="",1/0,$N867*$B$6),0),""))</f>
        <v>91960</v>
      </c>
      <c r="Q867" s="17" t="s">
        <v>47</v>
      </c>
      <c r="R867" s="18">
        <f aca="false">IF($P867="","",IF($Q867="Y",IFERROR(VLOOKUP($B867,$C$4:$D$13,2,FALSE()),0),0))</f>
        <v>0.1</v>
      </c>
      <c r="S867" s="17">
        <f aca="false">IF($P867="","",ROUNDDOWN($P867*$R867,0))</f>
        <v>9196</v>
      </c>
      <c r="T867" s="17">
        <f aca="false">IF($P867="","",$P867-$S867)</f>
        <v>82764</v>
      </c>
      <c r="U867" s="17">
        <f aca="false">IF($T867="","",IF($B$10=0,"",$T867/$B$10))</f>
        <v>2069.1</v>
      </c>
      <c r="V867" s="17">
        <f aca="false">IF($P867="","",IF($B$10=0,"",$P867/$B$10))</f>
        <v>2299</v>
      </c>
      <c r="W867" s="19">
        <f aca="false">IF($T867="",1000000000000000,$T867)</f>
        <v>82764</v>
      </c>
      <c r="XFC867" s="3"/>
    </row>
    <row r="868" s="22" collapsed="false" customFormat="true" customHeight="true" hidden="false" ht="28.5" outlineLevel="0">
      <c r="A868" s="16">
        <f aca="false">IF($T868="","",1+COUNTIF($W$15:$W$884,"&lt;"&amp;W868))</f>
        <v>854</v>
      </c>
      <c r="B868" s="16" t="s">
        <v>14</v>
      </c>
      <c r="C868" s="16" t="s">
        <v>1725</v>
      </c>
      <c r="D868" s="21" t="s">
        <v>57</v>
      </c>
      <c r="E868" s="16" t="s">
        <v>26</v>
      </c>
      <c r="F868" s="16" t="s">
        <v>1726</v>
      </c>
      <c r="G868" s="17">
        <v>2078</v>
      </c>
      <c r="H868" s="17"/>
      <c r="I868" s="17"/>
      <c r="J868" s="17">
        <v>2078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2078</v>
      </c>
      <c r="M868" s="17">
        <f aca="false">IF($H868="","",$H868+$K868)</f>
        <v/>
      </c>
      <c r="N868" s="17">
        <f aca="false">IF($J868="","",$J868+$K868)</f>
        <v>2078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83,120원</v>
      </c>
      <c r="P868" s="17">
        <f aca="false">IF($B$10=0,"",IFERROR(IF($B$4&gt;0,IF($L868="",1/0,$L868*$B$4),0)+IF($B$5&gt;0,IF($M868="",1/0,$M868*$B$5),0)+IF($B$6&gt;0,IF($N868="",1/0,$N868*$B$6),0),""))</f>
        <v>83120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83120</v>
      </c>
      <c r="U868" s="17">
        <f aca="false">IF($T868="","",IF($B$10=0,"",$T868/$B$10))</f>
        <v>2078</v>
      </c>
      <c r="V868" s="17">
        <f aca="false">IF($P868="","",IF($B$10=0,"",$P868/$B$10))</f>
        <v>2078</v>
      </c>
      <c r="W868" s="19">
        <f aca="false">IF($T868="",1000000000000000,$T868)</f>
        <v>83120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IF($T869="","",1+COUNTIF($W$15:$W$884,"&lt;"&amp;W869))</f>
        <v>854</v>
      </c>
      <c r="B869" s="16" t="s">
        <v>12</v>
      </c>
      <c r="C869" s="16" t="s">
        <v>1727</v>
      </c>
      <c r="D869" s="21" t="s">
        <v>57</v>
      </c>
      <c r="E869" s="16" t="s">
        <v>51</v>
      </c>
      <c r="F869" s="16" t="s">
        <v>1728</v>
      </c>
      <c r="G869" s="17">
        <v>2078</v>
      </c>
      <c r="H869" s="17"/>
      <c r="I869" s="17"/>
      <c r="J869" s="17">
        <v>2078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2078</v>
      </c>
      <c r="M869" s="17">
        <f aca="false">IF($H869="","",$H869+$K869)</f>
        <v/>
      </c>
      <c r="N869" s="17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83,120원</v>
      </c>
      <c r="P869" s="17">
        <f aca="false">IF($B$10=0,"",IFERROR(IF($B$4&gt;0,IF($L869="",1/0,$L869*$B$4),0)+IF($B$5&gt;0,IF($M869="",1/0,$M869*$B$5),0)+IF($B$6&gt;0,IF($N869="",1/0,$N869*$B$6),0),""))</f>
        <v>83120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83120</v>
      </c>
      <c r="U869" s="17">
        <f aca="false">IF($T869="","",IF($B$10=0,"",$T869/$B$10))</f>
        <v>2078</v>
      </c>
      <c r="V869" s="17">
        <f aca="false">IF($P869="","",IF($B$10=0,"",$P869/$B$10))</f>
        <v>2078</v>
      </c>
      <c r="W869" s="19">
        <f aca="false">IF($T869="",1000000000000000,$T869)</f>
        <v>83120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IF($T870="","",1+COUNTIF($W$15:$W$884,"&lt;"&amp;W870))</f>
        <v>856</v>
      </c>
      <c r="B870" s="16" t="s">
        <v>12</v>
      </c>
      <c r="C870" s="16" t="s">
        <v>1729</v>
      </c>
      <c r="D870" s="21" t="s">
        <v>45</v>
      </c>
      <c r="E870" s="16" t="s">
        <v>51</v>
      </c>
      <c r="F870" s="16" t="s">
        <v>1730</v>
      </c>
      <c r="G870" s="17">
        <v>2079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2079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83,160원</v>
      </c>
      <c r="P870" s="17">
        <f aca="false">IF($B$10=0,"",IFERROR(IF($B$4&gt;0,IF($L870="",1/0,$L870*$B$4),0)+IF($B$5&gt;0,IF($M870="",1/0,$M870*$B$5),0)+IF($B$6&gt;0,IF($N870="",1/0,$N870*$B$6),0),""))</f>
        <v>83160</v>
      </c>
      <c r="Q870" s="17"/>
      <c r="R870" s="18">
        <f aca="false">IF($P870="","",IF($Q870="Y",IFERROR(VLOOKUP($B870,$C$4:$D$13,2,FALSE()),0),0))</f>
        <v>0</v>
      </c>
      <c r="S870" s="17">
        <f aca="false">IF($P870="","",ROUNDDOWN($P870*$R870,0))</f>
        <v>0</v>
      </c>
      <c r="T870" s="17">
        <f aca="false">IF($P870="","",$P870-$S870)</f>
        <v>83160</v>
      </c>
      <c r="U870" s="17">
        <f aca="false">IF($T870="","",IF($B$10=0,"",$T870/$B$10))</f>
        <v>2079</v>
      </c>
      <c r="V870" s="17">
        <f aca="false">IF($P870="","",IF($B$10=0,"",$P870/$B$10))</f>
        <v>2079</v>
      </c>
      <c r="W870" s="19">
        <f aca="false">IF($T870="",1000000000000000,$T870)</f>
        <v>83160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IF($T871="","",1+COUNTIF($W$15:$W$884,"&lt;"&amp;W871))</f>
        <v>856</v>
      </c>
      <c r="B871" s="16" t="s">
        <v>14</v>
      </c>
      <c r="C871" s="16" t="s">
        <v>1568</v>
      </c>
      <c r="D871" s="16" t="s">
        <v>45</v>
      </c>
      <c r="E871" s="16" t="s">
        <v>26</v>
      </c>
      <c r="F871" s="16" t="s">
        <v>1731</v>
      </c>
      <c r="G871" s="17">
        <v>2079</v>
      </c>
      <c r="H871" s="17"/>
      <c r="I871" s="17"/>
      <c r="J871" s="17">
        <v>2079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2079</v>
      </c>
      <c r="M871" s="17">
        <f aca="false">IF($H871="","",$H871+$K871)</f>
        <v/>
      </c>
      <c r="N871" s="17">
        <f aca="false">IF($J871="","",$J871+$K871)</f>
        <v>2079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83,160원</v>
      </c>
      <c r="P871" s="17">
        <f aca="false">IF($B$10=0,"",IFERROR(IF($B$4&gt;0,IF($L871="",1/0,$L871*$B$4),0)+IF($B$5&gt;0,IF($M871="",1/0,$M871*$B$5),0)+IF($B$6&gt;0,IF($N871="",1/0,$N871*$B$6),0),""))</f>
        <v>83160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83160</v>
      </c>
      <c r="U871" s="17">
        <f aca="false">IF($T871="","",IF($B$10=0,"",$T871/$B$10))</f>
        <v>2079</v>
      </c>
      <c r="V871" s="17">
        <f aca="false">IF($P871="","",IF($B$10=0,"",$P871/$B$10))</f>
        <v>2079</v>
      </c>
      <c r="W871" s="19">
        <f aca="false">IF($T871="",1000000000000000,$T871)</f>
        <v>83160</v>
      </c>
      <c r="XFB871" s="6"/>
      <c r="XFC871" s="3"/>
    </row>
    <row r="872" s="6" collapsed="false" customFormat="true" customHeight="true" hidden="false" ht="28.5" outlineLevel="0">
      <c r="A872" s="16">
        <f aca="false">IF($T872="","",1+COUNTIF($W$15:$W$884,"&lt;"&amp;W872))</f>
        <v>858</v>
      </c>
      <c r="B872" s="16" t="s">
        <v>10</v>
      </c>
      <c r="C872" s="16" t="s">
        <v>1732</v>
      </c>
      <c r="D872" s="20" t="s">
        <v>54</v>
      </c>
      <c r="E872" s="16" t="s">
        <v>51</v>
      </c>
      <c r="F872" s="16" t="s">
        <v>1733</v>
      </c>
      <c r="G872" s="17">
        <v>2084</v>
      </c>
      <c r="H872" s="17"/>
      <c r="I872" s="17"/>
      <c r="J872" s="17">
        <v>2075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2084</v>
      </c>
      <c r="M872" s="17">
        <f aca="false">IF($H872="","",$H872+$K872)</f>
        <v/>
      </c>
      <c r="N872" s="17">
        <f aca="false">IF($J872="","",$J872+$K872)</f>
        <v>2075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83,360원</v>
      </c>
      <c r="P872" s="17">
        <f aca="false">IF($B$10=0,"",IFERROR(IF($B$4&gt;0,IF($L872="",1/0,$L872*$B$4),0)+IF($B$5&gt;0,IF($M872="",1/0,$M872*$B$5),0)+IF($B$6&gt;0,IF($N872="",1/0,$N872*$B$6),0),""))</f>
        <v>83360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83360</v>
      </c>
      <c r="U872" s="17">
        <f aca="false">IF($T872="","",IF($B$10=0,"",$T872/$B$10))</f>
        <v>2084</v>
      </c>
      <c r="V872" s="17">
        <f aca="false">IF($P872="","",IF($B$10=0,"",$P872/$B$10))</f>
        <v>2084</v>
      </c>
      <c r="W872" s="19">
        <f aca="false">IF($T872="",1000000000000000,$T872)</f>
        <v>83360</v>
      </c>
      <c r="XFC872" s="3"/>
    </row>
    <row r="873" s="5" collapsed="false" customFormat="true" customHeight="true" hidden="false" ht="28.5" outlineLevel="0">
      <c r="A873" s="16">
        <f aca="false">IF($T873="","",1+COUNTIF($W$15:$W$884,"&lt;"&amp;W873))</f>
        <v>859</v>
      </c>
      <c r="B873" s="16" t="s">
        <v>12</v>
      </c>
      <c r="C873" s="16" t="s">
        <v>1734</v>
      </c>
      <c r="D873" s="16" t="s">
        <v>45</v>
      </c>
      <c r="E873" s="16" t="s">
        <v>26</v>
      </c>
      <c r="F873" s="16" t="s">
        <v>1735</v>
      </c>
      <c r="G873" s="17">
        <v>2094</v>
      </c>
      <c r="H873" s="17"/>
      <c r="I873" s="17"/>
      <c r="J873" s="17">
        <v>2094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2094</v>
      </c>
      <c r="M873" s="17">
        <f aca="false">IF($H873="","",$H873+$K873)</f>
        <v/>
      </c>
      <c r="N873" s="17">
        <f aca="false">IF($J873="","",$J873+$K873)</f>
        <v>2094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83,760원</v>
      </c>
      <c r="P873" s="17">
        <f aca="false">IF($B$10=0,"",IFERROR(IF($B$4&gt;0,IF($L873="",1/0,$L873*$B$4),0)+IF($B$5&gt;0,IF($M873="",1/0,$M873*$B$5),0)+IF($B$6&gt;0,IF($N873="",1/0,$N873*$B$6),0),""))</f>
        <v>83760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83760</v>
      </c>
      <c r="U873" s="17">
        <f aca="false">IF($T873="","",IF($B$10=0,"",$T873/$B$10))</f>
        <v>2094</v>
      </c>
      <c r="V873" s="17">
        <f aca="false">IF($P873="","",IF($B$10=0,"",$P873/$B$10))</f>
        <v>2094</v>
      </c>
      <c r="W873" s="19">
        <f aca="false">IF($T873="",1000000000000000,$T873)</f>
        <v>83760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IF($T874="","",1+COUNTIF($W$15:$W$884,"&lt;"&amp;W874))</f>
        <v>860</v>
      </c>
      <c r="B874" s="16" t="s">
        <v>6</v>
      </c>
      <c r="C874" s="16" t="s">
        <v>1736</v>
      </c>
      <c r="D874" s="16" t="s">
        <v>45</v>
      </c>
      <c r="E874" s="16" t="s">
        <v>26</v>
      </c>
      <c r="F874" s="16" t="s">
        <v>1737</v>
      </c>
      <c r="G874" s="17">
        <v>2095</v>
      </c>
      <c r="H874" s="17"/>
      <c r="I874" s="17"/>
      <c r="J874" s="17">
        <v>2085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2095</v>
      </c>
      <c r="M874" s="17">
        <f aca="false">IF($H874="","",$H874+$K874)</f>
        <v/>
      </c>
      <c r="N874" s="17">
        <f aca="false">IF($J874="","",$J874+$K874)</f>
        <v>2085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83,800원</v>
      </c>
      <c r="P874" s="17">
        <f aca="false">IF($B$10=0,"",IFERROR(IF($B$4&gt;0,IF($L874="",1/0,$L874*$B$4),0)+IF($B$5&gt;0,IF($M874="",1/0,$M874*$B$5),0)+IF($B$6&gt;0,IF($N874="",1/0,$N874*$B$6),0),""))</f>
        <v>83800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83800</v>
      </c>
      <c r="U874" s="17">
        <f aca="false">IF($T874="","",IF($B$10=0,"",$T874/$B$10))</f>
        <v>2095</v>
      </c>
      <c r="V874" s="17">
        <f aca="false">IF($P874="","",IF($B$10=0,"",$P874/$B$10))</f>
        <v>2095</v>
      </c>
      <c r="W874" s="19">
        <f aca="false">IF($T874="",1000000000000000,$T874)</f>
        <v>83800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IF($T875="","",1+COUNTIF($W$15:$W$884,"&lt;"&amp;W875))</f>
        <v>860</v>
      </c>
      <c r="B875" s="16" t="s">
        <v>10</v>
      </c>
      <c r="C875" s="16" t="s">
        <v>1738</v>
      </c>
      <c r="D875" s="20" t="s">
        <v>54</v>
      </c>
      <c r="E875" s="16" t="s">
        <v>26</v>
      </c>
      <c r="F875" s="16" t="s">
        <v>1739</v>
      </c>
      <c r="G875" s="17">
        <v>2095</v>
      </c>
      <c r="H875" s="17"/>
      <c r="I875" s="17"/>
      <c r="J875" s="17">
        <v>2090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2095</v>
      </c>
      <c r="M875" s="17">
        <f aca="false">IF($H875="","",$H875+$K875)</f>
        <v/>
      </c>
      <c r="N875" s="17">
        <f aca="false">IF($J875="","",$J875+$K875)</f>
        <v>2090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83,800원</v>
      </c>
      <c r="P875" s="17">
        <f aca="false">IF($B$10=0,"",IFERROR(IF($B$4&gt;0,IF($L875="",1/0,$L875*$B$4),0)+IF($B$5&gt;0,IF($M875="",1/0,$M875*$B$5),0)+IF($B$6&gt;0,IF($N875="",1/0,$N875*$B$6),0),""))</f>
        <v>83800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83800</v>
      </c>
      <c r="U875" s="17">
        <f aca="false">IF($T875="","",IF($B$10=0,"",$T875/$B$10))</f>
        <v>2095</v>
      </c>
      <c r="V875" s="17">
        <f aca="false">IF($P875="","",IF($B$10=0,"",$P875/$B$10))</f>
        <v>2095</v>
      </c>
      <c r="W875" s="19">
        <f aca="false">IF($T875="",1000000000000000,$T875)</f>
        <v>83800</v>
      </c>
      <c r="XFB875" s="6"/>
      <c r="XFC875" s="3"/>
    </row>
    <row r="876" s="6" collapsed="false" customFormat="true" customHeight="true" hidden="false" ht="28.5" outlineLevel="0">
      <c r="A876" s="16">
        <f aca="false">IF($T876="","",1+COUNTIF($W$15:$W$884,"&lt;"&amp;W876))</f>
        <v>860</v>
      </c>
      <c r="B876" s="16" t="s">
        <v>18</v>
      </c>
      <c r="C876" s="16" t="s">
        <v>1740</v>
      </c>
      <c r="D876" s="16" t="s">
        <v>64</v>
      </c>
      <c r="E876" s="16" t="s">
        <v>51</v>
      </c>
      <c r="F876" s="16" t="s">
        <v>1741</v>
      </c>
      <c r="G876" s="17">
        <v>2095</v>
      </c>
      <c r="H876" s="17"/>
      <c r="I876" s="17"/>
      <c r="J876" s="17">
        <v>2095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C876" s="3"/>
    </row>
    <row r="877" s="22" collapsed="false" customFormat="true" customHeight="true" hidden="false" ht="28.5" outlineLevel="0">
      <c r="A877" s="16">
        <f aca="false">IF($T877="","",1+COUNTIF($W$15:$W$884,"&lt;"&amp;W877))</f>
        <v>860</v>
      </c>
      <c r="B877" s="16" t="s">
        <v>14</v>
      </c>
      <c r="C877" s="16" t="s">
        <v>149</v>
      </c>
      <c r="D877" s="21" t="s">
        <v>57</v>
      </c>
      <c r="E877" s="16" t="s">
        <v>51</v>
      </c>
      <c r="F877" s="16" t="s">
        <v>1742</v>
      </c>
      <c r="G877" s="17">
        <v>2095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IF($T878="","",1+COUNTIF($W$15:$W$884,"&lt;"&amp;W878))</f>
        <v>864</v>
      </c>
      <c r="B878" s="16" t="s">
        <v>14</v>
      </c>
      <c r="C878" s="16" t="s">
        <v>1743</v>
      </c>
      <c r="D878" s="16" t="s">
        <v>64</v>
      </c>
      <c r="E878" s="16" t="s">
        <v>51</v>
      </c>
      <c r="F878" s="16" t="s">
        <v>1744</v>
      </c>
      <c r="G878" s="17">
        <v>2139</v>
      </c>
      <c r="H878" s="17"/>
      <c r="I878" s="17"/>
      <c r="J878" s="17">
        <v>2129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2139</v>
      </c>
      <c r="M878" s="17">
        <f aca="false">IF($H878="","",$H878+$K878)</f>
        <v/>
      </c>
      <c r="N878" s="17">
        <f aca="false">IF($J878="","",$J878+$K878)</f>
        <v>2129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85,560원</v>
      </c>
      <c r="P878" s="17">
        <f aca="false">IF($B$10=0,"",IFERROR(IF($B$4&gt;0,IF($L878="",1/0,$L878*$B$4),0)+IF($B$5&gt;0,IF($M878="",1/0,$M878*$B$5),0)+IF($B$6&gt;0,IF($N878="",1/0,$N878*$B$6),0),""))</f>
        <v>85560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85560</v>
      </c>
      <c r="U878" s="17">
        <f aca="false">IF($T878="","",IF($B$10=0,"",$T878/$B$10))</f>
        <v>2139</v>
      </c>
      <c r="V878" s="17">
        <f aca="false">IF($P878="","",IF($B$10=0,"",$P878/$B$10))</f>
        <v>2139</v>
      </c>
      <c r="W878" s="19">
        <f aca="false">IF($T878="",1000000000000000,$T878)</f>
        <v>85560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IF($T879="","",1+COUNTIF($W$15:$W$884,"&lt;"&amp;W879))</f>
        <v>865</v>
      </c>
      <c r="B879" s="16" t="s">
        <v>12</v>
      </c>
      <c r="C879" s="16" t="s">
        <v>1745</v>
      </c>
      <c r="D879" s="21" t="s">
        <v>57</v>
      </c>
      <c r="E879" s="16" t="s">
        <v>51</v>
      </c>
      <c r="F879" s="16" t="s">
        <v>1746</v>
      </c>
      <c r="G879" s="17">
        <v>2198</v>
      </c>
      <c r="H879" s="17"/>
      <c r="I879" s="17"/>
      <c r="J879" s="17">
        <v>2195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2198</v>
      </c>
      <c r="M879" s="17">
        <f aca="false">IF($H879="","",$H879+$K879)</f>
        <v/>
      </c>
      <c r="N879" s="17">
        <f aca="false">IF($J879="","",$J879+$K879)</f>
        <v>2195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87,920원</v>
      </c>
      <c r="P879" s="17">
        <f aca="false">IF($B$10=0,"",IFERROR(IF($B$4&gt;0,IF($L879="",1/0,$L879*$B$4),0)+IF($B$5&gt;0,IF($M879="",1/0,$M879*$B$5),0)+IF($B$6&gt;0,IF($N879="",1/0,$N879*$B$6),0),""))</f>
        <v>87920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87920</v>
      </c>
      <c r="U879" s="17">
        <f aca="false">IF($T879="","",IF($B$10=0,"",$T879/$B$10))</f>
        <v>2198</v>
      </c>
      <c r="V879" s="17">
        <f aca="false">IF($P879="","",IF($B$10=0,"",$P879/$B$10))</f>
        <v>2198</v>
      </c>
      <c r="W879" s="19">
        <f aca="false">IF($T879="",1000000000000000,$T879)</f>
        <v>87920</v>
      </c>
      <c r="XFB879" s="6"/>
      <c r="XFC879" s="3"/>
    </row>
    <row r="880" s="22" collapsed="false" customFormat="true" customHeight="true" hidden="false" ht="28.5" outlineLevel="0">
      <c r="A880" s="16">
        <f aca="false">IF($T880="","",1+COUNTIF($W$15:$W$884,"&lt;"&amp;W880))</f>
        <v>866</v>
      </c>
      <c r="B880" s="16" t="s">
        <v>12</v>
      </c>
      <c r="C880" s="16" t="s">
        <v>1135</v>
      </c>
      <c r="D880" s="20" t="s">
        <v>54</v>
      </c>
      <c r="E880" s="16" t="s">
        <v>51</v>
      </c>
      <c r="F880" s="16" t="s">
        <v>1747</v>
      </c>
      <c r="G880" s="17">
        <v>2199</v>
      </c>
      <c r="H880" s="17">
        <v>2599</v>
      </c>
      <c r="I880" s="17"/>
      <c r="J880" s="17">
        <v>2198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2199</v>
      </c>
      <c r="M880" s="17">
        <f aca="false">IF($H880="","",$H880+$K880)</f>
        <v>2599</v>
      </c>
      <c r="N880" s="17">
        <f aca="false">IF($J880="","",$J880+$K880)</f>
        <v>2198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87,960원</v>
      </c>
      <c r="P880" s="17">
        <f aca="false">IF($B$10=0,"",IFERROR(IF($B$4&gt;0,IF($L880="",1/0,$L880*$B$4),0)+IF($B$5&gt;0,IF($M880="",1/0,$M880*$B$5),0)+IF($B$6&gt;0,IF($N880="",1/0,$N880*$B$6),0),""))</f>
        <v>87960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87960</v>
      </c>
      <c r="U880" s="17">
        <f aca="false">IF($T880="","",IF($B$10=0,"",$T880/$B$10))</f>
        <v>2199</v>
      </c>
      <c r="V880" s="17">
        <f aca="false">IF($P880="","",IF($B$10=0,"",$P880/$B$10))</f>
        <v>2199</v>
      </c>
      <c r="W880" s="19">
        <f aca="false">IF($T880="",1000000000000000,$T880)</f>
        <v>87960</v>
      </c>
      <c r="XFB880" s="6"/>
      <c r="XFC880" s="3"/>
    </row>
    <row r="881" s="22" collapsed="false" customFormat="true" customHeight="true" hidden="false" ht="28.5" outlineLevel="0">
      <c r="A881" s="16">
        <f aca="false">IF($T881="","",1+COUNTIF($W$15:$W$884,"&lt;"&amp;W881))</f>
        <v/>
      </c>
      <c r="B881" s="16" t="s">
        <v>14</v>
      </c>
      <c r="C881" s="16" t="s">
        <v>1748</v>
      </c>
      <c r="D881" s="16" t="s">
        <v>64</v>
      </c>
      <c r="E881" s="16" t="s">
        <v>51</v>
      </c>
      <c r="F881" s="16" t="s">
        <v>1749</v>
      </c>
      <c r="G881" s="17"/>
      <c r="H881" s="17">
        <v>2378</v>
      </c>
      <c r="I881" s="17"/>
      <c r="J881" s="17">
        <v>2056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2378</v>
      </c>
      <c r="N881" s="17">
        <f aca="false">IF($J881="","",$J881+$K881)</f>
        <v>2056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IF($T882="","",1+COUNTIF($W$15:$W$884,"&lt;"&amp;W882))</f>
        <v/>
      </c>
      <c r="B882" s="16" t="s">
        <v>10</v>
      </c>
      <c r="C882" s="16" t="s">
        <v>1750</v>
      </c>
      <c r="D882" s="21" t="s">
        <v>57</v>
      </c>
      <c r="E882" s="16" t="s">
        <v>26</v>
      </c>
      <c r="F882" s="16" t="s">
        <v>1751</v>
      </c>
      <c r="G882" s="17"/>
      <c r="H882" s="17">
        <v>2459</v>
      </c>
      <c r="I882" s="17"/>
      <c r="J882" s="17">
        <v>1999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2459</v>
      </c>
      <c r="N882" s="17">
        <f aca="false">IF($J882="","",$J882+$K882)</f>
        <v>1999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IF($T883="","",1+COUNTIF($W$15:$W$884,"&lt;"&amp;W883))</f>
        <v/>
      </c>
      <c r="B883" s="16" t="s">
        <v>6</v>
      </c>
      <c r="C883" s="16" t="s">
        <v>395</v>
      </c>
      <c r="D883" s="16" t="s">
        <v>77</v>
      </c>
      <c r="E883" s="16" t="s">
        <v>26</v>
      </c>
      <c r="F883" s="16" t="s">
        <v>396</v>
      </c>
      <c r="G883" s="17"/>
      <c r="H883" s="17"/>
      <c r="I883" s="17"/>
      <c r="J883" s="17">
        <v>1995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1995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IF($T884="","",1+COUNTIF($W$15:$W$884,"&lt;"&amp;W884))</f>
        <v/>
      </c>
      <c r="B884" s="16" t="s">
        <v>10</v>
      </c>
      <c r="C884" s="16" t="s">
        <v>1752</v>
      </c>
      <c r="D884" s="16" t="s">
        <v>77</v>
      </c>
      <c r="E884" s="16" t="s">
        <v>51</v>
      </c>
      <c r="F884" s="16" t="s">
        <v>1753</v>
      </c>
      <c r="G884" s="17"/>
      <c r="H884" s="17"/>
      <c r="I884" s="17"/>
      <c r="J884" s="17">
        <v>2010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2010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6" collapsed="false" customFormat="true" customHeight="true" hidden="false" ht="13.5" outlineLevel="0">
      <c r="F885" s="22"/>
      <c r="XFC885" s="3"/>
    </row>
    <row r="886" s="6" collapsed="false" customFormat="true" customHeight="true" hidden="false" ht="13.5" outlineLevel="0">
      <c r="F886" s="22"/>
      <c r="XFC886" s="3"/>
    </row>
  </sheetData>
  <autoFilter ref="A14:W884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1769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1756</v>
      </c>
      <c r="E3" s="9" t="s">
        <v>1757</v>
      </c>
      <c r="F3" s="9" t="s">
        <v>1758</v>
      </c>
      <c r="G3" s="9" t="s">
        <v>1759</v>
      </c>
      <c r="H3" s="9" t="s">
        <v>1760</v>
      </c>
      <c r="I3" s="9" t="s">
        <v>1761</v>
      </c>
      <c r="J3" s="9" t="s">
        <v>1762</v>
      </c>
      <c r="K3" s="9" t="s">
        <v>1763</v>
      </c>
      <c r="L3" s="9" t="s">
        <v>1764</v>
      </c>
      <c r="M3" s="9" t="s">
        <v>1765</v>
      </c>
    </row>
    <row r="4" s="22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2026-05-13T11:48:52Z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